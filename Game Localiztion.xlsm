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BBD198F7-9894-40A0-B280-BD85C7BA89D2}"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3" i="4" l="1"/>
  <c r="M34" i="20" a="1"/>
  <c r="M34" i="20" s="1"/>
  <c r="M26" i="19" a="1"/>
  <c r="M26" i="19"/>
  <c r="M23" i="21"/>
  <c r="M15" i="46"/>
  <c r="M29" i="22"/>
  <c r="M28" i="24" a="1"/>
  <c r="M28" i="24" s="1"/>
  <c r="N7" i="43"/>
  <c r="N7" i="47"/>
  <c r="N10" i="29"/>
  <c r="K34" i="20" a="1"/>
  <c r="K34" i="20" s="1"/>
  <c r="K23" i="21" a="1"/>
  <c r="K23" i="21" s="1"/>
  <c r="K15" i="46" a="1"/>
  <c r="K15" i="46" s="1"/>
  <c r="K29" i="22" a="1"/>
  <c r="K29" i="22"/>
  <c r="J8" i="30"/>
  <c r="E34" i="20" a="1"/>
  <c r="E34" i="20" s="1"/>
  <c r="E26" i="19" a="1"/>
  <c r="E26" i="19" s="1"/>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57" i="2"/>
  <c r="P56" i="2"/>
  <c r="P55" i="2"/>
  <c r="P54" i="2"/>
  <c r="P53" i="2"/>
  <c r="P52" i="2"/>
  <c r="P50" i="2"/>
  <c r="P49" i="2"/>
  <c r="P48" i="2"/>
  <c r="P47" i="2"/>
  <c r="P46" i="2"/>
  <c r="P45" i="2"/>
  <c r="P43" i="2"/>
  <c r="P42" i="2"/>
  <c r="P41" i="2"/>
  <c r="P40" i="2"/>
  <c r="P39" i="2"/>
  <c r="P38" i="2"/>
  <c r="P37" i="2"/>
  <c r="P36" i="2"/>
  <c r="P35" i="2"/>
  <c r="P34" i="2"/>
  <c r="P33" i="2"/>
  <c r="P32" i="2"/>
  <c r="P31" i="2"/>
  <c r="P30" i="2"/>
  <c r="P29" i="2"/>
  <c r="P28" i="2"/>
  <c r="P27" i="2"/>
  <c r="P26" i="2"/>
  <c r="P25" i="2"/>
  <c r="P24" i="2"/>
  <c r="P23" i="2"/>
  <c r="P22" i="2"/>
  <c r="P20" i="2"/>
  <c r="P19" i="2"/>
  <c r="P18" i="2"/>
  <c r="P17" i="2"/>
  <c r="P16" i="2"/>
  <c r="P15" i="2"/>
  <c r="P14" i="2"/>
  <c r="P12" i="2"/>
  <c r="P11" i="2"/>
  <c r="P10" i="2"/>
  <c r="P9" i="2"/>
  <c r="P7" i="2"/>
  <c r="P5" i="2"/>
  <c r="P4" i="2"/>
  <c r="N112" i="2"/>
  <c r="N107" i="2"/>
  <c r="N103" i="2"/>
  <c r="N102" i="2"/>
  <c r="N99" i="2"/>
  <c r="N96" i="2"/>
  <c r="N95" i="2"/>
  <c r="N93" i="2"/>
  <c r="N67" i="2"/>
  <c r="N53" i="2"/>
  <c r="N46" i="2"/>
  <c r="N43" i="2"/>
  <c r="N29" i="2"/>
  <c r="N24" i="2"/>
  <c r="N12" i="2"/>
  <c r="N11" i="2"/>
  <c r="N10" i="2"/>
  <c r="N9" i="2"/>
  <c r="N7" i="2"/>
  <c r="N5" i="2"/>
  <c r="N4" i="2"/>
  <c r="L107" i="2"/>
  <c r="L103" i="2"/>
  <c r="L99" i="2"/>
  <c r="L98" i="2"/>
  <c r="L83" i="2"/>
  <c r="L77" i="2"/>
  <c r="L75" i="2"/>
  <c r="L72" i="2"/>
  <c r="L66" i="2"/>
  <c r="L43" i="2"/>
  <c r="L39" i="2"/>
  <c r="L2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57" i="2"/>
  <c r="O56" i="2"/>
  <c r="O55" i="2"/>
  <c r="O54" i="2"/>
  <c r="O53" i="2"/>
  <c r="O52" i="2"/>
  <c r="O50" i="2"/>
  <c r="O49" i="2"/>
  <c r="O48" i="2"/>
  <c r="O47" i="2"/>
  <c r="O46" i="2"/>
  <c r="O45" i="2"/>
  <c r="O43" i="2"/>
  <c r="O42" i="2"/>
  <c r="O41" i="2"/>
  <c r="O40" i="2"/>
  <c r="O39" i="2"/>
  <c r="O38" i="2"/>
  <c r="O37" i="2"/>
  <c r="O36" i="2"/>
  <c r="O35" i="2"/>
  <c r="O34" i="2"/>
  <c r="O33" i="2"/>
  <c r="O32" i="2"/>
  <c r="O31" i="2"/>
  <c r="O30" i="2"/>
  <c r="O29" i="2"/>
  <c r="O28" i="2"/>
  <c r="O27" i="2"/>
  <c r="O26" i="2"/>
  <c r="O25" i="2"/>
  <c r="O24" i="2"/>
  <c r="O23" i="2"/>
  <c r="O22" i="2"/>
  <c r="O20" i="2"/>
  <c r="O19" i="2"/>
  <c r="O18" i="2"/>
  <c r="O17" i="2"/>
  <c r="O16" i="2"/>
  <c r="O15" i="2"/>
  <c r="O14" i="2"/>
  <c r="M112" i="2"/>
  <c r="M111" i="2"/>
  <c r="N111" i="2" s="1"/>
  <c r="M110" i="2"/>
  <c r="N110" i="2" s="1"/>
  <c r="M107" i="2"/>
  <c r="M105" i="2"/>
  <c r="N105" i="2" s="1"/>
  <c r="M104" i="2"/>
  <c r="N104" i="2" s="1"/>
  <c r="M103" i="2"/>
  <c r="M102" i="2"/>
  <c r="M100" i="2"/>
  <c r="N100" i="2" s="1"/>
  <c r="M99" i="2"/>
  <c r="M97" i="2"/>
  <c r="N97" i="2" s="1"/>
  <c r="M96" i="2"/>
  <c r="M95" i="2"/>
  <c r="M93" i="2"/>
  <c r="M91" i="2"/>
  <c r="N91" i="2" s="1"/>
  <c r="M90" i="2"/>
  <c r="N90" i="2" s="1"/>
  <c r="M86" i="2"/>
  <c r="N86" i="2" s="1"/>
  <c r="M85" i="2"/>
  <c r="N85" i="2" s="1"/>
  <c r="M82" i="2"/>
  <c r="N82" i="2" s="1"/>
  <c r="M79" i="2"/>
  <c r="N79" i="2" s="1"/>
  <c r="M75" i="2"/>
  <c r="N75" i="2" s="1"/>
  <c r="M74" i="2"/>
  <c r="N74" i="2" s="1"/>
  <c r="M71" i="2"/>
  <c r="N71" i="2" s="1"/>
  <c r="M67" i="2"/>
  <c r="M63" i="2"/>
  <c r="N63" i="2" s="1"/>
  <c r="M62" i="2"/>
  <c r="N62" i="2" s="1"/>
  <c r="M53" i="2"/>
  <c r="M52" i="2"/>
  <c r="N52" i="2" s="1"/>
  <c r="M50" i="2"/>
  <c r="N50" i="2" s="1"/>
  <c r="M49" i="2"/>
  <c r="N49" i="2" s="1"/>
  <c r="M48" i="2"/>
  <c r="N48" i="2" s="1"/>
  <c r="M47" i="2"/>
  <c r="N47" i="2" s="1"/>
  <c r="M46" i="2"/>
  <c r="M45" i="2"/>
  <c r="N45" i="2" s="1"/>
  <c r="M43" i="2"/>
  <c r="M42" i="2"/>
  <c r="N42" i="2" s="1"/>
  <c r="M41" i="2"/>
  <c r="N41" i="2" s="1"/>
  <c r="M40" i="2"/>
  <c r="N40" i="2" s="1"/>
  <c r="M39" i="2"/>
  <c r="N39" i="2" s="1"/>
  <c r="M35" i="2"/>
  <c r="N35" i="2" s="1"/>
  <c r="M33" i="2"/>
  <c r="N33" i="2" s="1"/>
  <c r="M29" i="2"/>
  <c r="M26" i="2"/>
  <c r="N26" i="2" s="1"/>
  <c r="M25" i="2"/>
  <c r="N25" i="2" s="1"/>
  <c r="M24" i="2"/>
  <c r="M22" i="2"/>
  <c r="N22" i="2" s="1"/>
  <c r="M20" i="2"/>
  <c r="N20" i="2" s="1"/>
  <c r="M18" i="2"/>
  <c r="N18" i="2" s="1"/>
  <c r="M15" i="2"/>
  <c r="N15" i="2" s="1"/>
  <c r="K110" i="2"/>
  <c r="L110" i="2" s="1"/>
  <c r="K108" i="2"/>
  <c r="L108" i="2" s="1"/>
  <c r="K107" i="2"/>
  <c r="K105" i="2"/>
  <c r="L105" i="2" s="1"/>
  <c r="K103" i="2"/>
  <c r="K99" i="2"/>
  <c r="K98" i="2"/>
  <c r="K96" i="2"/>
  <c r="L96" i="2" s="1"/>
  <c r="K94" i="2"/>
  <c r="L94" i="2" s="1"/>
  <c r="K92" i="2"/>
  <c r="L92" i="2" s="1"/>
  <c r="K91" i="2"/>
  <c r="L91" i="2" s="1"/>
  <c r="K90" i="2"/>
  <c r="L90" i="2" s="1"/>
  <c r="K83" i="2"/>
  <c r="K79" i="2"/>
  <c r="L79" i="2" s="1"/>
  <c r="K77" i="2"/>
  <c r="K75" i="2"/>
  <c r="K72" i="2"/>
  <c r="K71" i="2"/>
  <c r="L71" i="2" s="1"/>
  <c r="K70" i="2"/>
  <c r="L70" i="2" s="1"/>
  <c r="K69" i="2"/>
  <c r="L69" i="2" s="1"/>
  <c r="K68" i="2"/>
  <c r="L68" i="2" s="1"/>
  <c r="K66" i="2"/>
  <c r="K64" i="2"/>
  <c r="L64" i="2" s="1"/>
  <c r="K63" i="2"/>
  <c r="L63" i="2" s="1"/>
  <c r="K61" i="2"/>
  <c r="L61" i="2" s="1"/>
  <c r="K57" i="2"/>
  <c r="L57" i="2" s="1"/>
  <c r="K55" i="2"/>
  <c r="L55" i="2" s="1"/>
  <c r="K52" i="2"/>
  <c r="L52" i="2" s="1"/>
  <c r="K50" i="2"/>
  <c r="L50" i="2" s="1"/>
  <c r="K47" i="2"/>
  <c r="L47" i="2" s="1"/>
  <c r="K43" i="2"/>
  <c r="K42" i="2"/>
  <c r="L42" i="2" s="1"/>
  <c r="K39" i="2"/>
  <c r="K37" i="2"/>
  <c r="L37" i="2" s="1"/>
  <c r="K33" i="2"/>
  <c r="L33" i="2" s="1"/>
  <c r="K32" i="2"/>
  <c r="L32" i="2" s="1"/>
  <c r="K28" i="2"/>
  <c r="L28" i="2" s="1"/>
  <c r="K27" i="2"/>
  <c r="L27" i="2" s="1"/>
  <c r="K25" i="2"/>
  <c r="K23" i="2"/>
  <c r="L23" i="2" s="1"/>
  <c r="K22" i="2"/>
  <c r="L22" i="2" s="1"/>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N4" i="65"/>
  <c r="M109" i="2" s="1"/>
  <c r="N109" i="2" s="1"/>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N4" i="64"/>
  <c r="L4" i="64"/>
  <c r="K112" i="2" s="1"/>
  <c r="L112" i="2" s="1"/>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N4" i="63"/>
  <c r="M108" i="2" s="1"/>
  <c r="N108" i="2" s="1"/>
  <c r="L4" i="63"/>
  <c r="J4" i="63"/>
  <c r="I108" i="2" s="1"/>
  <c r="J108" i="2" s="1"/>
  <c r="H4" i="63"/>
  <c r="F4" i="63"/>
  <c r="D4" i="63"/>
  <c r="B4" i="63"/>
  <c r="T3" i="63"/>
  <c r="R3" i="63"/>
  <c r="P3" i="63"/>
  <c r="N3" i="63"/>
  <c r="L3" i="63"/>
  <c r="J3" i="63"/>
  <c r="H3" i="63"/>
  <c r="F3" i="63"/>
  <c r="D3" i="63"/>
  <c r="B3" i="63"/>
  <c r="A1" i="63"/>
  <c r="T20" i="57"/>
  <c r="R20" i="57"/>
  <c r="P20" i="57"/>
  <c r="N20" i="57"/>
  <c r="M54" i="2" s="1"/>
  <c r="N54" i="2" s="1"/>
  <c r="L20" i="57"/>
  <c r="K54" i="2" s="1"/>
  <c r="L54" i="2" s="1"/>
  <c r="J20" i="57"/>
  <c r="I54" i="2" s="1"/>
  <c r="J54" i="2" s="1"/>
  <c r="H20" i="57"/>
  <c r="F20" i="57"/>
  <c r="D20" i="57"/>
  <c r="C54" i="2" s="1"/>
  <c r="D54" i="2" s="1"/>
  <c r="B20" i="57"/>
  <c r="T21" i="58"/>
  <c r="R21" i="58"/>
  <c r="P21" i="58"/>
  <c r="N21" i="58"/>
  <c r="M56" i="2" s="1"/>
  <c r="N56" i="2" s="1"/>
  <c r="L21" i="58"/>
  <c r="K56" i="2" s="1"/>
  <c r="L56" i="2" s="1"/>
  <c r="J21" i="58"/>
  <c r="I56" i="2" s="1"/>
  <c r="J56" i="2" s="1"/>
  <c r="H21" i="58"/>
  <c r="F21" i="58"/>
  <c r="E56" i="2" s="1"/>
  <c r="F56" i="2" s="1"/>
  <c r="D21" i="58"/>
  <c r="C56" i="2" s="1"/>
  <c r="D56" i="2" s="1"/>
  <c r="B21" i="58"/>
  <c r="T27" i="60"/>
  <c r="R27" i="60"/>
  <c r="P27" i="60"/>
  <c r="N27" i="60"/>
  <c r="L27" i="60"/>
  <c r="K53" i="2" s="1"/>
  <c r="L53" i="2" s="1"/>
  <c r="J27" i="60"/>
  <c r="I53" i="2" s="1"/>
  <c r="J53" i="2" s="1"/>
  <c r="H27" i="60"/>
  <c r="F27" i="60"/>
  <c r="E53" i="2" s="1"/>
  <c r="F53" i="2" s="1"/>
  <c r="D27" i="60"/>
  <c r="C53" i="2" s="1"/>
  <c r="D53" i="2" s="1"/>
  <c r="B27" i="60"/>
  <c r="T23" i="62"/>
  <c r="R23" i="62"/>
  <c r="P23" i="62"/>
  <c r="N23" i="62"/>
  <c r="M55" i="2" s="1"/>
  <c r="N55" i="2" s="1"/>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N24" i="59"/>
  <c r="M57" i="2" s="1"/>
  <c r="N57" i="2" s="1"/>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N4" i="56"/>
  <c r="L4" i="56"/>
  <c r="K111" i="2" s="1"/>
  <c r="L111" i="2" s="1"/>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N4" i="55"/>
  <c r="M106" i="2" s="1"/>
  <c r="N106" i="2" s="1"/>
  <c r="L4" i="55"/>
  <c r="K106" i="2" s="1"/>
  <c r="L106" i="2" s="1"/>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K86" i="2" s="1"/>
  <c r="L86" i="2" s="1"/>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N4" i="49"/>
  <c r="M87" i="2" s="1"/>
  <c r="N87" i="2" s="1"/>
  <c r="L4" i="49"/>
  <c r="K87" i="2" s="1"/>
  <c r="L87" i="2" s="1"/>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N4" i="48"/>
  <c r="M84" i="2" s="1"/>
  <c r="N84" i="2" s="1"/>
  <c r="L4" i="48"/>
  <c r="K84" i="2" s="1"/>
  <c r="L84" i="2" s="1"/>
  <c r="J4" i="48"/>
  <c r="H4" i="48"/>
  <c r="F4" i="48"/>
  <c r="D4" i="48"/>
  <c r="B4" i="48"/>
  <c r="T3" i="48"/>
  <c r="R3" i="48"/>
  <c r="P3" i="48"/>
  <c r="N3" i="48"/>
  <c r="L3" i="48"/>
  <c r="J3" i="48"/>
  <c r="H3" i="48"/>
  <c r="F3" i="48"/>
  <c r="D3" i="48"/>
  <c r="B3" i="48"/>
  <c r="A1" i="48"/>
  <c r="A23" i="2"/>
  <c r="T8" i="43"/>
  <c r="R8" i="43"/>
  <c r="P8" i="43"/>
  <c r="N8" i="43"/>
  <c r="M23" i="2" s="1"/>
  <c r="N23" i="2" s="1"/>
  <c r="L8" i="43"/>
  <c r="J8" i="43"/>
  <c r="I23" i="2" s="1"/>
  <c r="J23" i="2" s="1"/>
  <c r="H8" i="43"/>
  <c r="F8" i="43"/>
  <c r="E23" i="2" s="1"/>
  <c r="F23" i="2" s="1"/>
  <c r="D8" i="43"/>
  <c r="C23" i="2" s="1"/>
  <c r="D23" i="2" s="1"/>
  <c r="B8" i="43"/>
  <c r="T10" i="29"/>
  <c r="R10" i="29"/>
  <c r="P10" i="29"/>
  <c r="K46" i="2"/>
  <c r="L46" i="2" s="1"/>
  <c r="I46" i="2"/>
  <c r="J46" i="2" s="1"/>
  <c r="E46" i="2"/>
  <c r="F46" i="2" s="1"/>
  <c r="D10" i="29"/>
  <c r="A46" i="2"/>
  <c r="T10" i="34"/>
  <c r="T9" i="34"/>
  <c r="T8" i="34"/>
  <c r="R10" i="34"/>
  <c r="R9" i="34"/>
  <c r="R8" i="34"/>
  <c r="P10" i="34"/>
  <c r="P9" i="34"/>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P7" i="43"/>
  <c r="K45" i="2"/>
  <c r="L45" i="2" s="1"/>
  <c r="I45" i="2"/>
  <c r="J45" i="2" s="1"/>
  <c r="C45" i="2"/>
  <c r="D45" i="2" s="1"/>
  <c r="B7" i="43"/>
  <c r="A45" i="2" s="1"/>
  <c r="A47" i="2"/>
  <c r="T7" i="47"/>
  <c r="R7" i="47"/>
  <c r="P7" i="47"/>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N4" i="46"/>
  <c r="M64" i="2" s="1"/>
  <c r="N64" i="2" s="1"/>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N4" i="44"/>
  <c r="M78" i="2" s="1"/>
  <c r="N78" i="2" s="1"/>
  <c r="L4" i="44"/>
  <c r="K78" i="2" s="1"/>
  <c r="L78" i="2" s="1"/>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M77" i="2" s="1"/>
  <c r="N77" i="2" s="1"/>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M68" i="2" s="1"/>
  <c r="N68" i="2" s="1"/>
  <c r="L4" i="42"/>
  <c r="J4" i="42"/>
  <c r="I68" i="2" s="1"/>
  <c r="J68" i="2" s="1"/>
  <c r="H4" i="42"/>
  <c r="F4" i="42"/>
  <c r="D4" i="42"/>
  <c r="B4" i="42"/>
  <c r="T3" i="42"/>
  <c r="R3" i="42"/>
  <c r="P3" i="42"/>
  <c r="N3" i="42"/>
  <c r="L3" i="42"/>
  <c r="J3" i="42"/>
  <c r="H3" i="42"/>
  <c r="F3" i="42"/>
  <c r="D3" i="42"/>
  <c r="B3" i="42"/>
  <c r="A1" i="42"/>
  <c r="A50" i="2"/>
  <c r="T7" i="30"/>
  <c r="R7" i="30"/>
  <c r="P7" i="30"/>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N28" i="30"/>
  <c r="L28" i="30"/>
  <c r="K29" i="2" s="1"/>
  <c r="L29" i="2" s="1"/>
  <c r="J28" i="30"/>
  <c r="I29" i="2" s="1"/>
  <c r="J29" i="2" s="1"/>
  <c r="H28" i="30"/>
  <c r="F28" i="30"/>
  <c r="D28" i="30"/>
  <c r="C29" i="2" s="1"/>
  <c r="D29" i="2" s="1"/>
  <c r="B28" i="30"/>
  <c r="A48" i="2"/>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N4" i="40"/>
  <c r="M66" i="2" s="1"/>
  <c r="N66" i="2" s="1"/>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M65" i="2" s="1"/>
  <c r="N65" i="2" s="1"/>
  <c r="L4" i="38"/>
  <c r="K65" i="2" s="1"/>
  <c r="L65" i="2" s="1"/>
  <c r="J4" i="38"/>
  <c r="I65" i="2" s="1"/>
  <c r="J65" i="2" s="1"/>
  <c r="H4" i="38"/>
  <c r="F4" i="38"/>
  <c r="E65" i="2" s="1"/>
  <c r="F65" i="2" s="1"/>
  <c r="D4" i="38"/>
  <c r="C65" i="2" s="1"/>
  <c r="D65" i="2" s="1"/>
  <c r="B4" i="38"/>
  <c r="T3" i="38"/>
  <c r="R3" i="38"/>
  <c r="P3" i="38"/>
  <c r="N3" i="38"/>
  <c r="L3" i="38"/>
  <c r="J3" i="38"/>
  <c r="H3" i="38"/>
  <c r="F3" i="38"/>
  <c r="D3" i="38"/>
  <c r="B3" i="38"/>
  <c r="A49" i="2"/>
  <c r="T7" i="15"/>
  <c r="R7" i="15"/>
  <c r="P7" i="15"/>
  <c r="N7" i="15"/>
  <c r="K49" i="2"/>
  <c r="L49" i="2" s="1"/>
  <c r="B7" i="15"/>
  <c r="T10" i="15"/>
  <c r="R10" i="15"/>
  <c r="P10" i="15"/>
  <c r="N10" i="15"/>
  <c r="L10" i="15"/>
  <c r="K24" i="2" s="1"/>
  <c r="L24" i="2" s="1"/>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P7" i="36"/>
  <c r="N7" i="36"/>
  <c r="L7" i="36"/>
  <c r="J7" i="36"/>
  <c r="I43" i="2" s="1"/>
  <c r="J43" i="2" s="1"/>
  <c r="H7" i="36"/>
  <c r="F7" i="36"/>
  <c r="D7" i="36"/>
  <c r="B7" i="36"/>
  <c r="T6" i="36"/>
  <c r="R6" i="36"/>
  <c r="P6" i="36"/>
  <c r="N6" i="36"/>
  <c r="M17" i="2" s="1"/>
  <c r="N17" i="2" s="1"/>
  <c r="L6" i="36"/>
  <c r="K17" i="2" s="1"/>
  <c r="L17" i="2" s="1"/>
  <c r="J6" i="36"/>
  <c r="H6" i="36"/>
  <c r="F6" i="36"/>
  <c r="D6" i="36"/>
  <c r="C17" i="2" s="1"/>
  <c r="D17" i="2" s="1"/>
  <c r="B6" i="36"/>
  <c r="T5" i="36"/>
  <c r="R5" i="36"/>
  <c r="P5" i="36"/>
  <c r="N5" i="36"/>
  <c r="L5" i="36"/>
  <c r="J5" i="36"/>
  <c r="H5" i="36"/>
  <c r="F5" i="36"/>
  <c r="D5" i="36"/>
  <c r="B5" i="36"/>
  <c r="T4" i="36"/>
  <c r="R4" i="36"/>
  <c r="P4" i="36"/>
  <c r="N4" i="36"/>
  <c r="L4" i="36"/>
  <c r="J4" i="36"/>
  <c r="H4" i="36"/>
  <c r="F4" i="36"/>
  <c r="E110" i="2" s="1"/>
  <c r="F110" i="2" s="1"/>
  <c r="D4" i="36"/>
  <c r="B4" i="36"/>
  <c r="T3" i="36"/>
  <c r="R3" i="36"/>
  <c r="P3" i="36"/>
  <c r="N3" i="36"/>
  <c r="L3" i="36"/>
  <c r="J3" i="36"/>
  <c r="H3" i="36"/>
  <c r="F3" i="36"/>
  <c r="D3" i="36"/>
  <c r="B3" i="36"/>
  <c r="A63" i="2"/>
  <c r="T6" i="35"/>
  <c r="R6" i="35"/>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P4" i="35"/>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M83" i="2" s="1"/>
  <c r="N83" i="2" s="1"/>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N4" i="33"/>
  <c r="M69" i="2" s="1"/>
  <c r="N69" i="2" s="1"/>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P6" i="32"/>
  <c r="N6" i="32"/>
  <c r="L6" i="32"/>
  <c r="K20" i="2" s="1"/>
  <c r="L20" i="2" s="1"/>
  <c r="J6" i="32"/>
  <c r="I20" i="2" s="1"/>
  <c r="J20" i="2" s="1"/>
  <c r="H6" i="32"/>
  <c r="F6" i="32"/>
  <c r="D6" i="32"/>
  <c r="C20" i="2" s="1"/>
  <c r="D20" i="2" s="1"/>
  <c r="B6" i="32"/>
  <c r="T5" i="32"/>
  <c r="R5" i="32"/>
  <c r="P5" i="32"/>
  <c r="N5" i="32"/>
  <c r="L5" i="32"/>
  <c r="J5" i="32"/>
  <c r="H5" i="32"/>
  <c r="F5" i="32"/>
  <c r="D5" i="32"/>
  <c r="B5" i="32"/>
  <c r="T4" i="32"/>
  <c r="R4" i="32"/>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P4" i="30"/>
  <c r="N4" i="30"/>
  <c r="M81" i="2" s="1"/>
  <c r="N81" i="2" s="1"/>
  <c r="L4" i="30"/>
  <c r="K81" i="2" s="1"/>
  <c r="L81" i="2" s="1"/>
  <c r="J4" i="30"/>
  <c r="I81" i="2" s="1"/>
  <c r="J81" i="2" s="1"/>
  <c r="H4" i="30"/>
  <c r="F4" i="30"/>
  <c r="E81" i="2" s="1"/>
  <c r="F81" i="2" s="1"/>
  <c r="D4" i="30"/>
  <c r="B4" i="30"/>
  <c r="A81" i="2" s="1"/>
  <c r="T3" i="30"/>
  <c r="R3" i="30"/>
  <c r="P3" i="30"/>
  <c r="N3" i="30"/>
  <c r="L3" i="30"/>
  <c r="J3" i="30"/>
  <c r="H3" i="30"/>
  <c r="F3" i="30"/>
  <c r="D3" i="30"/>
  <c r="B3" i="30"/>
  <c r="T7" i="29"/>
  <c r="R7" i="29"/>
  <c r="P7" i="29"/>
  <c r="N7" i="29"/>
  <c r="M38" i="2" s="1"/>
  <c r="N38" i="2" s="1"/>
  <c r="L7" i="29"/>
  <c r="K38" i="2" s="1"/>
  <c r="L38" i="2" s="1"/>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P4" i="27"/>
  <c r="N4" i="27"/>
  <c r="M80" i="2" s="1"/>
  <c r="N80" i="2" s="1"/>
  <c r="L4" i="27"/>
  <c r="K80" i="2" s="1"/>
  <c r="L80" i="2" s="1"/>
  <c r="J4" i="27"/>
  <c r="H4" i="27"/>
  <c r="F4" i="27"/>
  <c r="E80" i="2" s="1"/>
  <c r="F80" i="2" s="1"/>
  <c r="D4" i="27"/>
  <c r="B4" i="27"/>
  <c r="A80" i="2" s="1"/>
  <c r="T3" i="27"/>
  <c r="R3" i="27"/>
  <c r="P3" i="27"/>
  <c r="N3" i="27"/>
  <c r="L3" i="27"/>
  <c r="J3" i="27"/>
  <c r="H3" i="27"/>
  <c r="F3" i="27"/>
  <c r="D3" i="27"/>
  <c r="B3" i="27"/>
  <c r="A75" i="2"/>
  <c r="T8" i="26"/>
  <c r="R8" i="26"/>
  <c r="P8" i="26"/>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E75" i="2" s="1"/>
  <c r="F75" i="2" s="1"/>
  <c r="D4" i="26"/>
  <c r="B4" i="26"/>
  <c r="T3" i="26"/>
  <c r="R3" i="26"/>
  <c r="P3" i="26"/>
  <c r="N3" i="26"/>
  <c r="L3" i="26"/>
  <c r="J3" i="26"/>
  <c r="H3" i="26"/>
  <c r="F3" i="26"/>
  <c r="D3" i="26"/>
  <c r="B3" i="26"/>
  <c r="A33" i="2"/>
  <c r="B33" i="2" s="1"/>
  <c r="A74" i="2"/>
  <c r="T9" i="24"/>
  <c r="T8" i="24"/>
  <c r="R9" i="24"/>
  <c r="R8" i="24"/>
  <c r="P9" i="24"/>
  <c r="P8" i="24"/>
  <c r="N9" i="24"/>
  <c r="M32" i="2" s="1"/>
  <c r="N32" i="2" s="1"/>
  <c r="N8" i="24"/>
  <c r="M34" i="2" s="1"/>
  <c r="N34" i="2" s="1"/>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N4" i="24"/>
  <c r="M73" i="2" s="1"/>
  <c r="N73" i="2" s="1"/>
  <c r="L4" i="24"/>
  <c r="K73" i="2" s="1"/>
  <c r="L73" i="2" s="1"/>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N4" i="23"/>
  <c r="M72" i="2" s="1"/>
  <c r="N72" i="2" s="1"/>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N4" i="21"/>
  <c r="M76" i="2" s="1"/>
  <c r="N76" i="2" s="1"/>
  <c r="L4" i="21"/>
  <c r="K76" i="2" s="1"/>
  <c r="L76" i="2" s="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N4" i="20"/>
  <c r="L4" i="20"/>
  <c r="K102" i="2" s="1"/>
  <c r="L102" i="2" s="1"/>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N4" i="18"/>
  <c r="L4" i="18"/>
  <c r="K95" i="2" s="1"/>
  <c r="L95" i="2" s="1"/>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P20" i="5"/>
  <c r="P15" i="5"/>
  <c r="N22" i="5"/>
  <c r="M28" i="2" s="1"/>
  <c r="N28" i="2" s="1"/>
  <c r="N20" i="5"/>
  <c r="M27" i="2" s="1"/>
  <c r="N27" i="2" s="1"/>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R11" i="5"/>
  <c r="R10" i="5"/>
  <c r="R9" i="5"/>
  <c r="R6" i="5"/>
  <c r="R5" i="5"/>
  <c r="R4" i="5"/>
  <c r="R3" i="5"/>
  <c r="P12" i="5"/>
  <c r="P11" i="5"/>
  <c r="P10" i="5"/>
  <c r="P9" i="5"/>
  <c r="P6" i="5"/>
  <c r="P5" i="5"/>
  <c r="P4" i="5"/>
  <c r="P3" i="5"/>
  <c r="N12" i="5"/>
  <c r="M36" i="2" s="1"/>
  <c r="N36" i="2" s="1"/>
  <c r="N11" i="5"/>
  <c r="M37" i="2" s="1"/>
  <c r="N37" i="2" s="1"/>
  <c r="N10" i="5"/>
  <c r="M31" i="2" s="1"/>
  <c r="N31" i="2" s="1"/>
  <c r="N9" i="5"/>
  <c r="M30" i="2" s="1"/>
  <c r="N30" i="2" s="1"/>
  <c r="N6" i="5"/>
  <c r="N5" i="5"/>
  <c r="N4" i="5"/>
  <c r="M101" i="2" s="1"/>
  <c r="N101" i="2" s="1"/>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M94" i="2" s="1"/>
  <c r="N94" i="2" s="1"/>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M98" i="2" s="1"/>
  <c r="N98" i="2" s="1"/>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N4" i="11"/>
  <c r="L4" i="11"/>
  <c r="K93" i="2" s="1"/>
  <c r="L93" i="2" s="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K97" i="2" s="1"/>
  <c r="L97" i="2" s="1"/>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M92" i="2" s="1"/>
  <c r="N92" i="2" s="1"/>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M89" i="2" s="1"/>
  <c r="N89" i="2" s="1"/>
  <c r="L4" i="6"/>
  <c r="K89" i="2" s="1"/>
  <c r="L89" i="2" s="1"/>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N4" i="4"/>
  <c r="M88" i="2" s="1"/>
  <c r="N88" i="2" s="1"/>
  <c r="L4" i="4"/>
  <c r="K88" i="2" s="1"/>
  <c r="L88" i="2" s="1"/>
  <c r="J4" i="4"/>
  <c r="I88" i="2" s="1"/>
  <c r="J88" i="2" s="1"/>
  <c r="H4" i="4"/>
  <c r="F4" i="4"/>
  <c r="E88" i="2" s="1"/>
  <c r="F88" i="2" s="1"/>
  <c r="D4" i="4"/>
  <c r="C88" i="2" s="1"/>
  <c r="D88" i="2" s="1"/>
  <c r="T3" i="4"/>
  <c r="R3" i="4"/>
  <c r="P3" i="4"/>
  <c r="N3" i="4"/>
  <c r="L3" i="4"/>
  <c r="J3" i="4"/>
  <c r="H3" i="4"/>
  <c r="F3" i="4"/>
  <c r="D3" i="4"/>
  <c r="T6" i="1"/>
  <c r="T5" i="1"/>
  <c r="T4" i="1"/>
  <c r="T3" i="1"/>
  <c r="R6" i="1"/>
  <c r="R5" i="1"/>
  <c r="R4" i="1"/>
  <c r="R3" i="1"/>
  <c r="P6" i="1"/>
  <c r="P5" i="1"/>
  <c r="P4" i="1"/>
  <c r="P3" i="1"/>
  <c r="N6" i="1"/>
  <c r="M14" i="2" s="1"/>
  <c r="N14" i="2" s="1"/>
  <c r="N5" i="1"/>
  <c r="N4" i="1"/>
  <c r="M70" i="2" s="1"/>
  <c r="N70" i="2" s="1"/>
  <c r="N3" i="1"/>
  <c r="M61" i="2" s="1"/>
  <c r="N61" i="2" s="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<sst xmlns="http://schemas.openxmlformats.org/spreadsheetml/2006/main" count="10532" uniqueCount="5202">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</sst>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341">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1594</v>
      </c>
      <c r="B6" s="32"/>
      <c r="C6" s="33"/>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E7" s="30" t="s">
        <v>1596</v>
      </c>
      <c r="F7" s="30"/>
      <c r="G7" s="30"/>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25">
        <v>25</v>
      </c>
      <c r="F8" s="27" t="str" cm="1">
        <f t="array" ref="F8">INDEX(LISTSHEETS,E8)</f>
        <v>Foiled Amulet</v>
      </c>
      <c r="G8" s="28" t="str">
        <f t="shared" ref="G8:G13" si="3">HYPERLINK(_xlfn.CONCAT("#'", F8, "'!A1"), "Go to Sheet")</f>
        <v>Go to Sheet</v>
      </c>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26</v>
      </c>
      <c r="F9" s="27" t="str" cm="1">
        <f t="array" ref="F9">INDEX(LISTSHEETS,E9)</f>
        <v>Unidentified ring</v>
      </c>
      <c r="G9" s="28" t="str">
        <f t="shared" si="3"/>
        <v>Go to Sheet</v>
      </c>
      <c r="I9" s="25">
        <v>44</v>
      </c>
      <c r="J9" s="27" t="str" cm="1">
        <f t="array" ref="J9">INDEX(LISTSHEETS,I9)</f>
        <v>Jewel</v>
      </c>
      <c r="K9" s="28" t="str">
        <f t="shared" si="1"/>
        <v>Go to Sheet</v>
      </c>
      <c r="M9" s="30" t="s">
        <v>1599</v>
      </c>
      <c r="N9" s="30"/>
      <c r="O9" s="30"/>
    </row>
    <row r="10" spans="1:15" ht="21" customHeight="1" x14ac:dyDescent="0.25">
      <c r="E10" s="25">
        <v>27</v>
      </c>
      <c r="F10" s="27" t="str" cm="1">
        <f t="array" ref="F10">INDEX(LISTSHEETS,E10)</f>
        <v>Abyssus</v>
      </c>
      <c r="G10" s="28" t="str">
        <f t="shared" si="3"/>
        <v>Go to Sheet</v>
      </c>
      <c r="I10" s="25">
        <v>45</v>
      </c>
      <c r="J10" s="27" t="str" cm="1">
        <f t="array" ref="J10">INDEX(LISTSHEETS,I10)</f>
        <v>Quiver</v>
      </c>
      <c r="K10" s="28" t="str">
        <f t="shared" si="1"/>
        <v>Go to Sheet</v>
      </c>
      <c r="M10" s="25">
        <v>63</v>
      </c>
      <c r="N10" s="27" t="str" cm="1">
        <f t="array" ref="N10">INDEX(LISTSHEETS,M10)</f>
        <v>Fishing Rod</v>
      </c>
      <c r="O10" s="28" t="str">
        <f>HYPERLINK(_xlfn.CONCAT("#'", N10, "'!A1"), "Go to Sheet")</f>
        <v>Go to Sheet</v>
      </c>
    </row>
    <row r="11" spans="1:15" ht="21" customHeight="1" x14ac:dyDescent="0.25">
      <c r="A11" s="31" t="s">
        <v>769</v>
      </c>
      <c r="B11" s="32"/>
      <c r="C11" s="33"/>
      <c r="E11" s="25">
        <v>28</v>
      </c>
      <c r="F11" s="27" t="str" cm="1">
        <f t="array" ref="F11">INDEX(LISTSHEETS,E11)</f>
        <v>Carcass Jack</v>
      </c>
      <c r="G11" s="28" t="str">
        <f t="shared" si="3"/>
        <v>Go to Sheet</v>
      </c>
      <c r="I11" s="25">
        <v>46</v>
      </c>
      <c r="J11" s="27" t="str" cm="1">
        <f t="array" ref="J11">INDEX(LISTSHEETS,I11)</f>
        <v>Sceptre</v>
      </c>
      <c r="K11" s="28" t="str">
        <f t="shared" si="1"/>
        <v>Go to Sheet</v>
      </c>
    </row>
    <row r="12" spans="1:15" ht="21" customHeight="1" x14ac:dyDescent="0.25">
      <c r="A12" s="25">
        <v>7</v>
      </c>
      <c r="B12" s="27" t="str" cm="1">
        <f t="array" ref="B12">INDEX(LISTSHEETS,A12)</f>
        <v>Chaos Orb</v>
      </c>
      <c r="C12" s="28" t="str">
        <f>HYPERLINK(_xlfn.CONCAT("#'", B12, "'!A1"), "Go to Sheet")</f>
        <v>Go to Sheet</v>
      </c>
      <c r="E12" s="25">
        <v>29</v>
      </c>
      <c r="F12" s="27" t="str" cm="1">
        <f t="array" ref="F12">INDEX(LISTSHEETS,E12)</f>
        <v>Mistwall</v>
      </c>
      <c r="G12" s="28" t="str">
        <f t="shared" si="3"/>
        <v>Go to Sheet</v>
      </c>
      <c r="I12" s="25">
        <v>47</v>
      </c>
      <c r="J12" s="27" t="str" cm="1">
        <f t="array" ref="J12">INDEX(LISTSHEETS,I12)</f>
        <v>Staff</v>
      </c>
      <c r="K12" s="28" t="str">
        <f t="shared" si="1"/>
        <v>Go to Sheet</v>
      </c>
    </row>
    <row r="13" spans="1:15" ht="21" customHeight="1" x14ac:dyDescent="0.25">
      <c r="A13" s="25">
        <v>8</v>
      </c>
      <c r="B13" s="27" t="str" cm="1">
        <f t="array" ref="B13">INDEX(LISTSHEETS,A13)</f>
        <v>Resonator</v>
      </c>
      <c r="C13" s="28" t="str">
        <f>HYPERLINK(_xlfn.CONCAT("#'", B13, "'!A1"), "Go to Sheet")</f>
        <v>Go to Sheet</v>
      </c>
      <c r="E13" s="25">
        <v>30</v>
      </c>
      <c r="F13" s="27" t="str" cm="1">
        <f t="array" ref="F13">INDEX(LISTSHEETS,E13)</f>
        <v>White Wind</v>
      </c>
      <c r="G13" s="28" t="str">
        <f t="shared" si="3"/>
        <v>Go to Sheet</v>
      </c>
      <c r="I13" s="25">
        <v>48</v>
      </c>
      <c r="J13" s="27" t="str" cm="1">
        <f t="array" ref="J13">INDEX(LISTSHEETS,I13)</f>
        <v>Wand</v>
      </c>
      <c r="K13" s="28" t="str">
        <f t="shared" si="1"/>
        <v>Go to Sheet</v>
      </c>
    </row>
    <row r="14" spans="1:15" ht="21" customHeight="1" x14ac:dyDescent="0.25">
      <c r="A14" s="25">
        <v>9</v>
      </c>
      <c r="B14" s="27" t="str" cm="1">
        <f t="array" ref="B14">INDEX(LISTSHEETS,A14)</f>
        <v>Card</v>
      </c>
      <c r="C14" s="28" t="str">
        <f>HYPERLINK(_xlfn.CONCAT("#'", B14, "'!A1"), "Go to Sheet")</f>
        <v>Go to Sheet</v>
      </c>
      <c r="I14" s="25">
        <v>49</v>
      </c>
      <c r="J14" s="27" t="str" cm="1">
        <f t="array" ref="J14">INDEX(LISTSHEETS,I14)</f>
        <v>Warstaff</v>
      </c>
      <c r="K14" s="28" t="str">
        <f t="shared" si="1"/>
        <v>Go to Sheet</v>
      </c>
    </row>
    <row r="15" spans="1:15" ht="21" customHeight="1" x14ac:dyDescent="0.25">
      <c r="A15" s="25">
        <v>10</v>
      </c>
      <c r="B15" s="27" t="str" cm="1">
        <f t="array" ref="B15">INDEX(LISTSHEETS,A15)</f>
        <v>Metamorph Sample</v>
      </c>
      <c r="C15" s="28" t="str">
        <f>HYPERLINK(_xlfn.CONCAT("#'", B15, "'!A1"), "Go to Sheet")</f>
        <v>Go to Sheet</v>
      </c>
      <c r="D15" s="29"/>
      <c r="E15" s="30" t="s">
        <v>1597</v>
      </c>
      <c r="F15" s="30"/>
      <c r="G15" s="30"/>
      <c r="I15" s="25">
        <v>50</v>
      </c>
      <c r="J15" s="27" t="str" cm="1">
        <f t="array" ref="J15">INDEX(LISTSHEETS,I15)</f>
        <v>1H Sword</v>
      </c>
      <c r="K15" s="28" t="str">
        <f t="shared" si="1"/>
        <v>Go to Sheet</v>
      </c>
    </row>
    <row r="16" spans="1:15" ht="21" customHeight="1" x14ac:dyDescent="0.25">
      <c r="E16" s="25">
        <v>31</v>
      </c>
      <c r="F16" s="27" t="str" cm="1">
        <f t="array" ref="F16">INDEX(LISTSHEETS,E16)</f>
        <v>Crusader</v>
      </c>
      <c r="G16" s="28" t="str">
        <f t="shared" ref="G16:G21" si="4">HYPERLINK(_xlfn.CONCAT("#'", F16, "'!A1"), "Go to Sheet")</f>
        <v>Go to Sheet</v>
      </c>
      <c r="I16" s="25">
        <v>51</v>
      </c>
      <c r="J16" s="27" t="str" cm="1">
        <f t="array" ref="J16">INDEX(LISTSHEETS,I16)</f>
        <v>1H Thrusting Sword</v>
      </c>
      <c r="K16" s="28" t="str">
        <f t="shared" si="1"/>
        <v>Go to Sheet</v>
      </c>
    </row>
    <row r="17" spans="1:11" ht="21" customHeight="1" x14ac:dyDescent="0.25">
      <c r="A17" s="31" t="s">
        <v>780</v>
      </c>
      <c r="B17" s="32"/>
      <c r="C17" s="33"/>
      <c r="E17" s="25">
        <v>32</v>
      </c>
      <c r="F17" s="27" t="str" cm="1">
        <f t="array" ref="F17">INDEX(LISTSHEETS,E17)</f>
        <v>Elder</v>
      </c>
      <c r="G17" s="28" t="str">
        <f t="shared" si="4"/>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33</v>
      </c>
      <c r="F18" s="27" t="str" cm="1">
        <f t="array" ref="F18">INDEX(LISTSHEETS,E18)</f>
        <v>Hunter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34</v>
      </c>
      <c r="F19" s="27" t="str" cm="1">
        <f t="array" ref="F19">INDEX(LISTSHEETS,E19)</f>
        <v>Redeemer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35</v>
      </c>
      <c r="F20" s="27" t="str" cm="1">
        <f t="array" ref="F20">INDEX(LISTSHEETS,E20)</f>
        <v>Shaper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36</v>
      </c>
      <c r="F21" s="27" t="str" cm="1">
        <f t="array" ref="F21">INDEX(LISTSHEETS,E21)</f>
        <v>Warlord</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topLeftCell="A67" workbookViewId="0">
      <selection activeCell="Q73" sqref="Q73"/>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e">
        <f>Belt!P6</f>
        <v>#N/A</v>
      </c>
      <c r="P14" s="11" t="e">
        <f>_xlfn.CONCAT("        public string RarityUnique =&gt; """, O14, """;")</f>
        <v>#N/A</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e">
        <f>'Heist Brooch'!P6</f>
        <v>#N/A</v>
      </c>
      <c r="P15" s="11" t="e">
        <f>_xlfn.CONCAT("        public string RarityRare =&gt; """, O15, """;")</f>
        <v>#N/A</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e">
        <f>'Magic Utility Flask'!P6</f>
        <v>#N/A</v>
      </c>
      <c r="P16" s="11" t="e">
        <f>_xlfn.CONCAT("        public string RarityMagic =&gt; """, O16, """;")</f>
        <v>#N/A</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e">
        <f>Logbook!P6</f>
        <v>#N/A</v>
      </c>
      <c r="P17" s="11" t="e">
        <f>_xlfn.CONCAT("        public string RarityNormal =&gt; """, O17, """;")</f>
        <v>#N/A</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e">
        <f>'Chaos Orb'!P6</f>
        <v>#N/A</v>
      </c>
      <c r="P18" s="11" t="e">
        <f>_xlfn.CONCAT("        public string RarityCurrency =&gt; """, O18, """;")</f>
        <v>#N/A</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str">
        <f>'Phantasmal Gem'!N6</f>
        <v>Gema</v>
      </c>
      <c r="N19" s="11" t="str">
        <f>_xlfn.CONCAT("        public string RarityGem =&gt; """, M19, """;")</f>
        <v xml:space="preserve">        public string RarityGem =&gt; "Gema";</v>
      </c>
      <c r="O19" s="13" t="e">
        <f>'Phantasmal Gem'!P6</f>
        <v>#N/A</v>
      </c>
      <c r="P19" s="11" t="e">
        <f>_xlfn.CONCAT("        public string RarityGem =&gt; """, O19, """;")</f>
        <v>#N/A</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e">
        <f>Card!P6</f>
        <v>#N/A</v>
      </c>
      <c r="P20" s="11" t="e">
        <f>_xlfn.CONCAT("        public string RarityDivinationCard =&gt; """, O20, """;")</f>
        <v>#N/A</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t="str">
        <f>'Unidentified ring'!N11</f>
        <v>Não Identificado</v>
      </c>
      <c r="N22" s="11" t="str">
        <f>_xlfn.CONCAT("        public string DescriptionUnidentified =&gt; """, M22, """;")</f>
        <v xml:space="preserve">        public string DescriptionUnidentified =&gt; "Não Identificado";</v>
      </c>
      <c r="O22" s="13">
        <f>'Unidentified ring'!P11</f>
        <v>0</v>
      </c>
      <c r="P22" s="11" t="str">
        <f>_xlfn.CONCAT("        public string DescriptionUnidentified =&gt; """, O22, """;")</f>
        <v xml:space="preserve">        public string DescriptionUnidentified =&gt; "0";</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str">
        <f>'Life Flask'!N8</f>
        <v>Qualidade</v>
      </c>
      <c r="N23" s="11" t="str">
        <f>_xlfn.CONCAT("        public string DescriptionQuality =&gt; """, M23, """;")</f>
        <v xml:space="preserve">        public string DescriptionQuality =&gt; "Qualidade";</v>
      </c>
      <c r="O23" s="13" t="e">
        <f>'Life Flask'!P8</f>
        <v>#N/A</v>
      </c>
      <c r="P23" s="11" t="e">
        <f>_xlfn.CONCAT("        public string DescriptionQuality =&gt; """, O23, """;")</f>
        <v>#N/A</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t="str">
        <f>'Divergent Support Gem'!N10</f>
        <v>Qualidade Alternativa</v>
      </c>
      <c r="N24" s="11" t="str">
        <f>_xlfn.CONCAT("        public string DescriptionAlternateQuality =&gt; """, M24, """;")</f>
        <v xml:space="preserve">        public string DescriptionAlternateQuality =&gt; "Qualidade Alternativa";</v>
      </c>
      <c r="O24" s="13">
        <f>'Divergent Support Gem'!P10</f>
        <v>0</v>
      </c>
      <c r="P24" s="11" t="str">
        <f>_xlfn.CONCAT("        public string DescriptionAlternateQuality =&gt; """, O24, """;")</f>
        <v xml:space="preserve">        public string DescriptionAlternateQuality =&gt; "0";</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str">
        <f>'Phantasmal Gem'!N8</f>
        <v>Nível</v>
      </c>
      <c r="N25" s="11" t="str">
        <f>_xlfn.CONCAT("        public string DescriptionLevel =&gt; """, M25, """;")</f>
        <v xml:space="preserve">        public string DescriptionLevel =&gt; "Nível";</v>
      </c>
      <c r="O25" s="13" t="e">
        <f>'Phantasmal Gem'!P8</f>
        <v>#N/A</v>
      </c>
      <c r="P25" s="11" t="e">
        <f>_xlfn.CONCAT("        public string DescriptionLevel =&gt; """, O25, """;")</f>
        <v>#N/A</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t="str">
        <f>'Anomalous Gem'!N27</f>
        <v>Corrompido</v>
      </c>
      <c r="N26" s="11" t="str">
        <f>_xlfn.CONCAT("        public string DescriptionCorrupted =&gt; """, M26, """;")</f>
        <v xml:space="preserve">        public string DescriptionCorrupted =&gt; "Corrompido";</v>
      </c>
      <c r="O26" s="13">
        <f>'Anomalous Gem'!P27</f>
        <v>0</v>
      </c>
      <c r="P26" s="11" t="str">
        <f>_xlfn.CONCAT("        public string DescriptionCorrupted =&gt; """, O26, """;")</f>
        <v xml:space="preserve">        public string DescriptionCorrupted =&gt; "0";</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e">
        <f>'White Wind'!P20</f>
        <v>#N/A</v>
      </c>
      <c r="P27" s="11" t="e">
        <f>_xlfn.CONCAT("        public string DescriptionSockets =&gt; """, O27, """;")</f>
        <v>#N/A</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e">
        <f>'White Wind'!P22</f>
        <v>#N/A</v>
      </c>
      <c r="P28" s="11" t="e">
        <f>_xlfn.CONCAT("        public string DescriptionItemLevel =&gt; """, O28, """;")</f>
        <v>#N/A</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str">
        <f>'Phantasmal Gem'!N28</f>
        <v>Experiência</v>
      </c>
      <c r="N29" s="11" t="str">
        <f>_xlfn.CONCAT("        public string DescriptionExperience =&gt; """, M29, """;")</f>
        <v xml:space="preserve">        public string DescriptionExperience =&gt; "Experiência";</v>
      </c>
      <c r="O29" s="13" t="e">
        <f>'Phantasmal Gem'!P28</f>
        <v>#N/A</v>
      </c>
      <c r="P29" s="11" t="e">
        <f>_xlfn.CONCAT("        public string DescriptionExperience =&gt; """, O29, """;")</f>
        <v>#N/A</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e">
        <f>'White Wind'!P9</f>
        <v>#N/A</v>
      </c>
      <c r="P30" s="11" t="e">
        <f>_xlfn.CONCAT("        public string DescriptionPhysicalDamage =&gt; """, O30, """;")</f>
        <v>#N/A</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e">
        <f>'White Wind'!P10</f>
        <v>#N/A</v>
      </c>
      <c r="P31" s="11" t="e">
        <f>_xlfn.CONCAT("        public string DescriptionElementalDamage =&gt; """, O31, """;")</f>
        <v>#N/A</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str">
        <f>'Carcass Jack'!N9</f>
        <v>Escudo de Energia</v>
      </c>
      <c r="N32" s="11" t="str">
        <f>_xlfn.CONCAT("        public string DescriptionEnergyShield =&gt; """, M32, """;")</f>
        <v xml:space="preserve">        public string DescriptionEnergyShield =&gt; "Escudo de Energia";</v>
      </c>
      <c r="O32" s="13" t="e">
        <f>'Carcass Jack'!P9</f>
        <v>#N/A</v>
      </c>
      <c r="P32" s="11" t="e">
        <f>_xlfn.CONCAT("        public string DescriptionEnergyShield =&gt; """, O32, """;")</f>
        <v>#N/A</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str">
        <f>Abyssus!N8</f>
        <v>Armadura</v>
      </c>
      <c r="N33" s="11" t="str">
        <f>_xlfn.CONCAT("        public string DescriptionArmour =&gt; """, M33, """;")</f>
        <v xml:space="preserve">        public string DescriptionArmour =&gt; "Armadura";</v>
      </c>
      <c r="O33" s="13" t="e">
        <f>Abyssus!P8</f>
        <v>#N/A</v>
      </c>
      <c r="P33" s="11" t="e">
        <f>_xlfn.CONCAT("        public string DescriptionArmour =&gt; """, O33, """;")</f>
        <v>#N/A</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str">
        <f>'Carcass Jack'!N8</f>
        <v>Evasão</v>
      </c>
      <c r="N34" s="11" t="str">
        <f>_xlfn.CONCAT("        public string DescriptionEvasion =&gt; """, M34, """;")</f>
        <v xml:space="preserve">        public string DescriptionEvasion =&gt; "Evasão";</v>
      </c>
      <c r="O34" s="13" t="e">
        <f>'Carcass Jack'!P8</f>
        <v>#N/A</v>
      </c>
      <c r="P34" s="11" t="e">
        <f>_xlfn.CONCAT("        public string DescriptionEvasion =&gt; """, O34, """;")</f>
        <v>#N/A</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str">
        <f>Mistwall!N8</f>
        <v>Chance de Bloquear</v>
      </c>
      <c r="N35" s="11" t="str">
        <f>_xlfn.CONCAT("        public string DescriptionChanceToBlock =&gt; """, M35, """;")</f>
        <v xml:space="preserve">        public string DescriptionChanceToBlock =&gt; "Chance de Bloquear";</v>
      </c>
      <c r="O35" s="13" t="e">
        <f>Mistwall!P8</f>
        <v>#N/A</v>
      </c>
      <c r="P35" s="11" t="e">
        <f>_xlfn.CONCAT("        public string DescriptionChanceToBlock =&gt; """, O35, """;")</f>
        <v>#N/A</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str">
        <f>'White Wind'!N12</f>
        <v>Ataques por Segundo</v>
      </c>
      <c r="N36" s="11" t="str">
        <f>_xlfn.CONCAT("        public string DescriptionAttacksPerSecond =&gt; """, M36, """;")</f>
        <v xml:space="preserve">        public string DescriptionAttacksPerSecond =&gt; "Ataques por Segundo";</v>
      </c>
      <c r="O36" s="13" t="e">
        <f>'White Wind'!P12</f>
        <v>#N/A</v>
      </c>
      <c r="P36" s="11" t="e">
        <f>_xlfn.CONCAT("        public string DescriptionAttacksPerSecond =&gt; """, O36, """;")</f>
        <v>#N/A</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str">
        <f>'White Wind'!N11</f>
        <v>Chance de Crítico</v>
      </c>
      <c r="N37" s="11" t="str">
        <f>_xlfn.CONCAT("        public string DescriptionCriticalStrikeChance =&gt; """, M37, """;")</f>
        <v xml:space="preserve">        public string DescriptionCriticalStrikeChance =&gt; "Chance de Crítico";</v>
      </c>
      <c r="O37" s="13" t="e">
        <f>'White Wind'!P11</f>
        <v>#N/A</v>
      </c>
      <c r="P37" s="11" t="e">
        <f>_xlfn.CONCAT("        public string DescriptionCriticalStrikeChance =&gt; """, O37, """;")</f>
        <v>#N/A</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str">
        <f>'Blighted Map'!N7</f>
        <v>Tier do Mapa</v>
      </c>
      <c r="N38" s="11" t="str">
        <f>_xlfn.CONCAT("        public string DescriptionMapTier =&gt; """, M38, """;")</f>
        <v xml:space="preserve">        public string DescriptionMapTier =&gt; "Tier do Mapa";</v>
      </c>
      <c r="O38" s="13" t="e">
        <f>'Blighted Map'!P7</f>
        <v>#N/A</v>
      </c>
      <c r="P38" s="11" t="e">
        <f>_xlfn.CONCAT("        public string DescriptionMapTier =&gt; """, O38, """;")</f>
        <v>#N/A</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str">
        <f>Map!N8</f>
        <v>Quantidade de Itens</v>
      </c>
      <c r="N39" s="11" t="str">
        <f>_xlfn.CONCAT("        public string DescriptionItemQuantity =&gt; """, M39, """;")</f>
        <v xml:space="preserve">        public string DescriptionItemQuantity =&gt; "Quantidade de Itens";</v>
      </c>
      <c r="O39" s="13" t="e">
        <f>Map!P8</f>
        <v>#N/A</v>
      </c>
      <c r="P39" s="11" t="e">
        <f>_xlfn.CONCAT("        public string DescriptionItemQuantity =&gt; """, O39, """;")</f>
        <v>#N/A</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str">
        <f>Map!N9</f>
        <v>Raridade de Itens</v>
      </c>
      <c r="N40" s="11" t="str">
        <f>_xlfn.CONCAT("        public string DescriptionItemRarity =&gt; """, M40, """;")</f>
        <v xml:space="preserve">        public string DescriptionItemRarity =&gt; "Raridade de Itens";</v>
      </c>
      <c r="O40" s="13" t="e">
        <f>Map!P9</f>
        <v>#N/A</v>
      </c>
      <c r="P40" s="11" t="e">
        <f>_xlfn.CONCAT("        public string DescriptionItemRarity =&gt; """, O40, """;")</f>
        <v>#N/A</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str">
        <f>Map!N10</f>
        <v>Tamanho do Grupo de Monstros</v>
      </c>
      <c r="N41" s="11" t="str">
        <f>_xlfn.CONCAT("        public string DescriptionMonsterPackSize =&gt; """, M41, """;")</f>
        <v xml:space="preserve">        public string DescriptionMonsterPackSize =&gt; "Tamanho do Grupo de Monstros";</v>
      </c>
      <c r="O41" s="13" t="e">
        <f>Map!P10</f>
        <v>#N/A</v>
      </c>
      <c r="P41" s="11" t="e">
        <f>_xlfn.CONCAT("        public string DescriptionMonsterPackSize =&gt; """, O41, """;")</f>
        <v>#N/A</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str">
        <f>'White Wind'!N15</f>
        <v>Requisitos</v>
      </c>
      <c r="N42" s="11" t="str">
        <f>_xlfn.CONCAT("        public string DescriptionRequirements =&gt; """, M42, """;")</f>
        <v xml:space="preserve">        public string DescriptionRequirements =&gt; "Requisitos";</v>
      </c>
      <c r="O42" s="13" t="e">
        <f>'White Wind'!P15</f>
        <v>#N/A</v>
      </c>
      <c r="P42" s="11" t="e">
        <f>_xlfn.CONCAT("        public string DescriptionRequirements =&gt; """, O42, """;")</f>
        <v>#N/A</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str">
        <f>Logbook!N7</f>
        <v>Nível da Área</v>
      </c>
      <c r="N43" s="11" t="str">
        <f>_xlfn.CONCAT("        public string DescriptionAreaLevel =&gt; """, M43, """;")</f>
        <v xml:space="preserve">        public string DescriptionAreaLevel =&gt; "Nível da Área";</v>
      </c>
      <c r="O43" s="13" t="e">
        <f>Logbook!P7</f>
        <v>#N/A</v>
      </c>
      <c r="P43" s="11" t="e">
        <f>_xlfn.CONCAT("        public string DescriptionAreaLevel =&gt; """, O43, """;")</f>
        <v>#N/A</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str">
        <f>'Life Flask'!N7</f>
        <v>Superior</v>
      </c>
      <c r="N45" s="11" t="str">
        <f>_xlfn.CONCAT("        public string AffixSuperior =&gt; """, M45, """;")</f>
        <v xml:space="preserve">        public string AffixSuperior =&gt; "Superior";</v>
      </c>
      <c r="O45" s="13" t="e">
        <f>'Life Flask'!P7</f>
        <v>#N/A</v>
      </c>
      <c r="P45" s="11" t="e">
        <f>_xlfn.CONCAT("        public string AffixSuperior =&gt; """, O45, """;")</f>
        <v>#N/A</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str">
        <f>'Blighted Map'!N10</f>
        <v>Infestado</v>
      </c>
      <c r="N46" s="11" t="str">
        <f>_xlfn.CONCAT("        public string AffixBlighted =&gt; """, M46, """;")</f>
        <v xml:space="preserve">        public string AffixBlighted =&gt; "Infestado";</v>
      </c>
      <c r="O46" s="13" t="e">
        <f>'Blighted Map'!P10</f>
        <v>#N/A</v>
      </c>
      <c r="P46" s="11" t="e">
        <f>_xlfn.CONCAT("        public string AffixBlighted =&gt; """, O46, """;")</f>
        <v>#N/A</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str">
        <f>'Blight-ravaged Map'!N7</f>
        <v>Devastado</v>
      </c>
      <c r="N47" s="11" t="str">
        <f>_xlfn.CONCAT("        public string AffixBlightRavaged =&gt; """, M47, """;")</f>
        <v xml:space="preserve">        public string AffixBlightRavaged =&gt; "Devastado";</v>
      </c>
      <c r="O47" s="13" t="e">
        <f>'Blight-ravaged Map'!P7</f>
        <v>#N/A</v>
      </c>
      <c r="P47" s="11" t="e">
        <f>_xlfn.CONCAT("        public string AffixBlightRavaged =&gt; """, O47, """;")</f>
        <v>#N/A</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str">
        <f>'Anomalous Gem'!N7</f>
        <v>Anômalo</v>
      </c>
      <c r="N48" s="11" t="str">
        <f>_xlfn.CONCAT("        public string AffixAnomalous =&gt; """, M48, """;")</f>
        <v xml:space="preserve">        public string AffixAnomalous =&gt; "Anômalo";</v>
      </c>
      <c r="O48" s="13" t="e">
        <f>'Anomalous Gem'!P7</f>
        <v>#N/A</v>
      </c>
      <c r="P48" s="11" t="e">
        <f>_xlfn.CONCAT("        public string AffixAnomalous =&gt; """, O48, """;")</f>
        <v>#N/A</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str">
        <f>'Divergent Support Gem'!N7</f>
        <v>Divergente</v>
      </c>
      <c r="N49" s="11" t="str">
        <f>_xlfn.CONCAT("        public string AffixDivergent =&gt; """, M49, """;")</f>
        <v xml:space="preserve">        public string AffixDivergent =&gt; "Divergente";</v>
      </c>
      <c r="O49" s="13" t="e">
        <f>'Divergent Support Gem'!P7</f>
        <v>#N/A</v>
      </c>
      <c r="P49" s="11" t="e">
        <f>_xlfn.CONCAT("        public string AffixDivergent =&gt; """, O49, """;")</f>
        <v>#N/A</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str">
        <f>'Phantasmal Gem'!N7</f>
        <v>Fantasmal</v>
      </c>
      <c r="N50" s="11" t="str">
        <f>_xlfn.CONCAT("        public string AffixPhantasmal =&gt; """, M50, """;")</f>
        <v xml:space="preserve">        public string AffixPhantasmal =&gt; "Fantasmal";</v>
      </c>
      <c r="O50" s="13" t="e">
        <f>'Phantasmal Gem'!P7</f>
        <v>#N/A</v>
      </c>
      <c r="P50" s="11" t="e">
        <f>_xlfn.CONCAT("        public string AffixPhantasmal =&gt; """, O50, """;")</f>
        <v>#N/A</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t="str">
        <f>Shaper!N23</f>
        <v>Item do Criador</v>
      </c>
      <c r="N52" s="11" t="str">
        <f>_xlfn.CONCAT("        public string InfluenceShaper =&gt; """, M52, """;")</f>
        <v xml:space="preserve">        public string InfluenceShaper =&gt; "Item do Criador";</v>
      </c>
      <c r="O52" s="13">
        <f>Shaper!P23</f>
        <v>0</v>
      </c>
      <c r="P52" s="11" t="str">
        <f>_xlfn.CONCAT("        public string InfluenceShaper =&gt; """, O52, """;")</f>
        <v xml:space="preserve">        public string InfluenceShaper =&gt; "0";</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t="str">
        <f>Elder!N27</f>
        <v>Item do Ancião</v>
      </c>
      <c r="N53" s="11" t="str">
        <f>_xlfn.CONCAT("        public string InfluenceElder =&gt; """, M53, """;")</f>
        <v xml:space="preserve">        public string InfluenceElder =&gt; "Item do Ancião";</v>
      </c>
      <c r="O53" s="13">
        <f>Elder!P27</f>
        <v>0</v>
      </c>
      <c r="P53" s="11" t="str">
        <f>_xlfn.CONCAT("        public string InfluenceElder =&gt; """, O53, """;")</f>
        <v xml:space="preserve">        public string InfluenceElder =&gt; "0";</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t="str">
        <f>Crusader!N20</f>
        <v>Item do Cruzado</v>
      </c>
      <c r="N54" s="11" t="str">
        <f>_xlfn.CONCAT("        public string InfluenceCrusader =&gt; """, M54, """;")</f>
        <v xml:space="preserve">        public string InfluenceCrusader =&gt; "Item do Cruzado";</v>
      </c>
      <c r="O54" s="13">
        <f>Crusader!P20</f>
        <v>0</v>
      </c>
      <c r="P54" s="11" t="str">
        <f>_xlfn.CONCAT("        public string InfluenceCrusader =&gt; """, O54, """;")</f>
        <v xml:space="preserve">        public string InfluenceCrusader =&gt; "0";</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t="str">
        <f>Hunter!N23</f>
        <v>Item do Caçador</v>
      </c>
      <c r="N55" s="11" t="str">
        <f>_xlfn.CONCAT("        public string InfluenceHunter =&gt; """, M55, """;")</f>
        <v xml:space="preserve">        public string InfluenceHunter =&gt; "Item do Caçador";</v>
      </c>
      <c r="O55" s="13">
        <f>Hunter!P23</f>
        <v>0</v>
      </c>
      <c r="P55" s="11" t="str">
        <f>_xlfn.CONCAT("        public string InfluenceHunter =&gt; """, O55, """;")</f>
        <v xml:space="preserve">        public string InfluenceHunter =&gt; "0";</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t="str">
        <f>Redeemer!N21</f>
        <v>Item do Redentor</v>
      </c>
      <c r="N56" s="11" t="str">
        <f>_xlfn.CONCAT("        public string InfluenceRedeemer =&gt; """, M56, """;")</f>
        <v xml:space="preserve">        public string InfluenceRedeemer =&gt; "Item do Redentor";</v>
      </c>
      <c r="O56" s="13">
        <f>Redeemer!P21</f>
        <v>0</v>
      </c>
      <c r="P56" s="11" t="str">
        <f>_xlfn.CONCAT("        public string InfluenceRedeemer =&gt; """, O56, """;")</f>
        <v xml:space="preserve">        public string InfluenceRedeemer =&gt; "0";</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t="str">
        <f>Warlord!N24</f>
        <v>Item do Senhor da Guerra</v>
      </c>
      <c r="N57" s="11" t="str">
        <f>_xlfn.CONCAT("        public string InfluenceWarlord =&gt; """, M57, """;")</f>
        <v xml:space="preserve">        public string InfluenceWarlord =&gt; "Item do Senhor da Guerra";</v>
      </c>
      <c r="O57" s="13">
        <f>Warlord!P24</f>
        <v>0</v>
      </c>
      <c r="P57" s="11" t="str">
        <f>_xlfn.CONCAT("        public string InfluenceWarlord =&gt; """, O57, """;")</f>
        <v xml:space="preserve">        public string InfluenceWarlord =&gt; "0";</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str">
        <f>Belt!N3</f>
        <v>Classe do Item</v>
      </c>
      <c r="N61" s="11" t="str">
        <f>_xlfn.CONCAT("            Prefix = """, M61, """,")</f>
        <v xml:space="preserve">            Prefix = "Classe do Item",</v>
      </c>
      <c r="O61" s="19" t="e">
        <f>Belt!P3</f>
        <v>#N/A</v>
      </c>
      <c r="P61" s="11" t="e">
        <f>_xlfn.CONCAT("            Prefix = """, O61, """,")</f>
        <v>#N/A</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str">
        <f>Card!N4</f>
        <v>Cartas de Adivinhação</v>
      </c>
      <c r="N62" s="11" t="str">
        <f>_xlfn.CONCAT("            DivinationCard = """, M62, """,")</f>
        <v xml:space="preserve">            DivinationCard = "Cartas de Adivinhação",</v>
      </c>
      <c r="O62" s="19" t="e">
        <f>Card!P4</f>
        <v>#N/A</v>
      </c>
      <c r="P62" s="11" t="e">
        <f>_xlfn.CONCAT("            DivinationCard = """, O62, """,")</f>
        <v>#N/A</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str">
        <f>'Chaos Orb'!N4</f>
        <v>Moedas Empilháveis</v>
      </c>
      <c r="N63" s="11" t="str">
        <f>_xlfn.CONCAT("            StackableCurrency = """, M63, """,")</f>
        <v xml:space="preserve">            StackableCurrency = "Moedas Empilháveis",</v>
      </c>
      <c r="O63" s="19" t="e">
        <f>'Chaos Orb'!P4</f>
        <v>#N/A</v>
      </c>
      <c r="P63" s="11" t="e">
        <f>_xlfn.CONCAT("            StackableCurrency = """, O63, """,")</f>
        <v>#N/A</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str">
        <f>Jewel!N4</f>
        <v>Joias</v>
      </c>
      <c r="N64" s="11" t="str">
        <f>_xlfn.CONCAT("            Jewel = """, M64, """,")</f>
        <v xml:space="preserve">            Jewel = "Joias",</v>
      </c>
      <c r="O64" s="19" t="e">
        <f>Jewel!P4</f>
        <v>#N/A</v>
      </c>
      <c r="P64" s="11" t="e">
        <f>_xlfn.CONCAT("            Jewel = """, O64, """,")</f>
        <v>#N/A</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str">
        <f>Resonator!N4</f>
        <v>Item Monetário Aglomerável e Encaixável Delve</v>
      </c>
      <c r="N65" s="11" t="str">
        <f>_xlfn.CONCAT("            DelveStackableSocketableCurrency = """, M65, """,")</f>
        <v xml:space="preserve">            DelveStackableSocketableCurrency = "Item Monetário Aglomerável e Encaixável Delve",</v>
      </c>
      <c r="O65" s="19" t="e">
        <f>Resonator!P4</f>
        <v>#N/A</v>
      </c>
      <c r="P65" s="11" t="e">
        <f>_xlfn.CONCAT("            DelveStackableSocketableCurrency = """, O65, """,")</f>
        <v>#N/A</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str">
        <f>'Metamorph Sample'!N4</f>
        <v>Amostras Metamorfas</v>
      </c>
      <c r="N66" s="11" t="str">
        <f>_xlfn.CONCAT("            MetamorphSample = """, M66, """,")</f>
        <v xml:space="preserve">            MetamorphSample = "Amostras Metamorfas",</v>
      </c>
      <c r="O66" s="19" t="e">
        <f>'Metamorph Sample'!P4</f>
        <v>#N/A</v>
      </c>
      <c r="P66" s="11" t="e">
        <f>_xlfn.CONCAT("            MetamorphSample = """, O66, """,")</f>
        <v>#N/A</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str">
        <f>'Heist Tool'!N4</f>
        <v>Ferramentas Heist</v>
      </c>
      <c r="N67" s="11" t="str">
        <f>_xlfn.CONCAT("            HeistTool = """, M67, """,")</f>
        <v xml:space="preserve">            HeistTool = "Ferramentas Heist",</v>
      </c>
      <c r="O67" s="19" t="e">
        <f>'Heist Tool'!P4</f>
        <v>#N/A</v>
      </c>
      <c r="P67" s="11" t="e">
        <f>_xlfn.CONCAT("            HeistTool = """, O67, """,")</f>
        <v>#N/A</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str">
        <f>'Foiled Amulet'!N4</f>
        <v>Amuletos</v>
      </c>
      <c r="N68" s="11" t="str">
        <f>_xlfn.CONCAT("            Amulet = """, M68, """,")</f>
        <v xml:space="preserve">            Amulet = "Amuletos",</v>
      </c>
      <c r="O68" s="19" t="e">
        <f>'Foiled Amulet'!P4</f>
        <v>#N/A</v>
      </c>
      <c r="P68" s="11" t="e">
        <f>_xlfn.CONCAT("            Amulet = """, O68, """,")</f>
        <v>#N/A</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str">
        <f>'Unidentified ring'!N4</f>
        <v>Anéis</v>
      </c>
      <c r="N69" s="11" t="str">
        <f>_xlfn.CONCAT("            Ring = """, M69, """,")</f>
        <v xml:space="preserve">            Ring = "Anéis",</v>
      </c>
      <c r="O69" s="19" t="e">
        <f>'Unidentified ring'!P4</f>
        <v>#N/A</v>
      </c>
      <c r="P69" s="11" t="e">
        <f>_xlfn.CONCAT("            Ring = """, O69, """,")</f>
        <v>#N/A</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str">
        <f>Belt!N4</f>
        <v>Cintos</v>
      </c>
      <c r="N70" s="11" t="str">
        <f>_xlfn.CONCAT("            Belt = """, M70, """,")</f>
        <v xml:space="preserve">            Belt = "Cintos",</v>
      </c>
      <c r="O70" s="19" t="e">
        <f>Belt!P4</f>
        <v>#N/A</v>
      </c>
      <c r="P70" s="11" t="e">
        <f>_xlfn.CONCAT("            Belt = """, O70, """,")</f>
        <v>#N/A</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str">
        <f>Gloves!N4</f>
        <v>Luvas</v>
      </c>
      <c r="N71" s="11" t="str">
        <f>_xlfn.CONCAT("            Gloves = """, M71, """,")</f>
        <v xml:space="preserve">            Gloves = "Luvas",</v>
      </c>
      <c r="O71" s="19" t="e">
        <f>Gloves!P4</f>
        <v>#N/A</v>
      </c>
      <c r="P71" s="11" t="e">
        <f>_xlfn.CONCAT("            Gloves = """, O71, """,")</f>
        <v>#N/A</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str">
        <f>Boots!N4</f>
        <v>Botas</v>
      </c>
      <c r="N72" s="11" t="str">
        <f>_xlfn.CONCAT("            Boots = """, M72, """,")</f>
        <v xml:space="preserve">            Boots = "Botas",</v>
      </c>
      <c r="O72" s="19" t="e">
        <f>Boots!P4</f>
        <v>#N/A</v>
      </c>
      <c r="P72" s="11" t="e">
        <f>_xlfn.CONCAT("            Boots = """, O72, """,")</f>
        <v>#N/A</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str">
        <f>'Carcass Jack'!N4</f>
        <v>Peitorais</v>
      </c>
      <c r="N73" s="11" t="str">
        <f>_xlfn.CONCAT("            BodyArmours = """, M73, """,")</f>
        <v xml:space="preserve">            BodyArmours = "Peitorais",</v>
      </c>
      <c r="O73" s="19" t="e">
        <f>'Carcass Jack'!P4</f>
        <v>#N/A</v>
      </c>
      <c r="P73" s="11" t="e">
        <f>_xlfn.CONCAT("            BodyArmours = """, O73, """,")</f>
        <v>#N/A</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str">
        <f>Abyssus!N4</f>
        <v>Elmos</v>
      </c>
      <c r="N74" s="11" t="str">
        <f>_xlfn.CONCAT("            Helmets = """, M74, """,")</f>
        <v xml:space="preserve">            Helmets = "Elmos",</v>
      </c>
      <c r="O74" s="19" t="e">
        <f>Abyssus!P4</f>
        <v>#N/A</v>
      </c>
      <c r="P74" s="11" t="e">
        <f>_xlfn.CONCAT("            Helmets = """, O74, """,")</f>
        <v>#N/A</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str">
        <f>Mistwall!N4</f>
        <v>Escudos</v>
      </c>
      <c r="N75" s="11" t="str">
        <f>_xlfn.CONCAT("            Shields = """, M75, """,")</f>
        <v xml:space="preserve">            Shields = "Escudos",</v>
      </c>
      <c r="O75" s="19" t="e">
        <f>Mistwall!P4</f>
        <v>#N/A</v>
      </c>
      <c r="P75" s="11" t="e">
        <f>_xlfn.CONCAT("            Shields = """, O75, """,")</f>
        <v>#N/A</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str">
        <f>Quiver!N4</f>
        <v>Aljavas</v>
      </c>
      <c r="N76" s="11" t="str">
        <f>_xlfn.CONCAT("            Quivers = """, M76, """,")</f>
        <v xml:space="preserve">            Quivers = "Aljavas",</v>
      </c>
      <c r="O76" s="19" t="e">
        <f>Quiver!P4</f>
        <v>#N/A</v>
      </c>
      <c r="P76" s="11" t="e">
        <f>_xlfn.CONCAT("            Quivers = """, O76, """,")</f>
        <v>#N/A</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str">
        <f>'Life Flask'!N4</f>
        <v>Frascos de Vida</v>
      </c>
      <c r="N77" s="11" t="str">
        <f>_xlfn.CONCAT("            LifeFlasks = """, M77, """,")</f>
        <v xml:space="preserve">            LifeFlasks = "Frascos de Vida",</v>
      </c>
      <c r="O77" s="19" t="e">
        <f>'Life Flask'!P4</f>
        <v>#N/A</v>
      </c>
      <c r="P77" s="11" t="e">
        <f>_xlfn.CONCAT("            LifeFlasks = """, O77, """,")</f>
        <v>#N/A</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str">
        <f>'Mana Flask'!N4</f>
        <v>Frascos de Mana</v>
      </c>
      <c r="N78" s="11" t="str">
        <f>_xlfn.CONCAT("            ManaFlasks = """, M78, """,")</f>
        <v xml:space="preserve">            ManaFlasks = "Frascos de Mana",</v>
      </c>
      <c r="O78" s="19" t="e">
        <f>'Mana Flask'!P4</f>
        <v>#N/A</v>
      </c>
      <c r="P78" s="11" t="e">
        <f>_xlfn.CONCAT("            ManaFlasks = """, O78, """,")</f>
        <v>#N/A</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str">
        <f>'Hybrid Flask'!N4</f>
        <v>Frascos Híbridos</v>
      </c>
      <c r="N79" s="11" t="str">
        <f>_xlfn.CONCAT("            HybridFlasks = """, M79, """,")</f>
        <v xml:space="preserve">            HybridFlasks = "Frascos Híbridos",</v>
      </c>
      <c r="O79" s="19" t="e">
        <f>'Hybrid Flask'!P4</f>
        <v>#N/A</v>
      </c>
      <c r="P79" s="11" t="e">
        <f>_xlfn.CONCAT("            HybridFlasks = """, O79, """,")</f>
        <v>#N/A</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str">
        <f>'Magic Utility Flask'!N4</f>
        <v>Frascos de Utilidade</v>
      </c>
      <c r="N80" s="11" t="str">
        <f>_xlfn.CONCAT("            UtilityFlasks = """, M80, """,")</f>
        <v xml:space="preserve">            UtilityFlasks = "Frascos de Utilidade",</v>
      </c>
      <c r="O80" s="19" t="e">
        <f>'Magic Utility Flask'!P4</f>
        <v>#N/A</v>
      </c>
      <c r="P80" s="11" t="e">
        <f>_xlfn.CONCAT("            UtilityFlasks = """, O80, """,")</f>
        <v>#N/A</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str">
        <f>'Phantasmal Gem'!N4</f>
        <v>Gemas de Habilidades</v>
      </c>
      <c r="N81" s="11" t="str">
        <f>_xlfn.CONCAT("            ActiveSkillGems = """, M81, """,")</f>
        <v xml:space="preserve">            ActiveSkillGems = "Gemas de Habilidades",</v>
      </c>
      <c r="O81" s="19" t="e">
        <f>'Phantasmal Gem'!P4</f>
        <v>#N/A</v>
      </c>
      <c r="P81" s="11" t="e">
        <f>_xlfn.CONCAT("            ActiveSkillGems = """, O81, """,")</f>
        <v>#N/A</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str">
        <f>'Divergent Support Gem'!N4</f>
        <v>Gemas de Suporte</v>
      </c>
      <c r="N82" s="11" t="str">
        <f>_xlfn.CONCAT("            SupportSkillGems = """, M82, """,")</f>
        <v xml:space="preserve">            SupportSkillGems = "Gemas de Suporte",</v>
      </c>
      <c r="O82" s="19" t="e">
        <f>'Divergent Support Gem'!P4</f>
        <v>#N/A</v>
      </c>
      <c r="P82" s="11" t="e">
        <f>_xlfn.CONCAT("            SupportSkillGems = """, O82, """,")</f>
        <v>#N/A</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str">
        <f>Map!N4</f>
        <v>Mapas</v>
      </c>
      <c r="N83" s="11" t="str">
        <f>_xlfn.CONCAT("            Maps = """, M83, """,")</f>
        <v xml:space="preserve">            Maps = "Mapas",</v>
      </c>
      <c r="O83" s="19" t="e">
        <f>Map!P4</f>
        <v>#N/A</v>
      </c>
      <c r="P83" s="11" t="e">
        <f>_xlfn.CONCAT("            Maps = """, O83, """,")</f>
        <v>#N/A</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str">
        <f>'Map Fragment'!N4</f>
        <v>Fragmentos de Mapas</v>
      </c>
      <c r="N84" s="11" t="str">
        <f>_xlfn.CONCAT("            MapFragments = """, M84, """,")</f>
        <v xml:space="preserve">            MapFragments = "Fragmentos de Mapas",</v>
      </c>
      <c r="O84" s="19" t="e">
        <f>'Map Fragment'!P4</f>
        <v>#N/A</v>
      </c>
      <c r="P84" s="11" t="e">
        <f>_xlfn.CONCAT("            MapFragments = """, O84, """,")</f>
        <v>#N/A</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str">
        <f>Contract!N4</f>
        <v>Contratos</v>
      </c>
      <c r="N85" s="11" t="str">
        <f>_xlfn.CONCAT("            Contract = """, M85, """,")</f>
        <v xml:space="preserve">            Contract = "Contratos",</v>
      </c>
      <c r="O85" s="19" t="e">
        <f>Contract!P4</f>
        <v>#N/A</v>
      </c>
      <c r="P85" s="11" t="e">
        <f>_xlfn.CONCAT("            Contract = """, O85, """,")</f>
        <v>#N/A</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str">
        <f>Blueprint!N4</f>
        <v>Plantas</v>
      </c>
      <c r="N86" s="11" t="str">
        <f>_xlfn.CONCAT("            Blueprint = """, M86, """,")</f>
        <v xml:space="preserve">            Blueprint = "Plantas",</v>
      </c>
      <c r="O86" s="19" t="e">
        <f>Blueprint!P4</f>
        <v>#N/A</v>
      </c>
      <c r="P86" s="11" t="e">
        <f>_xlfn.CONCAT("            Blueprint = """, O86, """,")</f>
        <v>#N/A</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str">
        <f>'Misc Map Item'!N4</f>
        <v>Itens Mapas Variados</v>
      </c>
      <c r="N87" s="11" t="str">
        <f>_xlfn.CONCAT("            MiscMapItems = """, M87, """,")</f>
        <v xml:space="preserve">            MiscMapItems = "Itens Mapas Variados",</v>
      </c>
      <c r="O87" s="19" t="e">
        <f>'Misc Map Item'!P4</f>
        <v>#N/A</v>
      </c>
      <c r="P87" s="11" t="e">
        <f>_xlfn.CONCAT("            MiscMapItems = """, O87, """,")</f>
        <v>#N/A</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str">
        <f>Claw!N4</f>
        <v>Garras</v>
      </c>
      <c r="N88" s="11" t="str">
        <f>_xlfn.CONCAT("            Claws = """, M88, """,")</f>
        <v xml:space="preserve">            Claws = "Garras",</v>
      </c>
      <c r="O88" s="19" t="e">
        <f>Claw!P4</f>
        <v>#N/A</v>
      </c>
      <c r="P88" s="11" t="e">
        <f>_xlfn.CONCAT("            Claws = """, O88, """,")</f>
        <v>#N/A</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str">
        <f>Dagger!N4</f>
        <v>Adagas</v>
      </c>
      <c r="N89" s="11" t="str">
        <f>_xlfn.CONCAT("            Daggers = """, M89, """,")</f>
        <v xml:space="preserve">            Daggers = "Adagas",</v>
      </c>
      <c r="O89" s="19" t="e">
        <f>Dagger!P4</f>
        <v>#N/A</v>
      </c>
      <c r="P89" s="11" t="e">
        <f>_xlfn.CONCAT("            Daggers = """, O89, """,")</f>
        <v>#N/A</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str">
        <f>Wand!N4</f>
        <v>Varinhas</v>
      </c>
      <c r="N90" s="11" t="str">
        <f>_xlfn.CONCAT("            Wands = """, M90, """,")</f>
        <v xml:space="preserve">            Wands = "Varinhas",</v>
      </c>
      <c r="O90" s="19" t="e">
        <f>Wand!P4</f>
        <v>#N/A</v>
      </c>
      <c r="P90" s="11" t="e">
        <f>_xlfn.CONCAT("            Wands = """, O90, """,")</f>
        <v>#N/A</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str">
        <f>'1H Sword'!N4</f>
        <v>Espadas de Uma Mão</v>
      </c>
      <c r="N91" s="11" t="str">
        <f>_xlfn.CONCAT("            OneHandSwords = """, M91, """,")</f>
        <v xml:space="preserve">            OneHandSwords = "Espadas de Uma Mão",</v>
      </c>
      <c r="O91" s="19" t="e">
        <f>'1H Sword'!P4</f>
        <v>#N/A</v>
      </c>
      <c r="P91" s="11" t="e">
        <f>_xlfn.CONCAT("            OneHandSwords = """, O91, """,")</f>
        <v>#N/A</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str">
        <f>'1H Thrusting Sword'!N4</f>
        <v>Espadas de Estocada de Uma Mão</v>
      </c>
      <c r="N92" s="11" t="str">
        <f>_xlfn.CONCAT("            ThrustingOneHandSwords = """, M92, """,")</f>
        <v xml:space="preserve">            ThrustingOneHandSwords = "Espadas de Estocada de Uma Mão",</v>
      </c>
      <c r="O92" s="19" t="e">
        <f>'1H Thrusting Sword'!P4</f>
        <v>#N/A</v>
      </c>
      <c r="P92" s="11" t="e">
        <f>_xlfn.CONCAT("            ThrustingOneHandSwords = """, O92, """,")</f>
        <v>#N/A</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str">
        <f>'1H Axe'!N4</f>
        <v>Machados de Uma Mão</v>
      </c>
      <c r="N93" s="11" t="str">
        <f>_xlfn.CONCAT("            OneHandAxes = """, M93, """,")</f>
        <v xml:space="preserve">            OneHandAxes = "Machados de Uma Mão",</v>
      </c>
      <c r="O93" s="19" t="e">
        <f>'1H Axe'!P4</f>
        <v>#N/A</v>
      </c>
      <c r="P93" s="11" t="e">
        <f>_xlfn.CONCAT("            OneHandAxes = """, O93, """,")</f>
        <v>#N/A</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str">
        <f>'1H Mace'!N4</f>
        <v>Maças de Uma Mão</v>
      </c>
      <c r="N94" s="11" t="str">
        <f>_xlfn.CONCAT("            OneHandMaces = """, M94, """,")</f>
        <v xml:space="preserve">            OneHandMaces = "Maças de Uma Mão",</v>
      </c>
      <c r="O94" s="19" t="e">
        <f>'1H Mace'!P4</f>
        <v>#N/A</v>
      </c>
      <c r="P94" s="11" t="e">
        <f>_xlfn.CONCAT("            OneHandMaces = """, O94, """,")</f>
        <v>#N/A</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str">
        <f>Bow!N4</f>
        <v>Arcos</v>
      </c>
      <c r="N95" s="11" t="str">
        <f>_xlfn.CONCAT("            Bows = """, M95, """,")</f>
        <v xml:space="preserve">            Bows = "Arcos",</v>
      </c>
      <c r="O95" s="19" t="e">
        <f>Bow!P4</f>
        <v>#N/A</v>
      </c>
      <c r="P95" s="11" t="e">
        <f>_xlfn.CONCAT("            Bows = """, O95, """,")</f>
        <v>#N/A</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str">
        <f>Staff!N4</f>
        <v>Cajados</v>
      </c>
      <c r="N96" s="11" t="str">
        <f>_xlfn.CONCAT("            Staves = """, M96, """,")</f>
        <v xml:space="preserve">            Staves = "Cajados",</v>
      </c>
      <c r="O96" s="19" t="e">
        <f>Staff!P4</f>
        <v>#N/A</v>
      </c>
      <c r="P96" s="11" t="e">
        <f>_xlfn.CONCAT("            Staves = """, O96, """,")</f>
        <v>#N/A</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str">
        <f>'2H Sword'!N4</f>
        <v>Espadas de Duas Mãos</v>
      </c>
      <c r="N97" s="11" t="str">
        <f>_xlfn.CONCAT("            TwoHandSwords = """, M97, """,")</f>
        <v xml:space="preserve">            TwoHandSwords = "Espadas de Duas Mãos",</v>
      </c>
      <c r="O97" s="19" t="e">
        <f>'2H Sword'!P4</f>
        <v>#N/A</v>
      </c>
      <c r="P97" s="11" t="e">
        <f>_xlfn.CONCAT("            TwoHandSwords = """, O97, """,")</f>
        <v>#N/A</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str">
        <f>'2H Axe'!N4</f>
        <v>Machados de Duas Mãos</v>
      </c>
      <c r="N98" s="11" t="str">
        <f>_xlfn.CONCAT("            TwoHandAxes = """, M98, """,")</f>
        <v xml:space="preserve">            TwoHandAxes = "Machados de Duas Mãos",</v>
      </c>
      <c r="O98" s="19" t="e">
        <f>'2H Axe'!P4</f>
        <v>#N/A</v>
      </c>
      <c r="P98" s="11" t="e">
        <f>_xlfn.CONCAT("            TwoHandAxes = """, O98, """,")</f>
        <v>#N/A</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str">
        <f>'2H Mace'!N4</f>
        <v>Maças de Duas Mãos</v>
      </c>
      <c r="N99" s="11" t="str">
        <f>_xlfn.CONCAT("            TwoHandMaces = """, M99, """,")</f>
        <v xml:space="preserve">            TwoHandMaces = "Maças de Duas Mãos",</v>
      </c>
      <c r="O99" s="19" t="e">
        <f>'2H Mace'!P4</f>
        <v>#N/A</v>
      </c>
      <c r="P99" s="11" t="e">
        <f>_xlfn.CONCAT("            TwoHandMaces = """, O99, """,")</f>
        <v>#N/A</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str">
        <f>Sceptre!N4</f>
        <v>Cetros</v>
      </c>
      <c r="N100" s="11" t="str">
        <f>_xlfn.CONCAT("            Sceptres = """, M100, """,")</f>
        <v xml:space="preserve">            Sceptres = "Cetros",</v>
      </c>
      <c r="O100" s="19" t="e">
        <f>Sceptre!P4</f>
        <v>#N/A</v>
      </c>
      <c r="P100" s="11" t="e">
        <f>_xlfn.CONCAT("            Sceptres = """, O100, """,")</f>
        <v>#N/A</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str">
        <f>'White Wind'!N4</f>
        <v>Adagas Rúnicas</v>
      </c>
      <c r="N101" s="11" t="str">
        <f>_xlfn.CONCAT("            RuneDaggers = """, M101, """,")</f>
        <v xml:space="preserve">            RuneDaggers = "Adagas Rúnicas",</v>
      </c>
      <c r="O101" s="19" t="e">
        <f>'White Wind'!P4</f>
        <v>#N/A</v>
      </c>
      <c r="P101" s="11" t="e">
        <f>_xlfn.CONCAT("            RuneDaggers = """, O101, """,")</f>
        <v>#N/A</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str">
        <f>Warstaff!N4</f>
        <v>Cajados de Guerra</v>
      </c>
      <c r="N102" s="11" t="str">
        <f>_xlfn.CONCAT("            Warstaves = """, M102, """,")</f>
        <v xml:space="preserve">            Warstaves = "Cajados de Guerra",</v>
      </c>
      <c r="O102" s="19" t="e">
        <f>Warstaff!P4</f>
        <v>#N/A</v>
      </c>
      <c r="P102" s="11" t="e">
        <f>_xlfn.CONCAT("            Warstaves = """, O102, """,")</f>
        <v>#N/A</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str">
        <f>'Fishing Rod'!N4</f>
        <v>Varas de Pescar</v>
      </c>
      <c r="N103" s="11" t="str">
        <f>_xlfn.CONCAT("            FishingRods = """, M103, """,")</f>
        <v xml:space="preserve">            FishingRods = "Varas de Pescar",</v>
      </c>
      <c r="O103" s="19" t="e">
        <f>'Fishing Rod'!P4</f>
        <v>#N/A</v>
      </c>
      <c r="P103" s="11" t="e">
        <f>_xlfn.CONCAT("            FishingRods = """, O103, """,")</f>
        <v>#N/A</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str">
        <f>'Heist Gear'!N4</f>
        <v>Equipamento Heist</v>
      </c>
      <c r="N104" s="11" t="str">
        <f>_xlfn.CONCAT("            HeistGear = """, M104, """,")</f>
        <v xml:space="preserve">            HeistGear = "Equipamento Heist",</v>
      </c>
      <c r="O104" s="19" t="e">
        <f>'Heist Gear'!P4</f>
        <v>#N/A</v>
      </c>
      <c r="P104" s="11" t="e">
        <f>_xlfn.CONCAT("            HeistGear = """, O104, """,")</f>
        <v>#N/A</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str">
        <f>'Heist Brooch'!N4</f>
        <v>Broches Heist</v>
      </c>
      <c r="N105" s="11" t="str">
        <f>_xlfn.CONCAT("            HeistBrooch = """, M105, """,")</f>
        <v xml:space="preserve">            HeistBrooch = "Broches Heist",</v>
      </c>
      <c r="O105" s="19" t="e">
        <f>'Heist Brooch'!P4</f>
        <v>#N/A</v>
      </c>
      <c r="P105" s="11" t="e">
        <f>_xlfn.CONCAT("            HeistBrooch = """, O105, """,")</f>
        <v>#N/A</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str">
        <f>'Heist Target'!N4</f>
        <v>Alvos Heist</v>
      </c>
      <c r="N106" s="11" t="str">
        <f>_xlfn.CONCAT("            HeistTarget = """, M106, """,")</f>
        <v xml:space="preserve">            HeistTarget = "Alvos Heist",</v>
      </c>
      <c r="O106" s="19" t="e">
        <f>'Heist Target'!P4</f>
        <v>#N/A</v>
      </c>
      <c r="P106" s="11" t="e">
        <f>_xlfn.CONCAT("            HeistTarget = """, O106, """,")</f>
        <v>#N/A</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str">
        <f>'Heist Cloak'!N4</f>
        <v>Capas Heist</v>
      </c>
      <c r="N107" s="11" t="str">
        <f>_xlfn.CONCAT("            HeistCloak = """, M107, """,")</f>
        <v xml:space="preserve">            HeistCloak = "Capas Heist",</v>
      </c>
      <c r="O107" s="19" t="e">
        <f>'Heist Cloak'!P4</f>
        <v>#N/A</v>
      </c>
      <c r="P107" s="11" t="e">
        <f>_xlfn.CONCAT("            HeistCloak = """, O107, """,")</f>
        <v>#N/A</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str">
        <f>'Abyssal Jewel'!N4</f>
        <v>Joias Abissais</v>
      </c>
      <c r="N108" s="11" t="str">
        <f>_xlfn.CONCAT("            AbyssJewel = """, M108, """,")</f>
        <v xml:space="preserve">            AbyssJewel = "Joias Abissais",</v>
      </c>
      <c r="O108" s="19" t="e">
        <f>'Abyssal Jewel'!P4</f>
        <v>#N/A</v>
      </c>
      <c r="P108" s="11" t="e">
        <f>_xlfn.CONCAT("            AbyssJewel = """, O108, """,")</f>
        <v>#N/A</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str">
        <f>'Heist Trinket'!N4</f>
        <v>Adornos</v>
      </c>
      <c r="N109" s="11" t="str">
        <f>_xlfn.CONCAT("            Trinkets = """, M109, """,")</f>
        <v xml:space="preserve">            Trinkets = "Adornos",</v>
      </c>
      <c r="O109" s="19" t="e">
        <f>'Heist Trinket'!P4</f>
        <v>#N/A</v>
      </c>
      <c r="P109" s="11" t="e">
        <f>_xlfn.CONCAT("            Trinkets = """, O109, """,")</f>
        <v>#N/A</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str">
        <f>Logbook!N4</f>
        <v>Diários de Bordo Expedition</v>
      </c>
      <c r="N110" s="11" t="str">
        <f>_xlfn.CONCAT("            Logbooks = """, M110, """,")</f>
        <v xml:space="preserve">            Logbooks = "Diários de Bordo Expedition",</v>
      </c>
      <c r="O110" s="19" t="e">
        <f>Logbook!P4</f>
        <v>#N/A</v>
      </c>
      <c r="P110" s="11" t="e">
        <f>_xlfn.CONCAT("            Logbooks = """, O110, """,")</f>
        <v>#N/A</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str">
        <f>Memory!N4</f>
        <v>Memórias</v>
      </c>
      <c r="N111" s="11" t="str">
        <f>_xlfn.CONCAT("            MemoryLine = """, M111, """,")</f>
        <v xml:space="preserve">            MemoryLine = "Memórias",</v>
      </c>
      <c r="O111" s="19" t="e">
        <f>Memory!P4</f>
        <v>#N/A</v>
      </c>
      <c r="P111" s="11" t="e">
        <f>_xlfn.CONCAT("            MemoryLine = """, O111, """,")</f>
        <v>#N/A</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str">
        <f>Tome!L4</f>
        <v>성역 연구</v>
      </c>
      <c r="L112" s="11" t="str">
        <f>_xlfn.CONCAT("            SanctumResearch = """, K112, """,")</f>
        <v xml:space="preserve">            SanctumResearch = "성역 연구",</v>
      </c>
      <c r="M112" s="19" t="str">
        <f>Tome!N4</f>
        <v>Pesquisa Sanctum</v>
      </c>
      <c r="N112" s="11" t="str">
        <f>_xlfn.CONCAT("            SanctumResearch = """, M112, """,")</f>
        <v xml:space="preserve">            SanctumResearch = "Pesquisa Sanctum",</v>
      </c>
      <c r="O112" s="19" t="e">
        <f>Tome!P4</f>
        <v>#N/A</v>
      </c>
      <c r="P112" s="11" t="e">
        <f>_xlfn.CONCAT("            SanctumResearch = """, O112, """,")</f>
        <v>#N/A</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ontainsErrors" dxfId="340" priority="4" stopIfTrue="1">
      <formula>ISERROR(A2)</formula>
    </cfRule>
    <cfRule type="containsBlanks" dxfId="339" priority="5" stopIfTrue="1">
      <formula>LEN(TRIM(A2))=0</formula>
    </cfRule>
    <cfRule type="cellIs" dxfId="338" priority="9" stopIfTrue="1" operator="equal">
      <formula>"-"</formula>
    </cfRule>
    <cfRule type="cellIs" dxfId="337" priority="10" operator="between">
      <formula>"(Lowest value)"</formula>
      <formula>0</formula>
    </cfRule>
    <cfRule type="notContainsBlanks" dxfId="336" priority="16">
      <formula>LEN(TRIM(A2))&gt;0</formula>
    </cfRule>
  </conditionalFormatting>
  <conditionalFormatting sqref="B2:B115 D2:D115 F2:F115 H2:H115 J2:J115 L2:L115 N2:N115 P2:P115 R2:R115 T2:T115">
    <cfRule type="notContainsErrors" dxfId="335" priority="1" stopIfTrue="1">
      <formula>NOT(ISERROR(B2))</formula>
    </cfRule>
  </conditionalFormatting>
  <conditionalFormatting sqref="V2:V115">
    <cfRule type="cellIs" dxfId="334" priority="6" operator="equal">
      <formula>A2</formula>
    </cfRule>
    <cfRule type="cellIs" dxfId="33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M3" sqref="M3:M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c r="P4" s="16" t="e">
        <f>TRIM(_xlfn.TEXTAFTER(O3, ":"))</f>
        <v>#N/A</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t="s">
        <v>4525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c r="P6" s="16" t="e">
        <f>TRIM(_xlfn.TEXTAFTER(O4,":"))</f>
        <v>#N/A</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t="s">
        <v>4526</v>
      </c>
      <c r="N7" s="16" t="str">
        <f>TRIM(_xlfn.TEXTBEFORE(M5, " "))</f>
        <v>Anômalo</v>
      </c>
      <c r="O7" s="18"/>
      <c r="P7" s="16" t="e">
        <f>TRIM(_xlfn.TEXTBEFORE(O5, " "))</f>
        <v>#N/A</v>
      </c>
      <c r="Q7" s="18"/>
      <c r="R7" s="16" t="e">
        <f>TRIM(_xlfn.TEXTBEFORE(Q5, " "))</f>
        <v>#N/A</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c r="P8" s="16"/>
      <c r="Q8" s="18"/>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t="s">
        <v>4528</v>
      </c>
      <c r="N9" s="16"/>
      <c r="O9" s="18"/>
      <c r="P9" s="16"/>
      <c r="Q9" s="18"/>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t="s">
        <v>4529</v>
      </c>
      <c r="N10" s="16"/>
      <c r="O10" s="18"/>
      <c r="P10" s="16"/>
      <c r="Q10" s="18"/>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t="s">
        <v>4530</v>
      </c>
      <c r="N11" s="16"/>
      <c r="O11" s="18"/>
      <c r="P11" s="16"/>
      <c r="Q11" s="18"/>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t="s">
        <v>4531</v>
      </c>
      <c r="N12" s="16"/>
      <c r="O12" s="18"/>
      <c r="P12" s="16"/>
      <c r="Q12" s="18"/>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t="s">
        <v>4532</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c r="P15" s="16"/>
      <c r="Q15" s="18"/>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t="s">
        <v>4533</v>
      </c>
      <c r="N16" s="16"/>
      <c r="O16" s="18"/>
      <c r="P16" s="16"/>
      <c r="Q16" s="18"/>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t="s">
        <v>2339</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t="s">
        <v>4534</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t="s">
        <v>4535</v>
      </c>
      <c r="N21" s="16"/>
      <c r="O21" s="18"/>
      <c r="P21" s="16"/>
      <c r="Q21" s="18"/>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t="s">
        <v>4536</v>
      </c>
      <c r="N22" s="16"/>
      <c r="O22" s="18"/>
      <c r="P22" s="16"/>
      <c r="Q22" s="18"/>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t="s">
        <v>4537</v>
      </c>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t="s">
        <v>4538</v>
      </c>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c r="P26" s="16"/>
      <c r="Q26" s="18"/>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t="s">
        <v>4539</v>
      </c>
      <c r="N27" s="16" t="str">
        <f>M27</f>
        <v>Corrompido</v>
      </c>
      <c r="O27" s="18"/>
      <c r="P27" s="16">
        <f>O27</f>
        <v>0</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64" stopIfTrue="1">
      <formula>NOT(ISERROR(A3))</formula>
    </cfRule>
  </conditionalFormatting>
  <conditionalFormatting sqref="A3:T6 A7 C7 E7 G7 I7 K7 M7 O7 Q7 S7 A8:T25 A26:I26 K26:T26 A27 C27 E27 G27 I27 K27 M27 O27 Q27 S27 A28:T51">
    <cfRule type="notContainsBlanks" dxfId="328" priority="65">
      <formula>LEN(TRIM(A3))&gt;0</formula>
    </cfRule>
  </conditionalFormatting>
  <conditionalFormatting sqref="A3:T51">
    <cfRule type="containsErrors" dxfId="327" priority="1" stopIfTrue="1">
      <formula>ISERROR(A3)</formula>
    </cfRule>
  </conditionalFormatting>
  <conditionalFormatting sqref="B7">
    <cfRule type="notContainsBlanks" dxfId="326" priority="62">
      <formula>LEN(TRIM(B7))&gt;0</formula>
    </cfRule>
  </conditionalFormatting>
  <conditionalFormatting sqref="B27">
    <cfRule type="notContainsBlanks" dxfId="325" priority="60">
      <formula>LEN(TRIM(B27))&gt;0</formula>
    </cfRule>
  </conditionalFormatting>
  <conditionalFormatting sqref="D7">
    <cfRule type="notContainsBlanks" dxfId="324" priority="40">
      <formula>LEN(TRIM(D7))&gt;0</formula>
    </cfRule>
  </conditionalFormatting>
  <conditionalFormatting sqref="D27">
    <cfRule type="notContainsBlanks" dxfId="323" priority="20">
      <formula>LEN(TRIM(D27))&gt;0</formula>
    </cfRule>
  </conditionalFormatting>
  <conditionalFormatting sqref="F7">
    <cfRule type="notContainsBlanks" dxfId="322" priority="38">
      <formula>LEN(TRIM(F7))&gt;0</formula>
    </cfRule>
  </conditionalFormatting>
  <conditionalFormatting sqref="F27">
    <cfRule type="notContainsBlanks" dxfId="321" priority="18">
      <formula>LEN(TRIM(F27))&gt;0</formula>
    </cfRule>
  </conditionalFormatting>
  <conditionalFormatting sqref="H7">
    <cfRule type="notContainsBlanks" dxfId="320" priority="2">
      <formula>LEN(TRIM(H7))&gt;0</formula>
    </cfRule>
  </conditionalFormatting>
  <conditionalFormatting sqref="H27">
    <cfRule type="notContainsBlanks" dxfId="319" priority="16">
      <formula>LEN(TRIM(H27))&gt;0</formula>
    </cfRule>
  </conditionalFormatting>
  <conditionalFormatting sqref="J7">
    <cfRule type="notContainsBlanks" dxfId="318" priority="34">
      <formula>LEN(TRIM(J7))&gt;0</formula>
    </cfRule>
  </conditionalFormatting>
  <conditionalFormatting sqref="J26:J27">
    <cfRule type="notContainsBlanks" dxfId="317" priority="14">
      <formula>LEN(TRIM(J26))&gt;0</formula>
    </cfRule>
  </conditionalFormatting>
  <conditionalFormatting sqref="L7">
    <cfRule type="notContainsBlanks" dxfId="316" priority="32">
      <formula>LEN(TRIM(L7))&gt;0</formula>
    </cfRule>
  </conditionalFormatting>
  <conditionalFormatting sqref="L27">
    <cfRule type="notContainsBlanks" dxfId="315" priority="12">
      <formula>LEN(TRIM(L27))&gt;0</formula>
    </cfRule>
  </conditionalFormatting>
  <conditionalFormatting sqref="N7">
    <cfRule type="notContainsBlanks" dxfId="314" priority="30">
      <formula>LEN(TRIM(N7))&gt;0</formula>
    </cfRule>
  </conditionalFormatting>
  <conditionalFormatting sqref="N27">
    <cfRule type="notContainsBlanks" dxfId="313" priority="10">
      <formula>LEN(TRIM(N27))&gt;0</formula>
    </cfRule>
  </conditionalFormatting>
  <conditionalFormatting sqref="P7">
    <cfRule type="notContainsBlanks" dxfId="312" priority="28">
      <formula>LEN(TRIM(P7))&gt;0</formula>
    </cfRule>
  </conditionalFormatting>
  <conditionalFormatting sqref="P27">
    <cfRule type="notContainsBlanks" dxfId="311" priority="8">
      <formula>LEN(TRIM(P27))&gt;0</formula>
    </cfRule>
  </conditionalFormatting>
  <conditionalFormatting sqref="R7">
    <cfRule type="notContainsBlanks" dxfId="310" priority="26">
      <formula>LEN(TRIM(R7))&gt;0</formula>
    </cfRule>
  </conditionalFormatting>
  <conditionalFormatting sqref="R27">
    <cfRule type="notContainsBlanks" dxfId="309" priority="6">
      <formula>LEN(TRIM(R27))&gt;0</formula>
    </cfRule>
  </conditionalFormatting>
  <conditionalFormatting sqref="T7">
    <cfRule type="notContainsBlanks" dxfId="308" priority="22">
      <formula>LEN(TRIM(T7))&gt;0</formula>
    </cfRule>
  </conditionalFormatting>
  <conditionalFormatting sqref="T27">
    <cfRule type="notContainsBlanks" dxfId="30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M3" sqref="M3:M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t="s">
        <v>4540</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t="s">
        <v>4524</v>
      </c>
      <c r="N4" s="16" t="str">
        <f>TRIM(_xlfn.TEXTAFTER(M3, ":"))</f>
        <v>Gemas de Suporte</v>
      </c>
      <c r="O4" s="18"/>
      <c r="P4" s="16" t="e">
        <f>TRIM(_xlfn.TEXTAFTER(O3, ":"))</f>
        <v>#N/A</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t="s">
        <v>4541</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c r="P6" s="16" t="e">
        <f>TRIM(_xlfn.TEXTAFTER(O4,":"))</f>
        <v>#N/A</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t="s">
        <v>4542</v>
      </c>
      <c r="N7" s="16" t="str">
        <f>TRIM(_xlfn.TEXTBEFORE(M5, " "))</f>
        <v>Divergente</v>
      </c>
      <c r="O7" s="18"/>
      <c r="P7" s="16" t="e">
        <f>TRIM(_xlfn.TEXTBEFORE(O5, " "))</f>
        <v>#N/A</v>
      </c>
      <c r="Q7" s="18"/>
      <c r="R7" s="16" t="e">
        <f>TRIM(_xlfn.TEXTBEFORE(Q5, " "))</f>
        <v>#N/A</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c r="P8" s="16"/>
      <c r="Q8" s="18"/>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t="s">
        <v>4543</v>
      </c>
      <c r="N9" s="16"/>
      <c r="O9" s="18"/>
      <c r="P9" s="16"/>
      <c r="Q9" s="18"/>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t="s">
        <v>4532</v>
      </c>
      <c r="N10" s="16" t="str">
        <f>M10</f>
        <v>Qualidade Alternativa</v>
      </c>
      <c r="O10" s="18"/>
      <c r="P10" s="16">
        <f>O10</f>
        <v>0</v>
      </c>
      <c r="Q10" s="18"/>
      <c r="R10" s="16">
        <f>Q10</f>
        <v>0</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c r="P12" s="16"/>
      <c r="Q12" s="18"/>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t="s">
        <v>4533</v>
      </c>
      <c r="N13" s="16"/>
      <c r="O13" s="18"/>
      <c r="P13" s="16"/>
      <c r="Q13" s="18"/>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t="s">
        <v>919</v>
      </c>
      <c r="N14" s="16"/>
      <c r="O14" s="18"/>
      <c r="P14" s="16"/>
      <c r="Q14" s="18"/>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t="s">
        <v>604</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t="s">
        <v>4544</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t="s">
        <v>4545</v>
      </c>
      <c r="N19" s="16"/>
      <c r="O19" s="18"/>
      <c r="P19" s="16"/>
      <c r="Q19" s="18"/>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t="s">
        <v>4546</v>
      </c>
      <c r="N20" s="16"/>
      <c r="O20" s="18"/>
      <c r="P20" s="16"/>
      <c r="Q20" s="18"/>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t="s">
        <v>4547</v>
      </c>
      <c r="N21" s="16"/>
      <c r="O21" s="18"/>
      <c r="P21" s="16"/>
      <c r="Q21" s="18"/>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t="s">
        <v>4548</v>
      </c>
      <c r="N22" s="16"/>
      <c r="O22" s="18"/>
      <c r="P22" s="16"/>
      <c r="Q22" s="18"/>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t="s">
        <v>4549</v>
      </c>
      <c r="N23" s="16"/>
      <c r="O23" s="18"/>
      <c r="P23" s="16"/>
      <c r="Q23" s="18"/>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t="s">
        <v>4550</v>
      </c>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c r="P25" s="16"/>
      <c r="Q25" s="18"/>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t="s">
        <v>4551</v>
      </c>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8" stopIfTrue="1">
      <formula>NOT(ISERROR(A3))</formula>
    </cfRule>
  </conditionalFormatting>
  <conditionalFormatting sqref="A3:T6 A7 C7 E7 G7 I7 K7 M7 O7 Q7 S7 A8:T51">
    <cfRule type="notContainsBlanks" dxfId="305" priority="29">
      <formula>LEN(TRIM(A3))&gt;0</formula>
    </cfRule>
  </conditionalFormatting>
  <conditionalFormatting sqref="A3:T51">
    <cfRule type="containsErrors" dxfId="304" priority="1" stopIfTrue="1">
      <formula>ISERROR(A3)</formula>
    </cfRule>
  </conditionalFormatting>
  <conditionalFormatting sqref="B7">
    <cfRule type="notContainsBlanks" dxfId="303" priority="26">
      <formula>LEN(TRIM(B7))&gt;0</formula>
    </cfRule>
  </conditionalFormatting>
  <conditionalFormatting sqref="D7">
    <cfRule type="notContainsBlanks" dxfId="302" priority="2">
      <formula>LEN(TRIM(D7))&gt;0</formula>
    </cfRule>
  </conditionalFormatting>
  <conditionalFormatting sqref="F7">
    <cfRule type="notContainsBlanks" dxfId="301" priority="22">
      <formula>LEN(TRIM(F7))&gt;0</formula>
    </cfRule>
  </conditionalFormatting>
  <conditionalFormatting sqref="H7">
    <cfRule type="notContainsBlanks" dxfId="300" priority="6">
      <formula>LEN(TRIM(H7))&gt;0</formula>
    </cfRule>
  </conditionalFormatting>
  <conditionalFormatting sqref="J7">
    <cfRule type="notContainsBlanks" dxfId="299" priority="18">
      <formula>LEN(TRIM(J7))&gt;0</formula>
    </cfRule>
  </conditionalFormatting>
  <conditionalFormatting sqref="L7">
    <cfRule type="notContainsBlanks" dxfId="298" priority="16">
      <formula>LEN(TRIM(L7))&gt;0</formula>
    </cfRule>
  </conditionalFormatting>
  <conditionalFormatting sqref="N7">
    <cfRule type="notContainsBlanks" dxfId="297" priority="14">
      <formula>LEN(TRIM(N7))&gt;0</formula>
    </cfRule>
  </conditionalFormatting>
  <conditionalFormatting sqref="P7">
    <cfRule type="notContainsBlanks" dxfId="296" priority="12">
      <formula>LEN(TRIM(P7))&gt;0</formula>
    </cfRule>
  </conditionalFormatting>
  <conditionalFormatting sqref="R7">
    <cfRule type="notContainsBlanks" dxfId="295" priority="10">
      <formula>LEN(TRIM(R7))&gt;0</formula>
    </cfRule>
  </conditionalFormatting>
  <conditionalFormatting sqref="T7">
    <cfRule type="notContainsBlanks" dxfId="29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M3" sqref="M3:M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c r="P4" s="16" t="e">
        <f>TRIM(_xlfn.TEXTAFTER(O3, ":"))</f>
        <v>#N/A</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t="s">
        <v>4552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c r="P6" s="16" t="e">
        <f>TRIM(_xlfn.TEXTAFTER(O4,":"))</f>
        <v>#N/A</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t="s">
        <v>4553</v>
      </c>
      <c r="N7" s="16" t="str">
        <f>TRIM(_xlfn.TEXTBEFORE(M5, " "))</f>
        <v>Fantasmal</v>
      </c>
      <c r="O7" s="18"/>
      <c r="P7" s="16" t="e">
        <f>TRIM(_xlfn.TEXTBEFORE(O5, " "))</f>
        <v>#N/A</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t="s">
        <v>4554</v>
      </c>
      <c r="N8" s="16" t="str">
        <f>TRIM(_xlfn.TEXTBEFORE(M8,":"))</f>
        <v>Nível</v>
      </c>
      <c r="O8" s="18"/>
      <c r="P8" s="16" t="e">
        <f>TRIM(_xlfn.TEXTBEFORE(O8,":"))</f>
        <v>#N/A</v>
      </c>
      <c r="Q8" s="18"/>
      <c r="R8" s="16" t="e">
        <f>TRIM(_xlfn.TEXTBEFORE(Q8,":"))</f>
        <v>#N/A</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t="s">
        <v>4555</v>
      </c>
      <c r="N9" s="16"/>
      <c r="O9" s="18"/>
      <c r="P9" s="16"/>
      <c r="Q9" s="18"/>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t="s">
        <v>4556</v>
      </c>
      <c r="N10" s="16"/>
      <c r="O10" s="18"/>
      <c r="P10" s="16"/>
      <c r="Q10" s="18"/>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t="s">
        <v>4557</v>
      </c>
      <c r="N11" s="16"/>
      <c r="O11" s="18"/>
      <c r="P11" s="16"/>
      <c r="Q11" s="18"/>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t="s">
        <v>4558</v>
      </c>
      <c r="N12" s="16"/>
      <c r="O12" s="18"/>
      <c r="P12" s="16"/>
      <c r="Q12" s="18"/>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t="s">
        <v>4531</v>
      </c>
      <c r="N13" s="16"/>
      <c r="O13" s="18"/>
      <c r="P13" s="16"/>
      <c r="Q13" s="18"/>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t="s">
        <v>4532</v>
      </c>
      <c r="N14" s="16"/>
      <c r="O14" s="18"/>
      <c r="P14" s="16"/>
      <c r="Q14" s="18"/>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t="s">
        <v>2337</v>
      </c>
      <c r="N16" s="16"/>
      <c r="O16" s="18"/>
      <c r="P16" s="16"/>
      <c r="Q16" s="18"/>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t="s">
        <v>4559</v>
      </c>
      <c r="N17" s="16"/>
      <c r="O17" s="18"/>
      <c r="P17" s="16"/>
      <c r="Q17" s="18"/>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t="s">
        <v>894</v>
      </c>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t="s">
        <v>4560</v>
      </c>
      <c r="N20" s="16"/>
      <c r="O20" s="18"/>
      <c r="P20" s="16"/>
      <c r="Q20" s="18"/>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t="s">
        <v>4561</v>
      </c>
      <c r="N22" s="16"/>
      <c r="O22" s="18"/>
      <c r="P22" s="16"/>
      <c r="Q22" s="18"/>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t="s">
        <v>4562</v>
      </c>
      <c r="N23" s="16"/>
      <c r="O23" s="18"/>
      <c r="P23" s="16"/>
      <c r="Q23" s="18"/>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t="s">
        <v>4563</v>
      </c>
      <c r="N24" s="16"/>
      <c r="O24" s="18"/>
      <c r="P24" s="16"/>
      <c r="Q24" s="18"/>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t="s">
        <v>4564</v>
      </c>
      <c r="N25" s="16"/>
      <c r="O25" s="18"/>
      <c r="P25" s="16"/>
      <c r="Q25" s="18"/>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t="s">
        <v>4565</v>
      </c>
      <c r="N26" s="16"/>
      <c r="O26" s="18"/>
      <c r="P26" s="16"/>
      <c r="Q26" s="18"/>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t="s">
        <v>4566</v>
      </c>
      <c r="N28" s="16" t="str">
        <f>TRIM(_xlfn.TEXTBEFORE(M28,":"))</f>
        <v>Experiência</v>
      </c>
      <c r="O28" s="18"/>
      <c r="P28" s="16" t="e">
        <f>TRIM(_xlfn.TEXTBEFORE(O28,":"))</f>
        <v>#N/A</v>
      </c>
      <c r="Q28" s="18"/>
      <c r="R28" s="16" t="e">
        <f>TRIM(_xlfn.TEXTBEFORE(Q28,":"))</f>
        <v>#N/A</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c r="P29" s="16"/>
      <c r="Q29" s="18"/>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t="s">
        <v>4538</v>
      </c>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84" stopIfTrue="1">
      <formula>NOT(ISERROR(A3))</formula>
    </cfRule>
  </conditionalFormatting>
  <conditionalFormatting sqref="A3:T6 A7:A8 C7:C8 E7:E29 G7:G29 I7:I29 K7:K29 M7:M29 O7:O29 Q7:Q29 S7:S29 A9:D27 A28:A29 C28:C29 A30:T51">
    <cfRule type="notContainsBlanks" dxfId="292" priority="85">
      <formula>LEN(TRIM(A3))&gt;0</formula>
    </cfRule>
  </conditionalFormatting>
  <conditionalFormatting sqref="A3:T51">
    <cfRule type="containsErrors" dxfId="291" priority="1" stopIfTrue="1">
      <formula>ISERROR(A3)</formula>
    </cfRule>
  </conditionalFormatting>
  <conditionalFormatting sqref="B7:B8">
    <cfRule type="notContainsBlanks" dxfId="290" priority="24">
      <formula>LEN(TRIM(B7))&gt;0</formula>
    </cfRule>
  </conditionalFormatting>
  <conditionalFormatting sqref="B28:B29">
    <cfRule type="notContainsBlanks" dxfId="289" priority="82">
      <formula>LEN(TRIM(B28))&gt;0</formula>
    </cfRule>
  </conditionalFormatting>
  <conditionalFormatting sqref="D7:D8">
    <cfRule type="notContainsBlanks" dxfId="288" priority="22">
      <formula>LEN(TRIM(D7))&gt;0</formula>
    </cfRule>
  </conditionalFormatting>
  <conditionalFormatting sqref="D28:D29">
    <cfRule type="notContainsBlanks" dxfId="287" priority="42">
      <formula>LEN(TRIM(D28))&gt;0</formula>
    </cfRule>
  </conditionalFormatting>
  <conditionalFormatting sqref="F7:F29">
    <cfRule type="notContainsBlanks" dxfId="286" priority="20">
      <formula>LEN(TRIM(F7))&gt;0</formula>
    </cfRule>
  </conditionalFormatting>
  <conditionalFormatting sqref="H7:H29">
    <cfRule type="notContainsBlanks" dxfId="285" priority="4">
      <formula>LEN(TRIM(H7))&gt;0</formula>
    </cfRule>
  </conditionalFormatting>
  <conditionalFormatting sqref="J7:J29">
    <cfRule type="notContainsBlanks" dxfId="284" priority="2">
      <formula>LEN(TRIM(J7))&gt;0</formula>
    </cfRule>
  </conditionalFormatting>
  <conditionalFormatting sqref="L7:L29">
    <cfRule type="notContainsBlanks" dxfId="283" priority="14">
      <formula>LEN(TRIM(L7))&gt;0</formula>
    </cfRule>
  </conditionalFormatting>
  <conditionalFormatting sqref="N7:N29">
    <cfRule type="notContainsBlanks" dxfId="282" priority="12">
      <formula>LEN(TRIM(N7))&gt;0</formula>
    </cfRule>
  </conditionalFormatting>
  <conditionalFormatting sqref="P7:P29">
    <cfRule type="notContainsBlanks" dxfId="281" priority="10">
      <formula>LEN(TRIM(P7))&gt;0</formula>
    </cfRule>
  </conditionalFormatting>
  <conditionalFormatting sqref="R7:R29">
    <cfRule type="notContainsBlanks" dxfId="280" priority="8">
      <formula>LEN(TRIM(R7))&gt;0</formula>
    </cfRule>
  </conditionalFormatting>
  <conditionalFormatting sqref="T7:T29">
    <cfRule type="notContainsBlanks" dxfId="27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M3" sqref="M3:M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t="s">
        <v>4567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t="s">
        <v>4568</v>
      </c>
      <c r="N4" s="16" t="str">
        <f>TRIM(_xlfn.TEXTAFTER(M3, ":"))</f>
        <v>Moedas Empilháveis</v>
      </c>
      <c r="O4" s="18"/>
      <c r="P4" s="16" t="e">
        <f>TRIM(_xlfn.TEXTAFTER(O3, ":"))</f>
        <v>#N/A</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t="s">
        <v>4569</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c r="P6" s="16" t="e">
        <f>TRIM(_xlfn.TEXTAFTER(O4,":"))</f>
        <v>#N/A</v>
      </c>
      <c r="Q6" s="18"/>
      <c r="R6" s="16" t="e">
        <f>TRIM(_xlfn.TEXTAFTER(Q4,":"))</f>
        <v>#N/A</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t="s">
        <v>4570</v>
      </c>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t="s">
        <v>4571</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t="s">
        <v>4572</v>
      </c>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M3" sqref="M3:M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t="s">
        <v>4573</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t="s">
        <v>4568</v>
      </c>
      <c r="N4" s="16" t="str">
        <f>TRIM(_xlfn.TEXTAFTER(M3, ":"))</f>
        <v>Item Monetário Aglomerável e Encaixável Delve</v>
      </c>
      <c r="O4" s="18"/>
      <c r="P4" s="16" t="e">
        <f>TRIM(_xlfn.TEXTAFTER(O3, ":"))</f>
        <v>#N/A</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t="s">
        <v>4574</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c r="P6" s="16" t="e">
        <f>TRIM(_xlfn.TEXTAFTER(O4,":"))</f>
        <v>#N/A</v>
      </c>
      <c r="Q6" s="18"/>
      <c r="R6" s="16" t="e">
        <f>TRIM(_xlfn.TEXTAFTER(Q4,":"))</f>
        <v>#N/A</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c r="P7" s="16"/>
      <c r="Q7" s="18"/>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t="s">
        <v>4576</v>
      </c>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t="s">
        <v>4577</v>
      </c>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t="s">
        <v>4578</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t="s">
        <v>4579</v>
      </c>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M3" sqref="M3:M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t="s">
        <v>4580</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t="s">
        <v>4581</v>
      </c>
      <c r="N4" s="16" t="str">
        <f>TRIM(_xlfn.TEXTAFTER(M3, ":"))</f>
        <v>Cartas de Adivinhação</v>
      </c>
      <c r="O4" s="18"/>
      <c r="P4" s="16" t="e">
        <f>TRIM(_xlfn.TEXTAFTER(O3, ":"))</f>
        <v>#N/A</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t="s">
        <v>4582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c r="P6" s="16" t="e">
        <f>TRIM(_xlfn.TEXTAFTER(O4,":"))</f>
        <v>#N/A</v>
      </c>
      <c r="Q6" s="18"/>
      <c r="R6" s="16" t="e">
        <f>TRIM(_xlfn.TEXTAFTER(Q4,":"))</f>
        <v>#N/A</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t="s">
        <v>4583</v>
      </c>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t="s">
        <v>4584</v>
      </c>
      <c r="N9" s="16"/>
      <c r="O9" s="18"/>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M3" sqref="M3:M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t="s">
        <v>4585</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t="s">
        <v>4586</v>
      </c>
      <c r="N4" s="16" t="str">
        <f>TRIM(_xlfn.TEXTAFTER(M3, ":"))</f>
        <v>Amostras Metamorfas</v>
      </c>
      <c r="O4" s="18"/>
      <c r="P4" s="16" t="e">
        <f>TRIM(_xlfn.TEXTAFTER(O3, ":"))</f>
        <v>#N/A</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t="s">
        <v>4587</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t="s">
        <v>4588</v>
      </c>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t="s">
        <v>4590</v>
      </c>
      <c r="N11" s="16"/>
      <c r="O11" s="18"/>
      <c r="P11" s="16"/>
      <c r="Q11" s="18"/>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t="s">
        <v>4590</v>
      </c>
      <c r="N12" s="16"/>
      <c r="O12" s="18"/>
      <c r="P12" s="16"/>
      <c r="Q12" s="18"/>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t="s">
        <v>4591</v>
      </c>
      <c r="N13" s="16"/>
      <c r="O13" s="18"/>
      <c r="P13" s="16"/>
      <c r="Q13" s="18"/>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t="s">
        <v>4592</v>
      </c>
      <c r="N14" s="16"/>
      <c r="O14" s="18"/>
      <c r="P14" s="16"/>
      <c r="Q14" s="18"/>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t="s">
        <v>4591</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t="s">
        <v>4593</v>
      </c>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N11" sqref="N11"/>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c r="P4" s="16" t="e">
        <f>TRIM(_xlfn.TEXTAFTER(O3, ":"))</f>
        <v>#N/A</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t="s">
        <v>4596</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t="s">
        <v>4597</v>
      </c>
      <c r="N7" s="16" t="str">
        <f>TRIM(_xlfn.TEXTBEFORE(M7,":"))</f>
        <v>Tier do Mapa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c r="P9" s="16"/>
      <c r="Q9" s="18"/>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t="s">
        <v>4</v>
      </c>
      <c r="N10" s="16" t="str">
        <f>TRIM(_xlfn.TEXTAFTER(M5, " ", -1))</f>
        <v>Infestado</v>
      </c>
      <c r="O10" s="18"/>
      <c r="P10" s="16" t="e">
        <f>TRIM(_xlfn.TEXTBEFORE(O5, " "))</f>
        <v>#N/A</v>
      </c>
      <c r="Q10" s="18"/>
      <c r="R10" s="16" t="e">
        <f>TRIM(_xlfn.TEXTBEFORE(Q5, " "))</f>
        <v>#N/A</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t="s">
        <v>4598</v>
      </c>
      <c r="N11" s="16"/>
      <c r="O11" s="18"/>
      <c r="P11" s="16"/>
      <c r="Q11" s="18"/>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t="s">
        <v>4599</v>
      </c>
      <c r="N12" s="16"/>
      <c r="O12" s="18"/>
      <c r="P12" s="16"/>
      <c r="Q12" s="18"/>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t="s">
        <v>4600</v>
      </c>
      <c r="N13" s="16"/>
      <c r="O13" s="18"/>
      <c r="P13" s="16"/>
      <c r="Q13" s="18"/>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t="s">
        <v>4601</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t="s">
        <v>4602</v>
      </c>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98" stopIfTrue="1">
      <formula>NOT(ISERROR(A3))</formula>
    </cfRule>
  </conditionalFormatting>
  <conditionalFormatting sqref="A3:T6 A7:A9 C7:C9 E7:E9 G7:G9 I7:I9 K7:K9 M7:M9 O7:O9 Q7:Q9 S7:S9 A10:T51">
    <cfRule type="notContainsBlanks" dxfId="265" priority="99">
      <formula>LEN(TRIM(A3))&gt;0</formula>
    </cfRule>
  </conditionalFormatting>
  <conditionalFormatting sqref="A3:T51">
    <cfRule type="containsErrors" dxfId="264" priority="1" stopIfTrue="1">
      <formula>ISERROR(A3)</formula>
    </cfRule>
  </conditionalFormatting>
  <conditionalFormatting sqref="B7:B9">
    <cfRule type="notContainsBlanks" dxfId="263" priority="92">
      <formula>LEN(TRIM(B7))&gt;0</formula>
    </cfRule>
  </conditionalFormatting>
  <conditionalFormatting sqref="D7:D9">
    <cfRule type="notContainsBlanks" dxfId="262" priority="34">
      <formula>LEN(TRIM(D7))&gt;0</formula>
    </cfRule>
  </conditionalFormatting>
  <conditionalFormatting sqref="F7:F9">
    <cfRule type="notContainsBlanks" dxfId="261" priority="30">
      <formula>LEN(TRIM(F7))&gt;0</formula>
    </cfRule>
  </conditionalFormatting>
  <conditionalFormatting sqref="H7:H9">
    <cfRule type="notContainsBlanks" dxfId="260" priority="26">
      <formula>LEN(TRIM(H7))&gt;0</formula>
    </cfRule>
  </conditionalFormatting>
  <conditionalFormatting sqref="J7:J9">
    <cfRule type="notContainsBlanks" dxfId="259" priority="22">
      <formula>LEN(TRIM(J7))&gt;0</formula>
    </cfRule>
  </conditionalFormatting>
  <conditionalFormatting sqref="L7:L9">
    <cfRule type="notContainsBlanks" dxfId="258" priority="18">
      <formula>LEN(TRIM(L7))&gt;0</formula>
    </cfRule>
  </conditionalFormatting>
  <conditionalFormatting sqref="N7:N9">
    <cfRule type="notContainsBlanks" dxfId="257" priority="14">
      <formula>LEN(TRIM(N7))&gt;0</formula>
    </cfRule>
  </conditionalFormatting>
  <conditionalFormatting sqref="P7:P9">
    <cfRule type="notContainsBlanks" dxfId="256" priority="10">
      <formula>LEN(TRIM(P7))&gt;0</formula>
    </cfRule>
  </conditionalFormatting>
  <conditionalFormatting sqref="R7:R9">
    <cfRule type="notContainsBlanks" dxfId="255" priority="6">
      <formula>LEN(TRIM(R7))&gt;0</formula>
    </cfRule>
  </conditionalFormatting>
  <conditionalFormatting sqref="T7:T9">
    <cfRule type="notContainsBlanks" dxfId="25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N8" sqref="N8"/>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c r="P4" s="16" t="e">
        <f>TRIM(_xlfn.TEXTAFTER(O3, ":"))</f>
        <v>#N/A</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t="s">
        <v>4603</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t="s">
        <v>4604</v>
      </c>
      <c r="N7" s="16" t="str">
        <f>TRIM(_xlfn.TEXTAFTER(M5, " ", -1))</f>
        <v>Devastado</v>
      </c>
      <c r="O7" s="18"/>
      <c r="P7" s="16" t="e">
        <f>TRIM(_xlfn.TEXTBEFORE(O5, " "))</f>
        <v>#N/A</v>
      </c>
      <c r="Q7" s="18"/>
      <c r="R7" s="16" t="e">
        <f>TRIM(_xlfn.TEXTBEFORE(Q5, " "))</f>
        <v>#N/A</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t="s">
        <v>4606</v>
      </c>
      <c r="N11" s="16"/>
      <c r="O11" s="18"/>
      <c r="P11" s="16"/>
      <c r="Q11" s="18"/>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t="s">
        <v>4607</v>
      </c>
      <c r="N12" s="16"/>
      <c r="O12" s="18"/>
      <c r="P12" s="16"/>
      <c r="Q12" s="18"/>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t="s">
        <v>4608</v>
      </c>
      <c r="N13" s="16"/>
      <c r="O13" s="18"/>
      <c r="P13" s="16"/>
      <c r="Q13" s="18"/>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t="s">
        <v>4598</v>
      </c>
      <c r="N14" s="16"/>
      <c r="O14" s="18"/>
      <c r="P14" s="16"/>
      <c r="Q14" s="18"/>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t="s">
        <v>4609</v>
      </c>
      <c r="N15" s="16"/>
      <c r="O15" s="18"/>
      <c r="P15" s="16"/>
      <c r="Q15" s="18"/>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t="s">
        <v>4610</v>
      </c>
      <c r="N16" s="16"/>
      <c r="O16" s="18"/>
      <c r="P16" s="16"/>
      <c r="Q16" s="18"/>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t="s">
        <v>4601</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t="s">
        <v>4602</v>
      </c>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8" stopIfTrue="1">
      <formula>NOT(ISERROR(A3))</formula>
    </cfRule>
  </conditionalFormatting>
  <conditionalFormatting sqref="A3:T6 A7 C7 E7 G7 I7 K7 M7 O7 Q7 S7 A8:T51">
    <cfRule type="notContainsBlanks" dxfId="252" priority="29">
      <formula>LEN(TRIM(A3))&gt;0</formula>
    </cfRule>
  </conditionalFormatting>
  <conditionalFormatting sqref="A3:T51">
    <cfRule type="containsErrors" dxfId="251" priority="1" stopIfTrue="1">
      <formula>ISERROR(A3)</formula>
    </cfRule>
  </conditionalFormatting>
  <conditionalFormatting sqref="B7">
    <cfRule type="notContainsBlanks" dxfId="250" priority="26">
      <formula>LEN(TRIM(B7))&gt;0</formula>
    </cfRule>
  </conditionalFormatting>
  <conditionalFormatting sqref="D7">
    <cfRule type="notContainsBlanks" dxfId="249" priority="22">
      <formula>LEN(TRIM(D7))&gt;0</formula>
    </cfRule>
  </conditionalFormatting>
  <conditionalFormatting sqref="F7">
    <cfRule type="notContainsBlanks" dxfId="248" priority="2">
      <formula>LEN(TRIM(F7))&gt;0</formula>
    </cfRule>
  </conditionalFormatting>
  <conditionalFormatting sqref="H7">
    <cfRule type="notContainsBlanks" dxfId="247" priority="4">
      <formula>LEN(TRIM(H7))&gt;0</formula>
    </cfRule>
  </conditionalFormatting>
  <conditionalFormatting sqref="J7">
    <cfRule type="notContainsBlanks" dxfId="246" priority="16">
      <formula>LEN(TRIM(J7))&gt;0</formula>
    </cfRule>
  </conditionalFormatting>
  <conditionalFormatting sqref="L7">
    <cfRule type="notContainsBlanks" dxfId="245" priority="14">
      <formula>LEN(TRIM(L7))&gt;0</formula>
    </cfRule>
  </conditionalFormatting>
  <conditionalFormatting sqref="N7">
    <cfRule type="notContainsBlanks" dxfId="244" priority="12">
      <formula>LEN(TRIM(N7))&gt;0</formula>
    </cfRule>
  </conditionalFormatting>
  <conditionalFormatting sqref="P7">
    <cfRule type="notContainsBlanks" dxfId="243" priority="10">
      <formula>LEN(TRIM(P7))&gt;0</formula>
    </cfRule>
  </conditionalFormatting>
  <conditionalFormatting sqref="R7">
    <cfRule type="notContainsBlanks" dxfId="242" priority="8">
      <formula>LEN(TRIM(R7))&gt;0</formula>
    </cfRule>
  </conditionalFormatting>
  <conditionalFormatting sqref="T7">
    <cfRule type="notContainsBlanks" dxfId="24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M3" sqref="M3:M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t="s">
        <v>4611</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t="s">
        <v>4595</v>
      </c>
      <c r="N4" s="16" t="str">
        <f>TRIM(_xlfn.TEXTAFTER(M3, ":"))</f>
        <v>Plantas</v>
      </c>
      <c r="O4" s="18"/>
      <c r="P4" s="16" t="e">
        <f>TRIM(_xlfn.TEXTAFTER(O3, ":"))</f>
        <v>#N/A</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t="s">
        <v>4612</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t="s">
        <v>4613</v>
      </c>
      <c r="N7" s="16"/>
      <c r="O7" s="18"/>
      <c r="P7" s="16"/>
      <c r="Q7" s="18"/>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t="s">
        <v>4614</v>
      </c>
      <c r="N8" s="16"/>
      <c r="O8" s="18"/>
      <c r="P8" s="16"/>
      <c r="Q8" s="18"/>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t="s">
        <v>4615</v>
      </c>
      <c r="N9" s="16"/>
      <c r="O9" s="18"/>
      <c r="P9" s="16"/>
      <c r="Q9" s="18"/>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t="s">
        <v>4616</v>
      </c>
      <c r="N10" s="16"/>
      <c r="O10" s="18"/>
      <c r="P10" s="16"/>
      <c r="Q10" s="18"/>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t="s">
        <v>4617</v>
      </c>
      <c r="N11" s="16"/>
      <c r="O11" s="18"/>
      <c r="P11" s="16"/>
      <c r="Q11" s="18"/>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t="s">
        <v>4618</v>
      </c>
      <c r="N12" s="16"/>
      <c r="O12" s="18"/>
      <c r="P12" s="16"/>
      <c r="Q12" s="18"/>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t="s">
        <v>4619</v>
      </c>
      <c r="N13" s="16"/>
      <c r="O13" s="18"/>
      <c r="P13" s="16"/>
      <c r="Q13" s="18"/>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t="s">
        <v>4620</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t="s">
        <v>4621</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t="s">
        <v>4622</v>
      </c>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M3" sqref="M3:M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t="s">
        <v>4623</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t="s">
        <v>4624</v>
      </c>
      <c r="N4" s="16" t="str">
        <f>TRIM(_xlfn.TEXTAFTER(M3, ":"))</f>
        <v>Contratos</v>
      </c>
      <c r="O4" s="18"/>
      <c r="P4" s="16" t="e">
        <f>TRIM(_xlfn.TEXTAFTER(O3, ":"))</f>
        <v>#N/A</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t="s">
        <v>4625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c r="P6" s="16" t="e">
        <f>TRIM(_xlfn.TEXTAFTER(O4,":"))</f>
        <v>#N/A</v>
      </c>
      <c r="Q6" s="18"/>
      <c r="R6" s="16" t="e">
        <f>TRIM(_xlfn.TEXTAFTER(Q4,":"))</f>
        <v>#N/A</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t="s">
        <v>2431</v>
      </c>
      <c r="N7" s="16"/>
      <c r="O7" s="18"/>
      <c r="P7" s="16"/>
      <c r="Q7" s="18"/>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t="s">
        <v>4626</v>
      </c>
      <c r="N8" s="16"/>
      <c r="O8" s="18"/>
      <c r="P8" s="16"/>
      <c r="Q8" s="18"/>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t="s">
        <v>4627</v>
      </c>
      <c r="N9" s="16"/>
      <c r="O9" s="18"/>
      <c r="P9" s="16"/>
      <c r="Q9" s="18"/>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t="s">
        <v>4628</v>
      </c>
      <c r="N10" s="16"/>
      <c r="O10" s="18"/>
      <c r="P10" s="16"/>
      <c r="Q10" s="18"/>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t="s">
        <v>4629</v>
      </c>
      <c r="N11" s="16"/>
      <c r="O11" s="18"/>
      <c r="P11" s="16"/>
      <c r="Q11" s="18"/>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t="s">
        <v>4630</v>
      </c>
      <c r="N12" s="16"/>
      <c r="O12" s="18"/>
      <c r="P12" s="16"/>
      <c r="Q12" s="18"/>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t="s">
        <v>4631</v>
      </c>
      <c r="N13" s="16"/>
      <c r="O13" s="18"/>
      <c r="P13" s="16"/>
      <c r="Q13" s="18"/>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t="s">
        <v>4632</v>
      </c>
      <c r="N14" s="16"/>
      <c r="O14" s="18"/>
      <c r="P14" s="16"/>
      <c r="Q14" s="18"/>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t="s">
        <v>4633</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t="s">
        <v>4634</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t="s">
        <v>4635</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t="s">
        <v>4636</v>
      </c>
      <c r="N21" s="16"/>
      <c r="O21" s="18"/>
      <c r="P21" s="16"/>
      <c r="Q21" s="18"/>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t="s">
        <v>4</v>
      </c>
      <c r="N22" s="16"/>
      <c r="O22" s="18"/>
      <c r="P22" s="16"/>
      <c r="Q22" s="18"/>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t="s">
        <v>4637</v>
      </c>
      <c r="N23" s="16"/>
      <c r="O23" s="18"/>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M3" sqref="M3:M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t="s">
        <v>4595</v>
      </c>
      <c r="N4" s="16" t="str">
        <f>TRIM(_xlfn.TEXTAFTER(M3, ":"))</f>
        <v>Diários de Bordo Expedition</v>
      </c>
      <c r="O4" s="18"/>
      <c r="P4" s="16" t="e">
        <f>TRIM(_xlfn.TEXTAFTER(O3, ":"))</f>
        <v>#N/A</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t="s">
        <v>4640</v>
      </c>
      <c r="N7" s="16" t="str">
        <f>TRIM(_xlfn.TEXTBEFORE(M7,":"))</f>
        <v>Nível da Área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t="s">
        <v>4641</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t="s">
        <v>4642</v>
      </c>
      <c r="N11" s="16"/>
      <c r="O11" s="18"/>
      <c r="P11" s="16"/>
      <c r="Q11" s="18"/>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t="s">
        <v>4643</v>
      </c>
      <c r="N12" s="16"/>
      <c r="O12" s="18"/>
      <c r="P12" s="16"/>
      <c r="Q12" s="18"/>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t="s">
        <v>4644</v>
      </c>
      <c r="N13" s="16"/>
      <c r="O13" s="18"/>
      <c r="P13" s="16"/>
      <c r="Q13" s="18"/>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t="s">
        <v>4645</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t="s">
        <v>4646</v>
      </c>
      <c r="N16" s="16"/>
      <c r="O16" s="18"/>
      <c r="P16" s="16"/>
      <c r="Q16" s="18"/>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t="s">
        <v>4643</v>
      </c>
      <c r="N17" s="16"/>
      <c r="O17" s="18"/>
      <c r="P17" s="16"/>
      <c r="Q17" s="18"/>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t="s">
        <v>4647</v>
      </c>
      <c r="N18" s="16"/>
      <c r="O18" s="18"/>
      <c r="P18" s="16"/>
      <c r="Q18" s="18"/>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t="s">
        <v>4648</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t="s">
        <v>4649</v>
      </c>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2" stopIfTrue="1">
      <formula>NOT(ISERROR(A3))</formula>
    </cfRule>
  </conditionalFormatting>
  <conditionalFormatting sqref="A3:T6 A7 C7 E7 G7 I7 K7 M7 O7 Q7 S7 A8:T51">
    <cfRule type="notContainsBlanks" dxfId="233" priority="23">
      <formula>LEN(TRIM(A3))&gt;0</formula>
    </cfRule>
  </conditionalFormatting>
  <conditionalFormatting sqref="A3:T51">
    <cfRule type="containsErrors" dxfId="232" priority="1" stopIfTrue="1">
      <formula>ISERROR(A3)</formula>
    </cfRule>
  </conditionalFormatting>
  <conditionalFormatting sqref="B7">
    <cfRule type="notContainsBlanks" dxfId="231" priority="20">
      <formula>LEN(TRIM(B7))&gt;0</formula>
    </cfRule>
  </conditionalFormatting>
  <conditionalFormatting sqref="D7">
    <cfRule type="notContainsBlanks" dxfId="230" priority="18">
      <formula>LEN(TRIM(D7))&gt;0</formula>
    </cfRule>
  </conditionalFormatting>
  <conditionalFormatting sqref="F7">
    <cfRule type="notContainsBlanks" dxfId="229" priority="16">
      <formula>LEN(TRIM(F7))&gt;0</formula>
    </cfRule>
  </conditionalFormatting>
  <conditionalFormatting sqref="H7">
    <cfRule type="notContainsBlanks" dxfId="228" priority="14">
      <formula>LEN(TRIM(H7))&gt;0</formula>
    </cfRule>
  </conditionalFormatting>
  <conditionalFormatting sqref="J7">
    <cfRule type="notContainsBlanks" dxfId="227" priority="12">
      <formula>LEN(TRIM(J7))&gt;0</formula>
    </cfRule>
  </conditionalFormatting>
  <conditionalFormatting sqref="L7">
    <cfRule type="notContainsBlanks" dxfId="226" priority="10">
      <formula>LEN(TRIM(L7))&gt;0</formula>
    </cfRule>
  </conditionalFormatting>
  <conditionalFormatting sqref="N7">
    <cfRule type="notContainsBlanks" dxfId="225" priority="8">
      <formula>LEN(TRIM(N7))&gt;0</formula>
    </cfRule>
  </conditionalFormatting>
  <conditionalFormatting sqref="P7">
    <cfRule type="notContainsBlanks" dxfId="224" priority="6">
      <formula>LEN(TRIM(P7))&gt;0</formula>
    </cfRule>
  </conditionalFormatting>
  <conditionalFormatting sqref="R7">
    <cfRule type="notContainsBlanks" dxfId="223" priority="4">
      <formula>LEN(TRIM(R7))&gt;0</formula>
    </cfRule>
  </conditionalFormatting>
  <conditionalFormatting sqref="T7">
    <cfRule type="notContainsBlanks" dxfId="22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M3" sqref="M3:M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t="s">
        <v>4624</v>
      </c>
      <c r="N4" s="16" t="str">
        <f>TRIM(_xlfn.TEXTAFTER(M3, ":"))</f>
        <v>Mapas</v>
      </c>
      <c r="O4" s="18"/>
      <c r="P4" s="16" t="e">
        <f>TRIM(_xlfn.TEXTAFTER(O3, ":"))</f>
        <v>#N/A</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c r="P6" s="16" t="e">
        <f>TRIM(_xlfn.TEXTAFTER(O4,":"))</f>
        <v>#N/A</v>
      </c>
      <c r="Q6" s="18"/>
      <c r="R6" s="16" t="e">
        <f>TRIM(_xlfn.TEXTAFTER(Q4,":"))</f>
        <v>#N/A</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t="s">
        <v>4651</v>
      </c>
      <c r="N7" s="16"/>
      <c r="O7" s="18"/>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t="s">
        <v>4652</v>
      </c>
      <c r="N8" s="16" t="str">
        <f>TRIM(_xlfn.TEXTBEFORE(M8,":"))</f>
        <v>Quantidade de Itens</v>
      </c>
      <c r="O8" s="18"/>
      <c r="P8" s="16" t="e">
        <f>TRIM(_xlfn.TEXTBEFORE(O8,":"))</f>
        <v>#N/A</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t="s">
        <v>4653</v>
      </c>
      <c r="N9" s="16" t="str">
        <f>TRIM(_xlfn.TEXTBEFORE(M9,":"))</f>
        <v>Raridade de Itens</v>
      </c>
      <c r="O9" s="18"/>
      <c r="P9" s="16" t="e">
        <f>TRIM(_xlfn.TEXTBEFORE(O9,":"))</f>
        <v>#N/A</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t="s">
        <v>4654</v>
      </c>
      <c r="N10" s="16" t="str">
        <f>TRIM(_xlfn.TEXTBEFORE(M10,":"))</f>
        <v>Tamanho do Grupo de Monstros</v>
      </c>
      <c r="O10" s="18"/>
      <c r="P10" s="16" t="e">
        <f>TRIM(_xlfn.TEXTBEFORE(O10,":"))</f>
        <v>#N/A</v>
      </c>
      <c r="Q10" s="18"/>
      <c r="R10" s="16" t="e">
        <f>TRIM(_xlfn.TEXTBEFORE(Q10,":"))</f>
        <v>#N/A</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t="s">
        <v>4655</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t="s">
        <v>4656</v>
      </c>
      <c r="N14" s="16"/>
      <c r="O14" s="18"/>
      <c r="P14" s="16"/>
      <c r="Q14" s="18"/>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t="s">
        <v>4657</v>
      </c>
      <c r="N15" s="16"/>
      <c r="O15" s="18"/>
      <c r="P15" s="16"/>
      <c r="Q15" s="18"/>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t="s">
        <v>4658</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t="s">
        <v>4602</v>
      </c>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42" stopIfTrue="1">
      <formula>NOT(ISERROR(A3))</formula>
    </cfRule>
  </conditionalFormatting>
  <conditionalFormatting sqref="A3:T7 A8:A10 C8:C10 E8:E10 G8:G10 I8:I10 K8:K10 M8:M10 O8:O10 Q8:Q10 S8:S10 A11:T51">
    <cfRule type="notContainsBlanks" dxfId="220" priority="43">
      <formula>LEN(TRIM(A3))&gt;0</formula>
    </cfRule>
  </conditionalFormatting>
  <conditionalFormatting sqref="A3:T51">
    <cfRule type="containsErrors" dxfId="219" priority="1" stopIfTrue="1">
      <formula>ISERROR(A3)</formula>
    </cfRule>
  </conditionalFormatting>
  <conditionalFormatting sqref="B8:B10">
    <cfRule type="notContainsBlanks" dxfId="218" priority="38">
      <formula>LEN(TRIM(B8))&gt;0</formula>
    </cfRule>
  </conditionalFormatting>
  <conditionalFormatting sqref="D8:D10">
    <cfRule type="notContainsBlanks" dxfId="217" priority="34">
      <formula>LEN(TRIM(D8))&gt;0</formula>
    </cfRule>
  </conditionalFormatting>
  <conditionalFormatting sqref="F8:F10">
    <cfRule type="notContainsBlanks" dxfId="216" priority="30">
      <formula>LEN(TRIM(F8))&gt;0</formula>
    </cfRule>
  </conditionalFormatting>
  <conditionalFormatting sqref="H8:H10">
    <cfRule type="notContainsBlanks" dxfId="215" priority="26">
      <formula>LEN(TRIM(H8))&gt;0</formula>
    </cfRule>
  </conditionalFormatting>
  <conditionalFormatting sqref="J8:J10">
    <cfRule type="notContainsBlanks" dxfId="214" priority="22">
      <formula>LEN(TRIM(J8))&gt;0</formula>
    </cfRule>
  </conditionalFormatting>
  <conditionalFormatting sqref="L8:L10">
    <cfRule type="notContainsBlanks" dxfId="213" priority="18">
      <formula>LEN(TRIM(L8))&gt;0</formula>
    </cfRule>
  </conditionalFormatting>
  <conditionalFormatting sqref="N8:N10">
    <cfRule type="notContainsBlanks" dxfId="212" priority="14">
      <formula>LEN(TRIM(N8))&gt;0</formula>
    </cfRule>
  </conditionalFormatting>
  <conditionalFormatting sqref="P8:P10">
    <cfRule type="notContainsBlanks" dxfId="211" priority="10">
      <formula>LEN(TRIM(P8))&gt;0</formula>
    </cfRule>
  </conditionalFormatting>
  <conditionalFormatting sqref="R8:R10">
    <cfRule type="notContainsBlanks" dxfId="210" priority="6">
      <formula>LEN(TRIM(R8))&gt;0</formula>
    </cfRule>
  </conditionalFormatting>
  <conditionalFormatting sqref="T8:T10">
    <cfRule type="notContainsBlanks" dxfId="20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M3" sqref="M3:M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t="s">
        <v>4595</v>
      </c>
      <c r="N4" s="16" t="str">
        <f>TRIM(_xlfn.TEXTAFTER(M3, ":"))</f>
        <v>Fragmentos de Mapas</v>
      </c>
      <c r="O4" s="18"/>
      <c r="P4" s="16" t="e">
        <f>TRIM(_xlfn.TEXTAFTER(O3, ":"))</f>
        <v>#N/A</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t="s">
        <v>4661</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t="s">
        <v>4662</v>
      </c>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2" stopIfTrue="1">
      <formula>NOT(ISERROR(A3))</formula>
    </cfRule>
  </conditionalFormatting>
  <conditionalFormatting sqref="A3:T51">
    <cfRule type="containsErrors" dxfId="207" priority="1" stopIfTrue="1">
      <formula>ISERROR(A3)</formula>
    </cfRule>
    <cfRule type="notContainsBlanks" dxfId="20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M3" sqref="M3:M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t="s">
        <v>4624</v>
      </c>
      <c r="N4" s="16" t="str">
        <f>TRIM(_xlfn.TEXTAFTER(M3, ":"))</f>
        <v>Memórias</v>
      </c>
      <c r="O4" s="18"/>
      <c r="P4" s="16" t="e">
        <f>TRIM(_xlfn.TEXTAFTER(O3, ":"))</f>
        <v>#N/A</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c r="P6" s="16" t="e">
        <f>TRIM(_xlfn.TEXTAFTER(O4,":"))</f>
        <v>#N/A</v>
      </c>
      <c r="Q6" s="18"/>
      <c r="R6" s="16" t="e">
        <f>TRIM(_xlfn.TEXTAFTER(Q4,":"))</f>
        <v>#N/A</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t="s">
        <v>4655</v>
      </c>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t="s">
        <v>4665</v>
      </c>
      <c r="N9" s="16"/>
      <c r="O9" s="18"/>
      <c r="P9" s="16"/>
      <c r="Q9" s="18"/>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t="s">
        <v>4666</v>
      </c>
      <c r="N10" s="16"/>
      <c r="O10" s="18"/>
      <c r="P10" s="16"/>
      <c r="Q10" s="18"/>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t="s">
        <v>4667</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t="s">
        <v>4668</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t="s">
        <v>4669</v>
      </c>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5" priority="2" stopIfTrue="1">
      <formula>NOT(ISERROR(A3))</formula>
    </cfRule>
  </conditionalFormatting>
  <conditionalFormatting sqref="A3:T51">
    <cfRule type="containsErrors" dxfId="204" priority="1" stopIfTrue="1">
      <formula>ISERROR(A3)</formula>
    </cfRule>
    <cfRule type="notContainsBlanks" dxfId="20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t="s">
        <v>4670</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t="s">
        <v>4595</v>
      </c>
      <c r="N4" s="16" t="str">
        <f>TRIM(_xlfn.TEXTAFTER(M3, ":"))</f>
        <v>Itens Mapas Variados</v>
      </c>
      <c r="O4" s="18"/>
      <c r="P4" s="16" t="e">
        <f>TRIM(_xlfn.TEXTAFTER(O3, ":"))</f>
        <v>#N/A</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t="s">
        <v>4671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t="s">
        <v>4673</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t="s">
        <v>4674</v>
      </c>
      <c r="N11" s="16"/>
      <c r="O11" s="18"/>
      <c r="P11" s="16"/>
      <c r="Q11" s="18"/>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t="s">
        <v>4675</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t="s">
        <v>4676</v>
      </c>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2" priority="2" stopIfTrue="1">
      <formula>NOT(ISERROR(A3))</formula>
    </cfRule>
  </conditionalFormatting>
  <conditionalFormatting sqref="A3:T51">
    <cfRule type="containsErrors" dxfId="201" priority="1" stopIfTrue="1">
      <formula>ISERROR(A3)</formula>
    </cfRule>
    <cfRule type="notContainsBlanks" dxfId="20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election activeCell="M3" sqref="M3:M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t="s">
        <v>5185</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t="s">
        <v>4568</v>
      </c>
      <c r="N4" s="16" t="str">
        <f>TRIM(_xlfn.TEXTAFTER(M3, ":"))</f>
        <v>Pesquisa Sanctum</v>
      </c>
      <c r="O4" s="18"/>
      <c r="P4" s="16" t="e">
        <f>TRIM(_xlfn.TEXTAFTER(O3, ":"))</f>
        <v>#N/A</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t="s">
        <v>5186</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c r="P6" s="16" t="e">
        <f>TRIM(_xlfn.TEXTAFTER(O4,":"))</f>
        <v>#N/A</v>
      </c>
      <c r="Q6" s="18"/>
      <c r="R6" s="16" t="e">
        <f>TRIM(_xlfn.TEXTAFTER(Q4,":"))</f>
        <v>#N/A</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t="s">
        <v>5187</v>
      </c>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t="s">
        <v>870</v>
      </c>
      <c r="N11" s="16"/>
      <c r="O11" s="18"/>
      <c r="P11" s="16"/>
      <c r="Q11" s="18"/>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t="s">
        <v>871</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t="s">
        <v>5188</v>
      </c>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 stopIfTrue="1">
      <formula>NOT(ISERROR(A3))</formula>
    </cfRule>
  </conditionalFormatting>
  <conditionalFormatting sqref="A3:T51">
    <cfRule type="containsErrors" dxfId="198" priority="1" stopIfTrue="1">
      <formula>ISERROR(A3)</formula>
    </cfRule>
    <cfRule type="notContainsBlanks" dxfId="19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M3" sqref="M3:M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t="s">
        <v>4677</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t="s">
        <v>4595</v>
      </c>
      <c r="N4" s="16" t="str">
        <f>TRIM(_xlfn.TEXTAFTER(M3, ":"))</f>
        <v>Frascos Híbridos</v>
      </c>
      <c r="O4" s="18"/>
      <c r="P4" s="16" t="e">
        <f>TRIM(_xlfn.TEXTAFTER(O3, ":"))</f>
        <v>#N/A</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t="s">
        <v>4678</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t="s">
        <v>4679</v>
      </c>
      <c r="N7" s="16"/>
      <c r="O7" s="18"/>
      <c r="P7" s="16"/>
      <c r="Q7" s="18"/>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t="s">
        <v>4680</v>
      </c>
      <c r="N8" s="16"/>
      <c r="O8" s="18"/>
      <c r="P8" s="16"/>
      <c r="Q8" s="18"/>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t="s">
        <v>4681</v>
      </c>
      <c r="N9" s="16"/>
      <c r="O9" s="18"/>
      <c r="P9" s="16"/>
      <c r="Q9" s="18"/>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t="s">
        <v>4682</v>
      </c>
      <c r="N10" s="16"/>
      <c r="O10" s="18"/>
      <c r="P10" s="16"/>
      <c r="Q10" s="18"/>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t="s">
        <v>4683</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c r="P13" s="16"/>
      <c r="Q13" s="18"/>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t="s">
        <v>4684</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t="s">
        <v>4686</v>
      </c>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 stopIfTrue="1">
      <formula>NOT(ISERROR(A3))</formula>
    </cfRule>
  </conditionalFormatting>
  <conditionalFormatting sqref="A3:T51">
    <cfRule type="containsErrors" dxfId="195" priority="1" stopIfTrue="1">
      <formula>ISERROR(A3)</formula>
    </cfRule>
    <cfRule type="notContainsBlanks" dxfId="19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M3" sqref="M3:M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t="s">
        <v>4687</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t="s">
        <v>4595</v>
      </c>
      <c r="N4" s="16" t="str">
        <f>TRIM(_xlfn.TEXTAFTER(M3, ":"))</f>
        <v>Frascos de Mana</v>
      </c>
      <c r="O4" s="18"/>
      <c r="P4" s="16" t="e">
        <f>TRIM(_xlfn.TEXTAFTER(O3, ":"))</f>
        <v>#N/A</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t="s">
        <v>4688</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t="s">
        <v>4689</v>
      </c>
      <c r="N7" s="16"/>
      <c r="O7" s="18"/>
      <c r="P7" s="16"/>
      <c r="Q7" s="18"/>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t="s">
        <v>4690</v>
      </c>
      <c r="N8" s="16"/>
      <c r="O8" s="18"/>
      <c r="P8" s="16"/>
      <c r="Q8" s="18"/>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t="s">
        <v>4691</v>
      </c>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t="s">
        <v>4693</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3" priority="2" stopIfTrue="1">
      <formula>NOT(ISERROR(A3))</formula>
    </cfRule>
  </conditionalFormatting>
  <conditionalFormatting sqref="A3:T51">
    <cfRule type="containsErrors" dxfId="192" priority="1" stopIfTrue="1">
      <formula>ISERROR(A3)</formula>
    </cfRule>
    <cfRule type="notContainsBlanks" dxfId="19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N8" sqref="N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t="s">
        <v>4694</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t="s">
        <v>4595</v>
      </c>
      <c r="N4" s="16" t="str">
        <f>TRIM(_xlfn.TEXTAFTER(M3, ":"))</f>
        <v>Frascos de Vida</v>
      </c>
      <c r="O4" s="18"/>
      <c r="P4" s="16" t="e">
        <f>TRIM(_xlfn.TEXTAFTER(O3, ":"))</f>
        <v>#N/A</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t="s">
        <v>4695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c r="P6" s="16" t="e">
        <f>TRIM(_xlfn.TEXTAFTER(O4,":"))</f>
        <v>#N/A</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t="s">
        <v>4696</v>
      </c>
      <c r="N7" s="16" t="str">
        <f>TRIM(_xlfn.TEXTAFTER(M5, " ", -1))</f>
        <v>Superior</v>
      </c>
      <c r="O7" s="18"/>
      <c r="P7" s="16" t="e">
        <f>TRIM(_xlfn.TEXTBEFORE(O5, " "))</f>
        <v>#N/A</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t="s">
        <v>4697</v>
      </c>
      <c r="N8" s="16" t="str">
        <f>TRIM(_xlfn.TEXTBEFORE(M7, ":"))</f>
        <v>Qualidade</v>
      </c>
      <c r="O8" s="18"/>
      <c r="P8" s="16" t="e">
        <f>TRIM(_xlfn.TEXTBEFORE(O7, ":"))</f>
        <v>#N/A</v>
      </c>
      <c r="Q8" s="18"/>
      <c r="R8" s="16" t="e">
        <f>TRIM(_xlfn.TEXTBEFORE(Q7, ":"))</f>
        <v>#N/A</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t="s">
        <v>4698</v>
      </c>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t="s">
        <v>4699</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6" stopIfTrue="1">
      <formula>NOT(ISERROR(A3))</formula>
    </cfRule>
  </conditionalFormatting>
  <conditionalFormatting sqref="A3:T6 A7:A8 C7:C8 E7:E8 G7:G8 I7:I8 K7:K8 M7:M8 O7:O8 Q7:Q8 S7:S8 A9:T51">
    <cfRule type="notContainsBlanks" dxfId="189" priority="47">
      <formula>LEN(TRIM(A3))&gt;0</formula>
    </cfRule>
  </conditionalFormatting>
  <conditionalFormatting sqref="A3:T51">
    <cfRule type="containsErrors" dxfId="188" priority="1" stopIfTrue="1">
      <formula>ISERROR(A3)</formula>
    </cfRule>
  </conditionalFormatting>
  <conditionalFormatting sqref="B7:B8">
    <cfRule type="notContainsBlanks" dxfId="187" priority="44">
      <formula>LEN(TRIM(B7))&gt;0</formula>
    </cfRule>
  </conditionalFormatting>
  <conditionalFormatting sqref="D7:D8">
    <cfRule type="notContainsBlanks" dxfId="186" priority="24">
      <formula>LEN(TRIM(D7))&gt;0</formula>
    </cfRule>
  </conditionalFormatting>
  <conditionalFormatting sqref="F7:F8">
    <cfRule type="notContainsBlanks" dxfId="185" priority="2">
      <formula>LEN(TRIM(F7))&gt;0</formula>
    </cfRule>
  </conditionalFormatting>
  <conditionalFormatting sqref="H7:H8">
    <cfRule type="notContainsBlanks" dxfId="184" priority="6">
      <formula>LEN(TRIM(H7))&gt;0</formula>
    </cfRule>
  </conditionalFormatting>
  <conditionalFormatting sqref="J7:J8">
    <cfRule type="notContainsBlanks" dxfId="183" priority="18">
      <formula>LEN(TRIM(J7))&gt;0</formula>
    </cfRule>
  </conditionalFormatting>
  <conditionalFormatting sqref="L7:L8">
    <cfRule type="notContainsBlanks" dxfId="182" priority="16">
      <formula>LEN(TRIM(L7))&gt;0</formula>
    </cfRule>
  </conditionalFormatting>
  <conditionalFormatting sqref="N7:N8">
    <cfRule type="notContainsBlanks" dxfId="181" priority="14">
      <formula>LEN(TRIM(N7))&gt;0</formula>
    </cfRule>
  </conditionalFormatting>
  <conditionalFormatting sqref="P7:P8">
    <cfRule type="notContainsBlanks" dxfId="180" priority="12">
      <formula>LEN(TRIM(P7))&gt;0</formula>
    </cfRule>
  </conditionalFormatting>
  <conditionalFormatting sqref="R7:R8">
    <cfRule type="notContainsBlanks" dxfId="179" priority="10">
      <formula>LEN(TRIM(R7))&gt;0</formula>
    </cfRule>
  </conditionalFormatting>
  <conditionalFormatting sqref="T7:T8">
    <cfRule type="notContainsBlanks" dxfId="17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M3" sqref="M3:M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t="s">
        <v>4624</v>
      </c>
      <c r="N4" s="16" t="str">
        <f>TRIM(_xlfn.TEXTAFTER(M3, ":"))</f>
        <v>Frascos de Utilidade</v>
      </c>
      <c r="O4" s="18"/>
      <c r="P4" s="16" t="e">
        <f>TRIM(_xlfn.TEXTAFTER(O3, ":"))</f>
        <v>#N/A</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c r="P6" s="16" t="e">
        <f>TRIM(_xlfn.TEXTAFTER(O4,":"))</f>
        <v>#N/A</v>
      </c>
      <c r="Q6" s="18"/>
      <c r="R6" s="16" t="e">
        <f>TRIM(_xlfn.TEXTAFTER(Q4,":"))</f>
        <v>#N/A</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t="s">
        <v>4702</v>
      </c>
      <c r="N7" s="16"/>
      <c r="O7" s="18"/>
      <c r="P7" s="16"/>
      <c r="Q7" s="18"/>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t="s">
        <v>4703</v>
      </c>
      <c r="N8" s="16"/>
      <c r="O8" s="18"/>
      <c r="P8" s="16"/>
      <c r="Q8" s="18"/>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t="s">
        <v>4704</v>
      </c>
      <c r="N9" s="16"/>
      <c r="O9" s="18"/>
      <c r="P9" s="16"/>
      <c r="Q9" s="18"/>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c r="P10" s="16"/>
      <c r="Q10" s="18"/>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t="s">
        <v>4705</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c r="P13" s="16"/>
      <c r="Q13" s="18"/>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t="s">
        <v>4706</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t="s">
        <v>4707</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t="s">
        <v>4708</v>
      </c>
      <c r="N18" s="16"/>
      <c r="O18" s="18"/>
      <c r="P18" s="16"/>
      <c r="Q18" s="18"/>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t="s">
        <v>4709</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t="s">
        <v>4686</v>
      </c>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6 A7 C7 E7 G7 I7 K7 M7 O7 Q7 S7 A8: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7">
    <cfRule type="notContainsBlanks" dxfId="174" priority="20">
      <formula>LEN(TRIM(B7))&gt;0</formula>
    </cfRule>
  </conditionalFormatting>
  <conditionalFormatting sqref="D7">
    <cfRule type="notContainsBlanks" dxfId="173" priority="18">
      <formula>LEN(TRIM(D7))&gt;0</formula>
    </cfRule>
  </conditionalFormatting>
  <conditionalFormatting sqref="F7">
    <cfRule type="notContainsBlanks" dxfId="172" priority="16">
      <formula>LEN(TRIM(F7))&gt;0</formula>
    </cfRule>
  </conditionalFormatting>
  <conditionalFormatting sqref="H7">
    <cfRule type="notContainsBlanks" dxfId="171" priority="14">
      <formula>LEN(TRIM(H7))&gt;0</formula>
    </cfRule>
  </conditionalFormatting>
  <conditionalFormatting sqref="J7">
    <cfRule type="notContainsBlanks" dxfId="170" priority="12">
      <formula>LEN(TRIM(J7))&gt;0</formula>
    </cfRule>
  </conditionalFormatting>
  <conditionalFormatting sqref="L7">
    <cfRule type="notContainsBlanks" dxfId="169" priority="10">
      <formula>LEN(TRIM(L7))&gt;0</formula>
    </cfRule>
  </conditionalFormatting>
  <conditionalFormatting sqref="N7">
    <cfRule type="notContainsBlanks" dxfId="168" priority="8">
      <formula>LEN(TRIM(N7))&gt;0</formula>
    </cfRule>
  </conditionalFormatting>
  <conditionalFormatting sqref="P7">
    <cfRule type="notContainsBlanks" dxfId="167" priority="6">
      <formula>LEN(TRIM(P7))&gt;0</formula>
    </cfRule>
  </conditionalFormatting>
  <conditionalFormatting sqref="R7">
    <cfRule type="notContainsBlanks" dxfId="166" priority="4">
      <formula>LEN(TRIM(R7))&gt;0</formula>
    </cfRule>
  </conditionalFormatting>
  <conditionalFormatting sqref="T7">
    <cfRule type="notContainsBlanks" dxfId="16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M3" sqref="M3:M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t="s">
        <v>4586</v>
      </c>
      <c r="N4" s="16" t="str">
        <f>TRIM(_xlfn.TEXTAFTER(M3, ":"))</f>
        <v>Amuletos</v>
      </c>
      <c r="O4" s="18"/>
      <c r="P4" s="16" t="e">
        <f>TRIM(_xlfn.TEXTAFTER(O3, ":"))</f>
        <v>#N/A</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t="s">
        <v>4711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t="s">
        <v>4712</v>
      </c>
      <c r="N6" s="16" t="str">
        <f>TRIM(_xlfn.TEXTAFTER(M4,":"))</f>
        <v>Único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t="s">
        <v>4713</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t="s">
        <v>4714</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t="s">
        <v>4715</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t="s">
        <v>4716</v>
      </c>
      <c r="N15" s="16"/>
      <c r="O15" s="18"/>
      <c r="P15" s="16"/>
      <c r="Q15" s="18"/>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t="s">
        <v>4717</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t="s">
        <v>4718</v>
      </c>
      <c r="N18" s="16"/>
      <c r="O18" s="18"/>
      <c r="P18" s="16"/>
      <c r="Q18" s="18"/>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t="s">
        <v>4719</v>
      </c>
      <c r="N19" s="16"/>
      <c r="O19" s="18"/>
      <c r="P19" s="16"/>
      <c r="Q19" s="18"/>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t="s">
        <v>4720</v>
      </c>
      <c r="N20" s="16"/>
      <c r="O20" s="18"/>
      <c r="P20" s="16"/>
      <c r="Q20" s="18"/>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t="s">
        <v>4721</v>
      </c>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t="s">
        <v>4539</v>
      </c>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t="s">
        <v>4722</v>
      </c>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2" stopIfTrue="1">
      <formula>NOT(ISERROR(A3))</formula>
    </cfRule>
  </conditionalFormatting>
  <conditionalFormatting sqref="A3:T51">
    <cfRule type="containsErrors" dxfId="163" priority="1" stopIfTrue="1">
      <formula>ISERROR(A3)</formula>
    </cfRule>
    <cfRule type="notContainsBlanks" dxfId="16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M3" sqref="M3:M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t="s">
        <v>4586</v>
      </c>
      <c r="N4" s="16" t="str">
        <f>TRIM(_xlfn.TEXTAFTER(M3, ":"))</f>
        <v>Anéis</v>
      </c>
      <c r="O4" s="18"/>
      <c r="P4" s="16" t="e">
        <f>TRIM(_xlfn.TEXTAFTER(O3, ":"))</f>
        <v>#N/A</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t="s">
        <v>4724</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t="s">
        <v>4725</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t="s">
        <v>4726</v>
      </c>
      <c r="N11" s="16" t="str">
        <f>M11</f>
        <v>Não Identificado</v>
      </c>
      <c r="O11" s="18"/>
      <c r="P11" s="16">
        <f>O11</f>
        <v>0</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1" priority="2" stopIfTrue="1">
      <formula>NOT(ISERROR(A3))</formula>
    </cfRule>
  </conditionalFormatting>
  <conditionalFormatting sqref="A3:T51">
    <cfRule type="containsErrors" dxfId="160" priority="1" stopIfTrue="1">
      <formula>ISERROR(A3)</formula>
    </cfRule>
    <cfRule type="notContainsBlanks" dxfId="15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M3" sqref="M3:M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t="s">
        <v>4727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t="s">
        <v>4586</v>
      </c>
      <c r="N4" s="16" t="str">
        <f>TRIM(_xlfn.TEXTAFTER(M3, ":"))</f>
        <v>Elmos</v>
      </c>
      <c r="O4" s="18"/>
      <c r="P4" s="16" t="e">
        <f>TRIM(_xlfn.TEXTAFTER(O3, ":"))</f>
        <v>#N/A</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t="s">
        <v>472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t="s">
        <v>4728</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t="s">
        <v>2535</v>
      </c>
      <c r="N8" s="16" t="str">
        <f>TRIM(_xlfn.TEXTBEFORE(M8,":"))</f>
        <v>Armadura</v>
      </c>
      <c r="O8" s="18"/>
      <c r="P8" s="16" t="e">
        <f>TRIM(_xlfn.TEXTBEFORE(O8,":"))</f>
        <v>#N/A</v>
      </c>
      <c r="Q8" s="18"/>
      <c r="R8" s="16" t="e">
        <f>TRIM(_xlfn.TEXTBEFORE(Q8,":"))</f>
        <v>#N/A</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c r="P11" s="16"/>
      <c r="Q11" s="18"/>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t="s">
        <v>894</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t="s">
        <v>4730</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t="s">
        <v>4731</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t="s">
        <v>4732</v>
      </c>
      <c r="N18" s="16"/>
      <c r="O18" s="18"/>
      <c r="P18" s="16"/>
      <c r="Q18" s="18"/>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t="s">
        <v>4733</v>
      </c>
      <c r="N19" s="16"/>
      <c r="O19" s="18"/>
      <c r="P19" s="16"/>
      <c r="Q19" s="18"/>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t="s">
        <v>4734</v>
      </c>
      <c r="N20" s="16"/>
      <c r="O20" s="18"/>
      <c r="P20" s="16"/>
      <c r="Q20" s="18"/>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t="s">
        <v>4735</v>
      </c>
      <c r="N21" s="16"/>
      <c r="O21" s="18"/>
      <c r="P21" s="16"/>
      <c r="Q21" s="18"/>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t="s">
        <v>4736</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t="s">
        <v>4737</v>
      </c>
      <c r="N24" s="16"/>
      <c r="O24" s="18"/>
      <c r="P24" s="16"/>
      <c r="Q24" s="18"/>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t="s">
        <v>4738</v>
      </c>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2" stopIfTrue="1">
      <formula>NOT(ISERROR(A3))</formula>
    </cfRule>
  </conditionalFormatting>
  <conditionalFormatting sqref="A3:T7 A8 C8 E8 G8 I8 K8 M8 O8 Q8 S8 A9:T51">
    <cfRule type="notContainsBlanks" dxfId="157" priority="23">
      <formula>LEN(TRIM(A3))&gt;0</formula>
    </cfRule>
  </conditionalFormatting>
  <conditionalFormatting sqref="A3:T51">
    <cfRule type="containsErrors" dxfId="156" priority="1" stopIfTrue="1">
      <formula>ISERROR(A3)</formula>
    </cfRule>
  </conditionalFormatting>
  <conditionalFormatting sqref="B8">
    <cfRule type="notContainsBlanks" dxfId="155" priority="20">
      <formula>LEN(TRIM(B8))&gt;0</formula>
    </cfRule>
  </conditionalFormatting>
  <conditionalFormatting sqref="D8">
    <cfRule type="notContainsBlanks" dxfId="154" priority="18">
      <formula>LEN(TRIM(D8))&gt;0</formula>
    </cfRule>
  </conditionalFormatting>
  <conditionalFormatting sqref="F8">
    <cfRule type="notContainsBlanks" dxfId="153" priority="16">
      <formula>LEN(TRIM(F8))&gt;0</formula>
    </cfRule>
  </conditionalFormatting>
  <conditionalFormatting sqref="H8">
    <cfRule type="notContainsBlanks" dxfId="152" priority="14">
      <formula>LEN(TRIM(H8))&gt;0</formula>
    </cfRule>
  </conditionalFormatting>
  <conditionalFormatting sqref="J8">
    <cfRule type="notContainsBlanks" dxfId="151" priority="12">
      <formula>LEN(TRIM(J8))&gt;0</formula>
    </cfRule>
  </conditionalFormatting>
  <conditionalFormatting sqref="L8">
    <cfRule type="notContainsBlanks" dxfId="150" priority="10">
      <formula>LEN(TRIM(L8))&gt;0</formula>
    </cfRule>
  </conditionalFormatting>
  <conditionalFormatting sqref="N8">
    <cfRule type="notContainsBlanks" dxfId="149" priority="8">
      <formula>LEN(TRIM(N8))&gt;0</formula>
    </cfRule>
  </conditionalFormatting>
  <conditionalFormatting sqref="P8">
    <cfRule type="notContainsBlanks" dxfId="148" priority="6">
      <formula>LEN(TRIM(P8))&gt;0</formula>
    </cfRule>
  </conditionalFormatting>
  <conditionalFormatting sqref="R8">
    <cfRule type="notContainsBlanks" dxfId="147" priority="4">
      <formula>LEN(TRIM(R8))&gt;0</formula>
    </cfRule>
  </conditionalFormatting>
  <conditionalFormatting sqref="T8">
    <cfRule type="notContainsBlanks" dxfId="14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M3" sqref="M3:M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t="s">
        <v>4586</v>
      </c>
      <c r="N4" s="16" t="str">
        <f>TRIM(_xlfn.TEXTAFTER(M3, ":"))</f>
        <v>Peitorais</v>
      </c>
      <c r="O4" s="18"/>
      <c r="P4" s="16" t="e">
        <f>TRIM(_xlfn.TEXTAFTER(O3, ":"))</f>
        <v>#N/A</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t="s">
        <v>4740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t="s">
        <v>4741</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t="s">
        <v>4742</v>
      </c>
      <c r="N8" s="16" t="str">
        <f>TRIM(_xlfn.TEXTBEFORE(M8,":"))</f>
        <v>Evasão</v>
      </c>
      <c r="O8" s="18"/>
      <c r="P8" s="16" t="e">
        <f>TRIM(_xlfn.TEXTBEFORE(O8,":"))</f>
        <v>#N/A</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t="s">
        <v>4743</v>
      </c>
      <c r="N9" s="16" t="str">
        <f>TRIM(_xlfn.TEXTBEFORE(M9,":"))</f>
        <v>Escudo de Energia</v>
      </c>
      <c r="O9" s="18"/>
      <c r="P9" s="16" t="e">
        <f>TRIM(_xlfn.TEXTBEFORE(O9,":"))</f>
        <v>#N/A</v>
      </c>
      <c r="Q9" s="18"/>
      <c r="R9" s="16" t="e">
        <f>TRIM(_xlfn.TEXTBEFORE(Q9,":"))</f>
        <v>#N/A</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c r="P11" s="16"/>
      <c r="Q11" s="18"/>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t="s">
        <v>4559</v>
      </c>
      <c r="N12" s="16"/>
      <c r="O12" s="18"/>
      <c r="P12" s="16"/>
      <c r="Q12" s="18"/>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t="s">
        <v>2551</v>
      </c>
      <c r="N13" s="16"/>
      <c r="O13" s="18"/>
      <c r="P13" s="16"/>
      <c r="Q13" s="18"/>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t="s">
        <v>461</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t="s">
        <v>4744</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t="s">
        <v>4641</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t="s">
        <v>4745</v>
      </c>
      <c r="N20" s="16"/>
      <c r="O20" s="18"/>
      <c r="P20" s="16"/>
      <c r="Q20" s="18"/>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t="s">
        <v>4746</v>
      </c>
      <c r="N21" s="16"/>
      <c r="O21" s="18"/>
      <c r="P21" s="16"/>
      <c r="Q21" s="18"/>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t="s">
        <v>4747</v>
      </c>
      <c r="N22" s="16"/>
      <c r="O22" s="18"/>
      <c r="P22" s="16"/>
      <c r="Q22" s="18"/>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t="s">
        <v>4748</v>
      </c>
      <c r="N23" s="16"/>
      <c r="O23" s="18"/>
      <c r="P23" s="16"/>
      <c r="Q23" s="18"/>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t="s">
        <v>4749</v>
      </c>
      <c r="N24" s="16"/>
      <c r="O24" s="18"/>
      <c r="P24" s="16"/>
      <c r="Q24" s="18"/>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t="s">
        <v>4750</v>
      </c>
      <c r="N25" s="16"/>
      <c r="O25" s="18"/>
      <c r="P25" s="16"/>
      <c r="Q25" s="18"/>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c r="P26" s="16"/>
      <c r="Q26" s="18"/>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t="s">
        <v>4751</v>
      </c>
      <c r="N27" s="16"/>
      <c r="O27" s="18"/>
      <c r="P27" s="16"/>
      <c r="Q27" s="18"/>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t="e" cm="1">
        <f t="array" ref="M28">- Diário de Maligaro</f>
        <v>#NAME?</v>
      </c>
      <c r="N28" s="16"/>
      <c r="O28" s="18"/>
      <c r="P28" s="16"/>
      <c r="Q28" s="18"/>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42" stopIfTrue="1">
      <formula>NOT(ISERROR(A3))</formula>
    </cfRule>
  </conditionalFormatting>
  <conditionalFormatting sqref="A3:T7 A8:A9 C8:C9 E8:E9 G8:G9 I8:I9 K8:K9 M8:M9 O8:O9 Q8:Q9 S8:S9 A10:T51">
    <cfRule type="notContainsBlanks" dxfId="144" priority="43">
      <formula>LEN(TRIM(A3))&gt;0</formula>
    </cfRule>
  </conditionalFormatting>
  <conditionalFormatting sqref="A3:T51">
    <cfRule type="containsErrors" dxfId="143" priority="1" stopIfTrue="1">
      <formula>ISERROR(A3)</formula>
    </cfRule>
  </conditionalFormatting>
  <conditionalFormatting sqref="B8:B9">
    <cfRule type="notContainsBlanks" dxfId="142" priority="38">
      <formula>LEN(TRIM(B8))&gt;0</formula>
    </cfRule>
  </conditionalFormatting>
  <conditionalFormatting sqref="D8:D9">
    <cfRule type="notContainsBlanks" dxfId="141" priority="34">
      <formula>LEN(TRIM(D8))&gt;0</formula>
    </cfRule>
  </conditionalFormatting>
  <conditionalFormatting sqref="F8:F9">
    <cfRule type="notContainsBlanks" dxfId="140" priority="30">
      <formula>LEN(TRIM(F8))&gt;0</formula>
    </cfRule>
  </conditionalFormatting>
  <conditionalFormatting sqref="H8:H9">
    <cfRule type="notContainsBlanks" dxfId="139" priority="26">
      <formula>LEN(TRIM(H8))&gt;0</formula>
    </cfRule>
  </conditionalFormatting>
  <conditionalFormatting sqref="J8:J9">
    <cfRule type="notContainsBlanks" dxfId="138" priority="22">
      <formula>LEN(TRIM(J8))&gt;0</formula>
    </cfRule>
  </conditionalFormatting>
  <conditionalFormatting sqref="L8:L9">
    <cfRule type="notContainsBlanks" dxfId="137" priority="18">
      <formula>LEN(TRIM(L8))&gt;0</formula>
    </cfRule>
  </conditionalFormatting>
  <conditionalFormatting sqref="N8:N9">
    <cfRule type="notContainsBlanks" dxfId="136" priority="14">
      <formula>LEN(TRIM(N8))&gt;0</formula>
    </cfRule>
  </conditionalFormatting>
  <conditionalFormatting sqref="P8:P9">
    <cfRule type="notContainsBlanks" dxfId="135" priority="10">
      <formula>LEN(TRIM(P8))&gt;0</formula>
    </cfRule>
  </conditionalFormatting>
  <conditionalFormatting sqref="R8:R9">
    <cfRule type="notContainsBlanks" dxfId="134" priority="6">
      <formula>LEN(TRIM(R8))&gt;0</formula>
    </cfRule>
  </conditionalFormatting>
  <conditionalFormatting sqref="T8:T9">
    <cfRule type="notContainsBlanks" dxfId="13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M3" sqref="M3:M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t="s">
        <v>4586</v>
      </c>
      <c r="N4" s="16" t="str">
        <f>TRIM(_xlfn.TEXTAFTER(M3, ":"))</f>
        <v>Escudos</v>
      </c>
      <c r="O4" s="18"/>
      <c r="P4" s="16" t="e">
        <f>TRIM(_xlfn.TEXTAFTER(O3, ":"))</f>
        <v>#N/A</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t="s">
        <v>4753</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t="s">
        <v>4754</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t="s">
        <v>4755</v>
      </c>
      <c r="N8" s="16" t="str">
        <f>TRIM(_xlfn.TEXTBEFORE(M8,":"))</f>
        <v>Chance de Bloquear</v>
      </c>
      <c r="O8" s="18"/>
      <c r="P8" s="16" t="e">
        <f>TRIM(_xlfn.TEXTBEFORE(O8,":"))</f>
        <v>#N/A</v>
      </c>
      <c r="Q8" s="18"/>
      <c r="R8" s="16" t="e">
        <f>TRIM(_xlfn.TEXTBEFORE(Q8,":"))</f>
        <v>#N/A</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t="s">
        <v>4756</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c r="P11" s="16"/>
      <c r="Q11" s="18"/>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t="s">
        <v>4729</v>
      </c>
      <c r="N12" s="16"/>
      <c r="O12" s="18"/>
      <c r="P12" s="16"/>
      <c r="Q12" s="18"/>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t="s">
        <v>2565</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t="s">
        <v>4757</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t="s">
        <v>4672</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t="s">
        <v>4758</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t="s">
        <v>4759</v>
      </c>
      <c r="N21" s="16"/>
      <c r="O21" s="18"/>
      <c r="P21" s="16"/>
      <c r="Q21" s="18"/>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t="s">
        <v>4760</v>
      </c>
      <c r="N22" s="16"/>
      <c r="O22" s="18"/>
      <c r="P22" s="16"/>
      <c r="Q22" s="18"/>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t="s">
        <v>4761</v>
      </c>
      <c r="N23" s="16"/>
      <c r="O23" s="18"/>
      <c r="P23" s="16"/>
      <c r="Q23" s="18"/>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t="s">
        <v>4762</v>
      </c>
      <c r="N24" s="16"/>
      <c r="O24" s="18"/>
      <c r="P24" s="16"/>
      <c r="Q24" s="18"/>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t="s">
        <v>4763</v>
      </c>
      <c r="N25" s="16"/>
      <c r="O25" s="18"/>
      <c r="P25" s="16"/>
      <c r="Q25" s="18"/>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t="s">
        <v>4764</v>
      </c>
      <c r="N26" s="16"/>
      <c r="O26" s="18"/>
      <c r="P26" s="16"/>
      <c r="Q26" s="18"/>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c r="P27" s="16"/>
      <c r="Q27" s="18"/>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t="s">
        <v>4765</v>
      </c>
      <c r="N28" s="16"/>
      <c r="O28" s="18"/>
      <c r="P28" s="16"/>
      <c r="Q28" s="18"/>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t="s">
        <v>4766</v>
      </c>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2" stopIfTrue="1">
      <formula>NOT(ISERROR(A3))</formula>
    </cfRule>
  </conditionalFormatting>
  <conditionalFormatting sqref="A3:T7 A8 C8 E8 G8 I8 K8 M8 O8 Q8 S8 A9:T51">
    <cfRule type="notContainsBlanks" dxfId="131" priority="23">
      <formula>LEN(TRIM(A3))&gt;0</formula>
    </cfRule>
  </conditionalFormatting>
  <conditionalFormatting sqref="A3:T51">
    <cfRule type="containsErrors" dxfId="130" priority="1" stopIfTrue="1">
      <formula>ISERROR(A3)</formula>
    </cfRule>
  </conditionalFormatting>
  <conditionalFormatting sqref="B8">
    <cfRule type="notContainsBlanks" dxfId="129" priority="20">
      <formula>LEN(TRIM(B8))&gt;0</formula>
    </cfRule>
  </conditionalFormatting>
  <conditionalFormatting sqref="D8">
    <cfRule type="notContainsBlanks" dxfId="128" priority="18">
      <formula>LEN(TRIM(D8))&gt;0</formula>
    </cfRule>
  </conditionalFormatting>
  <conditionalFormatting sqref="F8">
    <cfRule type="notContainsBlanks" dxfId="127" priority="16">
      <formula>LEN(TRIM(F8))&gt;0</formula>
    </cfRule>
  </conditionalFormatting>
  <conditionalFormatting sqref="H8">
    <cfRule type="notContainsBlanks" dxfId="126" priority="14">
      <formula>LEN(TRIM(H8))&gt;0</formula>
    </cfRule>
  </conditionalFormatting>
  <conditionalFormatting sqref="J8">
    <cfRule type="notContainsBlanks" dxfId="125" priority="12">
      <formula>LEN(TRIM(J8))&gt;0</formula>
    </cfRule>
  </conditionalFormatting>
  <conditionalFormatting sqref="L8">
    <cfRule type="notContainsBlanks" dxfId="124" priority="10">
      <formula>LEN(TRIM(L8))&gt;0</formula>
    </cfRule>
  </conditionalFormatting>
  <conditionalFormatting sqref="N8">
    <cfRule type="notContainsBlanks" dxfId="123" priority="8">
      <formula>LEN(TRIM(N8))&gt;0</formula>
    </cfRule>
  </conditionalFormatting>
  <conditionalFormatting sqref="P8">
    <cfRule type="notContainsBlanks" dxfId="122" priority="6">
      <formula>LEN(TRIM(P8))&gt;0</formula>
    </cfRule>
  </conditionalFormatting>
  <conditionalFormatting sqref="R8">
    <cfRule type="notContainsBlanks" dxfId="121" priority="4">
      <formula>LEN(TRIM(R8))&gt;0</formula>
    </cfRule>
  </conditionalFormatting>
  <conditionalFormatting sqref="T8">
    <cfRule type="notContainsBlanks" dxfId="12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M3" sqref="M3:M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t="s">
        <v>4767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t="s">
        <v>4586</v>
      </c>
      <c r="N4" s="16" t="str">
        <f>TRIM(_xlfn.TEXTAFTER(M3, ":"))</f>
        <v>Adagas Rúnicas</v>
      </c>
      <c r="O4" s="18"/>
      <c r="P4" s="16" t="e">
        <f>TRIM(_xlfn.TEXTAFTER(O3, ":"))</f>
        <v>#N/A</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t="s">
        <v>4768</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t="s">
        <v>4769</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t="s">
        <v>4770</v>
      </c>
      <c r="N8" s="16"/>
      <c r="O8" s="18"/>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t="s">
        <v>4771</v>
      </c>
      <c r="N9" s="16" t="str">
        <f>TRIM(_xlfn.TEXTBEFORE(M9,":"))</f>
        <v>Dano Físico</v>
      </c>
      <c r="O9" s="18"/>
      <c r="P9" s="16" t="e">
        <f>TRIM(_xlfn.TEXTBEFORE(O9,":"))</f>
        <v>#N/A</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t="s">
        <v>4772</v>
      </c>
      <c r="N10" s="16" t="str">
        <f>TRIM(_xlfn.TEXTBEFORE(M10,":"))</f>
        <v>Dano Elemental</v>
      </c>
      <c r="O10" s="18"/>
      <c r="P10" s="16" t="e">
        <f>TRIM(_xlfn.TEXTBEFORE(O10,":"))</f>
        <v>#N/A</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t="s">
        <v>4773</v>
      </c>
      <c r="N11" s="16" t="str">
        <f>TRIM(_xlfn.TEXTBEFORE(M11,":"))</f>
        <v>Chance de Crítico</v>
      </c>
      <c r="O11" s="18"/>
      <c r="P11" s="16" t="e">
        <f>TRIM(_xlfn.TEXTBEFORE(O11,":"))</f>
        <v>#N/A</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t="s">
        <v>4774</v>
      </c>
      <c r="N12" s="16" t="str">
        <f>TRIM(_xlfn.TEXTBEFORE(M12,":"))</f>
        <v>Ataques por Segundo</v>
      </c>
      <c r="O12" s="18"/>
      <c r="P12" s="16" t="e">
        <f>TRIM(_xlfn.TEXTBEFORE(O12,":"))</f>
        <v>#N/A</v>
      </c>
      <c r="Q12" s="18"/>
      <c r="R12" s="16" t="e">
        <f>TRIM(_xlfn.TEXTBEFORE(Q12,":"))</f>
        <v>#N/A</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t="s">
        <v>4775</v>
      </c>
      <c r="N13" s="16"/>
      <c r="O13" s="18"/>
      <c r="P13" s="16"/>
      <c r="Q13" s="18"/>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t="s">
        <v>2337</v>
      </c>
      <c r="N15" s="16" t="str">
        <f>TRIM(_xlfn.TEXTBEFORE(M15,":"))</f>
        <v>Requisitos</v>
      </c>
      <c r="O15" s="18"/>
      <c r="P15" s="16" t="e">
        <f>TRIM(_xlfn.TEXTBEFORE(O15,":"))</f>
        <v>#N/A</v>
      </c>
      <c r="Q15" s="18"/>
      <c r="R15" s="16" t="e">
        <f>TRIM(_xlfn.TEXTBEFORE(Q15,":"))</f>
        <v>#N/A</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t="s">
        <v>4776</v>
      </c>
      <c r="N16" s="16"/>
      <c r="O16" s="18"/>
      <c r="P16" s="16"/>
      <c r="Q16" s="18"/>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t="s">
        <v>2586</v>
      </c>
      <c r="N17" s="16"/>
      <c r="O17" s="18"/>
      <c r="P17" s="16"/>
      <c r="Q17" s="18"/>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t="s">
        <v>159</v>
      </c>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t="s">
        <v>4777</v>
      </c>
      <c r="N20" s="16" t="str">
        <f>TRIM(_xlfn.TEXTBEFORE(M20,":"))</f>
        <v>Encaixes</v>
      </c>
      <c r="O20" s="18"/>
      <c r="P20" s="16" t="e">
        <f>TRIM(_xlfn.TEXTBEFORE(O20,":"))</f>
        <v>#N/A</v>
      </c>
      <c r="Q20" s="18"/>
      <c r="R20" s="16" t="e">
        <f>TRIM(_xlfn.TEXTBEFORE(Q20,":"))</f>
        <v>#N/A</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t="s">
        <v>4655</v>
      </c>
      <c r="N22" s="16" t="str">
        <f>TRIM(_xlfn.TEXTBEFORE(M22,":"))</f>
        <v>Nível do Item</v>
      </c>
      <c r="O22" s="18"/>
      <c r="P22" s="16" t="e">
        <f>TRIM(_xlfn.TEXTBEFORE(O22,":"))</f>
        <v>#N/A</v>
      </c>
      <c r="Q22" s="18"/>
      <c r="R22" s="16" t="e">
        <f>TRIM(_xlfn.TEXTBEFORE(Q22,":"))</f>
        <v>#N/A</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t="s">
        <v>4778</v>
      </c>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c r="P25" s="16"/>
      <c r="Q25" s="18"/>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t="s">
        <v>4779</v>
      </c>
      <c r="N26" s="16"/>
      <c r="O26" s="18"/>
      <c r="P26" s="16"/>
      <c r="Q26" s="18"/>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t="s">
        <v>4780</v>
      </c>
      <c r="N27" s="16"/>
      <c r="O27" s="18"/>
      <c r="P27" s="16"/>
      <c r="Q27" s="18"/>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t="s">
        <v>4781</v>
      </c>
      <c r="N28" s="16"/>
      <c r="O28" s="18"/>
      <c r="P28" s="16"/>
      <c r="Q28" s="18"/>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t="s">
        <v>4782</v>
      </c>
      <c r="N29" s="16"/>
      <c r="O29" s="18"/>
      <c r="P29" s="16"/>
      <c r="Q29" s="18"/>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t="s">
        <v>4783</v>
      </c>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c r="P31" s="16"/>
      <c r="Q31" s="18"/>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t="s">
        <v>4784</v>
      </c>
      <c r="N32" s="16"/>
      <c r="O32" s="18"/>
      <c r="P32" s="16"/>
      <c r="Q32" s="18"/>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t="s">
        <v>4785</v>
      </c>
      <c r="N33" s="16"/>
      <c r="O33" s="18"/>
      <c r="P33" s="16"/>
      <c r="Q33" s="18"/>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t="s">
        <v>4786</v>
      </c>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9" priority="62" stopIfTrue="1">
      <formula>NOT(ISERROR(A3))</formula>
    </cfRule>
  </conditionalFormatting>
  <conditionalFormatting sqref="A3:T12 A13:D14 E13:E23 G13:G23 I13:I23 K13:K23 M13:M23 O13:O23 Q13:Q23 S13:S23 A15 C15 A16:D19 A20 C20 A21:D21 A22 C22 A23:D23 A24:T51">
    <cfRule type="notContainsBlanks" dxfId="118" priority="63">
      <formula>LEN(TRIM(A3))&gt;0</formula>
    </cfRule>
  </conditionalFormatting>
  <conditionalFormatting sqref="A3:T51">
    <cfRule type="containsErrors" dxfId="117" priority="1" stopIfTrue="1">
      <formula>ISERROR(A3)</formula>
    </cfRule>
  </conditionalFormatting>
  <conditionalFormatting sqref="B15">
    <cfRule type="notContainsBlanks" dxfId="116" priority="58">
      <formula>LEN(TRIM(B15))&gt;0</formula>
    </cfRule>
  </conditionalFormatting>
  <conditionalFormatting sqref="B20">
    <cfRule type="notContainsBlanks" dxfId="115" priority="56">
      <formula>LEN(TRIM(B20))&gt;0</formula>
    </cfRule>
  </conditionalFormatting>
  <conditionalFormatting sqref="B22">
    <cfRule type="notContainsBlanks" dxfId="114" priority="60">
      <formula>LEN(TRIM(B22))&gt;0</formula>
    </cfRule>
  </conditionalFormatting>
  <conditionalFormatting sqref="D15">
    <cfRule type="notContainsBlanks" dxfId="113" priority="52">
      <formula>LEN(TRIM(D15))&gt;0</formula>
    </cfRule>
  </conditionalFormatting>
  <conditionalFormatting sqref="D20">
    <cfRule type="notContainsBlanks" dxfId="112" priority="50">
      <formula>LEN(TRIM(D20))&gt;0</formula>
    </cfRule>
  </conditionalFormatting>
  <conditionalFormatting sqref="D22">
    <cfRule type="notContainsBlanks" dxfId="111" priority="54">
      <formula>LEN(TRIM(D22))&gt;0</formula>
    </cfRule>
  </conditionalFormatting>
  <conditionalFormatting sqref="F13:F23">
    <cfRule type="notContainsBlanks" dxfId="110" priority="44">
      <formula>LEN(TRIM(F13))&gt;0</formula>
    </cfRule>
  </conditionalFormatting>
  <conditionalFormatting sqref="H13:H23">
    <cfRule type="notContainsBlanks" dxfId="109" priority="38">
      <formula>LEN(TRIM(H13))&gt;0</formula>
    </cfRule>
  </conditionalFormatting>
  <conditionalFormatting sqref="J13:J23">
    <cfRule type="notContainsBlanks" dxfId="108" priority="32">
      <formula>LEN(TRIM(J13))&gt;0</formula>
    </cfRule>
  </conditionalFormatting>
  <conditionalFormatting sqref="L13:L23">
    <cfRule type="notContainsBlanks" dxfId="107" priority="26">
      <formula>LEN(TRIM(L13))&gt;0</formula>
    </cfRule>
  </conditionalFormatting>
  <conditionalFormatting sqref="N13:N23">
    <cfRule type="notContainsBlanks" dxfId="106" priority="20">
      <formula>LEN(TRIM(N13))&gt;0</formula>
    </cfRule>
  </conditionalFormatting>
  <conditionalFormatting sqref="P13:P23">
    <cfRule type="notContainsBlanks" dxfId="105" priority="14">
      <formula>LEN(TRIM(P13))&gt;0</formula>
    </cfRule>
  </conditionalFormatting>
  <conditionalFormatting sqref="R13:R23">
    <cfRule type="notContainsBlanks" dxfId="104" priority="8">
      <formula>LEN(TRIM(R13))&gt;0</formula>
    </cfRule>
  </conditionalFormatting>
  <conditionalFormatting sqref="T13:T23">
    <cfRule type="notContainsBlanks" dxfId="103"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M3" sqref="M3:M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t="s">
        <v>4787</v>
      </c>
      <c r="N4" s="16" t="str">
        <f>TRIM(_xlfn.TEXTAFTER(M3, ":"))</f>
        <v>Amuletos</v>
      </c>
      <c r="O4" s="18"/>
      <c r="P4" s="16" t="e">
        <f>TRIM(_xlfn.TEXTAFTER(O3, ":"))</f>
        <v>#N/A</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t="s">
        <v>4788</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t="s">
        <v>4789</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t="s">
        <v>4790</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t="s">
        <v>4605</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t="s">
        <v>4791</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t="s">
        <v>4792</v>
      </c>
      <c r="N15" s="16"/>
      <c r="O15" s="18"/>
      <c r="P15" s="16"/>
      <c r="Q15" s="18"/>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t="s">
        <v>4793</v>
      </c>
      <c r="N16" s="16"/>
      <c r="O16" s="18"/>
      <c r="P16" s="16"/>
      <c r="Q16" s="18"/>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t="s">
        <v>4794</v>
      </c>
      <c r="N17" s="16"/>
      <c r="O17" s="18"/>
      <c r="P17" s="16"/>
      <c r="Q17" s="18"/>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t="s">
        <v>4795</v>
      </c>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t="s">
        <v>4796</v>
      </c>
      <c r="N20" s="16" t="str">
        <f>M20</f>
        <v>Item do Cruzado</v>
      </c>
      <c r="O20" s="18"/>
      <c r="P20" s="16">
        <f>O20</f>
        <v>0</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M27" sqref="M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c r="P4" s="16" t="e">
        <f>TRIM(_xlfn.TEXTAFTER(O3, ":"))</f>
        <v>#N/A</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t="s">
        <v>4798</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t="s">
        <v>4799</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t="s">
        <v>4800</v>
      </c>
      <c r="N8" s="16"/>
      <c r="O8" s="18"/>
      <c r="P8" s="16"/>
      <c r="Q8" s="18"/>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t="s">
        <v>4801</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c r="P11" s="16"/>
      <c r="Q11" s="18"/>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t="s">
        <v>4802</v>
      </c>
      <c r="N12" s="16"/>
      <c r="O12" s="18"/>
      <c r="P12" s="16"/>
      <c r="Q12" s="18"/>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t="s">
        <v>2613</v>
      </c>
      <c r="N13" s="16"/>
      <c r="O13" s="18"/>
      <c r="P13" s="16"/>
      <c r="Q13" s="18"/>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t="s">
        <v>831</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t="s">
        <v>4803</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t="s">
        <v>4804</v>
      </c>
      <c r="N20" s="16"/>
      <c r="O20" s="18"/>
      <c r="P20" s="16"/>
      <c r="Q20" s="18"/>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t="s">
        <v>4805</v>
      </c>
      <c r="N21" s="16"/>
      <c r="O21" s="18"/>
      <c r="P21" s="16"/>
      <c r="Q21" s="18"/>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t="s">
        <v>4806</v>
      </c>
      <c r="N22" s="16"/>
      <c r="O22" s="18"/>
      <c r="P22" s="16"/>
      <c r="Q22" s="18"/>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t="s">
        <v>4807</v>
      </c>
      <c r="N23" s="16"/>
      <c r="O23" s="18"/>
      <c r="P23" s="16"/>
      <c r="Q23" s="18"/>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t="s">
        <v>4808</v>
      </c>
      <c r="N24" s="16"/>
      <c r="O24" s="18"/>
      <c r="P24" s="16"/>
      <c r="Q24" s="18"/>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t="s">
        <v>4809</v>
      </c>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c r="P26" s="16"/>
      <c r="Q26" s="18"/>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t="s">
        <v>4810</v>
      </c>
      <c r="N27" s="16" t="str">
        <f>M27</f>
        <v>Item do Ancião</v>
      </c>
      <c r="O27" s="18"/>
      <c r="P27" s="16">
        <f>O27</f>
        <v>0</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M3" sqref="M3:M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c r="P4" s="16" t="e">
        <f>TRIM(_xlfn.TEXTAFTER(O3, ":"))</f>
        <v>#N/A</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t="s">
        <v>4811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t="s">
        <v>4812</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t="s">
        <v>4813</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t="s">
        <v>4802</v>
      </c>
      <c r="N11" s="16"/>
      <c r="O11" s="18"/>
      <c r="P11" s="16"/>
      <c r="Q11" s="18"/>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t="s">
        <v>2625</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t="s">
        <v>4814</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t="s">
        <v>4815</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t="s">
        <v>4816</v>
      </c>
      <c r="N18" s="16"/>
      <c r="O18" s="18"/>
      <c r="P18" s="16"/>
      <c r="Q18" s="18"/>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t="s">
        <v>4817</v>
      </c>
      <c r="N19" s="16"/>
      <c r="O19" s="18"/>
      <c r="P19" s="16"/>
      <c r="Q19" s="18"/>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t="s">
        <v>4818</v>
      </c>
      <c r="N20" s="16"/>
      <c r="O20" s="18"/>
      <c r="P20" s="16"/>
      <c r="Q20" s="18"/>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t="s">
        <v>4819</v>
      </c>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t="s">
        <v>4820</v>
      </c>
      <c r="N23" s="16" t="str">
        <f>M23</f>
        <v>Item do Caçador</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M3" sqref="M3:M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t="s">
        <v>4787</v>
      </c>
      <c r="N4" s="16" t="str">
        <f>TRIM(_xlfn.TEXTAFTER(M3, ":"))</f>
        <v>Anéis</v>
      </c>
      <c r="O4" s="18"/>
      <c r="P4" s="16" t="e">
        <f>TRIM(_xlfn.TEXTAFTER(O3, ":"))</f>
        <v>#N/A</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t="s">
        <v>4821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t="s">
        <v>4822</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t="s">
        <v>4823</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t="s">
        <v>4824</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t="s">
        <v>4825</v>
      </c>
      <c r="N15" s="16"/>
      <c r="O15" s="18"/>
      <c r="P15" s="16"/>
      <c r="Q15" s="18"/>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t="s">
        <v>4826</v>
      </c>
      <c r="N16" s="16"/>
      <c r="O16" s="18"/>
      <c r="P16" s="16"/>
      <c r="Q16" s="18"/>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t="s">
        <v>4827</v>
      </c>
      <c r="N17" s="16"/>
      <c r="O17" s="18"/>
      <c r="P17" s="16"/>
      <c r="Q17" s="18"/>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t="s">
        <v>4828</v>
      </c>
      <c r="N18" s="16"/>
      <c r="O18" s="18"/>
      <c r="P18" s="16"/>
      <c r="Q18" s="18"/>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t="s">
        <v>4829</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t="s">
        <v>4830</v>
      </c>
      <c r="N21" s="16" t="str">
        <f>M21</f>
        <v>Item do Redentor</v>
      </c>
      <c r="O21" s="18"/>
      <c r="P21" s="16">
        <f>O21</f>
        <v>0</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M3" sqref="M3:M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t="s">
        <v>4787</v>
      </c>
      <c r="N4" s="16" t="str">
        <f>TRIM(_xlfn.TEXTAFTER(M3, ":"))</f>
        <v>Escudos</v>
      </c>
      <c r="O4" s="18"/>
      <c r="P4" s="16" t="e">
        <f>TRIM(_xlfn.TEXTAFTER(O3, ":"))</f>
        <v>#N/A</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t="s">
        <v>4831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t="s">
        <v>4832</v>
      </c>
      <c r="N7" s="16"/>
      <c r="O7" s="18"/>
      <c r="P7" s="16"/>
      <c r="Q7" s="18"/>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t="s">
        <v>2645</v>
      </c>
      <c r="N8" s="16"/>
      <c r="O8" s="18"/>
      <c r="P8" s="16"/>
      <c r="Q8" s="18"/>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t="s">
        <v>4833</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c r="P11" s="16"/>
      <c r="Q11" s="18"/>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t="s">
        <v>1190</v>
      </c>
      <c r="N12" s="16"/>
      <c r="O12" s="18"/>
      <c r="P12" s="16"/>
      <c r="Q12" s="18"/>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t="s">
        <v>812</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t="s">
        <v>4834</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t="s">
        <v>4655</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t="s">
        <v>4835</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t="s">
        <v>4726</v>
      </c>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t="s">
        <v>4836</v>
      </c>
      <c r="N23" s="16" t="str">
        <f>M23</f>
        <v>Item do Criador</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M3" sqref="M3:M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t="s">
        <v>4624</v>
      </c>
      <c r="N4" s="16" t="str">
        <f>TRIM(_xlfn.TEXTAFTER(M3, ":"))</f>
        <v>Peitorais</v>
      </c>
      <c r="O4" s="18"/>
      <c r="P4" s="16" t="e">
        <f>TRIM(_xlfn.TEXTAFTER(O3, ":"))</f>
        <v>#N/A</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t="s">
        <v>4837</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c r="P6" s="16" t="e">
        <f>TRIM(_xlfn.TEXTAFTER(O4,":"))</f>
        <v>#N/A</v>
      </c>
      <c r="Q6" s="18"/>
      <c r="R6" s="16" t="e">
        <f>TRIM(_xlfn.TEXTAFTER(Q4,":"))</f>
        <v>#N/A</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t="s">
        <v>4838</v>
      </c>
      <c r="N7" s="16"/>
      <c r="O7" s="18"/>
      <c r="P7" s="16"/>
      <c r="Q7" s="18"/>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t="s">
        <v>2653</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t="s">
        <v>4559</v>
      </c>
      <c r="N11" s="16"/>
      <c r="O11" s="18"/>
      <c r="P11" s="16"/>
      <c r="Q11" s="18"/>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t="s">
        <v>1197</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t="s">
        <v>4839</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t="s">
        <v>4840</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t="s">
        <v>4835</v>
      </c>
      <c r="N18" s="16"/>
      <c r="O18" s="18"/>
      <c r="P18" s="16"/>
      <c r="Q18" s="18"/>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t="s">
        <v>4841</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t="s">
        <v>4842</v>
      </c>
      <c r="N21" s="16"/>
      <c r="O21" s="18"/>
      <c r="P21" s="16"/>
      <c r="Q21" s="18"/>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t="s">
        <v>4843</v>
      </c>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t="s">
        <v>4844</v>
      </c>
      <c r="N24" s="16" t="str">
        <f>M24</f>
        <v>Item do Senhor da Guerra</v>
      </c>
      <c r="O24" s="18"/>
      <c r="P24" s="16">
        <f>O24</f>
        <v>0</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M3" sqref="M3:M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t="s">
        <v>4845</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t="s">
        <v>4787</v>
      </c>
      <c r="N4" s="16" t="str">
        <f>TRIM(_xlfn.TEXTAFTER(M3, ":"))</f>
        <v>Joias Abissais</v>
      </c>
      <c r="O4" s="18"/>
      <c r="P4" s="16" t="e">
        <f>TRIM(_xlfn.TEXTAFTER(O3, ":"))</f>
        <v>#N/A</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t="s">
        <v>4846</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t="s">
        <v>4847</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t="s">
        <v>4848</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t="s">
        <v>4672</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t="s">
        <v>4849</v>
      </c>
      <c r="N15" s="16"/>
      <c r="O15" s="18"/>
      <c r="P15" s="16"/>
      <c r="Q15" s="18"/>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t="s">
        <v>4850</v>
      </c>
      <c r="N16" s="16"/>
      <c r="O16" s="18"/>
      <c r="P16" s="16"/>
      <c r="Q16" s="18"/>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t="s">
        <v>4851</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t="s">
        <v>4852</v>
      </c>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t="s">
        <v>4853</v>
      </c>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M3" sqref="M3:M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t="s">
        <v>4854</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t="s">
        <v>4586</v>
      </c>
      <c r="N4" s="16" t="str">
        <f>TRIM(_xlfn.TEXTAFTER(M3, ":"))</f>
        <v>Cintos</v>
      </c>
      <c r="O4" s="18"/>
      <c r="P4" s="16" t="e">
        <f>TRIM(_xlfn.TEXTAFTER(O3, ":"))</f>
        <v>#N/A</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t="s">
        <v>4855</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t="s">
        <v>4856</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t="s">
        <v>4857</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t="s">
        <v>4858</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t="s">
        <v>4859</v>
      </c>
      <c r="N15" s="16"/>
      <c r="O15" s="18"/>
      <c r="P15" s="16"/>
      <c r="Q15" s="18"/>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t="s">
        <v>4860</v>
      </c>
      <c r="N16" s="16"/>
      <c r="O16" s="18"/>
      <c r="P16" s="16"/>
      <c r="Q16" s="18"/>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t="s">
        <v>4861</v>
      </c>
      <c r="N17" s="16"/>
      <c r="O17" s="18"/>
      <c r="P17" s="16"/>
      <c r="Q17" s="18"/>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t="s">
        <v>4862</v>
      </c>
      <c r="N18" s="16"/>
      <c r="O18" s="18"/>
      <c r="P18" s="16"/>
      <c r="Q18" s="18"/>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t="s">
        <v>4863</v>
      </c>
      <c r="N19" s="16"/>
      <c r="O19" s="18"/>
      <c r="P19" s="16"/>
      <c r="Q19" s="18"/>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t="s">
        <v>4864</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t="s">
        <v>4865</v>
      </c>
      <c r="N22" s="16"/>
      <c r="O22" s="18"/>
      <c r="P22" s="16"/>
      <c r="Q22" s="18"/>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t="s">
        <v>4866</v>
      </c>
      <c r="N23" s="16"/>
      <c r="O23" s="18"/>
      <c r="P23" s="16"/>
      <c r="Q23" s="18"/>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t="s">
        <v>4867</v>
      </c>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1" stopIfTrue="1">
      <formula>NOT(ISERROR(A3))</formula>
    </cfRule>
  </conditionalFormatting>
  <conditionalFormatting sqref="A3:T51">
    <cfRule type="containsErrors" dxfId="80" priority="4" stopIfTrue="1">
      <formula>ISERROR(A3)</formula>
    </cfRule>
    <cfRule type="notContainsBlanks" dxfId="7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M3" sqref="M3:M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t="s">
        <v>4586</v>
      </c>
      <c r="N4" s="16" t="str">
        <f>TRIM(_xlfn.TEXTAFTER(M3, ":"))</f>
        <v>Botas</v>
      </c>
      <c r="O4" s="18"/>
      <c r="P4" s="16" t="e">
        <f>TRIM(_xlfn.TEXTAFTER(O3, ":"))</f>
        <v>#N/A</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t="s">
        <v>4868</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t="s">
        <v>4869</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t="s">
        <v>4870</v>
      </c>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t="s">
        <v>4871</v>
      </c>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c r="P11" s="16"/>
      <c r="Q11" s="18"/>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t="s">
        <v>4731</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t="s">
        <v>4872</v>
      </c>
      <c r="N14" s="16"/>
      <c r="O14" s="18"/>
      <c r="P14" s="16"/>
      <c r="Q14" s="18"/>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t="s">
        <v>4873</v>
      </c>
      <c r="N15" s="16"/>
      <c r="O15" s="18"/>
      <c r="P15" s="16"/>
      <c r="Q15" s="18"/>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t="s">
        <v>4874</v>
      </c>
      <c r="N16" s="16"/>
      <c r="O16" s="18"/>
      <c r="P16" s="16"/>
      <c r="Q16" s="18"/>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t="s">
        <v>4875</v>
      </c>
      <c r="N17" s="16"/>
      <c r="O17" s="18"/>
      <c r="P17" s="16"/>
      <c r="Q17" s="18"/>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t="s">
        <v>4876</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t="s">
        <v>4877</v>
      </c>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M3" sqref="M3:M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t="s">
        <v>4878</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t="s">
        <v>4586</v>
      </c>
      <c r="N4" s="16" t="str">
        <f>TRIM(_xlfn.TEXTAFTER(M3, ":"))</f>
        <v>Luvas</v>
      </c>
      <c r="O4" s="18"/>
      <c r="P4" s="16" t="e">
        <f>TRIM(_xlfn.TEXTAFTER(O3, ":"))</f>
        <v>#N/A</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t="s">
        <v>2695</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t="s">
        <v>4879</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t="s">
        <v>2697</v>
      </c>
      <c r="N8" s="16"/>
      <c r="O8" s="18"/>
      <c r="P8" s="16"/>
      <c r="Q8" s="18"/>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t="s">
        <v>4880</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c r="P11" s="16"/>
      <c r="Q11" s="18"/>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t="s">
        <v>4881</v>
      </c>
      <c r="N12" s="16"/>
      <c r="O12" s="18"/>
      <c r="P12" s="16"/>
      <c r="Q12" s="18"/>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t="s">
        <v>1235</v>
      </c>
      <c r="N13" s="16"/>
      <c r="O13" s="18"/>
      <c r="P13" s="16"/>
      <c r="Q13" s="18"/>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t="s">
        <v>2701</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t="s">
        <v>4882</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t="s">
        <v>4883</v>
      </c>
      <c r="N20" s="16"/>
      <c r="O20" s="18"/>
      <c r="P20" s="16"/>
      <c r="Q20" s="18"/>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t="s">
        <v>4884</v>
      </c>
      <c r="N21" s="16"/>
      <c r="O21" s="18"/>
      <c r="P21" s="16"/>
      <c r="Q21" s="18"/>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t="s">
        <v>4885</v>
      </c>
      <c r="N22" s="16"/>
      <c r="O22" s="18"/>
      <c r="P22" s="16"/>
      <c r="Q22" s="18"/>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t="s">
        <v>4886</v>
      </c>
      <c r="N23" s="16"/>
      <c r="O23" s="18"/>
      <c r="P23" s="16"/>
      <c r="Q23" s="18"/>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t="s">
        <v>4887</v>
      </c>
      <c r="N24" s="16"/>
      <c r="O24" s="18"/>
      <c r="P24" s="16"/>
      <c r="Q24" s="18"/>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t="s">
        <v>4888</v>
      </c>
      <c r="N25" s="16"/>
      <c r="O25" s="18"/>
      <c r="P25" s="16"/>
      <c r="Q25" s="18"/>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t="s">
        <v>4889</v>
      </c>
      <c r="N26" s="16"/>
      <c r="O26" s="18"/>
      <c r="P26" s="16"/>
      <c r="Q26" s="18"/>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t="s">
        <v>4</v>
      </c>
      <c r="N27" s="16"/>
      <c r="O27" s="18"/>
      <c r="P27" s="16"/>
      <c r="Q27" s="18"/>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t="s">
        <v>4890</v>
      </c>
      <c r="N28" s="16"/>
      <c r="O28" s="18"/>
      <c r="P28" s="16"/>
      <c r="Q28" s="18"/>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t="e">
        <f>- Coralito, Irmandade do Silêncio</f>
        <v>#NAME?</v>
      </c>
      <c r="N29" s="16"/>
      <c r="O29" s="18"/>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t="s">
        <v>4891</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t="s">
        <v>4586</v>
      </c>
      <c r="N4" s="16" t="str">
        <f>TRIM(_xlfn.TEXTAFTER(M3, ":"))</f>
        <v>Arcos</v>
      </c>
      <c r="O4" s="18"/>
      <c r="P4" s="16" t="e">
        <f>TRIM(_xlfn.TEXTAFTER(O3, ":"))</f>
        <v>#N/A</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t="s">
        <v>4892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t="s">
        <v>4893</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t="s">
        <v>2714</v>
      </c>
      <c r="N8" s="16"/>
      <c r="O8" s="18"/>
      <c r="P8" s="16"/>
      <c r="Q8" s="18"/>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t="s">
        <v>4894</v>
      </c>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c r="P10" s="16"/>
      <c r="Q10" s="18"/>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t="s">
        <v>4896</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c r="P13" s="16"/>
      <c r="Q13" s="18"/>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t="s">
        <v>4897</v>
      </c>
      <c r="N14" s="16"/>
      <c r="O14" s="18"/>
      <c r="P14" s="16"/>
      <c r="Q14" s="18"/>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t="s">
        <v>2719</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t="s">
        <v>4898</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t="s">
        <v>4899</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t="s">
        <v>4900</v>
      </c>
      <c r="N21" s="16"/>
      <c r="O21" s="18"/>
      <c r="P21" s="16"/>
      <c r="Q21" s="18"/>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t="s">
        <v>4901</v>
      </c>
      <c r="N22" s="16"/>
      <c r="O22" s="18"/>
      <c r="P22" s="16"/>
      <c r="Q22" s="18"/>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t="s">
        <v>4902</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t="s">
        <v>4903</v>
      </c>
      <c r="N25" s="16"/>
      <c r="O25" s="18"/>
      <c r="P25" s="16"/>
      <c r="Q25" s="18"/>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t="s">
        <v>4904</v>
      </c>
      <c r="N26" s="16"/>
      <c r="O26" s="18"/>
      <c r="P26" s="16"/>
      <c r="Q26" s="18"/>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t="s">
        <v>4905</v>
      </c>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M3" sqref="M3:M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t="s">
        <v>5189</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t="s">
        <v>4586</v>
      </c>
      <c r="N4" s="16" t="str">
        <f>TRIM(_xlfn.TEXTAFTER(M3, ":"))</f>
        <v>Garras</v>
      </c>
      <c r="O4" s="18"/>
      <c r="P4" s="16" t="e">
        <f>TRIM(_xlfn.TEXTAFTER(O3, ":"))</f>
        <v>#N/A</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t="s">
        <v>5190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t="s">
        <v>5191</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t="s">
        <v>2731</v>
      </c>
      <c r="N8" s="16"/>
      <c r="O8" s="18"/>
      <c r="P8" s="16"/>
      <c r="Q8" s="18"/>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t="s">
        <v>5192</v>
      </c>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t="s">
        <v>4559</v>
      </c>
      <c r="N15" s="16"/>
      <c r="O15" s="18"/>
      <c r="P15" s="16"/>
      <c r="Q15" s="18"/>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t="s">
        <v>2734</v>
      </c>
      <c r="N16" s="16"/>
      <c r="O16" s="18"/>
      <c r="P16" s="16"/>
      <c r="Q16" s="18"/>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t="s">
        <v>138</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t="s">
        <v>5193</v>
      </c>
      <c r="N19" s="16"/>
      <c r="O19" s="18"/>
      <c r="P19" s="16"/>
      <c r="Q19" s="18"/>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t="s">
        <v>4605</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t="s">
        <v>5194</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t="s">
        <v>5195</v>
      </c>
      <c r="N25" s="16"/>
      <c r="O25" s="18"/>
      <c r="P25" s="16"/>
      <c r="Q25" s="18"/>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t="s">
        <v>5196</v>
      </c>
      <c r="N26" s="16"/>
      <c r="O26" s="18"/>
      <c r="P26" s="16"/>
      <c r="Q26" s="18"/>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t="s">
        <v>5197</v>
      </c>
      <c r="N27" s="16"/>
      <c r="O27" s="18"/>
      <c r="P27" s="16"/>
      <c r="Q27" s="18"/>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t="s">
        <v>5198</v>
      </c>
      <c r="N28" s="16"/>
      <c r="O28" s="18"/>
      <c r="P28" s="16"/>
      <c r="Q28" s="18"/>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t="s">
        <v>5199</v>
      </c>
      <c r="N29" s="16"/>
      <c r="O29" s="18"/>
      <c r="P29" s="16"/>
      <c r="Q29" s="18"/>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t="s">
        <v>5200</v>
      </c>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c r="P31" s="16"/>
      <c r="Q31" s="18"/>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t="s">
        <v>5201</v>
      </c>
      <c r="N32" s="16"/>
      <c r="O32" s="18"/>
      <c r="P32" s="16"/>
      <c r="Q32" s="18"/>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t="e">
        <f>- Atalui, Sacerdotisa Vaal</f>
        <v>#NAME?</v>
      </c>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M3" sqref="M3:M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t="s">
        <v>4906</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t="s">
        <v>4586</v>
      </c>
      <c r="N4" s="16" t="str">
        <f>TRIM(_xlfn.TEXTAFTER(M3, ":"))</f>
        <v>Adagas</v>
      </c>
      <c r="O4" s="18"/>
      <c r="P4" s="16" t="e">
        <f>TRIM(_xlfn.TEXTAFTER(O3, ":"))</f>
        <v>#N/A</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t="s">
        <v>4907</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t="s">
        <v>4908</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t="s">
        <v>4909</v>
      </c>
      <c r="N8" s="16"/>
      <c r="O8" s="18"/>
      <c r="P8" s="16"/>
      <c r="Q8" s="18"/>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t="s">
        <v>4910</v>
      </c>
      <c r="N9" s="16"/>
      <c r="O9" s="18"/>
      <c r="P9" s="16"/>
      <c r="Q9" s="18"/>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t="s">
        <v>4911</v>
      </c>
      <c r="N10" s="16"/>
      <c r="O10" s="18"/>
      <c r="P10" s="16"/>
      <c r="Q10" s="18"/>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t="s">
        <v>4912</v>
      </c>
      <c r="N11" s="16"/>
      <c r="O11" s="18"/>
      <c r="P11" s="16"/>
      <c r="Q11" s="18"/>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t="s">
        <v>4775</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t="s">
        <v>4913</v>
      </c>
      <c r="N15" s="16"/>
      <c r="O15" s="18"/>
      <c r="P15" s="16"/>
      <c r="Q15" s="18"/>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t="s">
        <v>2752</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t="s">
        <v>4914</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t="s">
        <v>4655</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t="s">
        <v>4778</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t="s">
        <v>4915</v>
      </c>
      <c r="N24" s="16"/>
      <c r="O24" s="18"/>
      <c r="P24" s="16"/>
      <c r="Q24" s="18"/>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t="s">
        <v>4916</v>
      </c>
      <c r="N25" s="16"/>
      <c r="O25" s="18"/>
      <c r="P25" s="16"/>
      <c r="Q25" s="18"/>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t="s">
        <v>4917</v>
      </c>
      <c r="N26" s="16"/>
      <c r="O26" s="18"/>
      <c r="P26" s="16"/>
      <c r="Q26" s="18"/>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t="s">
        <v>4918</v>
      </c>
      <c r="N27" s="16"/>
      <c r="O27" s="18"/>
      <c r="P27" s="16"/>
      <c r="Q27" s="18"/>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t="s">
        <v>4919</v>
      </c>
      <c r="N28" s="16"/>
      <c r="O28" s="18"/>
      <c r="P28" s="16"/>
      <c r="Q28" s="18"/>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t="s">
        <v>4920</v>
      </c>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c r="P30" s="16"/>
      <c r="Q30" s="18"/>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t="s">
        <v>4921</v>
      </c>
      <c r="N31" s="16"/>
      <c r="O31" s="18"/>
      <c r="P31" s="16"/>
      <c r="Q31" s="18"/>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t="s">
        <v>4922</v>
      </c>
      <c r="N32" s="16"/>
      <c r="O32" s="18"/>
      <c r="P32" s="16"/>
      <c r="Q32" s="18"/>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t="s">
        <v>4923</v>
      </c>
      <c r="N33" s="16"/>
      <c r="O33" s="18"/>
      <c r="P33" s="16"/>
      <c r="Q33" s="18"/>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t="s">
        <v>4924</v>
      </c>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M3" sqref="M3:M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t="s">
        <v>4925</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t="s">
        <v>4586</v>
      </c>
      <c r="N4" s="16" t="str">
        <f>TRIM(_xlfn.TEXTAFTER(M3, ":"))</f>
        <v>Joias</v>
      </c>
      <c r="O4" s="18"/>
      <c r="P4" s="16" t="e">
        <f>TRIM(_xlfn.TEXTAFTER(O3, ":"))</f>
        <v>#N/A</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t="s">
        <v>2765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t="s">
        <v>4926</v>
      </c>
      <c r="N6" s="16" t="str">
        <f>TRIM(_xlfn.TEXTAFTER(M4,":"))</f>
        <v>Único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t="s">
        <v>4655</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t="s">
        <v>4927</v>
      </c>
      <c r="N10" s="16"/>
      <c r="O10" s="18"/>
      <c r="P10" s="16"/>
      <c r="Q10" s="18"/>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t="s">
        <v>4928</v>
      </c>
      <c r="N11" s="16"/>
      <c r="O11" s="18"/>
      <c r="P11" s="16"/>
      <c r="Q11" s="18"/>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t="s">
        <v>4929</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t="s">
        <v>4930</v>
      </c>
      <c r="N14" s="16"/>
      <c r="O14" s="18"/>
      <c r="P14" s="16"/>
      <c r="Q14" s="18"/>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t="e">
        <f>- Barkhul, o Açougueiro</f>
        <v>#NAME?</v>
      </c>
      <c r="N15" s="16"/>
      <c r="O15" s="18"/>
      <c r="P15" s="16"/>
      <c r="Q15" s="18"/>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t="s">
        <v>4</v>
      </c>
      <c r="N16" s="16"/>
      <c r="O16" s="18"/>
      <c r="P16" s="16"/>
      <c r="Q16" s="18"/>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t="s">
        <v>4931</v>
      </c>
      <c r="N17" s="16"/>
      <c r="O17" s="18"/>
      <c r="P17" s="16"/>
      <c r="Q17" s="18"/>
      <c r="R17" s="16"/>
      <c r="S17" s="18"/>
      <c r="T17" s="20"/>
    </row>
    <row r="18" spans="1:20" ht="15.95" customHeight="1" x14ac:dyDescent="0.25">
      <c r="A18" s="18"/>
      <c r="B18" s="16"/>
      <c r="C18" s="18"/>
      <c r="D18" s="16"/>
      <c r="E18" s="18"/>
      <c r="F18" s="16"/>
      <c r="G18" s="18" t="s">
        <v>4</v>
      </c>
      <c r="H18" s="16"/>
      <c r="I18" s="18" t="s">
        <v>4</v>
      </c>
      <c r="J18" s="16"/>
      <c r="K18" s="18"/>
      <c r="L18" s="16"/>
      <c r="M18" s="18"/>
      <c r="N18" s="16"/>
      <c r="O18" s="18"/>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M3" sqref="M3:M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t="s">
        <v>4932</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t="s">
        <v>4586</v>
      </c>
      <c r="N4" s="16" t="str">
        <f>TRIM(_xlfn.TEXTAFTER(M3, ":"))</f>
        <v>Aljavas</v>
      </c>
      <c r="O4" s="18"/>
      <c r="P4" s="16" t="e">
        <f>TRIM(_xlfn.TEXTAFTER(O3, ":"))</f>
        <v>#N/A</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t="s">
        <v>4933</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t="s">
        <v>4934</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t="s">
        <v>4935</v>
      </c>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t="s">
        <v>4936</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t="s">
        <v>4937</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t="s">
        <v>4938</v>
      </c>
      <c r="N15" s="16"/>
      <c r="O15" s="18"/>
      <c r="P15" s="16"/>
      <c r="Q15" s="18"/>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t="s">
        <v>4939</v>
      </c>
      <c r="N16" s="16"/>
      <c r="O16" s="18"/>
      <c r="P16" s="16"/>
      <c r="Q16" s="18"/>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t="s">
        <v>4940</v>
      </c>
      <c r="N17" s="16"/>
      <c r="O17" s="18"/>
      <c r="P17" s="16"/>
      <c r="Q17" s="18"/>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t="s">
        <v>4941</v>
      </c>
      <c r="N18" s="16"/>
      <c r="O18" s="18"/>
      <c r="P18" s="16"/>
      <c r="Q18" s="18"/>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t="s">
        <v>4942</v>
      </c>
      <c r="N19" s="16"/>
      <c r="O19" s="18"/>
      <c r="P19" s="16"/>
      <c r="Q19" s="18"/>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t="s">
        <v>4943</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t="s">
        <v>4944</v>
      </c>
      <c r="N22" s="16"/>
      <c r="O22" s="18"/>
      <c r="P22" s="16"/>
      <c r="Q22" s="18"/>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t="e">
        <f>- Kiravi, Arqueiro Vaal</f>
        <v>#NAME?</v>
      </c>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M3" sqref="M3:M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t="s">
        <v>4945</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t="s">
        <v>4586</v>
      </c>
      <c r="N4" s="16" t="str">
        <f>TRIM(_xlfn.TEXTAFTER(M3, ":"))</f>
        <v>Cetros</v>
      </c>
      <c r="O4" s="18"/>
      <c r="P4" s="16" t="e">
        <f>TRIM(_xlfn.TEXTAFTER(O3, ":"))</f>
        <v>#N/A</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t="s">
        <v>4946</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t="s">
        <v>4947</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t="s">
        <v>2788</v>
      </c>
      <c r="N8" s="16"/>
      <c r="O8" s="18"/>
      <c r="P8" s="16"/>
      <c r="Q8" s="18"/>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t="s">
        <v>4948</v>
      </c>
      <c r="N9" s="16"/>
      <c r="O9" s="18"/>
      <c r="P9" s="16"/>
      <c r="Q9" s="18"/>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t="s">
        <v>4949</v>
      </c>
      <c r="N10" s="16"/>
      <c r="O10" s="18"/>
      <c r="P10" s="16"/>
      <c r="Q10" s="18"/>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t="s">
        <v>4950</v>
      </c>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t="s">
        <v>4952</v>
      </c>
      <c r="N15" s="16"/>
      <c r="O15" s="18"/>
      <c r="P15" s="16"/>
      <c r="Q15" s="18"/>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t="s">
        <v>1328</v>
      </c>
      <c r="N16" s="16"/>
      <c r="O16" s="18"/>
      <c r="P16" s="16"/>
      <c r="Q16" s="18"/>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t="s">
        <v>356</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t="s">
        <v>4953</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t="s">
        <v>4815</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t="s">
        <v>4954</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t="s">
        <v>4955</v>
      </c>
      <c r="N25" s="16"/>
      <c r="O25" s="18"/>
      <c r="P25" s="16"/>
      <c r="Q25" s="18"/>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t="s">
        <v>4956</v>
      </c>
      <c r="N26" s="16"/>
      <c r="O26" s="18"/>
      <c r="P26" s="16"/>
      <c r="Q26" s="18"/>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t="s">
        <v>4957</v>
      </c>
      <c r="N27" s="16"/>
      <c r="O27" s="18"/>
      <c r="P27" s="16"/>
      <c r="Q27" s="18"/>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t="s">
        <v>4958</v>
      </c>
      <c r="N28" s="16"/>
      <c r="O28" s="18"/>
      <c r="P28" s="16"/>
      <c r="Q28" s="18"/>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t="s">
        <v>4959</v>
      </c>
      <c r="N29" s="16"/>
      <c r="O29" s="18"/>
      <c r="P29" s="16"/>
      <c r="Q29" s="18"/>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t="s">
        <v>4960</v>
      </c>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c r="P31" s="16"/>
      <c r="Q31" s="18"/>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t="s">
        <v>4961</v>
      </c>
      <c r="N32" s="16"/>
      <c r="O32" s="18"/>
      <c r="P32" s="16"/>
      <c r="Q32" s="18"/>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t="s">
        <v>4962</v>
      </c>
      <c r="N33" s="16"/>
      <c r="O33" s="18"/>
      <c r="P33" s="16"/>
      <c r="Q33" s="18"/>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t="s">
        <v>4963</v>
      </c>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M3" sqref="M3:M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t="s">
        <v>4964</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t="s">
        <v>4586</v>
      </c>
      <c r="N4" s="16" t="str">
        <f>TRIM(_xlfn.TEXTAFTER(M3, ":"))</f>
        <v>Cajados</v>
      </c>
      <c r="O4" s="18"/>
      <c r="P4" s="16" t="e">
        <f>TRIM(_xlfn.TEXTAFTER(O3, ":"))</f>
        <v>#N/A</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t="s">
        <v>4965</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t="s">
        <v>4966</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t="s">
        <v>4967</v>
      </c>
      <c r="N8" s="16"/>
      <c r="O8" s="18"/>
      <c r="P8" s="16"/>
      <c r="Q8" s="18"/>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t="s">
        <v>4968</v>
      </c>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t="s">
        <v>4744</v>
      </c>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t="s">
        <v>4589</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t="s">
        <v>4971</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t="s">
        <v>4972</v>
      </c>
      <c r="N20" s="16"/>
      <c r="O20" s="18"/>
      <c r="P20" s="16"/>
      <c r="Q20" s="18"/>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t="s">
        <v>4973</v>
      </c>
      <c r="N21" s="16"/>
      <c r="O21" s="18"/>
      <c r="P21" s="16"/>
      <c r="Q21" s="18"/>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t="s">
        <v>4974</v>
      </c>
      <c r="N22" s="16"/>
      <c r="O22" s="18"/>
      <c r="P22" s="16"/>
      <c r="Q22" s="18"/>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t="s">
        <v>4975</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t="s">
        <v>4976</v>
      </c>
      <c r="N25" s="16"/>
      <c r="O25" s="18"/>
      <c r="P25" s="16"/>
      <c r="Q25" s="18"/>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t="e" cm="1">
        <f t="array" ref="M26">- Antigo ditado Ezomita.</f>
        <v>#NAME?</v>
      </c>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M3" sqref="M3:M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t="s">
        <v>4977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t="s">
        <v>4586</v>
      </c>
      <c r="N4" s="16" t="str">
        <f>TRIM(_xlfn.TEXTAFTER(M3, ":"))</f>
        <v>Varinhas</v>
      </c>
      <c r="O4" s="18"/>
      <c r="P4" s="16" t="e">
        <f>TRIM(_xlfn.TEXTAFTER(O3, ":"))</f>
        <v>#N/A</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t="s">
        <v>4978</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t="s">
        <v>4979</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t="s">
        <v>4980</v>
      </c>
      <c r="N8" s="16"/>
      <c r="O8" s="18"/>
      <c r="P8" s="16"/>
      <c r="Q8" s="18"/>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t="s">
        <v>4981</v>
      </c>
      <c r="N9" s="16"/>
      <c r="O9" s="18"/>
      <c r="P9" s="16"/>
      <c r="Q9" s="18"/>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t="s">
        <v>4982</v>
      </c>
      <c r="N10" s="16"/>
      <c r="O10" s="18"/>
      <c r="P10" s="16"/>
      <c r="Q10" s="18"/>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t="s">
        <v>4983</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t="s">
        <v>4898</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t="s">
        <v>4589</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t="s">
        <v>4984</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t="s">
        <v>4985</v>
      </c>
      <c r="N19" s="16"/>
      <c r="O19" s="18"/>
      <c r="P19" s="16"/>
      <c r="Q19" s="18"/>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t="s">
        <v>4986</v>
      </c>
      <c r="N20" s="16"/>
      <c r="O20" s="18"/>
      <c r="P20" s="16"/>
      <c r="Q20" s="18"/>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t="s">
        <v>4987</v>
      </c>
      <c r="N21" s="16"/>
      <c r="O21" s="18"/>
      <c r="P21" s="16"/>
      <c r="Q21" s="18"/>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t="s">
        <v>4988</v>
      </c>
      <c r="N22" s="16"/>
      <c r="O22" s="18"/>
      <c r="P22" s="16"/>
      <c r="Q22" s="18"/>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t="s">
        <v>4989</v>
      </c>
      <c r="N23" s="16"/>
      <c r="O23" s="18"/>
      <c r="P23" s="16"/>
      <c r="Q23" s="18"/>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t="s">
        <v>4990</v>
      </c>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c r="P25" s="16"/>
      <c r="Q25" s="18"/>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t="s">
        <v>4991</v>
      </c>
      <c r="N26" s="16"/>
      <c r="O26" s="18"/>
      <c r="P26" s="16"/>
      <c r="Q26" s="18"/>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t="s">
        <v>4992</v>
      </c>
      <c r="N27" s="16"/>
      <c r="O27" s="18"/>
      <c r="P27" s="16"/>
      <c r="Q27" s="18"/>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t="s">
        <v>4993</v>
      </c>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M3" sqref="M3:M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t="s">
        <v>4994</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t="s">
        <v>4586</v>
      </c>
      <c r="N4" s="16" t="str">
        <f>TRIM(_xlfn.TEXTAFTER(M3, ":"))</f>
        <v>Cajados de Guerra</v>
      </c>
      <c r="O4" s="18"/>
      <c r="P4" s="16" t="e">
        <f>TRIM(_xlfn.TEXTAFTER(O3, ":"))</f>
        <v>#N/A</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t="s">
        <v>4995</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t="s">
        <v>4996</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t="s">
        <v>4997</v>
      </c>
      <c r="N8" s="16"/>
      <c r="O8" s="18"/>
      <c r="P8" s="16"/>
      <c r="Q8" s="18"/>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t="s">
        <v>4998</v>
      </c>
      <c r="N9" s="16"/>
      <c r="O9" s="18"/>
      <c r="P9" s="16"/>
      <c r="Q9" s="18"/>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t="s">
        <v>4999</v>
      </c>
      <c r="N10" s="16"/>
      <c r="O10" s="18"/>
      <c r="P10" s="16"/>
      <c r="Q10" s="18"/>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t="s">
        <v>5000</v>
      </c>
      <c r="N11" s="16"/>
      <c r="O11" s="18"/>
      <c r="P11" s="16"/>
      <c r="Q11" s="18"/>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t="s">
        <v>4969</v>
      </c>
      <c r="N12" s="16"/>
      <c r="O12" s="18"/>
      <c r="P12" s="16"/>
      <c r="Q12" s="18"/>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t="s">
        <v>4970</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c r="P15" s="16"/>
      <c r="Q15" s="18"/>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t="s">
        <v>5001</v>
      </c>
      <c r="N16" s="16"/>
      <c r="O16" s="18"/>
      <c r="P16" s="16"/>
      <c r="Q16" s="18"/>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t="s">
        <v>1378</v>
      </c>
      <c r="N17" s="16"/>
      <c r="O17" s="18"/>
      <c r="P17" s="16"/>
      <c r="Q17" s="18"/>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t="s">
        <v>403</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t="s">
        <v>4730</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t="s">
        <v>4655</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t="s">
        <v>4971</v>
      </c>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c r="P25" s="16"/>
      <c r="Q25" s="18"/>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t="s">
        <v>5002</v>
      </c>
      <c r="N26" s="16"/>
      <c r="O26" s="18"/>
      <c r="P26" s="16"/>
      <c r="Q26" s="18"/>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t="s">
        <v>5003</v>
      </c>
      <c r="N27" s="16"/>
      <c r="O27" s="18"/>
      <c r="P27" s="16"/>
      <c r="Q27" s="18"/>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t="s">
        <v>5004</v>
      </c>
      <c r="N28" s="16"/>
      <c r="O28" s="18"/>
      <c r="P28" s="16"/>
      <c r="Q28" s="18"/>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t="s">
        <v>5005</v>
      </c>
      <c r="N29" s="16"/>
      <c r="O29" s="18"/>
      <c r="P29" s="16"/>
      <c r="Q29" s="18"/>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t="s">
        <v>5006</v>
      </c>
      <c r="N30" s="16"/>
      <c r="O30" s="18"/>
      <c r="P30" s="16"/>
      <c r="Q30" s="18"/>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t="s">
        <v>5007</v>
      </c>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c r="P32" s="16"/>
      <c r="Q32" s="18"/>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t="s">
        <v>5008</v>
      </c>
      <c r="N33" s="16"/>
      <c r="O33" s="18"/>
      <c r="P33" s="16"/>
      <c r="Q33" s="18"/>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t="e" cm="1">
        <f t="array" ref="M34">- Arcebispo Geofri</f>
        <v>#NAME?</v>
      </c>
      <c r="N34" s="16"/>
      <c r="O34" s="18"/>
      <c r="P34" s="16"/>
      <c r="Q34" s="18"/>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M3" sqref="M3:M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t="s">
        <v>5009</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t="s">
        <v>4586</v>
      </c>
      <c r="N4" s="16" t="str">
        <f>TRIM(_xlfn.TEXTAFTER(M3, ":"))</f>
        <v>Espadas de Uma Mão</v>
      </c>
      <c r="O4" s="18"/>
      <c r="P4" s="16" t="e">
        <f>TRIM(_xlfn.TEXTAFTER(O3, ":"))</f>
        <v>#N/A</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t="s">
        <v>210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t="s">
        <v>5010</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c r="P8" s="16"/>
      <c r="Q8" s="18"/>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t="s">
        <v>5012</v>
      </c>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c r="P10" s="16"/>
      <c r="Q10" s="18"/>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t="s">
        <v>5014</v>
      </c>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t="s">
        <v>5015</v>
      </c>
      <c r="N15" s="16"/>
      <c r="O15" s="18"/>
      <c r="P15" s="16"/>
      <c r="Q15" s="18"/>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t="s">
        <v>1396</v>
      </c>
      <c r="N16" s="16"/>
      <c r="O16" s="18"/>
      <c r="P16" s="16"/>
      <c r="Q16" s="18"/>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t="s">
        <v>2859</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t="s">
        <v>5016</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t="s">
        <v>5017</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t="s">
        <v>5018</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t="s">
        <v>5019</v>
      </c>
      <c r="N25" s="16"/>
      <c r="O25" s="18"/>
      <c r="P25" s="16"/>
      <c r="Q25" s="18"/>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t="s">
        <v>5020</v>
      </c>
      <c r="N26" s="16"/>
      <c r="O26" s="18"/>
      <c r="P26" s="16"/>
      <c r="Q26" s="18"/>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t="s">
        <v>5021</v>
      </c>
      <c r="N27" s="16"/>
      <c r="O27" s="18"/>
      <c r="P27" s="16"/>
      <c r="Q27" s="18"/>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t="s">
        <v>5022</v>
      </c>
      <c r="N28" s="16"/>
      <c r="O28" s="18"/>
      <c r="P28" s="16"/>
      <c r="Q28" s="18"/>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t="s">
        <v>5023</v>
      </c>
      <c r="N29" s="16"/>
      <c r="O29" s="18"/>
      <c r="P29" s="16"/>
      <c r="Q29" s="18"/>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t="s">
        <v>5024</v>
      </c>
      <c r="N30" s="16"/>
      <c r="O30" s="18"/>
      <c r="P30" s="16"/>
      <c r="Q30" s="18"/>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t="s">
        <v>5025</v>
      </c>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c r="P32" s="16"/>
      <c r="Q32" s="18"/>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t="s">
        <v>5026</v>
      </c>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M3" sqref="M3:M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t="s">
        <v>5027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t="s">
        <v>4586</v>
      </c>
      <c r="N4" s="16" t="str">
        <f>TRIM(_xlfn.TEXTAFTER(M3, ":"))</f>
        <v>Espadas de Estocada de Uma Mão</v>
      </c>
      <c r="O4" s="18"/>
      <c r="P4" s="16" t="e">
        <f>TRIM(_xlfn.TEXTAFTER(O3, ":"))</f>
        <v>#N/A</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t="s">
        <v>231</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t="s">
        <v>5028</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c r="P8" s="16"/>
      <c r="Q8" s="18"/>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t="s">
        <v>5029</v>
      </c>
      <c r="N9" s="16"/>
      <c r="O9" s="18"/>
      <c r="P9" s="16"/>
      <c r="Q9" s="18"/>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t="s">
        <v>5030</v>
      </c>
      <c r="N10" s="16"/>
      <c r="O10" s="18"/>
      <c r="P10" s="16"/>
      <c r="Q10" s="18"/>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t="s">
        <v>5031</v>
      </c>
      <c r="N11" s="16"/>
      <c r="O11" s="18"/>
      <c r="P11" s="16"/>
      <c r="Q11" s="18"/>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t="s">
        <v>5032</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t="s">
        <v>5033</v>
      </c>
      <c r="N15" s="16"/>
      <c r="O15" s="18"/>
      <c r="P15" s="16"/>
      <c r="Q15" s="18"/>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t="s">
        <v>2878</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t="s">
        <v>5034</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t="s">
        <v>4899</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t="s">
        <v>5035</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t="s">
        <v>5036</v>
      </c>
      <c r="N24" s="16"/>
      <c r="O24" s="18"/>
      <c r="P24" s="16"/>
      <c r="Q24" s="18"/>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t="s">
        <v>5037</v>
      </c>
      <c r="N25" s="16"/>
      <c r="O25" s="18"/>
      <c r="P25" s="16"/>
      <c r="Q25" s="18"/>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t="s">
        <v>5038</v>
      </c>
      <c r="N26" s="16"/>
      <c r="O26" s="18"/>
      <c r="P26" s="16"/>
      <c r="Q26" s="18"/>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t="s">
        <v>5039</v>
      </c>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c r="P28" s="16"/>
      <c r="Q28" s="18"/>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t="s">
        <v>5040</v>
      </c>
      <c r="N29" s="16"/>
      <c r="O29" s="18"/>
      <c r="P29" s="16"/>
      <c r="Q29" s="18"/>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t="s">
        <v>5041</v>
      </c>
      <c r="N30" s="16"/>
      <c r="O30" s="18"/>
      <c r="P30" s="16"/>
      <c r="Q30" s="18"/>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t="s">
        <v>5042</v>
      </c>
      <c r="N31" s="16"/>
      <c r="O31" s="18"/>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M3" sqref="M3:M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t="s">
        <v>5043</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t="s">
        <v>4586</v>
      </c>
      <c r="N4" s="16" t="str">
        <f>TRIM(_xlfn.TEXTAFTER(M3, ":"))</f>
        <v>Espadas de Duas Mãos</v>
      </c>
      <c r="O4" s="18"/>
      <c r="P4" s="16" t="e">
        <f>TRIM(_xlfn.TEXTAFTER(O3, ":"))</f>
        <v>#N/A</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t="s">
        <v>250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t="s">
        <v>5044</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t="s">
        <v>5045</v>
      </c>
      <c r="N8" s="16"/>
      <c r="O8" s="18"/>
      <c r="P8" s="16"/>
      <c r="Q8" s="18"/>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t="s">
        <v>5046</v>
      </c>
      <c r="N9" s="16"/>
      <c r="O9" s="18"/>
      <c r="P9" s="16"/>
      <c r="Q9" s="18"/>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t="s">
        <v>5047</v>
      </c>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t="s">
        <v>5048</v>
      </c>
      <c r="N15" s="16"/>
      <c r="O15" s="18"/>
      <c r="P15" s="16"/>
      <c r="Q15" s="18"/>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t="s">
        <v>1430</v>
      </c>
      <c r="N16" s="16"/>
      <c r="O16" s="18"/>
      <c r="P16" s="16"/>
      <c r="Q16" s="18"/>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t="s">
        <v>2551</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t="s">
        <v>4693</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t="s">
        <v>5050</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t="s">
        <v>5051</v>
      </c>
      <c r="N25" s="16"/>
      <c r="O25" s="18"/>
      <c r="P25" s="16"/>
      <c r="Q25" s="18"/>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t="s">
        <v>5052</v>
      </c>
      <c r="N26" s="16"/>
      <c r="O26" s="18"/>
      <c r="P26" s="16"/>
      <c r="Q26" s="18"/>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t="s">
        <v>5053</v>
      </c>
      <c r="N27" s="16"/>
      <c r="O27" s="18"/>
      <c r="P27" s="16"/>
      <c r="Q27" s="18"/>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t="s">
        <v>5054</v>
      </c>
      <c r="N28" s="16"/>
      <c r="O28" s="18"/>
      <c r="P28" s="16"/>
      <c r="Q28" s="18"/>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t="s">
        <v>4760</v>
      </c>
      <c r="N29" s="16"/>
      <c r="O29" s="18"/>
      <c r="P29" s="16"/>
      <c r="Q29" s="18"/>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t="s">
        <v>5055</v>
      </c>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c r="P31" s="16"/>
      <c r="Q31" s="18"/>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t="s">
        <v>5056</v>
      </c>
      <c r="N32" s="16"/>
      <c r="O32" s="18"/>
      <c r="P32" s="16"/>
      <c r="Q32" s="18"/>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t="s">
        <v>5057</v>
      </c>
      <c r="N33" s="16"/>
      <c r="O33" s="18"/>
      <c r="P33" s="16"/>
      <c r="Q33" s="18"/>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t="s">
        <v>5058</v>
      </c>
      <c r="N34" s="16"/>
      <c r="O34" s="18"/>
      <c r="P34" s="16"/>
      <c r="Q34" s="18"/>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t="s">
        <v>5059</v>
      </c>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M3" sqref="M3:M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t="s">
        <v>5060</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t="s">
        <v>4586</v>
      </c>
      <c r="N4" s="16" t="str">
        <f>TRIM(_xlfn.TEXTAFTER(M3, ":"))</f>
        <v>Machados de Uma Mão</v>
      </c>
      <c r="O4" s="18"/>
      <c r="P4" s="16" t="e">
        <f>TRIM(_xlfn.TEXTAFTER(O3, ":"))</f>
        <v>#N/A</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t="s">
        <v>273</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t="s">
        <v>5061</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t="s">
        <v>5062</v>
      </c>
      <c r="N8" s="16"/>
      <c r="O8" s="18"/>
      <c r="P8" s="16"/>
      <c r="Q8" s="18"/>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t="s">
        <v>5063</v>
      </c>
      <c r="N9" s="16"/>
      <c r="O9" s="18"/>
      <c r="P9" s="16"/>
      <c r="Q9" s="18"/>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t="s">
        <v>5064</v>
      </c>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c r="P11" s="16"/>
      <c r="Q11" s="18"/>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t="s">
        <v>5065</v>
      </c>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c r="P15" s="16"/>
      <c r="Q15" s="18"/>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t="s">
        <v>5066</v>
      </c>
      <c r="N16" s="16"/>
      <c r="O16" s="18"/>
      <c r="P16" s="16"/>
      <c r="Q16" s="18"/>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t="s">
        <v>1449</v>
      </c>
      <c r="N17" s="16"/>
      <c r="O17" s="18"/>
      <c r="P17" s="16"/>
      <c r="Q17" s="18"/>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t="s">
        <v>2914</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t="s">
        <v>5067</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t="s">
        <v>4672</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t="s">
        <v>5068</v>
      </c>
      <c r="N24" s="16"/>
      <c r="O24" s="18"/>
      <c r="P24" s="16"/>
      <c r="Q24" s="18"/>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t="s">
        <v>5069</v>
      </c>
      <c r="N25" s="16"/>
      <c r="O25" s="18"/>
      <c r="P25" s="16"/>
      <c r="Q25" s="18"/>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t="s">
        <v>5070</v>
      </c>
      <c r="N26" s="16"/>
      <c r="O26" s="18"/>
      <c r="P26" s="16"/>
      <c r="Q26" s="18"/>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t="s">
        <v>5071</v>
      </c>
      <c r="N27" s="16"/>
      <c r="O27" s="18"/>
      <c r="P27" s="16"/>
      <c r="Q27" s="18"/>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t="s">
        <v>5072</v>
      </c>
      <c r="N28" s="16"/>
      <c r="O28" s="18"/>
      <c r="P28" s="16"/>
      <c r="Q28" s="18"/>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t="s">
        <v>5073</v>
      </c>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c r="P30" s="16"/>
      <c r="Q30" s="18"/>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t="s">
        <v>5074</v>
      </c>
      <c r="N31" s="16"/>
      <c r="O31" s="18"/>
      <c r="P31" s="16"/>
      <c r="Q31" s="18"/>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t="s">
        <v>5075</v>
      </c>
      <c r="N32" s="16"/>
      <c r="O32" s="18"/>
      <c r="P32" s="16"/>
      <c r="Q32" s="18"/>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t="s">
        <v>5076</v>
      </c>
      <c r="N33" s="16"/>
      <c r="O33" s="18"/>
      <c r="P33" s="16"/>
      <c r="Q33" s="18"/>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t="s">
        <v>5077</v>
      </c>
      <c r="N34" s="16"/>
      <c r="O34" s="18"/>
      <c r="P34" s="16"/>
      <c r="Q34" s="18"/>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t="s">
        <v>5078</v>
      </c>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M3" sqref="M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t="s">
        <v>5079</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t="s">
        <v>4586</v>
      </c>
      <c r="N4" s="16" t="str">
        <f>TRIM(_xlfn.TEXTAFTER(M3, ":"))</f>
        <v>Machados de Duas Mãos</v>
      </c>
      <c r="O4" s="18"/>
      <c r="P4" s="16" t="e">
        <f>TRIM(_xlfn.TEXTAFTER(O3, ":"))</f>
        <v>#N/A</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t="s">
        <v>5080</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t="s">
        <v>5081</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t="s">
        <v>5082</v>
      </c>
      <c r="N8" s="16"/>
      <c r="O8" s="18"/>
      <c r="P8" s="16"/>
      <c r="Q8" s="18"/>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t="s">
        <v>5083</v>
      </c>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t="s">
        <v>5001</v>
      </c>
      <c r="N15" s="16"/>
      <c r="O15" s="18"/>
      <c r="P15" s="16"/>
      <c r="Q15" s="18"/>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t="s">
        <v>1467</v>
      </c>
      <c r="N16" s="16"/>
      <c r="O16" s="18"/>
      <c r="P16" s="16"/>
      <c r="Q16" s="18"/>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t="s">
        <v>2933</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t="s">
        <v>4589</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t="s">
        <v>5084</v>
      </c>
      <c r="N23" s="16"/>
      <c r="O23" s="18"/>
      <c r="P23" s="16"/>
      <c r="Q23" s="18"/>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t="s">
        <v>5085</v>
      </c>
      <c r="N24" s="16"/>
      <c r="O24" s="18"/>
      <c r="P24" s="16"/>
      <c r="Q24" s="18"/>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t="s">
        <v>5086</v>
      </c>
      <c r="N25" s="16"/>
      <c r="O25" s="18"/>
      <c r="P25" s="16"/>
      <c r="Q25" s="18"/>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t="s">
        <v>5087</v>
      </c>
      <c r="N26" s="16"/>
      <c r="O26" s="18"/>
      <c r="P26" s="16"/>
      <c r="Q26" s="18"/>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t="s">
        <v>5088</v>
      </c>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c r="P28" s="16"/>
      <c r="Q28" s="18"/>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t="s">
        <v>5089</v>
      </c>
      <c r="N29" s="16"/>
      <c r="O29" s="18"/>
      <c r="P29" s="16"/>
      <c r="Q29" s="18"/>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t="s">
        <v>5090</v>
      </c>
      <c r="N30" s="16"/>
      <c r="O30" s="18"/>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M3" sqref="M3:M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t="s">
        <v>5091</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t="s">
        <v>4586</v>
      </c>
      <c r="N4" s="16" t="str">
        <f>TRIM(_xlfn.TEXTAFTER(M3, ":"))</f>
        <v>Maças de Uma Mão</v>
      </c>
      <c r="O4" s="18"/>
      <c r="P4" s="16" t="e">
        <f>TRIM(_xlfn.TEXTAFTER(O3, ":"))</f>
        <v>#N/A</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t="s">
        <v>5092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t="s">
        <v>5093</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t="s">
        <v>5094</v>
      </c>
      <c r="N8" s="16"/>
      <c r="O8" s="18"/>
      <c r="P8" s="16"/>
      <c r="Q8" s="18"/>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t="s">
        <v>5095</v>
      </c>
      <c r="N9" s="16"/>
      <c r="O9" s="18"/>
      <c r="P9" s="16"/>
      <c r="Q9" s="18"/>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t="s">
        <v>5096</v>
      </c>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c r="P11" s="16"/>
      <c r="Q11" s="18"/>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t="s">
        <v>5097</v>
      </c>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c r="P15" s="16"/>
      <c r="Q15" s="18"/>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t="s">
        <v>4684</v>
      </c>
      <c r="N16" s="16"/>
      <c r="O16" s="18"/>
      <c r="P16" s="16"/>
      <c r="Q16" s="18"/>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t="s">
        <v>1482</v>
      </c>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t="s">
        <v>4757</v>
      </c>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c r="P20" s="16"/>
      <c r="Q20" s="18"/>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t="s">
        <v>4685</v>
      </c>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t="s">
        <v>5098</v>
      </c>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c r="P24" s="16"/>
      <c r="Q24" s="18"/>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t="s">
        <v>5099</v>
      </c>
      <c r="N25" s="16"/>
      <c r="O25" s="18"/>
      <c r="P25" s="16"/>
      <c r="Q25" s="18"/>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t="s">
        <v>5100</v>
      </c>
      <c r="N26" s="16"/>
      <c r="O26" s="18"/>
      <c r="P26" s="16"/>
      <c r="Q26" s="18"/>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t="s">
        <v>5101</v>
      </c>
      <c r="N27" s="16"/>
      <c r="O27" s="18"/>
      <c r="P27" s="16"/>
      <c r="Q27" s="18"/>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t="s">
        <v>5102</v>
      </c>
      <c r="N28" s="16"/>
      <c r="O28" s="18"/>
      <c r="P28" s="16"/>
      <c r="Q28" s="18"/>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t="s">
        <v>5103</v>
      </c>
      <c r="N29" s="16"/>
      <c r="O29" s="18"/>
      <c r="P29" s="16"/>
      <c r="Q29" s="18"/>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t="s">
        <v>5104</v>
      </c>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c r="P31" s="16"/>
      <c r="Q31" s="18"/>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t="s">
        <v>5105</v>
      </c>
      <c r="N32" s="16"/>
      <c r="O32" s="18"/>
      <c r="P32" s="16"/>
      <c r="Q32" s="18"/>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t="s">
        <v>5106</v>
      </c>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M3" sqref="M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t="s">
        <v>5107</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t="s">
        <v>4586</v>
      </c>
      <c r="N4" s="16" t="str">
        <f>TRIM(_xlfn.TEXTAFTER(M3, ":"))</f>
        <v>Maças de Duas Mãos</v>
      </c>
      <c r="O4" s="18"/>
      <c r="P4" s="16" t="e">
        <f>TRIM(_xlfn.TEXTAFTER(O3, ":"))</f>
        <v>#N/A</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t="s">
        <v>5108</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t="s">
        <v>5109</v>
      </c>
      <c r="N6" s="16" t="str">
        <f>TRIM(_xlfn.TEXTAFTER(M4,":"))</f>
        <v>Único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t="s">
        <v>5110</v>
      </c>
      <c r="N8" s="16"/>
      <c r="O8" s="18"/>
      <c r="P8" s="16"/>
      <c r="Q8" s="18"/>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t="s">
        <v>5111</v>
      </c>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c r="P10" s="16"/>
      <c r="Q10" s="18"/>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t="s">
        <v>5112</v>
      </c>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c r="P14" s="16"/>
      <c r="Q14" s="18"/>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t="s">
        <v>4790</v>
      </c>
      <c r="N15" s="16"/>
      <c r="O15" s="18"/>
      <c r="P15" s="16"/>
      <c r="Q15" s="18"/>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t="s">
        <v>1498</v>
      </c>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t="s">
        <v>5113</v>
      </c>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t="s">
        <v>4815</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t="s">
        <v>5114</v>
      </c>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t="s">
        <v>5115</v>
      </c>
      <c r="N24" s="16"/>
      <c r="O24" s="18"/>
      <c r="P24" s="16"/>
      <c r="Q24" s="18"/>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t="s">
        <v>5116</v>
      </c>
      <c r="N25" s="16"/>
      <c r="O25" s="18"/>
      <c r="P25" s="16"/>
      <c r="Q25" s="18"/>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t="s">
        <v>5117</v>
      </c>
      <c r="N26" s="16"/>
      <c r="O26" s="18"/>
      <c r="P26" s="16"/>
      <c r="Q26" s="18"/>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t="s">
        <v>5118</v>
      </c>
      <c r="N27" s="16"/>
      <c r="O27" s="18"/>
      <c r="P27" s="16"/>
      <c r="Q27" s="18"/>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t="s">
        <v>5119</v>
      </c>
      <c r="N28" s="16"/>
      <c r="O28" s="18"/>
      <c r="P28" s="16"/>
      <c r="Q28" s="18"/>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c r="P29" s="16"/>
      <c r="Q29" s="18"/>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t="s">
        <v>5120</v>
      </c>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M3" sqref="M3:M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c r="P3" s="16" t="e">
        <f>TRIM(_xlfn.TEXTBEFORE(O3, ":"))</f>
        <v>#N/A</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t="s">
        <v>4787</v>
      </c>
      <c r="N4" s="16" t="str">
        <f>TRIM(_xlfn.TEXTAFTER(M3, ":"))</f>
        <v>Broches Heist</v>
      </c>
      <c r="O4" s="18"/>
      <c r="P4" s="16" t="e">
        <f>TRIM(_xlfn.TEXTAFTER(O3, ":"))</f>
        <v>#N/A</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c r="P5" s="16" t="e">
        <f>TRIM(_xlfn.TEXTBEFORE(O4, ":"))</f>
        <v>#N/A</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t="s">
        <v>5123</v>
      </c>
      <c r="N6" s="16" t="str">
        <f>TRIM(_xlfn.TEXTAFTER(M4,":"))</f>
        <v>Raro</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t="s">
        <v>4641</v>
      </c>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t="s">
        <v>5126</v>
      </c>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t="s">
        <v>5127</v>
      </c>
      <c r="N17" s="16"/>
      <c r="O17" s="18"/>
      <c r="P17" s="16"/>
      <c r="Q17" s="18"/>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t="s">
        <v>5128</v>
      </c>
      <c r="N18" s="16"/>
      <c r="O18" s="18"/>
      <c r="P18" s="16"/>
      <c r="Q18" s="18"/>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t="s">
        <v>5129</v>
      </c>
      <c r="N19" s="16"/>
      <c r="O19" s="18"/>
      <c r="P19" s="16"/>
      <c r="Q19" s="18"/>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t="s">
        <v>5130</v>
      </c>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M3" sqref="M3:M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t="s">
        <v>5132</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t="s">
        <v>4787</v>
      </c>
      <c r="N4" s="16" t="str">
        <f>TRIM(_xlfn.TEXTAFTER(M3, ":"))</f>
        <v>Capas Heist</v>
      </c>
      <c r="O4" s="18"/>
      <c r="P4" s="16" t="e">
        <f>TRIM(_xlfn.TEXTAFTER(O3, ":"))</f>
        <v>#N/A</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t="s">
        <v>5133</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t="s">
        <v>5134</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t="s">
        <v>5135</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t="s">
        <v>4655</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t="s">
        <v>5136</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t="s">
        <v>5137</v>
      </c>
      <c r="N17" s="16"/>
      <c r="O17" s="18"/>
      <c r="P17" s="16"/>
      <c r="Q17" s="18"/>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t="s">
        <v>5138</v>
      </c>
      <c r="N18" s="16"/>
      <c r="O18" s="18"/>
      <c r="P18" s="16"/>
      <c r="Q18" s="18"/>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t="s">
        <v>5139</v>
      </c>
      <c r="N19" s="16"/>
      <c r="O19" s="18"/>
      <c r="P19" s="16"/>
      <c r="Q19" s="18"/>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t="s">
        <v>5129</v>
      </c>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 stopIfTrue="1">
      <formula>NOT(ISERROR(A3))</formula>
    </cfRule>
  </conditionalFormatting>
  <conditionalFormatting sqref="A3:T51">
    <cfRule type="containsErrors" dxfId="20" priority="1" stopIfTrue="1">
      <formula>ISERROR(A3)</formula>
    </cfRule>
    <cfRule type="notContainsBlanks" dxfId="1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M3" sqref="M3:M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t="s">
        <v>5140</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t="s">
        <v>4787</v>
      </c>
      <c r="N4" s="16" t="str">
        <f>TRIM(_xlfn.TEXTAFTER(M3, ":"))</f>
        <v>Equipamento Heist</v>
      </c>
      <c r="O4" s="18"/>
      <c r="P4" s="16" t="e">
        <f>TRIM(_xlfn.TEXTAFTER(O3, ":"))</f>
        <v>#N/A</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t="s">
        <v>5141</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t="s">
        <v>5142</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c r="P10" s="16"/>
      <c r="Q10" s="18"/>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t="s">
        <v>5143</v>
      </c>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c r="P14" s="16"/>
      <c r="Q14" s="18"/>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t="s">
        <v>5144</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t="s">
        <v>5145</v>
      </c>
      <c r="N17" s="16"/>
      <c r="O17" s="18"/>
      <c r="P17" s="16"/>
      <c r="Q17" s="18"/>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t="s">
        <v>5146</v>
      </c>
      <c r="N18" s="16"/>
      <c r="O18" s="18"/>
      <c r="P18" s="16"/>
      <c r="Q18" s="18"/>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t="s">
        <v>5147</v>
      </c>
      <c r="N19" s="16"/>
      <c r="O19" s="18"/>
      <c r="P19" s="16"/>
      <c r="Q19" s="18"/>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t="s">
        <v>5148</v>
      </c>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8" priority="1" stopIfTrue="1" operator="equal">
      <formula>"-"</formula>
    </cfRule>
    <cfRule type="cellIs" dxfId="17" priority="2" operator="between">
      <formula>"(Lowest value)"</formula>
      <formula>0</formula>
    </cfRule>
    <cfRule type="containsBlanks" dxfId="16" priority="3">
      <formula>LEN(TRIM(A3))=0</formula>
    </cfRule>
    <cfRule type="notContainsBlanks" dxfId="15" priority="4">
      <formula>LEN(TRIM(A3))&gt;0</formula>
    </cfRule>
  </conditionalFormatting>
  <conditionalFormatting sqref="B3:T3 A4:T51">
    <cfRule type="containsErrors" dxfId="14" priority="5" stopIfTrue="1">
      <formula>ISERROR(A3)</formula>
    </cfRule>
    <cfRule type="notContainsBlanks" dxfId="13" priority="7">
      <formula>LEN(TRIM(A3))&gt;0</formula>
    </cfRule>
  </conditionalFormatting>
  <conditionalFormatting sqref="C3:C51 E3:E51 G3:G51 I3:I51 K3:K51 M3:M51 O3:O51 Q3:Q51 S3:S51 A4:A51">
    <cfRule type="notContainsErrors" dxfId="1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M3" sqref="M3:M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t="s">
        <v>4568</v>
      </c>
      <c r="N4" s="16" t="str">
        <f>TRIM(_xlfn.TEXTAFTER(M3, ":"))</f>
        <v>Alvos Heist</v>
      </c>
      <c r="O4" s="18"/>
      <c r="P4" s="16" t="e">
        <f>TRIM(_xlfn.TEXTAFTER(O3, ":"))</f>
        <v>#N/A</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c r="P6" s="16" t="e">
        <f>TRIM(_xlfn.TEXTAFTER(O4,":"))</f>
        <v>#N/A</v>
      </c>
      <c r="Q6" s="18"/>
      <c r="R6" s="16" t="e">
        <f>TRIM(_xlfn.TEXTAFTER(Q4,":"))</f>
        <v>#N/A</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t="s">
        <v>5151</v>
      </c>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c r="P8" s="16"/>
      <c r="Q8" s="18"/>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t="s">
        <v>5152</v>
      </c>
      <c r="N9" s="16"/>
      <c r="O9" s="18"/>
      <c r="P9" s="16"/>
      <c r="Q9" s="18"/>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t="s">
        <v>4</v>
      </c>
      <c r="N10" s="16"/>
      <c r="O10" s="18"/>
      <c r="P10" s="16"/>
      <c r="Q10" s="18"/>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t="s">
        <v>5153</v>
      </c>
      <c r="N11" s="16"/>
      <c r="O11" s="18"/>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M3" sqref="M3:M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t="s">
        <v>5154</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t="s">
        <v>4787</v>
      </c>
      <c r="N4" s="16" t="str">
        <f>TRIM(_xlfn.TEXTAFTER(M3, ":"))</f>
        <v>Ferramentas Heist</v>
      </c>
      <c r="O4" s="18"/>
      <c r="P4" s="16" t="e">
        <f>TRIM(_xlfn.TEXTAFTER(O3, ":"))</f>
        <v>#N/A</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t="s">
        <v>5155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t="s">
        <v>5156</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t="s">
        <v>5157</v>
      </c>
      <c r="N8" s="16"/>
      <c r="O8" s="18"/>
      <c r="P8" s="16"/>
      <c r="Q8" s="18"/>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t="s">
        <v>5158</v>
      </c>
      <c r="N9" s="16"/>
      <c r="O9" s="18"/>
      <c r="P9" s="16"/>
      <c r="Q9" s="18"/>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t="s">
        <v>5159</v>
      </c>
      <c r="N10" s="16"/>
      <c r="O10" s="18"/>
      <c r="P10" s="16"/>
      <c r="Q10" s="18"/>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t="s">
        <v>5160</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c r="P13" s="16"/>
      <c r="Q13" s="18"/>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t="s">
        <v>5161</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t="s">
        <v>4714</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t="s">
        <v>5162</v>
      </c>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c r="P19" s="16"/>
      <c r="Q19" s="18"/>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t="s">
        <v>5163</v>
      </c>
      <c r="N20" s="16"/>
      <c r="O20" s="18"/>
      <c r="P20" s="16"/>
      <c r="Q20" s="18"/>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t="s">
        <v>5164</v>
      </c>
      <c r="N21" s="16"/>
      <c r="O21" s="18"/>
      <c r="P21" s="16"/>
      <c r="Q21" s="18"/>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t="s">
        <v>5165</v>
      </c>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c r="P23" s="16"/>
      <c r="Q23" s="18"/>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t="s">
        <v>5131</v>
      </c>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M3" sqref="M3:M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t="s">
        <v>5166</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t="s">
        <v>4787</v>
      </c>
      <c r="N4" s="16" t="str">
        <f>TRIM(_xlfn.TEXTAFTER(M3, ":"))</f>
        <v>Adornos</v>
      </c>
      <c r="O4" s="18"/>
      <c r="P4" s="16" t="e">
        <f>TRIM(_xlfn.TEXTAFTER(O3, ":"))</f>
        <v>#N/A</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t="s">
        <v>5167</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t="s">
        <v>5168</v>
      </c>
      <c r="N6" s="16" t="str">
        <f>TRIM(_xlfn.TEXTAFTER(M4,":"))</f>
        <v>Raro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c r="P8" s="16"/>
      <c r="Q8" s="18"/>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t="s">
        <v>5169</v>
      </c>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c r="P12" s="16"/>
      <c r="Q12" s="18"/>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t="s">
        <v>5170</v>
      </c>
      <c r="N13" s="16"/>
      <c r="O13" s="18"/>
      <c r="P13" s="16"/>
      <c r="Q13" s="18"/>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t="s">
        <v>5171</v>
      </c>
      <c r="N14" s="16"/>
      <c r="O14" s="18"/>
      <c r="P14" s="16"/>
      <c r="Q14" s="18"/>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t="s">
        <v>5172</v>
      </c>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c r="P16" s="16"/>
      <c r="Q16" s="18"/>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t="s">
        <v>5173</v>
      </c>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c r="P18" s="16"/>
      <c r="Q18" s="18"/>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t="s">
        <v>4539</v>
      </c>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t="s">
        <v>5174</v>
      </c>
      <c r="N3" s="16" t="str">
        <f>TRIM(_xlfn.TEXTBEFORE(M3, ":"))</f>
        <v>Classe do Item</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t="s">
        <v>4586</v>
      </c>
      <c r="N4" s="16" t="str">
        <f>TRIM(_xlfn.TEXTAFTER(M3, ":"))</f>
        <v>Varas de Pescar</v>
      </c>
      <c r="O4" s="18"/>
      <c r="P4" s="16" t="e">
        <f>TRIM(_xlfn.TEXTAFTER(O3, ":"))</f>
        <v>#N/A</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t="s">
        <v>5175</v>
      </c>
      <c r="N5" s="16" t="str">
        <f>TRIM(_xlfn.TEXTBEFORE(M4, ":"))</f>
        <v>Raridade</v>
      </c>
      <c r="O5" s="18"/>
      <c r="P5" s="16" t="e">
        <f>TRIM(_xlfn.TEXTBEFORE(O4, ":"))</f>
        <v>#N/A</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t="s">
        <v>5176</v>
      </c>
      <c r="N6" s="16" t="str">
        <f>TRIM(_xlfn.TEXTAFTER(M4,":"))</f>
        <v>Único</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c r="P7" s="16"/>
      <c r="Q7" s="18"/>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t="s">
        <v>5176</v>
      </c>
      <c r="N8" s="16"/>
      <c r="O8" s="18"/>
      <c r="P8" s="16"/>
      <c r="Q8" s="18"/>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t="s">
        <v>5177</v>
      </c>
      <c r="N9" s="16"/>
      <c r="O9" s="18"/>
      <c r="P9" s="16"/>
      <c r="Q9" s="18"/>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c r="P10" s="16"/>
      <c r="Q10" s="18"/>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t="s">
        <v>5178</v>
      </c>
      <c r="N11" s="16"/>
      <c r="O11" s="18"/>
      <c r="P11" s="16"/>
      <c r="Q11" s="18"/>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c r="P13" s="16"/>
      <c r="Q13" s="18"/>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t="s">
        <v>4777</v>
      </c>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c r="P17" s="16"/>
      <c r="Q17" s="18"/>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t="s">
        <v>5179</v>
      </c>
      <c r="N18" s="16"/>
      <c r="O18" s="18"/>
      <c r="P18" s="16"/>
      <c r="Q18" s="18"/>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t="s">
        <v>5180</v>
      </c>
      <c r="N19" s="16"/>
      <c r="O19" s="18"/>
      <c r="P19" s="16"/>
      <c r="Q19" s="18"/>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t="s">
        <v>5181</v>
      </c>
      <c r="N20" s="16"/>
      <c r="O20" s="18"/>
      <c r="P20" s="16"/>
      <c r="Q20" s="18"/>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t="s">
        <v>5182</v>
      </c>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c r="P22" s="16"/>
      <c r="Q22" s="18"/>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t="s">
        <v>5183</v>
      </c>
      <c r="N23" s="16"/>
      <c r="O23" s="18"/>
      <c r="P23" s="16"/>
      <c r="Q23" s="18"/>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t="s">
        <v>5184</v>
      </c>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2023-11-15T02:18:22Z</dcterms:modified>
</cp:coreProperties>
</file>