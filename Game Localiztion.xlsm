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workbookPr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03CE7C4F-CBF7-4DF5-8788-26693FA9CC8F}" xr6:coauthVersionLast="47" xr6:coauthVersionMax="47" xr10:uidLastSave="{00000000-0000-0000-0000-000000000000}"/>
  <bookViews>
    <workbookView xWindow="-120" yWindow="-120" windowWidth="38640" windowHeight="21120" tabRatio="822" firstSheet="44" activeTab="65" xr2:uid="{E781D705-06FC-40F3-B1CD-33347556BC5A}"/>
  </bookViews>
  <sheets>
    <sheet name="Sheets" sheetId="39" r:id="rId1"/>
    <sheet name="Result" sheetId="2" r:id="rId2"/>
    <sheet name="Empty" sheetId="31" r:id="rId3"/>
    <sheet name="Anomalous Gem" sheetId="41" r:id="rId4"/>
    <sheet name="Divergent Support Gem" sheetId="15" r:id="rId5"/>
    <sheet name="Phantasmal Gem" sheetId="30" r:id="rId6"/>
    <sheet name="Chaos Orb" sheetId="35" r:id="rId7"/>
    <sheet name="Resonator" sheetId="38" r:id="rId8"/>
    <sheet name="Card" sheetId="32" r:id="rId9"/>
    <sheet name="Metamorph Sample" sheetId="40" r:id="rId10"/>
    <sheet name="Blighted Map" sheetId="29" r:id="rId11"/>
    <sheet name="Blight-ravaged Map" sheetId="47" r:id="rId12"/>
    <sheet name="Blueprint" sheetId="50" r:id="rId13"/>
    <sheet name="Contract" sheetId="54" r:id="rId14"/>
    <sheet name="Logbook" sheetId="36" r:id="rId15"/>
    <sheet name="Map" sheetId="34" r:id="rId16"/>
    <sheet name="Map Fragment" sheetId="48" r:id="rId17"/>
    <sheet name="Memory" sheetId="56" r:id="rId18"/>
    <sheet name="Misc Map Item" sheetId="49" r:id="rId19"/>
    <sheet name="Tome" sheetId="64" r:id="rId20"/>
    <sheet name="Hybrid Flask" sheetId="45" r:id="rId21"/>
    <sheet name="Mana Flask" sheetId="44" r:id="rId22"/>
    <sheet name="Life Flask" sheetId="43" r:id="rId23"/>
    <sheet name="Magic Utility Flask" sheetId="27" r:id="rId24"/>
    <sheet name="Foiled Amulet" sheetId="42" r:id="rId25"/>
    <sheet name="Unidentified ring" sheetId="33" r:id="rId26"/>
    <sheet name="Abyssus" sheetId="25" r:id="rId27"/>
    <sheet name="Carcass Jack" sheetId="24" r:id="rId28"/>
    <sheet name="Mistwall" sheetId="26" r:id="rId29"/>
    <sheet name="White Wind" sheetId="5" r:id="rId30"/>
    <sheet name="Crusader" sheetId="57" r:id="rId31"/>
    <sheet name="Elder" sheetId="60" r:id="rId32"/>
    <sheet name="Hunter" sheetId="62" r:id="rId33"/>
    <sheet name="Redeemer" sheetId="58" r:id="rId34"/>
    <sheet name="Shaper" sheetId="61" r:id="rId35"/>
    <sheet name="Warlord" sheetId="59" r:id="rId36"/>
    <sheet name="Abyssal Jewel" sheetId="63" r:id="rId37"/>
    <sheet name="Belt" sheetId="1" r:id="rId38"/>
    <sheet name="Boots" sheetId="23" r:id="rId39"/>
    <sheet name="Gloves" sheetId="22" r:id="rId40"/>
    <sheet name="Bow" sheetId="18" r:id="rId41"/>
    <sheet name="Claw" sheetId="4" r:id="rId42"/>
    <sheet name="Dagger" sheetId="6" r:id="rId43"/>
    <sheet name="Jewel" sheetId="46" r:id="rId44"/>
    <sheet name="Quiver" sheetId="21" r:id="rId45"/>
    <sheet name="Sceptre" sheetId="17" r:id="rId46"/>
    <sheet name="Staff" sheetId="19" r:id="rId47"/>
    <sheet name="Wand" sheetId="7" r:id="rId48"/>
    <sheet name="Warstaff" sheetId="20" r:id="rId49"/>
    <sheet name="1H Sword" sheetId="8" r:id="rId50"/>
    <sheet name="1H Thrusting Sword" sheetId="9" r:id="rId51"/>
    <sheet name="2H Sword" sheetId="10" r:id="rId52"/>
    <sheet name="1H Axe" sheetId="11" r:id="rId53"/>
    <sheet name="2H Axe" sheetId="12" r:id="rId54"/>
    <sheet name="1H Mace" sheetId="13" r:id="rId55"/>
    <sheet name="2H Mace" sheetId="14" r:id="rId56"/>
    <sheet name="Heist Brooch" sheetId="28" r:id="rId57"/>
    <sheet name="Heist Cloak" sheetId="51" r:id="rId58"/>
    <sheet name="Heist Gear" sheetId="52" r:id="rId59"/>
    <sheet name="Heist Target" sheetId="55" r:id="rId60"/>
    <sheet name="Heist Tool" sheetId="53" r:id="rId61"/>
    <sheet name="Heist Trinket" sheetId="65" r:id="rId62"/>
    <sheet name="Fishing Rod" sheetId="66" r:id="rId63"/>
    <sheet name="Charms" sheetId="67" r:id="rId64"/>
    <sheet name="Tinctures" sheetId="68" r:id="rId65"/>
    <sheet name="Corspes" sheetId="69" r:id="rId66"/>
  </sheets>
  <definedNames>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4" i="2" l="1"/>
  <c r="A114" i="2"/>
  <c r="T6" i="69"/>
  <c r="R6" i="69"/>
  <c r="P6" i="69"/>
  <c r="N6" i="69"/>
  <c r="L6" i="69"/>
  <c r="J6" i="69"/>
  <c r="H6" i="69"/>
  <c r="F6" i="69"/>
  <c r="D6" i="69"/>
  <c r="B6" i="69"/>
  <c r="T5" i="69"/>
  <c r="R5" i="69"/>
  <c r="P5" i="69"/>
  <c r="N5" i="69"/>
  <c r="L5" i="69"/>
  <c r="J5" i="69"/>
  <c r="H5" i="69"/>
  <c r="F5" i="69"/>
  <c r="D5" i="69"/>
  <c r="B5" i="69"/>
  <c r="T4" i="69"/>
  <c r="S114" i="2" s="1"/>
  <c r="T114" i="2" s="1"/>
  <c r="R4" i="69"/>
  <c r="Q114" i="2" s="1"/>
  <c r="R114" i="2" s="1"/>
  <c r="P4" i="69"/>
  <c r="O114" i="2" s="1"/>
  <c r="P114" i="2" s="1"/>
  <c r="N4" i="69"/>
  <c r="M114" i="2" s="1"/>
  <c r="N114" i="2" s="1"/>
  <c r="L4" i="69"/>
  <c r="K114" i="2" s="1"/>
  <c r="L114" i="2" s="1"/>
  <c r="J4" i="69"/>
  <c r="I114" i="2" s="1"/>
  <c r="J114" i="2" s="1"/>
  <c r="H4" i="69"/>
  <c r="G114" i="2" s="1"/>
  <c r="H114" i="2" s="1"/>
  <c r="F4" i="69"/>
  <c r="E114" i="2" s="1"/>
  <c r="F114" i="2" s="1"/>
  <c r="D4" i="69"/>
  <c r="C114" i="2" s="1"/>
  <c r="D114" i="2" s="1"/>
  <c r="B4" i="69"/>
  <c r="T3" i="69"/>
  <c r="R3" i="69"/>
  <c r="P3" i="69"/>
  <c r="N3" i="69"/>
  <c r="L3" i="69"/>
  <c r="J3" i="69"/>
  <c r="H3" i="69"/>
  <c r="F3" i="69"/>
  <c r="D3" i="69"/>
  <c r="B3" i="69"/>
  <c r="A1" i="69"/>
  <c r="S112" i="2"/>
  <c r="T112" i="2" s="1"/>
  <c r="Q112" i="2"/>
  <c r="R112" i="2" s="1"/>
  <c r="O112" i="2"/>
  <c r="P112" i="2" s="1"/>
  <c r="M113" i="2"/>
  <c r="N113" i="2" s="1"/>
  <c r="M112" i="2"/>
  <c r="K113" i="2"/>
  <c r="L113" i="2" s="1"/>
  <c r="C112" i="2"/>
  <c r="D112" i="2" s="1"/>
  <c r="A113" i="2"/>
  <c r="A112" i="2"/>
  <c r="B113" i="2"/>
  <c r="B112" i="2"/>
  <c r="T6" i="68"/>
  <c r="R6" i="68"/>
  <c r="P6" i="68"/>
  <c r="N6" i="68"/>
  <c r="L6" i="68"/>
  <c r="J6" i="68"/>
  <c r="H6" i="68"/>
  <c r="F6" i="68"/>
  <c r="D6" i="68"/>
  <c r="B6" i="68"/>
  <c r="T5" i="68"/>
  <c r="R5" i="68"/>
  <c r="P5" i="68"/>
  <c r="N5" i="68"/>
  <c r="L5" i="68"/>
  <c r="J5" i="68"/>
  <c r="H5" i="68"/>
  <c r="F5" i="68"/>
  <c r="D5" i="68"/>
  <c r="B5" i="68"/>
  <c r="T4" i="68"/>
  <c r="S113" i="2" s="1"/>
  <c r="T113" i="2" s="1"/>
  <c r="R4" i="68"/>
  <c r="Q113" i="2" s="1"/>
  <c r="R113" i="2" s="1"/>
  <c r="P4" i="68"/>
  <c r="O113" i="2" s="1"/>
  <c r="P113" i="2" s="1"/>
  <c r="N4" i="68"/>
  <c r="L4" i="68"/>
  <c r="J4" i="68"/>
  <c r="I113" i="2" s="1"/>
  <c r="J113" i="2" s="1"/>
  <c r="H4" i="68"/>
  <c r="G113" i="2" s="1"/>
  <c r="H113" i="2" s="1"/>
  <c r="F4" i="68"/>
  <c r="E113" i="2" s="1"/>
  <c r="F113" i="2" s="1"/>
  <c r="D4" i="68"/>
  <c r="C113" i="2" s="1"/>
  <c r="D113" i="2" s="1"/>
  <c r="B4" i="68"/>
  <c r="T3" i="68"/>
  <c r="R3" i="68"/>
  <c r="P3" i="68"/>
  <c r="N3" i="68"/>
  <c r="L3" i="68"/>
  <c r="J3" i="68"/>
  <c r="H3" i="68"/>
  <c r="F3" i="68"/>
  <c r="D3" i="68"/>
  <c r="B3" i="68"/>
  <c r="A1" i="68"/>
  <c r="N112" i="2"/>
  <c r="T6" i="67"/>
  <c r="R6" i="67"/>
  <c r="P6" i="67"/>
  <c r="N6" i="67"/>
  <c r="L6" i="67"/>
  <c r="J6" i="67"/>
  <c r="H6" i="67"/>
  <c r="F6" i="67"/>
  <c r="D6" i="67"/>
  <c r="B6" i="67"/>
  <c r="T5" i="67"/>
  <c r="R5" i="67"/>
  <c r="P5" i="67"/>
  <c r="N5" i="67"/>
  <c r="L5" i="67"/>
  <c r="J5" i="67"/>
  <c r="H5" i="67"/>
  <c r="F5" i="67"/>
  <c r="D5" i="67"/>
  <c r="B5" i="67"/>
  <c r="T4" i="67"/>
  <c r="R4" i="67"/>
  <c r="P4" i="67"/>
  <c r="N4" i="67"/>
  <c r="L4" i="67"/>
  <c r="K112" i="2" s="1"/>
  <c r="L112" i="2" s="1"/>
  <c r="J4" i="67"/>
  <c r="I112" i="2" s="1"/>
  <c r="J112" i="2" s="1"/>
  <c r="H4" i="67"/>
  <c r="G112" i="2" s="1"/>
  <c r="H112" i="2" s="1"/>
  <c r="F4" i="67"/>
  <c r="E112" i="2" s="1"/>
  <c r="F112" i="2" s="1"/>
  <c r="D4" i="67"/>
  <c r="B4" i="67"/>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F7" i="15"/>
  <c r="E49" i="2" s="1"/>
  <c r="F49" i="2" s="1"/>
  <c r="F7" i="41"/>
  <c r="D7" i="30"/>
  <c r="D7" i="15"/>
  <c r="D7" i="41"/>
  <c r="D7" i="43"/>
  <c r="D7" i="47"/>
  <c r="T89" i="2"/>
  <c r="T12" i="2"/>
  <c r="T11" i="2"/>
  <c r="T10" i="2"/>
  <c r="T9" i="2"/>
  <c r="T7" i="2"/>
  <c r="T5" i="2"/>
  <c r="T4" i="2"/>
  <c r="R12" i="2"/>
  <c r="R11" i="2"/>
  <c r="R10" i="2"/>
  <c r="R9" i="2"/>
  <c r="R7" i="2"/>
  <c r="R5" i="2"/>
  <c r="R4" i="2"/>
  <c r="P12" i="2"/>
  <c r="P11" i="2"/>
  <c r="P10" i="2"/>
  <c r="P9" i="2"/>
  <c r="P7" i="2"/>
  <c r="P5" i="2"/>
  <c r="P4" i="2"/>
  <c r="N12" i="2"/>
  <c r="N11" i="2"/>
  <c r="N10" i="2"/>
  <c r="N9" i="2"/>
  <c r="N7" i="2"/>
  <c r="N5" i="2"/>
  <c r="N4" i="2"/>
  <c r="L12" i="2"/>
  <c r="L11" i="2"/>
  <c r="L10" i="2"/>
  <c r="L9" i="2"/>
  <c r="L7" i="2"/>
  <c r="L5" i="2"/>
  <c r="L4" i="2"/>
  <c r="J12" i="2"/>
  <c r="J11" i="2"/>
  <c r="J10" i="2"/>
  <c r="J9" i="2"/>
  <c r="J7" i="2"/>
  <c r="J5" i="2"/>
  <c r="J4" i="2"/>
  <c r="F12" i="2"/>
  <c r="F11" i="2"/>
  <c r="F10" i="2"/>
  <c r="F9" i="2"/>
  <c r="F7" i="2"/>
  <c r="F5" i="2"/>
  <c r="F4" i="2"/>
  <c r="D12" i="2"/>
  <c r="D11" i="2"/>
  <c r="D10" i="2"/>
  <c r="D9" i="2"/>
  <c r="D7" i="2"/>
  <c r="D5" i="2"/>
  <c r="D4" i="2"/>
  <c r="H35" i="2"/>
  <c r="H34" i="2"/>
  <c r="H33" i="2"/>
  <c r="H12" i="2"/>
  <c r="H11" i="2"/>
  <c r="H10" i="2"/>
  <c r="H9" i="2"/>
  <c r="H7" i="2"/>
  <c r="H5" i="2"/>
  <c r="H4" i="2"/>
  <c r="H7" i="47"/>
  <c r="H10" i="29"/>
  <c r="H7" i="43"/>
  <c r="S115" i="2"/>
  <c r="T115" i="2" s="1"/>
  <c r="S111" i="2"/>
  <c r="T111" i="2" s="1"/>
  <c r="S110" i="2"/>
  <c r="T110" i="2" s="1"/>
  <c r="S109" i="2"/>
  <c r="T109" i="2" s="1"/>
  <c r="S108" i="2"/>
  <c r="T108" i="2" s="1"/>
  <c r="S107" i="2"/>
  <c r="T107" i="2" s="1"/>
  <c r="S106" i="2"/>
  <c r="T106" i="2" s="1"/>
  <c r="S105" i="2"/>
  <c r="T105" i="2" s="1"/>
  <c r="S104" i="2"/>
  <c r="T104" i="2" s="1"/>
  <c r="S103" i="2"/>
  <c r="T103" i="2" s="1"/>
  <c r="S102" i="2"/>
  <c r="T102" i="2" s="1"/>
  <c r="S101" i="2"/>
  <c r="T101" i="2" s="1"/>
  <c r="S100" i="2"/>
  <c r="T100" i="2" s="1"/>
  <c r="S99" i="2"/>
  <c r="T99" i="2" s="1"/>
  <c r="S98" i="2"/>
  <c r="T98" i="2" s="1"/>
  <c r="S97" i="2"/>
  <c r="T97" i="2" s="1"/>
  <c r="S96" i="2"/>
  <c r="T96" i="2" s="1"/>
  <c r="S95" i="2"/>
  <c r="T95" i="2" s="1"/>
  <c r="S94" i="2"/>
  <c r="T94" i="2" s="1"/>
  <c r="S93" i="2"/>
  <c r="T93" i="2" s="1"/>
  <c r="S92" i="2"/>
  <c r="T92" i="2" s="1"/>
  <c r="S91" i="2"/>
  <c r="T91" i="2" s="1"/>
  <c r="S90" i="2"/>
  <c r="T90" i="2" s="1"/>
  <c r="S89" i="2"/>
  <c r="S88" i="2"/>
  <c r="T88" i="2" s="1"/>
  <c r="S87" i="2"/>
  <c r="T87" i="2" s="1"/>
  <c r="S86" i="2"/>
  <c r="T86" i="2" s="1"/>
  <c r="S85" i="2"/>
  <c r="T85" i="2" s="1"/>
  <c r="S84" i="2"/>
  <c r="T84" i="2" s="1"/>
  <c r="S83" i="2"/>
  <c r="T83" i="2" s="1"/>
  <c r="S82" i="2"/>
  <c r="T82" i="2" s="1"/>
  <c r="S81" i="2"/>
  <c r="T81" i="2" s="1"/>
  <c r="S80" i="2"/>
  <c r="T80" i="2" s="1"/>
  <c r="S79" i="2"/>
  <c r="T79" i="2" s="1"/>
  <c r="S78" i="2"/>
  <c r="T78" i="2" s="1"/>
  <c r="S77" i="2"/>
  <c r="T77" i="2" s="1"/>
  <c r="S76" i="2"/>
  <c r="T76" i="2" s="1"/>
  <c r="S75" i="2"/>
  <c r="T75" i="2" s="1"/>
  <c r="S74" i="2"/>
  <c r="T74" i="2" s="1"/>
  <c r="S73" i="2"/>
  <c r="T73" i="2" s="1"/>
  <c r="S72" i="2"/>
  <c r="T72" i="2" s="1"/>
  <c r="S71" i="2"/>
  <c r="T71" i="2" s="1"/>
  <c r="S70" i="2"/>
  <c r="T70" i="2" s="1"/>
  <c r="S69" i="2"/>
  <c r="T69" i="2" s="1"/>
  <c r="S68" i="2"/>
  <c r="T68" i="2" s="1"/>
  <c r="S67" i="2"/>
  <c r="T67" i="2" s="1"/>
  <c r="S66" i="2"/>
  <c r="T66" i="2" s="1"/>
  <c r="S65" i="2"/>
  <c r="T65" i="2" s="1"/>
  <c r="S64" i="2"/>
  <c r="T64" i="2" s="1"/>
  <c r="S63" i="2"/>
  <c r="T63" i="2" s="1"/>
  <c r="S62" i="2"/>
  <c r="T62" i="2" s="1"/>
  <c r="S61" i="2"/>
  <c r="T61" i="2" s="1"/>
  <c r="S57" i="2"/>
  <c r="T57" i="2" s="1"/>
  <c r="S56" i="2"/>
  <c r="T56" i="2" s="1"/>
  <c r="S55" i="2"/>
  <c r="T55" i="2" s="1"/>
  <c r="S54" i="2"/>
  <c r="T54" i="2" s="1"/>
  <c r="S53" i="2"/>
  <c r="T53" i="2" s="1"/>
  <c r="S52" i="2"/>
  <c r="T52" i="2" s="1"/>
  <c r="S50" i="2"/>
  <c r="T50" i="2" s="1"/>
  <c r="S49" i="2"/>
  <c r="T49" i="2" s="1"/>
  <c r="S48" i="2"/>
  <c r="T48" i="2" s="1"/>
  <c r="S47" i="2"/>
  <c r="T47" i="2" s="1"/>
  <c r="S46" i="2"/>
  <c r="T46" i="2" s="1"/>
  <c r="S45" i="2"/>
  <c r="T45" i="2" s="1"/>
  <c r="S43" i="2"/>
  <c r="T43" i="2" s="1"/>
  <c r="S42" i="2"/>
  <c r="T42" i="2" s="1"/>
  <c r="S41" i="2"/>
  <c r="T41" i="2" s="1"/>
  <c r="S40" i="2"/>
  <c r="T40" i="2" s="1"/>
  <c r="S39" i="2"/>
  <c r="T39" i="2" s="1"/>
  <c r="S38" i="2"/>
  <c r="T38" i="2" s="1"/>
  <c r="S37" i="2"/>
  <c r="T37" i="2" s="1"/>
  <c r="S36" i="2"/>
  <c r="T36" i="2" s="1"/>
  <c r="S35" i="2"/>
  <c r="T35" i="2" s="1"/>
  <c r="S34" i="2"/>
  <c r="T34" i="2" s="1"/>
  <c r="S33" i="2"/>
  <c r="T33" i="2" s="1"/>
  <c r="S32" i="2"/>
  <c r="T32" i="2" s="1"/>
  <c r="S31" i="2"/>
  <c r="T31" i="2" s="1"/>
  <c r="S30" i="2"/>
  <c r="T30" i="2" s="1"/>
  <c r="S29" i="2"/>
  <c r="T29" i="2" s="1"/>
  <c r="S28" i="2"/>
  <c r="T28" i="2" s="1"/>
  <c r="S27" i="2"/>
  <c r="T27" i="2" s="1"/>
  <c r="S26" i="2"/>
  <c r="T26" i="2" s="1"/>
  <c r="S25" i="2"/>
  <c r="T25" i="2" s="1"/>
  <c r="S24" i="2"/>
  <c r="T24" i="2" s="1"/>
  <c r="S23" i="2"/>
  <c r="T23" i="2" s="1"/>
  <c r="S22" i="2"/>
  <c r="T22" i="2" s="1"/>
  <c r="S20" i="2"/>
  <c r="T20" i="2" s="1"/>
  <c r="S19" i="2"/>
  <c r="T19" i="2" s="1"/>
  <c r="S18" i="2"/>
  <c r="T18" i="2" s="1"/>
  <c r="S17" i="2"/>
  <c r="T17" i="2" s="1"/>
  <c r="S16" i="2"/>
  <c r="T16" i="2" s="1"/>
  <c r="S15" i="2"/>
  <c r="T15" i="2" s="1"/>
  <c r="S14" i="2"/>
  <c r="T14" i="2" s="1"/>
  <c r="Q109" i="2"/>
  <c r="R109" i="2" s="1"/>
  <c r="Q105" i="2"/>
  <c r="R105" i="2" s="1"/>
  <c r="Q103" i="2"/>
  <c r="R103" i="2" s="1"/>
  <c r="Q102" i="2"/>
  <c r="R102" i="2" s="1"/>
  <c r="Q101" i="2"/>
  <c r="R101" i="2" s="1"/>
  <c r="Q95" i="2"/>
  <c r="R95" i="2" s="1"/>
  <c r="Q91" i="2"/>
  <c r="R91" i="2" s="1"/>
  <c r="Q82" i="2"/>
  <c r="R82" i="2" s="1"/>
  <c r="Q78" i="2"/>
  <c r="R78" i="2" s="1"/>
  <c r="Q77" i="2"/>
  <c r="R77" i="2" s="1"/>
  <c r="Q75" i="2"/>
  <c r="R75" i="2" s="1"/>
  <c r="Q74" i="2"/>
  <c r="R74" i="2" s="1"/>
  <c r="Q71" i="2"/>
  <c r="R71" i="2" s="1"/>
  <c r="Q69" i="2"/>
  <c r="R69" i="2" s="1"/>
  <c r="Q68" i="2"/>
  <c r="R68" i="2" s="1"/>
  <c r="Q67" i="2"/>
  <c r="R67" i="2" s="1"/>
  <c r="Q66" i="2"/>
  <c r="R66" i="2" s="1"/>
  <c r="Q64" i="2"/>
  <c r="R64" i="2" s="1"/>
  <c r="Q57" i="2"/>
  <c r="R57" i="2" s="1"/>
  <c r="Q56" i="2"/>
  <c r="R56" i="2" s="1"/>
  <c r="Q54" i="2"/>
  <c r="R54" i="2" s="1"/>
  <c r="Q52" i="2"/>
  <c r="R52" i="2" s="1"/>
  <c r="Q49" i="2"/>
  <c r="R49" i="2" s="1"/>
  <c r="Q48" i="2"/>
  <c r="R48" i="2" s="1"/>
  <c r="Q45" i="2"/>
  <c r="R45" i="2" s="1"/>
  <c r="Q41" i="2"/>
  <c r="R41" i="2" s="1"/>
  <c r="Q40" i="2"/>
  <c r="R40" i="2" s="1"/>
  <c r="Q39" i="2"/>
  <c r="R39" i="2" s="1"/>
  <c r="Q33" i="2"/>
  <c r="R33" i="2" s="1"/>
  <c r="Q30" i="2"/>
  <c r="R30" i="2" s="1"/>
  <c r="Q29" i="2"/>
  <c r="R29" i="2" s="1"/>
  <c r="Q26" i="2"/>
  <c r="R26" i="2" s="1"/>
  <c r="Q25" i="2"/>
  <c r="R25" i="2" s="1"/>
  <c r="Q24" i="2"/>
  <c r="R24" i="2" s="1"/>
  <c r="Q22" i="2"/>
  <c r="R22" i="2" s="1"/>
  <c r="Q16" i="2"/>
  <c r="R16" i="2" s="1"/>
  <c r="Q15" i="2"/>
  <c r="R15" i="2" s="1"/>
  <c r="O105" i="2"/>
  <c r="P105" i="2" s="1"/>
  <c r="O99" i="2"/>
  <c r="P99" i="2" s="1"/>
  <c r="O97" i="2"/>
  <c r="P97" i="2" s="1"/>
  <c r="O96" i="2"/>
  <c r="P96" i="2" s="1"/>
  <c r="O92" i="2"/>
  <c r="P92" i="2" s="1"/>
  <c r="O91" i="2"/>
  <c r="P91" i="2" s="1"/>
  <c r="O89" i="2"/>
  <c r="P89" i="2" s="1"/>
  <c r="O86" i="2"/>
  <c r="P86" i="2" s="1"/>
  <c r="O83" i="2"/>
  <c r="P83" i="2" s="1"/>
  <c r="O82" i="2"/>
  <c r="P82" i="2" s="1"/>
  <c r="O81" i="2"/>
  <c r="P81" i="2" s="1"/>
  <c r="O77" i="2"/>
  <c r="P77" i="2" s="1"/>
  <c r="O71" i="2"/>
  <c r="P71" i="2" s="1"/>
  <c r="O68" i="2"/>
  <c r="P68" i="2" s="1"/>
  <c r="O65" i="2"/>
  <c r="P65" i="2" s="1"/>
  <c r="O62" i="2"/>
  <c r="P62" i="2" s="1"/>
  <c r="O61" i="2"/>
  <c r="P61" i="2" s="1"/>
  <c r="O54" i="2"/>
  <c r="P54" i="2" s="1"/>
  <c r="O53" i="2"/>
  <c r="P53" i="2" s="1"/>
  <c r="O52" i="2"/>
  <c r="P52" i="2" s="1"/>
  <c r="O48" i="2"/>
  <c r="P48" i="2" s="1"/>
  <c r="O46" i="2"/>
  <c r="P46" i="2" s="1"/>
  <c r="O43" i="2"/>
  <c r="P43" i="2" s="1"/>
  <c r="O42" i="2"/>
  <c r="P42" i="2" s="1"/>
  <c r="O41" i="2"/>
  <c r="P41" i="2" s="1"/>
  <c r="O39" i="2"/>
  <c r="P39" i="2" s="1"/>
  <c r="O38" i="2"/>
  <c r="P38" i="2" s="1"/>
  <c r="O37" i="2"/>
  <c r="P37" i="2" s="1"/>
  <c r="O33" i="2"/>
  <c r="P33" i="2" s="1"/>
  <c r="O32" i="2"/>
  <c r="P32" i="2" s="1"/>
  <c r="O27" i="2"/>
  <c r="P27" i="2" s="1"/>
  <c r="O26" i="2"/>
  <c r="P26" i="2" s="1"/>
  <c r="O25" i="2"/>
  <c r="P25" i="2" s="1"/>
  <c r="O23" i="2"/>
  <c r="P23" i="2" s="1"/>
  <c r="O19" i="2"/>
  <c r="P19" i="2" s="1"/>
  <c r="O18" i="2"/>
  <c r="P18" i="2" s="1"/>
  <c r="O16" i="2"/>
  <c r="P16" i="2" s="1"/>
  <c r="M115" i="2"/>
  <c r="N115" i="2" s="1"/>
  <c r="M111" i="2"/>
  <c r="N111" i="2" s="1"/>
  <c r="M110" i="2"/>
  <c r="N110" i="2" s="1"/>
  <c r="M107" i="2"/>
  <c r="N107" i="2" s="1"/>
  <c r="M105" i="2"/>
  <c r="N105" i="2" s="1"/>
  <c r="M104" i="2"/>
  <c r="N104" i="2" s="1"/>
  <c r="M103" i="2"/>
  <c r="N103" i="2" s="1"/>
  <c r="M102" i="2"/>
  <c r="N102" i="2" s="1"/>
  <c r="M100" i="2"/>
  <c r="N100" i="2" s="1"/>
  <c r="M99" i="2"/>
  <c r="N99" i="2" s="1"/>
  <c r="M97" i="2"/>
  <c r="N97" i="2" s="1"/>
  <c r="M96" i="2"/>
  <c r="N96" i="2" s="1"/>
  <c r="M95" i="2"/>
  <c r="N95" i="2" s="1"/>
  <c r="M93" i="2"/>
  <c r="N93" i="2" s="1"/>
  <c r="M91" i="2"/>
  <c r="N91" i="2" s="1"/>
  <c r="M90" i="2"/>
  <c r="N90" i="2" s="1"/>
  <c r="M86" i="2"/>
  <c r="N86" i="2" s="1"/>
  <c r="M85" i="2"/>
  <c r="N85" i="2" s="1"/>
  <c r="M82" i="2"/>
  <c r="N82" i="2" s="1"/>
  <c r="M79" i="2"/>
  <c r="N79" i="2" s="1"/>
  <c r="M75" i="2"/>
  <c r="N75" i="2" s="1"/>
  <c r="M74" i="2"/>
  <c r="N74" i="2" s="1"/>
  <c r="M71" i="2"/>
  <c r="N71" i="2" s="1"/>
  <c r="M67" i="2"/>
  <c r="N67" i="2" s="1"/>
  <c r="M63" i="2"/>
  <c r="N63" i="2" s="1"/>
  <c r="M62" i="2"/>
  <c r="N62" i="2" s="1"/>
  <c r="M53" i="2"/>
  <c r="N53" i="2" s="1"/>
  <c r="M52" i="2"/>
  <c r="N52" i="2" s="1"/>
  <c r="M50" i="2"/>
  <c r="N50" i="2" s="1"/>
  <c r="M49" i="2"/>
  <c r="N49" i="2" s="1"/>
  <c r="M48" i="2"/>
  <c r="N48" i="2" s="1"/>
  <c r="M47" i="2"/>
  <c r="N47" i="2" s="1"/>
  <c r="M46" i="2"/>
  <c r="N46" i="2" s="1"/>
  <c r="M45" i="2"/>
  <c r="N45" i="2" s="1"/>
  <c r="M43" i="2"/>
  <c r="N43" i="2" s="1"/>
  <c r="M42" i="2"/>
  <c r="N42" i="2" s="1"/>
  <c r="M41" i="2"/>
  <c r="N41" i="2" s="1"/>
  <c r="M40" i="2"/>
  <c r="N40" i="2" s="1"/>
  <c r="M39" i="2"/>
  <c r="N39" i="2" s="1"/>
  <c r="M35" i="2"/>
  <c r="N35" i="2" s="1"/>
  <c r="M33" i="2"/>
  <c r="N33" i="2" s="1"/>
  <c r="M29" i="2"/>
  <c r="N29" i="2" s="1"/>
  <c r="M26" i="2"/>
  <c r="N26" i="2" s="1"/>
  <c r="M25" i="2"/>
  <c r="N25" i="2" s="1"/>
  <c r="M24" i="2"/>
  <c r="N24" i="2" s="1"/>
  <c r="M22" i="2"/>
  <c r="N22" i="2" s="1"/>
  <c r="M20" i="2"/>
  <c r="N20" i="2" s="1"/>
  <c r="M18" i="2"/>
  <c r="N18" i="2" s="1"/>
  <c r="M15" i="2"/>
  <c r="N15" i="2" s="1"/>
  <c r="K110" i="2"/>
  <c r="L110" i="2" s="1"/>
  <c r="K108" i="2"/>
  <c r="L108" i="2" s="1"/>
  <c r="K107" i="2"/>
  <c r="L107" i="2" s="1"/>
  <c r="K105" i="2"/>
  <c r="L105" i="2" s="1"/>
  <c r="K103" i="2"/>
  <c r="L103" i="2" s="1"/>
  <c r="K99" i="2"/>
  <c r="L99" i="2" s="1"/>
  <c r="K98" i="2"/>
  <c r="L98" i="2" s="1"/>
  <c r="K96" i="2"/>
  <c r="L96" i="2" s="1"/>
  <c r="K94" i="2"/>
  <c r="L94" i="2" s="1"/>
  <c r="K92" i="2"/>
  <c r="L92" i="2" s="1"/>
  <c r="K91" i="2"/>
  <c r="L91" i="2" s="1"/>
  <c r="K90" i="2"/>
  <c r="L90" i="2" s="1"/>
  <c r="K83" i="2"/>
  <c r="L83" i="2" s="1"/>
  <c r="K79" i="2"/>
  <c r="L79" i="2" s="1"/>
  <c r="K77" i="2"/>
  <c r="L77" i="2" s="1"/>
  <c r="K75" i="2"/>
  <c r="L75" i="2" s="1"/>
  <c r="K72" i="2"/>
  <c r="L72" i="2" s="1"/>
  <c r="K71" i="2"/>
  <c r="L71" i="2" s="1"/>
  <c r="K70" i="2"/>
  <c r="L70" i="2" s="1"/>
  <c r="K69" i="2"/>
  <c r="L69" i="2" s="1"/>
  <c r="K68" i="2"/>
  <c r="L68" i="2" s="1"/>
  <c r="K66" i="2"/>
  <c r="L66" i="2" s="1"/>
  <c r="K64" i="2"/>
  <c r="L64" i="2" s="1"/>
  <c r="K63" i="2"/>
  <c r="L63" i="2" s="1"/>
  <c r="K61" i="2"/>
  <c r="L61" i="2" s="1"/>
  <c r="K57" i="2"/>
  <c r="L57" i="2" s="1"/>
  <c r="K55" i="2"/>
  <c r="L55" i="2" s="1"/>
  <c r="K52" i="2"/>
  <c r="L52" i="2" s="1"/>
  <c r="K50" i="2"/>
  <c r="L50" i="2" s="1"/>
  <c r="K47" i="2"/>
  <c r="L47" i="2" s="1"/>
  <c r="K43" i="2"/>
  <c r="L43" i="2" s="1"/>
  <c r="K42" i="2"/>
  <c r="L42" i="2" s="1"/>
  <c r="K39" i="2"/>
  <c r="L39" i="2" s="1"/>
  <c r="K37" i="2"/>
  <c r="L37" i="2" s="1"/>
  <c r="K33" i="2"/>
  <c r="L33" i="2" s="1"/>
  <c r="K32" i="2"/>
  <c r="L32" i="2" s="1"/>
  <c r="K28" i="2"/>
  <c r="L28" i="2" s="1"/>
  <c r="K27" i="2"/>
  <c r="L27" i="2" s="1"/>
  <c r="K25" i="2"/>
  <c r="L25" i="2" s="1"/>
  <c r="K23" i="2"/>
  <c r="L23" i="2" s="1"/>
  <c r="K22" i="2"/>
  <c r="L22" i="2" s="1"/>
  <c r="K14" i="2"/>
  <c r="L14" i="2" s="1"/>
  <c r="I115" i="2"/>
  <c r="J115" i="2" s="1"/>
  <c r="I110" i="2"/>
  <c r="J110" i="2" s="1"/>
  <c r="I107" i="2"/>
  <c r="J107" i="2" s="1"/>
  <c r="I105" i="2"/>
  <c r="J105" i="2" s="1"/>
  <c r="I103" i="2"/>
  <c r="J103" i="2" s="1"/>
  <c r="I102" i="2"/>
  <c r="J102" i="2" s="1"/>
  <c r="I101" i="2"/>
  <c r="J101" i="2" s="1"/>
  <c r="I99" i="2"/>
  <c r="J99" i="2" s="1"/>
  <c r="I98" i="2"/>
  <c r="J98" i="2" s="1"/>
  <c r="I91" i="2"/>
  <c r="J91" i="2" s="1"/>
  <c r="I89" i="2"/>
  <c r="J89" i="2" s="1"/>
  <c r="I86" i="2"/>
  <c r="J86" i="2" s="1"/>
  <c r="I84" i="2"/>
  <c r="J84" i="2" s="1"/>
  <c r="I80" i="2"/>
  <c r="J80" i="2" s="1"/>
  <c r="I79" i="2"/>
  <c r="J79" i="2" s="1"/>
  <c r="I78" i="2"/>
  <c r="J78" i="2" s="1"/>
  <c r="I77" i="2"/>
  <c r="J77" i="2" s="1"/>
  <c r="I75" i="2"/>
  <c r="J75" i="2" s="1"/>
  <c r="I74" i="2"/>
  <c r="J74" i="2" s="1"/>
  <c r="I71" i="2"/>
  <c r="J71" i="2" s="1"/>
  <c r="I66" i="2"/>
  <c r="J66" i="2" s="1"/>
  <c r="I63" i="2"/>
  <c r="J63" i="2" s="1"/>
  <c r="I57" i="2"/>
  <c r="J57" i="2" s="1"/>
  <c r="I55" i="2"/>
  <c r="J55" i="2" s="1"/>
  <c r="I52" i="2"/>
  <c r="J52" i="2" s="1"/>
  <c r="I50" i="2"/>
  <c r="J50" i="2" s="1"/>
  <c r="I49" i="2"/>
  <c r="J49" i="2" s="1"/>
  <c r="I38" i="2"/>
  <c r="J38" i="2" s="1"/>
  <c r="I35" i="2"/>
  <c r="J35" i="2" s="1"/>
  <c r="I34" i="2"/>
  <c r="J34" i="2" s="1"/>
  <c r="I33" i="2"/>
  <c r="J33" i="2" s="1"/>
  <c r="I32" i="2"/>
  <c r="J32" i="2" s="1"/>
  <c r="I30" i="2"/>
  <c r="J30" i="2" s="1"/>
  <c r="I28" i="2"/>
  <c r="J28" i="2" s="1"/>
  <c r="I27" i="2"/>
  <c r="J27" i="2" s="1"/>
  <c r="I25" i="2"/>
  <c r="J25" i="2" s="1"/>
  <c r="I19" i="2"/>
  <c r="J19" i="2" s="1"/>
  <c r="I17" i="2"/>
  <c r="J17" i="2" s="1"/>
  <c r="G115" i="2"/>
  <c r="H115" i="2" s="1"/>
  <c r="G111" i="2"/>
  <c r="H111" i="2" s="1"/>
  <c r="G110" i="2"/>
  <c r="H110" i="2" s="1"/>
  <c r="G109" i="2"/>
  <c r="H109" i="2" s="1"/>
  <c r="G108" i="2"/>
  <c r="H108" i="2" s="1"/>
  <c r="G107" i="2"/>
  <c r="H107" i="2" s="1"/>
  <c r="G106" i="2"/>
  <c r="H106" i="2" s="1"/>
  <c r="G105" i="2"/>
  <c r="H105" i="2" s="1"/>
  <c r="G104" i="2"/>
  <c r="H104" i="2" s="1"/>
  <c r="G103" i="2"/>
  <c r="H103" i="2" s="1"/>
  <c r="G102" i="2"/>
  <c r="H102" i="2" s="1"/>
  <c r="G101" i="2"/>
  <c r="H101" i="2" s="1"/>
  <c r="G100" i="2"/>
  <c r="H100" i="2" s="1"/>
  <c r="G99" i="2"/>
  <c r="H99" i="2" s="1"/>
  <c r="G98" i="2"/>
  <c r="H98" i="2" s="1"/>
  <c r="G97" i="2"/>
  <c r="H97" i="2" s="1"/>
  <c r="G96" i="2"/>
  <c r="H96" i="2" s="1"/>
  <c r="G95" i="2"/>
  <c r="H95" i="2" s="1"/>
  <c r="G94" i="2"/>
  <c r="H94" i="2" s="1"/>
  <c r="G93" i="2"/>
  <c r="H93" i="2" s="1"/>
  <c r="G92" i="2"/>
  <c r="H92" i="2" s="1"/>
  <c r="G91" i="2"/>
  <c r="H91" i="2" s="1"/>
  <c r="G90" i="2"/>
  <c r="H90" i="2" s="1"/>
  <c r="G89" i="2"/>
  <c r="H89" i="2" s="1"/>
  <c r="G88" i="2"/>
  <c r="H88" i="2" s="1"/>
  <c r="G87" i="2"/>
  <c r="H87" i="2" s="1"/>
  <c r="G86" i="2"/>
  <c r="H86" i="2" s="1"/>
  <c r="G85" i="2"/>
  <c r="H85" i="2" s="1"/>
  <c r="G84" i="2"/>
  <c r="H84" i="2" s="1"/>
  <c r="G83" i="2"/>
  <c r="H83" i="2" s="1"/>
  <c r="G82" i="2"/>
  <c r="H82" i="2" s="1"/>
  <c r="G81" i="2"/>
  <c r="H81" i="2" s="1"/>
  <c r="G80" i="2"/>
  <c r="H80" i="2" s="1"/>
  <c r="G79" i="2"/>
  <c r="H79" i="2" s="1"/>
  <c r="G78" i="2"/>
  <c r="H78" i="2" s="1"/>
  <c r="G77" i="2"/>
  <c r="H77" i="2" s="1"/>
  <c r="G76" i="2"/>
  <c r="H76" i="2" s="1"/>
  <c r="G75" i="2"/>
  <c r="H75" i="2" s="1"/>
  <c r="G74" i="2"/>
  <c r="H74" i="2" s="1"/>
  <c r="G73" i="2"/>
  <c r="H73" i="2" s="1"/>
  <c r="G72" i="2"/>
  <c r="H72" i="2" s="1"/>
  <c r="G71" i="2"/>
  <c r="H71" i="2" s="1"/>
  <c r="G70" i="2"/>
  <c r="H70" i="2" s="1"/>
  <c r="G69" i="2"/>
  <c r="H69" i="2" s="1"/>
  <c r="G68" i="2"/>
  <c r="H68" i="2" s="1"/>
  <c r="G67" i="2"/>
  <c r="H67" i="2" s="1"/>
  <c r="G66" i="2"/>
  <c r="H66" i="2" s="1"/>
  <c r="G65" i="2"/>
  <c r="H65" i="2" s="1"/>
  <c r="G64" i="2"/>
  <c r="H64" i="2" s="1"/>
  <c r="G63" i="2"/>
  <c r="H63" i="2" s="1"/>
  <c r="G62" i="2"/>
  <c r="H62" i="2" s="1"/>
  <c r="G61" i="2"/>
  <c r="H61" i="2" s="1"/>
  <c r="G57" i="2"/>
  <c r="H57" i="2" s="1"/>
  <c r="G56" i="2"/>
  <c r="H56" i="2" s="1"/>
  <c r="G55" i="2"/>
  <c r="H55" i="2" s="1"/>
  <c r="G54" i="2"/>
  <c r="H54" i="2" s="1"/>
  <c r="G53" i="2"/>
  <c r="H53" i="2" s="1"/>
  <c r="G52" i="2"/>
  <c r="H52" i="2" s="1"/>
  <c r="G50" i="2"/>
  <c r="H50" i="2" s="1"/>
  <c r="G49" i="2"/>
  <c r="H49" i="2" s="1"/>
  <c r="G48" i="2"/>
  <c r="H48" i="2" s="1"/>
  <c r="G47" i="2"/>
  <c r="H47" i="2" s="1"/>
  <c r="G46" i="2"/>
  <c r="H46" i="2" s="1"/>
  <c r="G45" i="2"/>
  <c r="H45" i="2" s="1"/>
  <c r="G43" i="2"/>
  <c r="H43" i="2" s="1"/>
  <c r="G42" i="2"/>
  <c r="H42" i="2" s="1"/>
  <c r="G41" i="2"/>
  <c r="H41" i="2" s="1"/>
  <c r="G40" i="2"/>
  <c r="H40" i="2" s="1"/>
  <c r="G39" i="2"/>
  <c r="H39" i="2" s="1"/>
  <c r="G38" i="2"/>
  <c r="H38" i="2" s="1"/>
  <c r="G37" i="2"/>
  <c r="H37" i="2" s="1"/>
  <c r="G36" i="2"/>
  <c r="H36" i="2" s="1"/>
  <c r="G35" i="2"/>
  <c r="G34" i="2"/>
  <c r="G33" i="2"/>
  <c r="G32" i="2"/>
  <c r="H32" i="2" s="1"/>
  <c r="G31" i="2"/>
  <c r="H31" i="2" s="1"/>
  <c r="G30" i="2"/>
  <c r="H30" i="2" s="1"/>
  <c r="G29" i="2"/>
  <c r="H29" i="2" s="1"/>
  <c r="G28" i="2"/>
  <c r="H28" i="2" s="1"/>
  <c r="G27" i="2"/>
  <c r="H27" i="2" s="1"/>
  <c r="G26" i="2"/>
  <c r="H26" i="2" s="1"/>
  <c r="G25" i="2"/>
  <c r="H25" i="2" s="1"/>
  <c r="G24" i="2"/>
  <c r="H24" i="2" s="1"/>
  <c r="G23" i="2"/>
  <c r="H23" i="2" s="1"/>
  <c r="G22" i="2"/>
  <c r="H22" i="2" s="1"/>
  <c r="G20" i="2"/>
  <c r="H20" i="2" s="1"/>
  <c r="G19" i="2"/>
  <c r="H19" i="2" s="1"/>
  <c r="G18" i="2"/>
  <c r="H18" i="2" s="1"/>
  <c r="G17" i="2"/>
  <c r="H17" i="2" s="1"/>
  <c r="G16" i="2"/>
  <c r="H16" i="2" s="1"/>
  <c r="G15" i="2"/>
  <c r="H15" i="2" s="1"/>
  <c r="G14" i="2"/>
  <c r="H14" i="2" s="1"/>
  <c r="E115" i="2"/>
  <c r="F115" i="2" s="1"/>
  <c r="E108" i="2"/>
  <c r="F108" i="2" s="1"/>
  <c r="E106" i="2"/>
  <c r="F106" i="2" s="1"/>
  <c r="E105" i="2"/>
  <c r="F105" i="2" s="1"/>
  <c r="E102" i="2"/>
  <c r="F102" i="2" s="1"/>
  <c r="E101" i="2"/>
  <c r="F101" i="2" s="1"/>
  <c r="E100" i="2"/>
  <c r="F100" i="2" s="1"/>
  <c r="E99" i="2"/>
  <c r="F99" i="2" s="1"/>
  <c r="E98" i="2"/>
  <c r="F98" i="2" s="1"/>
  <c r="E95" i="2"/>
  <c r="F95" i="2" s="1"/>
  <c r="E94" i="2"/>
  <c r="F94" i="2" s="1"/>
  <c r="E92" i="2"/>
  <c r="F92" i="2" s="1"/>
  <c r="E89" i="2"/>
  <c r="F89" i="2" s="1"/>
  <c r="E87" i="2"/>
  <c r="F87" i="2" s="1"/>
  <c r="E86" i="2"/>
  <c r="F86" i="2" s="1"/>
  <c r="E84" i="2"/>
  <c r="F84" i="2" s="1"/>
  <c r="E78" i="2"/>
  <c r="F78" i="2" s="1"/>
  <c r="E76" i="2"/>
  <c r="F76" i="2" s="1"/>
  <c r="E73" i="2"/>
  <c r="F73" i="2" s="1"/>
  <c r="E72" i="2"/>
  <c r="F72" i="2" s="1"/>
  <c r="E69" i="2"/>
  <c r="F69" i="2" s="1"/>
  <c r="E68" i="2"/>
  <c r="F68" i="2" s="1"/>
  <c r="E67" i="2"/>
  <c r="F67" i="2" s="1"/>
  <c r="E63" i="2"/>
  <c r="F63" i="2" s="1"/>
  <c r="E62" i="2"/>
  <c r="F62" i="2" s="1"/>
  <c r="E61" i="2"/>
  <c r="F61" i="2" s="1"/>
  <c r="E54" i="2"/>
  <c r="F54" i="2" s="1"/>
  <c r="E52" i="2"/>
  <c r="F52" i="2" s="1"/>
  <c r="E47" i="2"/>
  <c r="F47" i="2" s="1"/>
  <c r="E45" i="2"/>
  <c r="F45" i="2" s="1"/>
  <c r="E43" i="2"/>
  <c r="F43" i="2" s="1"/>
  <c r="E39" i="2"/>
  <c r="F39" i="2" s="1"/>
  <c r="E33" i="2"/>
  <c r="F33" i="2" s="1"/>
  <c r="E29" i="2"/>
  <c r="F29" i="2" s="1"/>
  <c r="E28" i="2"/>
  <c r="F28" i="2" s="1"/>
  <c r="E27" i="2"/>
  <c r="F27" i="2" s="1"/>
  <c r="E25" i="2"/>
  <c r="F25" i="2" s="1"/>
  <c r="E22" i="2"/>
  <c r="F22" i="2" s="1"/>
  <c r="E20" i="2"/>
  <c r="F20" i="2" s="1"/>
  <c r="E18" i="2"/>
  <c r="F18" i="2" s="1"/>
  <c r="E17" i="2"/>
  <c r="F17" i="2" s="1"/>
  <c r="E15" i="2"/>
  <c r="F15" i="2" s="1"/>
  <c r="E14" i="2"/>
  <c r="F14" i="2" s="1"/>
  <c r="C115" i="2"/>
  <c r="D115" i="2" s="1"/>
  <c r="C111" i="2"/>
  <c r="D111" i="2" s="1"/>
  <c r="C110" i="2"/>
  <c r="D110" i="2" s="1"/>
  <c r="C109" i="2"/>
  <c r="D109" i="2" s="1"/>
  <c r="C108" i="2"/>
  <c r="D108" i="2" s="1"/>
  <c r="C105" i="2"/>
  <c r="D105" i="2" s="1"/>
  <c r="C104" i="2"/>
  <c r="D104" i="2" s="1"/>
  <c r="C102" i="2"/>
  <c r="D102" i="2" s="1"/>
  <c r="C100" i="2"/>
  <c r="D100" i="2" s="1"/>
  <c r="C97" i="2"/>
  <c r="D97" i="2" s="1"/>
  <c r="C96" i="2"/>
  <c r="D96" i="2" s="1"/>
  <c r="C94" i="2"/>
  <c r="D94" i="2" s="1"/>
  <c r="C93" i="2"/>
  <c r="D93" i="2" s="1"/>
  <c r="C92" i="2"/>
  <c r="D92" i="2" s="1"/>
  <c r="C91" i="2"/>
  <c r="D91" i="2" s="1"/>
  <c r="C86" i="2"/>
  <c r="D86" i="2" s="1"/>
  <c r="C85" i="2"/>
  <c r="D85" i="2" s="1"/>
  <c r="C84" i="2"/>
  <c r="D84" i="2" s="1"/>
  <c r="C81" i="2"/>
  <c r="D81" i="2" s="1"/>
  <c r="C80" i="2"/>
  <c r="D80" i="2" s="1"/>
  <c r="C79" i="2"/>
  <c r="D79" i="2" s="1"/>
  <c r="C78" i="2"/>
  <c r="D78" i="2" s="1"/>
  <c r="C76" i="2"/>
  <c r="D76" i="2" s="1"/>
  <c r="C75" i="2"/>
  <c r="D75" i="2" s="1"/>
  <c r="C74" i="2"/>
  <c r="D74" i="2" s="1"/>
  <c r="C71" i="2"/>
  <c r="D71" i="2" s="1"/>
  <c r="C70" i="2"/>
  <c r="D70" i="2" s="1"/>
  <c r="C68" i="2"/>
  <c r="D68" i="2" s="1"/>
  <c r="C67" i="2"/>
  <c r="D67" i="2" s="1"/>
  <c r="C64" i="2"/>
  <c r="D64" i="2" s="1"/>
  <c r="C62" i="2"/>
  <c r="D62" i="2" s="1"/>
  <c r="C61" i="2"/>
  <c r="D61" i="2" s="1"/>
  <c r="C47" i="2"/>
  <c r="D47" i="2" s="1"/>
  <c r="C46" i="2"/>
  <c r="D46" i="2" s="1"/>
  <c r="C43" i="2"/>
  <c r="D43" i="2" s="1"/>
  <c r="C41" i="2"/>
  <c r="D41" i="2" s="1"/>
  <c r="C40" i="2"/>
  <c r="D40" i="2" s="1"/>
  <c r="C37" i="2"/>
  <c r="D37" i="2" s="1"/>
  <c r="C36" i="2"/>
  <c r="D36" i="2" s="1"/>
  <c r="C34" i="2"/>
  <c r="D34" i="2" s="1"/>
  <c r="C32" i="2"/>
  <c r="D32" i="2" s="1"/>
  <c r="C31" i="2"/>
  <c r="D31" i="2" s="1"/>
  <c r="C30" i="2"/>
  <c r="D30" i="2" s="1"/>
  <c r="C28" i="2"/>
  <c r="D28" i="2" s="1"/>
  <c r="C27" i="2"/>
  <c r="D27" i="2" s="1"/>
  <c r="C22" i="2"/>
  <c r="D22" i="2" s="1"/>
  <c r="C18" i="2"/>
  <c r="D18" i="2" s="1"/>
  <c r="C16" i="2"/>
  <c r="D16" i="2" s="1"/>
  <c r="A103" i="2"/>
  <c r="B103" i="2" s="1"/>
  <c r="T6" i="66"/>
  <c r="R6" i="66"/>
  <c r="P6" i="66"/>
  <c r="N6" i="66"/>
  <c r="L6" i="66"/>
  <c r="J6" i="66"/>
  <c r="H6" i="66"/>
  <c r="F6" i="66"/>
  <c r="D6" i="66"/>
  <c r="B6" i="66"/>
  <c r="T5" i="66"/>
  <c r="R5" i="66"/>
  <c r="P5" i="66"/>
  <c r="N5" i="66"/>
  <c r="L5" i="66"/>
  <c r="J5" i="66"/>
  <c r="H5" i="66"/>
  <c r="F5" i="66"/>
  <c r="D5" i="66"/>
  <c r="B5" i="66"/>
  <c r="T4" i="66"/>
  <c r="R4" i="66"/>
  <c r="P4" i="66"/>
  <c r="O103" i="2" s="1"/>
  <c r="P103" i="2" s="1"/>
  <c r="N4" i="66"/>
  <c r="L4" i="66"/>
  <c r="J4" i="66"/>
  <c r="H4" i="66"/>
  <c r="F4" i="66"/>
  <c r="E103" i="2" s="1"/>
  <c r="F103" i="2" s="1"/>
  <c r="D4" i="66"/>
  <c r="C103" i="2" s="1"/>
  <c r="D103" i="2" s="1"/>
  <c r="B4" i="66"/>
  <c r="T3" i="66"/>
  <c r="R3" i="66"/>
  <c r="P3" i="66"/>
  <c r="N3" i="66"/>
  <c r="L3" i="66"/>
  <c r="J3" i="66"/>
  <c r="H3" i="66"/>
  <c r="F3" i="66"/>
  <c r="D3" i="66"/>
  <c r="B3" i="66"/>
  <c r="A1" i="66"/>
  <c r="A109" i="2"/>
  <c r="B109" i="2" s="1"/>
  <c r="T6" i="65"/>
  <c r="R6" i="65"/>
  <c r="P6" i="65"/>
  <c r="N6" i="65"/>
  <c r="L6" i="65"/>
  <c r="J6" i="65"/>
  <c r="H6" i="65"/>
  <c r="F6" i="65"/>
  <c r="D6" i="65"/>
  <c r="B6" i="65"/>
  <c r="T5" i="65"/>
  <c r="R5" i="65"/>
  <c r="P5" i="65"/>
  <c r="N5" i="65"/>
  <c r="L5" i="65"/>
  <c r="J5" i="65"/>
  <c r="H5" i="65"/>
  <c r="F5" i="65"/>
  <c r="D5" i="65"/>
  <c r="B5" i="65"/>
  <c r="T4" i="65"/>
  <c r="R4" i="65"/>
  <c r="P4" i="65"/>
  <c r="O109" i="2" s="1"/>
  <c r="P109" i="2" s="1"/>
  <c r="N4" i="65"/>
  <c r="M109" i="2" s="1"/>
  <c r="N109" i="2" s="1"/>
  <c r="L4" i="65"/>
  <c r="K109" i="2" s="1"/>
  <c r="L109" i="2" s="1"/>
  <c r="J4" i="65"/>
  <c r="I109" i="2" s="1"/>
  <c r="J109" i="2" s="1"/>
  <c r="H4" i="65"/>
  <c r="F4" i="65"/>
  <c r="E109" i="2" s="1"/>
  <c r="F109" i="2" s="1"/>
  <c r="D4" i="65"/>
  <c r="B4" i="65"/>
  <c r="T3" i="65"/>
  <c r="R3" i="65"/>
  <c r="P3" i="65"/>
  <c r="N3" i="65"/>
  <c r="L3" i="65"/>
  <c r="J3" i="65"/>
  <c r="H3" i="65"/>
  <c r="F3" i="65"/>
  <c r="D3" i="65"/>
  <c r="B3" i="65"/>
  <c r="A1" i="65"/>
  <c r="G26" i="19" a="1"/>
  <c r="G26" i="19" s="1"/>
  <c r="G23" i="21"/>
  <c r="G17" i="46" a="1"/>
  <c r="G17" i="46" s="1"/>
  <c r="A115" i="2"/>
  <c r="B115" i="2" s="1"/>
  <c r="T6" i="64"/>
  <c r="R6" i="64"/>
  <c r="P6" i="64"/>
  <c r="N6" i="64"/>
  <c r="L6" i="64"/>
  <c r="J6" i="64"/>
  <c r="H6" i="64"/>
  <c r="F6" i="64"/>
  <c r="D6" i="64"/>
  <c r="B6" i="64"/>
  <c r="T5" i="64"/>
  <c r="R5" i="64"/>
  <c r="P5" i="64"/>
  <c r="N5" i="64"/>
  <c r="L5" i="64"/>
  <c r="J5" i="64"/>
  <c r="H5" i="64"/>
  <c r="F5" i="64"/>
  <c r="D5" i="64"/>
  <c r="B5" i="64"/>
  <c r="T4" i="64"/>
  <c r="R4" i="64"/>
  <c r="Q115" i="2" s="1"/>
  <c r="R115" i="2" s="1"/>
  <c r="P4" i="64"/>
  <c r="O115" i="2" s="1"/>
  <c r="P115" i="2" s="1"/>
  <c r="N4" i="64"/>
  <c r="L4" i="64"/>
  <c r="K115" i="2" s="1"/>
  <c r="L115" i="2" s="1"/>
  <c r="J4" i="64"/>
  <c r="H4" i="64"/>
  <c r="F4" i="64"/>
  <c r="D4" i="64"/>
  <c r="B4" i="64"/>
  <c r="T3" i="64"/>
  <c r="R3" i="64"/>
  <c r="P3" i="64"/>
  <c r="N3" i="64"/>
  <c r="L3" i="64"/>
  <c r="J3" i="64"/>
  <c r="H3" i="64"/>
  <c r="F3" i="64"/>
  <c r="D3" i="64"/>
  <c r="B3" i="64"/>
  <c r="A1" i="64"/>
  <c r="A57" i="2"/>
  <c r="B57" i="2" s="1"/>
  <c r="A56" i="2"/>
  <c r="B56" i="2" s="1"/>
  <c r="A55" i="2"/>
  <c r="B55" i="2" s="1"/>
  <c r="A54" i="2"/>
  <c r="B54" i="2" s="1"/>
  <c r="A53" i="2"/>
  <c r="B53" i="2" s="1"/>
  <c r="A52" i="2"/>
  <c r="B52" i="2" s="1"/>
  <c r="A108" i="2"/>
  <c r="B108" i="2" s="1"/>
  <c r="T6" i="63"/>
  <c r="R6" i="63"/>
  <c r="P6" i="63"/>
  <c r="N6" i="63"/>
  <c r="L6" i="63"/>
  <c r="J6" i="63"/>
  <c r="H6" i="63"/>
  <c r="F6" i="63"/>
  <c r="D6" i="63"/>
  <c r="B6" i="63"/>
  <c r="T5" i="63"/>
  <c r="R5" i="63"/>
  <c r="P5" i="63"/>
  <c r="N5" i="63"/>
  <c r="L5" i="63"/>
  <c r="J5" i="63"/>
  <c r="H5" i="63"/>
  <c r="F5" i="63"/>
  <c r="D5" i="63"/>
  <c r="B5" i="63"/>
  <c r="T4" i="63"/>
  <c r="R4" i="63"/>
  <c r="Q108" i="2" s="1"/>
  <c r="R108" i="2" s="1"/>
  <c r="P4" i="63"/>
  <c r="O108" i="2" s="1"/>
  <c r="P108" i="2" s="1"/>
  <c r="N4" i="63"/>
  <c r="M108" i="2" s="1"/>
  <c r="N108" i="2" s="1"/>
  <c r="L4" i="63"/>
  <c r="J4" i="63"/>
  <c r="I108" i="2" s="1"/>
  <c r="J108" i="2" s="1"/>
  <c r="H4" i="63"/>
  <c r="F4" i="63"/>
  <c r="D4" i="63"/>
  <c r="B4" i="63"/>
  <c r="T3" i="63"/>
  <c r="R3" i="63"/>
  <c r="P3" i="63"/>
  <c r="N3" i="63"/>
  <c r="L3" i="63"/>
  <c r="J3" i="63"/>
  <c r="H3" i="63"/>
  <c r="F3" i="63"/>
  <c r="D3" i="63"/>
  <c r="B3" i="63"/>
  <c r="A1" i="63"/>
  <c r="T20" i="57"/>
  <c r="R20" i="57"/>
  <c r="P20" i="57"/>
  <c r="N20" i="57"/>
  <c r="M54" i="2" s="1"/>
  <c r="N54" i="2" s="1"/>
  <c r="L20" i="57"/>
  <c r="K54" i="2" s="1"/>
  <c r="L54" i="2" s="1"/>
  <c r="J20" i="57"/>
  <c r="I54" i="2" s="1"/>
  <c r="J54" i="2" s="1"/>
  <c r="H20" i="57"/>
  <c r="F20" i="57"/>
  <c r="D20" i="57"/>
  <c r="C54" i="2" s="1"/>
  <c r="D54" i="2" s="1"/>
  <c r="B20" i="57"/>
  <c r="T21" i="58"/>
  <c r="R21" i="58"/>
  <c r="P21" i="58"/>
  <c r="O56" i="2" s="1"/>
  <c r="P56" i="2" s="1"/>
  <c r="N21" i="58"/>
  <c r="M56" i="2" s="1"/>
  <c r="N56" i="2" s="1"/>
  <c r="L21" i="58"/>
  <c r="K56" i="2" s="1"/>
  <c r="L56" i="2" s="1"/>
  <c r="J21" i="58"/>
  <c r="I56" i="2" s="1"/>
  <c r="J56" i="2" s="1"/>
  <c r="H21" i="58"/>
  <c r="F21" i="58"/>
  <c r="E56" i="2" s="1"/>
  <c r="F56" i="2" s="1"/>
  <c r="D21" i="58"/>
  <c r="C56" i="2" s="1"/>
  <c r="D56" i="2" s="1"/>
  <c r="B21" i="58"/>
  <c r="T27" i="60"/>
  <c r="R27" i="60"/>
  <c r="Q53" i="2" s="1"/>
  <c r="R53" i="2" s="1"/>
  <c r="P27" i="60"/>
  <c r="N27" i="60"/>
  <c r="L27" i="60"/>
  <c r="K53" i="2" s="1"/>
  <c r="L53" i="2" s="1"/>
  <c r="J27" i="60"/>
  <c r="I53" i="2" s="1"/>
  <c r="J53" i="2" s="1"/>
  <c r="H27" i="60"/>
  <c r="F27" i="60"/>
  <c r="E53" i="2" s="1"/>
  <c r="F53" i="2" s="1"/>
  <c r="D27" i="60"/>
  <c r="C53" i="2" s="1"/>
  <c r="D53" i="2" s="1"/>
  <c r="B27" i="60"/>
  <c r="T23" i="62"/>
  <c r="R23" i="62"/>
  <c r="Q55" i="2" s="1"/>
  <c r="R55" i="2" s="1"/>
  <c r="P23" i="62"/>
  <c r="O55" i="2" s="1"/>
  <c r="P55" i="2" s="1"/>
  <c r="N23" i="62"/>
  <c r="M55" i="2" s="1"/>
  <c r="N55" i="2" s="1"/>
  <c r="L23" i="62"/>
  <c r="J23" i="62"/>
  <c r="H23" i="62"/>
  <c r="F23" i="62"/>
  <c r="E55" i="2" s="1"/>
  <c r="F55" i="2" s="1"/>
  <c r="D23" i="62"/>
  <c r="C55" i="2" s="1"/>
  <c r="D55" i="2" s="1"/>
  <c r="B23" i="62"/>
  <c r="T23" i="61"/>
  <c r="R23" i="61"/>
  <c r="P23" i="61"/>
  <c r="N23" i="61"/>
  <c r="L23" i="61"/>
  <c r="J23" i="61"/>
  <c r="H23" i="61"/>
  <c r="F23" i="61"/>
  <c r="D23" i="61"/>
  <c r="C52" i="2" s="1"/>
  <c r="D52" i="2" s="1"/>
  <c r="B23" i="61"/>
  <c r="T24" i="59"/>
  <c r="R24" i="59"/>
  <c r="P24" i="59"/>
  <c r="O57" i="2" s="1"/>
  <c r="P57" i="2" s="1"/>
  <c r="N24" i="59"/>
  <c r="M57" i="2" s="1"/>
  <c r="N57" i="2" s="1"/>
  <c r="L24" i="59"/>
  <c r="J24" i="59"/>
  <c r="H24" i="59"/>
  <c r="F24" i="59"/>
  <c r="E57" i="2" s="1"/>
  <c r="F57" i="2" s="1"/>
  <c r="D24" i="59"/>
  <c r="C57" i="2" s="1"/>
  <c r="D57"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11" i="2"/>
  <c r="B111" i="2" s="1"/>
  <c r="T6" i="56"/>
  <c r="R6" i="56"/>
  <c r="P6" i="56"/>
  <c r="N6" i="56"/>
  <c r="L6" i="56"/>
  <c r="J6" i="56"/>
  <c r="H6" i="56"/>
  <c r="F6" i="56"/>
  <c r="D6" i="56"/>
  <c r="B6" i="56"/>
  <c r="T5" i="56"/>
  <c r="R5" i="56"/>
  <c r="P5" i="56"/>
  <c r="N5" i="56"/>
  <c r="L5" i="56"/>
  <c r="J5" i="56"/>
  <c r="H5" i="56"/>
  <c r="F5" i="56"/>
  <c r="D5" i="56"/>
  <c r="B5" i="56"/>
  <c r="T4" i="56"/>
  <c r="R4" i="56"/>
  <c r="Q111" i="2" s="1"/>
  <c r="R111" i="2" s="1"/>
  <c r="P4" i="56"/>
  <c r="O111" i="2" s="1"/>
  <c r="P111" i="2" s="1"/>
  <c r="N4" i="56"/>
  <c r="L4" i="56"/>
  <c r="K111" i="2" s="1"/>
  <c r="L111" i="2" s="1"/>
  <c r="J4" i="56"/>
  <c r="I111" i="2" s="1"/>
  <c r="J111" i="2" s="1"/>
  <c r="H4" i="56"/>
  <c r="F4" i="56"/>
  <c r="E111" i="2" s="1"/>
  <c r="F111" i="2" s="1"/>
  <c r="D4" i="56"/>
  <c r="B4" i="56"/>
  <c r="T3" i="56"/>
  <c r="R3" i="56"/>
  <c r="P3" i="56"/>
  <c r="N3" i="56"/>
  <c r="L3" i="56"/>
  <c r="J3" i="56"/>
  <c r="H3" i="56"/>
  <c r="F3" i="56"/>
  <c r="D3" i="56"/>
  <c r="B3" i="56"/>
  <c r="A1" i="56"/>
  <c r="B94" i="2"/>
  <c r="B90" i="2"/>
  <c r="B89" i="2"/>
  <c r="A106" i="2"/>
  <c r="B106" i="2" s="1"/>
  <c r="T6" i="55"/>
  <c r="R6" i="55"/>
  <c r="P6" i="55"/>
  <c r="N6" i="55"/>
  <c r="L6" i="55"/>
  <c r="J6" i="55"/>
  <c r="H6" i="55"/>
  <c r="F6" i="55"/>
  <c r="D6" i="55"/>
  <c r="B6" i="55"/>
  <c r="T5" i="55"/>
  <c r="R5" i="55"/>
  <c r="P5" i="55"/>
  <c r="N5" i="55"/>
  <c r="L5" i="55"/>
  <c r="J5" i="55"/>
  <c r="H5" i="55"/>
  <c r="F5" i="55"/>
  <c r="D5" i="55"/>
  <c r="B5" i="55"/>
  <c r="T4" i="55"/>
  <c r="R4" i="55"/>
  <c r="Q106" i="2" s="1"/>
  <c r="R106" i="2" s="1"/>
  <c r="P4" i="55"/>
  <c r="O106" i="2" s="1"/>
  <c r="P106" i="2" s="1"/>
  <c r="N4" i="55"/>
  <c r="M106" i="2" s="1"/>
  <c r="N106" i="2" s="1"/>
  <c r="L4" i="55"/>
  <c r="K106" i="2" s="1"/>
  <c r="L106" i="2" s="1"/>
  <c r="J4" i="55"/>
  <c r="I106" i="2" s="1"/>
  <c r="J106" i="2" s="1"/>
  <c r="H4" i="55"/>
  <c r="F4" i="55"/>
  <c r="D4" i="55"/>
  <c r="C106" i="2" s="1"/>
  <c r="D106" i="2" s="1"/>
  <c r="B4" i="55"/>
  <c r="T3" i="55"/>
  <c r="R3" i="55"/>
  <c r="P3" i="55"/>
  <c r="N3" i="55"/>
  <c r="L3" i="55"/>
  <c r="J3" i="55"/>
  <c r="H3" i="55"/>
  <c r="F3" i="55"/>
  <c r="D3" i="55"/>
  <c r="B3" i="55"/>
  <c r="A1" i="55"/>
  <c r="A107" i="2"/>
  <c r="B107" i="2" s="1"/>
  <c r="A104" i="2"/>
  <c r="B104" i="2" s="1"/>
  <c r="A67" i="2"/>
  <c r="B67" i="2" s="1"/>
  <c r="A86" i="2"/>
  <c r="B86" i="2" s="1"/>
  <c r="A85" i="2"/>
  <c r="B85" i="2" s="1"/>
  <c r="T6" i="54"/>
  <c r="R6" i="54"/>
  <c r="P6" i="54"/>
  <c r="N6" i="54"/>
  <c r="L6" i="54"/>
  <c r="J6" i="54"/>
  <c r="H6" i="54"/>
  <c r="F6" i="54"/>
  <c r="D6" i="54"/>
  <c r="B6" i="54"/>
  <c r="T5" i="54"/>
  <c r="R5" i="54"/>
  <c r="P5" i="54"/>
  <c r="N5" i="54"/>
  <c r="L5" i="54"/>
  <c r="J5" i="54"/>
  <c r="H5" i="54"/>
  <c r="F5" i="54"/>
  <c r="D5" i="54"/>
  <c r="B5" i="54"/>
  <c r="T4" i="54"/>
  <c r="R4" i="54"/>
  <c r="Q85" i="2" s="1"/>
  <c r="R85" i="2" s="1"/>
  <c r="P4" i="54"/>
  <c r="O85" i="2" s="1"/>
  <c r="P85" i="2" s="1"/>
  <c r="N4" i="54"/>
  <c r="L4" i="54"/>
  <c r="K85" i="2" s="1"/>
  <c r="L85" i="2" s="1"/>
  <c r="J4" i="54"/>
  <c r="I85" i="2" s="1"/>
  <c r="J85" i="2" s="1"/>
  <c r="H4" i="54"/>
  <c r="F4" i="54"/>
  <c r="E85" i="2" s="1"/>
  <c r="F85" i="2" s="1"/>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O67" i="2" s="1"/>
  <c r="P67" i="2" s="1"/>
  <c r="N4" i="53"/>
  <c r="L4" i="53"/>
  <c r="K67" i="2" s="1"/>
  <c r="L67" i="2" s="1"/>
  <c r="J4" i="53"/>
  <c r="I67" i="2" s="1"/>
  <c r="J67" i="2" s="1"/>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Q104" i="2" s="1"/>
  <c r="R104" i="2" s="1"/>
  <c r="P4" i="52"/>
  <c r="O104" i="2" s="1"/>
  <c r="P104" i="2" s="1"/>
  <c r="N4" i="52"/>
  <c r="L4" i="52"/>
  <c r="K104" i="2" s="1"/>
  <c r="L104" i="2" s="1"/>
  <c r="J4" i="52"/>
  <c r="I104" i="2" s="1"/>
  <c r="J104" i="2" s="1"/>
  <c r="H4" i="52"/>
  <c r="F4" i="52"/>
  <c r="E104" i="2" s="1"/>
  <c r="F104" i="2" s="1"/>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Q107" i="2" s="1"/>
  <c r="R107" i="2" s="1"/>
  <c r="P4" i="51"/>
  <c r="O107" i="2" s="1"/>
  <c r="P107" i="2" s="1"/>
  <c r="N4" i="51"/>
  <c r="L4" i="51"/>
  <c r="J4" i="51"/>
  <c r="H4" i="51"/>
  <c r="F4" i="51"/>
  <c r="E107" i="2" s="1"/>
  <c r="F107" i="2" s="1"/>
  <c r="D4" i="51"/>
  <c r="C107" i="2" s="1"/>
  <c r="D107" i="2" s="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Q86" i="2" s="1"/>
  <c r="R86" i="2" s="1"/>
  <c r="P4" i="50"/>
  <c r="N4" i="50"/>
  <c r="L4" i="50"/>
  <c r="K86" i="2" s="1"/>
  <c r="L86" i="2" s="1"/>
  <c r="J4" i="50"/>
  <c r="H4" i="50"/>
  <c r="F4" i="50"/>
  <c r="D4" i="50"/>
  <c r="B4" i="50"/>
  <c r="T3" i="50"/>
  <c r="R3" i="50"/>
  <c r="P3" i="50"/>
  <c r="N3" i="50"/>
  <c r="L3" i="50"/>
  <c r="J3" i="50"/>
  <c r="H3" i="50"/>
  <c r="F3" i="50"/>
  <c r="D3" i="50"/>
  <c r="B3" i="50"/>
  <c r="A1" i="50"/>
  <c r="A87" i="2"/>
  <c r="B87" i="2" s="1"/>
  <c r="T6" i="49"/>
  <c r="R6" i="49"/>
  <c r="P6" i="49"/>
  <c r="N6" i="49"/>
  <c r="L6" i="49"/>
  <c r="J6" i="49"/>
  <c r="H6" i="49"/>
  <c r="F6" i="49"/>
  <c r="D6" i="49"/>
  <c r="B6" i="49"/>
  <c r="T5" i="49"/>
  <c r="R5" i="49"/>
  <c r="P5" i="49"/>
  <c r="N5" i="49"/>
  <c r="L5" i="49"/>
  <c r="J5" i="49"/>
  <c r="H5" i="49"/>
  <c r="F5" i="49"/>
  <c r="D5" i="49"/>
  <c r="B5" i="49"/>
  <c r="T4" i="49"/>
  <c r="R4" i="49"/>
  <c r="Q87" i="2" s="1"/>
  <c r="R87" i="2" s="1"/>
  <c r="P4" i="49"/>
  <c r="O87" i="2" s="1"/>
  <c r="P87" i="2" s="1"/>
  <c r="N4" i="49"/>
  <c r="M87" i="2" s="1"/>
  <c r="N87" i="2" s="1"/>
  <c r="L4" i="49"/>
  <c r="K87" i="2" s="1"/>
  <c r="L87" i="2" s="1"/>
  <c r="J4" i="49"/>
  <c r="I87" i="2" s="1"/>
  <c r="J87" i="2" s="1"/>
  <c r="H4" i="49"/>
  <c r="F4" i="49"/>
  <c r="D4" i="49"/>
  <c r="C87" i="2" s="1"/>
  <c r="D87" i="2" s="1"/>
  <c r="B4" i="49"/>
  <c r="T3" i="49"/>
  <c r="R3" i="49"/>
  <c r="P3" i="49"/>
  <c r="N3" i="49"/>
  <c r="L3" i="49"/>
  <c r="J3" i="49"/>
  <c r="H3" i="49"/>
  <c r="F3" i="49"/>
  <c r="D3" i="49"/>
  <c r="B3" i="49"/>
  <c r="A1" i="49"/>
  <c r="A84" i="2"/>
  <c r="B84" i="2" s="1"/>
  <c r="T6" i="48"/>
  <c r="R6" i="48"/>
  <c r="P6" i="48"/>
  <c r="N6" i="48"/>
  <c r="L6" i="48"/>
  <c r="J6" i="48"/>
  <c r="H6" i="48"/>
  <c r="F6" i="48"/>
  <c r="D6" i="48"/>
  <c r="B6" i="48"/>
  <c r="T5" i="48"/>
  <c r="R5" i="48"/>
  <c r="P5" i="48"/>
  <c r="N5" i="48"/>
  <c r="L5" i="48"/>
  <c r="J5" i="48"/>
  <c r="H5" i="48"/>
  <c r="F5" i="48"/>
  <c r="D5" i="48"/>
  <c r="B5" i="48"/>
  <c r="T4" i="48"/>
  <c r="R4" i="48"/>
  <c r="Q84" i="2" s="1"/>
  <c r="R84" i="2" s="1"/>
  <c r="P4" i="48"/>
  <c r="O84" i="2" s="1"/>
  <c r="P84" i="2" s="1"/>
  <c r="N4" i="48"/>
  <c r="M84" i="2" s="1"/>
  <c r="N84" i="2" s="1"/>
  <c r="L4" i="48"/>
  <c r="K84" i="2" s="1"/>
  <c r="L84" i="2" s="1"/>
  <c r="J4" i="48"/>
  <c r="H4" i="48"/>
  <c r="F4" i="48"/>
  <c r="D4" i="48"/>
  <c r="B4" i="48"/>
  <c r="T3" i="48"/>
  <c r="R3" i="48"/>
  <c r="P3" i="48"/>
  <c r="N3" i="48"/>
  <c r="L3" i="48"/>
  <c r="J3" i="48"/>
  <c r="H3" i="48"/>
  <c r="F3" i="48"/>
  <c r="D3" i="48"/>
  <c r="B3" i="48"/>
  <c r="A1" i="48"/>
  <c r="A23" i="2"/>
  <c r="B23" i="2" s="1"/>
  <c r="T8" i="43"/>
  <c r="R8" i="43"/>
  <c r="Q23" i="2" s="1"/>
  <c r="R23" i="2" s="1"/>
  <c r="N8" i="43"/>
  <c r="M23" i="2" s="1"/>
  <c r="N23" i="2" s="1"/>
  <c r="L8" i="43"/>
  <c r="J8" i="43"/>
  <c r="I23" i="2" s="1"/>
  <c r="J23" i="2" s="1"/>
  <c r="H8" i="43"/>
  <c r="F8" i="43"/>
  <c r="E23" i="2" s="1"/>
  <c r="F23" i="2" s="1"/>
  <c r="D8" i="43"/>
  <c r="C23" i="2" s="1"/>
  <c r="D23" i="2" s="1"/>
  <c r="B8" i="43"/>
  <c r="T10" i="29"/>
  <c r="R10" i="29"/>
  <c r="Q46" i="2" s="1"/>
  <c r="R46" i="2" s="1"/>
  <c r="P10" i="29"/>
  <c r="K46" i="2"/>
  <c r="L46" i="2" s="1"/>
  <c r="I46" i="2"/>
  <c r="J46" i="2" s="1"/>
  <c r="E46" i="2"/>
  <c r="F46" i="2" s="1"/>
  <c r="D10" i="29"/>
  <c r="A46" i="2"/>
  <c r="B46" i="2" s="1"/>
  <c r="T10" i="34"/>
  <c r="T9" i="34"/>
  <c r="T8" i="34"/>
  <c r="R10" i="34"/>
  <c r="R9" i="34"/>
  <c r="R8" i="34"/>
  <c r="P10" i="34"/>
  <c r="P9" i="34"/>
  <c r="O40" i="2" s="1"/>
  <c r="P40" i="2" s="1"/>
  <c r="P8" i="34"/>
  <c r="N10" i="34"/>
  <c r="N9" i="34"/>
  <c r="N8" i="34"/>
  <c r="L10" i="34"/>
  <c r="K41" i="2" s="1"/>
  <c r="L41" i="2" s="1"/>
  <c r="L9" i="34"/>
  <c r="K40" i="2" s="1"/>
  <c r="L40" i="2" s="1"/>
  <c r="L8" i="34"/>
  <c r="J10" i="34"/>
  <c r="I41" i="2" s="1"/>
  <c r="J41" i="2" s="1"/>
  <c r="J9" i="34"/>
  <c r="I40" i="2" s="1"/>
  <c r="J40" i="2" s="1"/>
  <c r="J8" i="34"/>
  <c r="I39" i="2" s="1"/>
  <c r="J39" i="2" s="1"/>
  <c r="H10" i="34"/>
  <c r="H9" i="34"/>
  <c r="H8" i="34"/>
  <c r="F10" i="34"/>
  <c r="E41" i="2" s="1"/>
  <c r="F41" i="2" s="1"/>
  <c r="F9" i="34"/>
  <c r="E40" i="2" s="1"/>
  <c r="F40" i="2" s="1"/>
  <c r="F8" i="34"/>
  <c r="D10" i="34"/>
  <c r="D9" i="34"/>
  <c r="D8" i="34"/>
  <c r="C39" i="2" s="1"/>
  <c r="D39" i="2" s="1"/>
  <c r="B8" i="34"/>
  <c r="A39" i="2" s="1"/>
  <c r="T7" i="43"/>
  <c r="R7" i="43"/>
  <c r="O45" i="2"/>
  <c r="P45" i="2" s="1"/>
  <c r="K45" i="2"/>
  <c r="L45" i="2" s="1"/>
  <c r="I45" i="2"/>
  <c r="J45" i="2" s="1"/>
  <c r="C45" i="2"/>
  <c r="D45" i="2" s="1"/>
  <c r="B7" i="43"/>
  <c r="A45" i="2" s="1"/>
  <c r="B45" i="2" s="1"/>
  <c r="A47" i="2"/>
  <c r="B47" i="2" s="1"/>
  <c r="T7" i="47"/>
  <c r="R7" i="47"/>
  <c r="Q47" i="2" s="1"/>
  <c r="R47" i="2" s="1"/>
  <c r="O47" i="2"/>
  <c r="P47" i="2" s="1"/>
  <c r="I47" i="2"/>
  <c r="J47"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64" i="2"/>
  <c r="B64" i="2" s="1"/>
  <c r="A15" i="46"/>
  <c r="T6" i="46"/>
  <c r="R6" i="46"/>
  <c r="P6" i="46"/>
  <c r="N6" i="46"/>
  <c r="L6" i="46"/>
  <c r="J6" i="46"/>
  <c r="H6" i="46"/>
  <c r="F6" i="46"/>
  <c r="D6" i="46"/>
  <c r="B6" i="46"/>
  <c r="T5" i="46"/>
  <c r="R5" i="46"/>
  <c r="P5" i="46"/>
  <c r="N5" i="46"/>
  <c r="L5" i="46"/>
  <c r="J5" i="46"/>
  <c r="H5" i="46"/>
  <c r="F5" i="46"/>
  <c r="D5" i="46"/>
  <c r="B5" i="46"/>
  <c r="T4" i="46"/>
  <c r="R4" i="46"/>
  <c r="P4" i="46"/>
  <c r="O64" i="2" s="1"/>
  <c r="P64" i="2" s="1"/>
  <c r="N4" i="46"/>
  <c r="M64" i="2" s="1"/>
  <c r="N64" i="2" s="1"/>
  <c r="L4" i="46"/>
  <c r="J4" i="46"/>
  <c r="I64" i="2" s="1"/>
  <c r="J64" i="2" s="1"/>
  <c r="H4" i="46"/>
  <c r="F4" i="46"/>
  <c r="E64" i="2" s="1"/>
  <c r="F64" i="2" s="1"/>
  <c r="D4" i="46"/>
  <c r="B4" i="46"/>
  <c r="T3" i="46"/>
  <c r="R3" i="46"/>
  <c r="P3" i="46"/>
  <c r="N3" i="46"/>
  <c r="L3" i="46"/>
  <c r="J3" i="46"/>
  <c r="H3" i="46"/>
  <c r="F3" i="46"/>
  <c r="D3" i="46"/>
  <c r="B3" i="46"/>
  <c r="A1" i="46"/>
  <c r="A79" i="2"/>
  <c r="B79" i="2" s="1"/>
  <c r="T6" i="45"/>
  <c r="R6" i="45"/>
  <c r="P6" i="45"/>
  <c r="N6" i="45"/>
  <c r="L6" i="45"/>
  <c r="J6" i="45"/>
  <c r="H6" i="45"/>
  <c r="F6" i="45"/>
  <c r="D6" i="45"/>
  <c r="B6" i="45"/>
  <c r="T5" i="45"/>
  <c r="R5" i="45"/>
  <c r="P5" i="45"/>
  <c r="N5" i="45"/>
  <c r="L5" i="45"/>
  <c r="J5" i="45"/>
  <c r="H5" i="45"/>
  <c r="F5" i="45"/>
  <c r="D5" i="45"/>
  <c r="B5" i="45"/>
  <c r="T4" i="45"/>
  <c r="R4" i="45"/>
  <c r="Q79" i="2" s="1"/>
  <c r="R79" i="2" s="1"/>
  <c r="P4" i="45"/>
  <c r="O79" i="2" s="1"/>
  <c r="P79" i="2" s="1"/>
  <c r="N4" i="45"/>
  <c r="L4" i="45"/>
  <c r="J4" i="45"/>
  <c r="H4" i="45"/>
  <c r="F4" i="45"/>
  <c r="E79" i="2" s="1"/>
  <c r="F79" i="2" s="1"/>
  <c r="D4" i="45"/>
  <c r="B4" i="45"/>
  <c r="T3" i="45"/>
  <c r="R3" i="45"/>
  <c r="P3" i="45"/>
  <c r="N3" i="45"/>
  <c r="L3" i="45"/>
  <c r="J3" i="45"/>
  <c r="H3" i="45"/>
  <c r="F3" i="45"/>
  <c r="D3" i="45"/>
  <c r="B3" i="45"/>
  <c r="A1" i="45"/>
  <c r="A78" i="2"/>
  <c r="B78" i="2" s="1"/>
  <c r="T6" i="44"/>
  <c r="R6" i="44"/>
  <c r="P6" i="44"/>
  <c r="N6" i="44"/>
  <c r="L6" i="44"/>
  <c r="J6" i="44"/>
  <c r="H6" i="44"/>
  <c r="F6" i="44"/>
  <c r="D6" i="44"/>
  <c r="B6" i="44"/>
  <c r="T5" i="44"/>
  <c r="R5" i="44"/>
  <c r="P5" i="44"/>
  <c r="N5" i="44"/>
  <c r="L5" i="44"/>
  <c r="J5" i="44"/>
  <c r="H5" i="44"/>
  <c r="F5" i="44"/>
  <c r="D5" i="44"/>
  <c r="B5" i="44"/>
  <c r="T4" i="44"/>
  <c r="R4" i="44"/>
  <c r="P4" i="44"/>
  <c r="O78" i="2" s="1"/>
  <c r="P78" i="2" s="1"/>
  <c r="N4" i="44"/>
  <c r="M78" i="2" s="1"/>
  <c r="N78" i="2" s="1"/>
  <c r="L4" i="44"/>
  <c r="K78" i="2" s="1"/>
  <c r="L78" i="2" s="1"/>
  <c r="J4" i="44"/>
  <c r="H4" i="44"/>
  <c r="F4" i="44"/>
  <c r="D4" i="44"/>
  <c r="B4" i="44"/>
  <c r="T3" i="44"/>
  <c r="R3" i="44"/>
  <c r="P3" i="44"/>
  <c r="N3" i="44"/>
  <c r="L3" i="44"/>
  <c r="J3" i="44"/>
  <c r="H3" i="44"/>
  <c r="F3" i="44"/>
  <c r="D3" i="44"/>
  <c r="B3" i="44"/>
  <c r="A1" i="44"/>
  <c r="A77" i="2"/>
  <c r="B77" i="2" s="1"/>
  <c r="T6" i="43"/>
  <c r="R6" i="43"/>
  <c r="P6" i="43"/>
  <c r="N6" i="43"/>
  <c r="L6" i="43"/>
  <c r="J6" i="43"/>
  <c r="H6" i="43"/>
  <c r="F6" i="43"/>
  <c r="D6" i="43"/>
  <c r="B6" i="43"/>
  <c r="T5" i="43"/>
  <c r="R5" i="43"/>
  <c r="P5" i="43"/>
  <c r="N5" i="43"/>
  <c r="L5" i="43"/>
  <c r="J5" i="43"/>
  <c r="H5" i="43"/>
  <c r="F5" i="43"/>
  <c r="D5" i="43"/>
  <c r="B5" i="43"/>
  <c r="T4" i="43"/>
  <c r="R4" i="43"/>
  <c r="P4" i="43"/>
  <c r="N4" i="43"/>
  <c r="M77" i="2" s="1"/>
  <c r="N77" i="2" s="1"/>
  <c r="L4" i="43"/>
  <c r="J4" i="43"/>
  <c r="H4" i="43"/>
  <c r="F4" i="43"/>
  <c r="E77" i="2" s="1"/>
  <c r="F77" i="2" s="1"/>
  <c r="D4" i="43"/>
  <c r="C77" i="2" s="1"/>
  <c r="D77" i="2" s="1"/>
  <c r="B4" i="43"/>
  <c r="T3" i="43"/>
  <c r="R3" i="43"/>
  <c r="P3" i="43"/>
  <c r="N3" i="43"/>
  <c r="L3" i="43"/>
  <c r="J3" i="43"/>
  <c r="H3" i="43"/>
  <c r="F3" i="43"/>
  <c r="D3" i="43"/>
  <c r="B3" i="43"/>
  <c r="A1" i="43"/>
  <c r="A68" i="2"/>
  <c r="B68" i="2" s="1"/>
  <c r="T6" i="42"/>
  <c r="R6" i="42"/>
  <c r="P6" i="42"/>
  <c r="N6" i="42"/>
  <c r="L6" i="42"/>
  <c r="J6" i="42"/>
  <c r="H6" i="42"/>
  <c r="F6" i="42"/>
  <c r="D6" i="42"/>
  <c r="B6" i="42"/>
  <c r="T5" i="42"/>
  <c r="R5" i="42"/>
  <c r="P5" i="42"/>
  <c r="N5" i="42"/>
  <c r="L5" i="42"/>
  <c r="J5" i="42"/>
  <c r="H5" i="42"/>
  <c r="F5" i="42"/>
  <c r="D5" i="42"/>
  <c r="B5" i="42"/>
  <c r="T4" i="42"/>
  <c r="R4" i="42"/>
  <c r="P4" i="42"/>
  <c r="N4" i="42"/>
  <c r="M68" i="2" s="1"/>
  <c r="N68" i="2" s="1"/>
  <c r="L4" i="42"/>
  <c r="J4" i="42"/>
  <c r="I68" i="2" s="1"/>
  <c r="J68" i="2" s="1"/>
  <c r="H4" i="42"/>
  <c r="F4" i="42"/>
  <c r="D4" i="42"/>
  <c r="B4" i="42"/>
  <c r="T3" i="42"/>
  <c r="R3" i="42"/>
  <c r="P3" i="42"/>
  <c r="N3" i="42"/>
  <c r="L3" i="42"/>
  <c r="J3" i="42"/>
  <c r="H3" i="42"/>
  <c r="F3" i="42"/>
  <c r="D3" i="42"/>
  <c r="B3" i="42"/>
  <c r="A1" i="42"/>
  <c r="A50" i="2"/>
  <c r="B50" i="2" s="1"/>
  <c r="T7" i="30"/>
  <c r="R7" i="30"/>
  <c r="Q50" i="2" s="1"/>
  <c r="R50" i="2" s="1"/>
  <c r="P7" i="30"/>
  <c r="O50" i="2" s="1"/>
  <c r="P50" i="2" s="1"/>
  <c r="N7" i="30"/>
  <c r="E50" i="2"/>
  <c r="F50" i="2" s="1"/>
  <c r="B7" i="30"/>
  <c r="T27" i="41"/>
  <c r="R27" i="41"/>
  <c r="P27" i="41"/>
  <c r="N27" i="41"/>
  <c r="L27" i="41"/>
  <c r="K26" i="2" s="1"/>
  <c r="L26" i="2" s="1"/>
  <c r="J27" i="41"/>
  <c r="I26" i="2" s="1"/>
  <c r="J26" i="2" s="1"/>
  <c r="H27" i="41"/>
  <c r="F27" i="41"/>
  <c r="E26" i="2" s="1"/>
  <c r="F26" i="2" s="1"/>
  <c r="D27" i="41"/>
  <c r="C26" i="2" s="1"/>
  <c r="D26" i="2" s="1"/>
  <c r="B27" i="41"/>
  <c r="A26" i="2" s="1"/>
  <c r="B26" i="2" s="1"/>
  <c r="A29" i="2"/>
  <c r="B29" i="2" s="1"/>
  <c r="T28" i="30"/>
  <c r="R28" i="30"/>
  <c r="P28" i="30"/>
  <c r="O29" i="2" s="1"/>
  <c r="P29" i="2" s="1"/>
  <c r="N28" i="30"/>
  <c r="L28" i="30"/>
  <c r="K29" i="2" s="1"/>
  <c r="L29" i="2" s="1"/>
  <c r="J28" i="30"/>
  <c r="I29" i="2" s="1"/>
  <c r="J29" i="2" s="1"/>
  <c r="H28" i="30"/>
  <c r="F28" i="30"/>
  <c r="D28" i="30"/>
  <c r="C29" i="2" s="1"/>
  <c r="D29" i="2" s="1"/>
  <c r="B28" i="30"/>
  <c r="A48" i="2"/>
  <c r="B48" i="2" s="1"/>
  <c r="T7" i="41"/>
  <c r="R7" i="41"/>
  <c r="P7" i="41"/>
  <c r="N7" i="41"/>
  <c r="K48" i="2"/>
  <c r="L48" i="2" s="1"/>
  <c r="I48" i="2"/>
  <c r="J48" i="2" s="1"/>
  <c r="E48" i="2"/>
  <c r="F48" i="2" s="1"/>
  <c r="C48" i="2"/>
  <c r="D48" i="2" s="1"/>
  <c r="B7" i="41"/>
  <c r="T6" i="41"/>
  <c r="R6" i="41"/>
  <c r="P6" i="41"/>
  <c r="N6" i="41"/>
  <c r="L6" i="41"/>
  <c r="J6" i="41"/>
  <c r="H6" i="41"/>
  <c r="F6" i="41"/>
  <c r="D6" i="41"/>
  <c r="B6" i="41"/>
  <c r="T5" i="41"/>
  <c r="R5" i="41"/>
  <c r="P5" i="41"/>
  <c r="N5" i="41"/>
  <c r="L5" i="41"/>
  <c r="J5" i="41"/>
  <c r="H5" i="41"/>
  <c r="F5" i="41"/>
  <c r="D5" i="41"/>
  <c r="B5" i="41"/>
  <c r="T4" i="41"/>
  <c r="R4" i="41"/>
  <c r="P4" i="41"/>
  <c r="N4" i="41"/>
  <c r="L4" i="41"/>
  <c r="J4" i="41"/>
  <c r="H4" i="41"/>
  <c r="F4" i="41"/>
  <c r="D4" i="41"/>
  <c r="B4" i="41"/>
  <c r="T3" i="41"/>
  <c r="R3" i="41"/>
  <c r="P3" i="41"/>
  <c r="N3" i="41"/>
  <c r="L3" i="41"/>
  <c r="J3" i="41"/>
  <c r="H3" i="41"/>
  <c r="F3" i="41"/>
  <c r="D3" i="41"/>
  <c r="B3" i="41"/>
  <c r="A1" i="41"/>
  <c r="A66" i="2"/>
  <c r="B66" i="2" s="1"/>
  <c r="T6" i="40"/>
  <c r="R6" i="40"/>
  <c r="P6" i="40"/>
  <c r="N6" i="40"/>
  <c r="L6" i="40"/>
  <c r="J6" i="40"/>
  <c r="H6" i="40"/>
  <c r="F6" i="40"/>
  <c r="D6" i="40"/>
  <c r="B6" i="40"/>
  <c r="T5" i="40"/>
  <c r="R5" i="40"/>
  <c r="P5" i="40"/>
  <c r="N5" i="40"/>
  <c r="L5" i="40"/>
  <c r="J5" i="40"/>
  <c r="H5" i="40"/>
  <c r="F5" i="40"/>
  <c r="D5" i="40"/>
  <c r="B5" i="40"/>
  <c r="T4" i="40"/>
  <c r="R4" i="40"/>
  <c r="P4" i="40"/>
  <c r="O66" i="2" s="1"/>
  <c r="P66" i="2" s="1"/>
  <c r="N4" i="40"/>
  <c r="M66" i="2" s="1"/>
  <c r="N66" i="2" s="1"/>
  <c r="L4" i="40"/>
  <c r="J4" i="40"/>
  <c r="H4" i="40"/>
  <c r="F4" i="40"/>
  <c r="E66" i="2" s="1"/>
  <c r="F66" i="2" s="1"/>
  <c r="D4" i="40"/>
  <c r="C66" i="2" s="1"/>
  <c r="D66" i="2" s="1"/>
  <c r="B4" i="40"/>
  <c r="T3" i="40"/>
  <c r="R3" i="40"/>
  <c r="P3" i="40"/>
  <c r="N3" i="40"/>
  <c r="L3" i="40"/>
  <c r="J3" i="40"/>
  <c r="H3" i="40"/>
  <c r="F3" i="40"/>
  <c r="D3" i="40"/>
  <c r="B3" i="40"/>
  <c r="A1" i="40"/>
  <c r="A1" i="14"/>
  <c r="A1" i="13"/>
  <c r="A1" i="12"/>
  <c r="A1" i="11"/>
  <c r="A1" i="10"/>
  <c r="A1" i="9"/>
  <c r="A1" i="8"/>
  <c r="A1" i="7"/>
  <c r="A1" i="6"/>
  <c r="A1" i="4"/>
  <c r="A1" i="1"/>
  <c r="A1" i="17"/>
  <c r="A1" i="18"/>
  <c r="A1" i="19"/>
  <c r="A1" i="20"/>
  <c r="A1" i="21"/>
  <c r="A1" i="22"/>
  <c r="A1" i="23"/>
  <c r="A1" i="5"/>
  <c r="A1" i="24"/>
  <c r="A1" i="25"/>
  <c r="A1" i="26"/>
  <c r="A1" i="33"/>
  <c r="A1" i="27"/>
  <c r="A1" i="28"/>
  <c r="A1" i="29"/>
  <c r="A1" i="34"/>
  <c r="A1" i="15"/>
  <c r="A1" i="30"/>
  <c r="A1" i="35"/>
  <c r="A1" i="32"/>
  <c r="A1" i="36"/>
  <c r="A1" i="38"/>
  <c r="A1" i="31"/>
  <c r="A65" i="2"/>
  <c r="B65" i="2" s="1"/>
  <c r="T6" i="38"/>
  <c r="R6" i="38"/>
  <c r="P6" i="38"/>
  <c r="N6" i="38"/>
  <c r="L6" i="38"/>
  <c r="J6" i="38"/>
  <c r="H6" i="38"/>
  <c r="F6" i="38"/>
  <c r="D6" i="38"/>
  <c r="B6" i="38"/>
  <c r="T5" i="38"/>
  <c r="R5" i="38"/>
  <c r="P5" i="38"/>
  <c r="N5" i="38"/>
  <c r="L5" i="38"/>
  <c r="J5" i="38"/>
  <c r="H5" i="38"/>
  <c r="F5" i="38"/>
  <c r="D5" i="38"/>
  <c r="B5" i="38"/>
  <c r="T4" i="38"/>
  <c r="R4" i="38"/>
  <c r="Q65" i="2" s="1"/>
  <c r="R65" i="2" s="1"/>
  <c r="P4" i="38"/>
  <c r="N4" i="38"/>
  <c r="M65" i="2" s="1"/>
  <c r="N65" i="2" s="1"/>
  <c r="L4" i="38"/>
  <c r="K65" i="2" s="1"/>
  <c r="L65" i="2" s="1"/>
  <c r="J4" i="38"/>
  <c r="I65" i="2" s="1"/>
  <c r="J65" i="2" s="1"/>
  <c r="H4" i="38"/>
  <c r="F4" i="38"/>
  <c r="E65" i="2" s="1"/>
  <c r="F65" i="2" s="1"/>
  <c r="D4" i="38"/>
  <c r="C65" i="2" s="1"/>
  <c r="D65" i="2" s="1"/>
  <c r="B4" i="38"/>
  <c r="T3" i="38"/>
  <c r="R3" i="38"/>
  <c r="P3" i="38"/>
  <c r="N3" i="38"/>
  <c r="L3" i="38"/>
  <c r="J3" i="38"/>
  <c r="H3" i="38"/>
  <c r="F3" i="38"/>
  <c r="D3" i="38"/>
  <c r="B3" i="38"/>
  <c r="A49" i="2"/>
  <c r="B49" i="2" s="1"/>
  <c r="T7" i="15"/>
  <c r="R7" i="15"/>
  <c r="P7" i="15"/>
  <c r="O49" i="2" s="1"/>
  <c r="P49" i="2" s="1"/>
  <c r="N7" i="15"/>
  <c r="K49" i="2"/>
  <c r="L49" i="2" s="1"/>
  <c r="B7" i="15"/>
  <c r="T10" i="15"/>
  <c r="R10" i="15"/>
  <c r="P10" i="15"/>
  <c r="O24" i="2" s="1"/>
  <c r="P24" i="2" s="1"/>
  <c r="N10" i="15"/>
  <c r="L10" i="15"/>
  <c r="K24" i="2" s="1"/>
  <c r="L24" i="2" s="1"/>
  <c r="J10" i="15"/>
  <c r="I24" i="2" s="1"/>
  <c r="J24" i="2" s="1"/>
  <c r="H10" i="15"/>
  <c r="F10" i="15"/>
  <c r="E24" i="2" s="1"/>
  <c r="F24" i="2" s="1"/>
  <c r="D10" i="15"/>
  <c r="C24" i="2" s="1"/>
  <c r="D24" i="2" s="1"/>
  <c r="B10" i="15"/>
  <c r="A24" i="2" s="1"/>
  <c r="B24" i="2" s="1"/>
  <c r="B10" i="29"/>
  <c r="A43" i="2"/>
  <c r="B43" i="2" s="1"/>
  <c r="A110" i="2"/>
  <c r="B110" i="2" s="1"/>
  <c r="A17" i="2"/>
  <c r="B17" i="2" s="1"/>
  <c r="T8" i="30"/>
  <c r="R8" i="30"/>
  <c r="P8" i="30"/>
  <c r="N8" i="30"/>
  <c r="L8" i="30"/>
  <c r="H8" i="30"/>
  <c r="D8" i="30"/>
  <c r="C25" i="2" s="1"/>
  <c r="D25" i="2" s="1"/>
  <c r="T7" i="36"/>
  <c r="R7" i="36"/>
  <c r="Q43" i="2" s="1"/>
  <c r="R43" i="2" s="1"/>
  <c r="P7" i="36"/>
  <c r="N7" i="36"/>
  <c r="L7" i="36"/>
  <c r="J7" i="36"/>
  <c r="I43" i="2" s="1"/>
  <c r="J43" i="2" s="1"/>
  <c r="H7" i="36"/>
  <c r="F7" i="36"/>
  <c r="D7" i="36"/>
  <c r="B7" i="36"/>
  <c r="T6" i="36"/>
  <c r="R6" i="36"/>
  <c r="Q17" i="2" s="1"/>
  <c r="R17" i="2" s="1"/>
  <c r="P6" i="36"/>
  <c r="O17" i="2" s="1"/>
  <c r="P17" i="2" s="1"/>
  <c r="N6" i="36"/>
  <c r="M17" i="2" s="1"/>
  <c r="N17" i="2" s="1"/>
  <c r="L6" i="36"/>
  <c r="K17" i="2" s="1"/>
  <c r="L17" i="2" s="1"/>
  <c r="J6" i="36"/>
  <c r="H6" i="36"/>
  <c r="F6" i="36"/>
  <c r="D6" i="36"/>
  <c r="C17" i="2" s="1"/>
  <c r="D17" i="2" s="1"/>
  <c r="B6" i="36"/>
  <c r="T5" i="36"/>
  <c r="R5" i="36"/>
  <c r="P5" i="36"/>
  <c r="N5" i="36"/>
  <c r="L5" i="36"/>
  <c r="J5" i="36"/>
  <c r="H5" i="36"/>
  <c r="F5" i="36"/>
  <c r="D5" i="36"/>
  <c r="B5" i="36"/>
  <c r="T4" i="36"/>
  <c r="R4" i="36"/>
  <c r="Q110" i="2" s="1"/>
  <c r="R110" i="2" s="1"/>
  <c r="P4" i="36"/>
  <c r="O110" i="2" s="1"/>
  <c r="P110" i="2" s="1"/>
  <c r="N4" i="36"/>
  <c r="L4" i="36"/>
  <c r="J4" i="36"/>
  <c r="H4" i="36"/>
  <c r="F4" i="36"/>
  <c r="E110" i="2" s="1"/>
  <c r="F110" i="2" s="1"/>
  <c r="D4" i="36"/>
  <c r="B4" i="36"/>
  <c r="T3" i="36"/>
  <c r="R3" i="36"/>
  <c r="P3" i="36"/>
  <c r="N3" i="36"/>
  <c r="L3" i="36"/>
  <c r="J3" i="36"/>
  <c r="H3" i="36"/>
  <c r="F3" i="36"/>
  <c r="D3" i="36"/>
  <c r="B3" i="36"/>
  <c r="A63" i="2"/>
  <c r="B63" i="2" s="1"/>
  <c r="T6" i="35"/>
  <c r="R6" i="35"/>
  <c r="Q18" i="2" s="1"/>
  <c r="R18" i="2" s="1"/>
  <c r="P6" i="35"/>
  <c r="N6" i="35"/>
  <c r="L6" i="35"/>
  <c r="K18" i="2" s="1"/>
  <c r="L18" i="2" s="1"/>
  <c r="J6" i="35"/>
  <c r="I18" i="2" s="1"/>
  <c r="J18" i="2" s="1"/>
  <c r="H6" i="35"/>
  <c r="F6" i="35"/>
  <c r="D6" i="35"/>
  <c r="B6" i="35"/>
  <c r="A18" i="2" s="1"/>
  <c r="B18" i="2" s="1"/>
  <c r="T5" i="35"/>
  <c r="R5" i="35"/>
  <c r="P5" i="35"/>
  <c r="N5" i="35"/>
  <c r="L5" i="35"/>
  <c r="J5" i="35"/>
  <c r="H5" i="35"/>
  <c r="F5" i="35"/>
  <c r="D5" i="35"/>
  <c r="B5" i="35"/>
  <c r="T4" i="35"/>
  <c r="R4" i="35"/>
  <c r="Q63" i="2" s="1"/>
  <c r="R63" i="2" s="1"/>
  <c r="P4" i="35"/>
  <c r="O63" i="2" s="1"/>
  <c r="P63" i="2" s="1"/>
  <c r="N4" i="35"/>
  <c r="L4" i="35"/>
  <c r="J4" i="35"/>
  <c r="H4" i="35"/>
  <c r="F4" i="35"/>
  <c r="D4" i="35"/>
  <c r="C63" i="2" s="1"/>
  <c r="D63" i="2" s="1"/>
  <c r="B4" i="35"/>
  <c r="T3" i="35"/>
  <c r="R3" i="35"/>
  <c r="P3" i="35"/>
  <c r="N3" i="35"/>
  <c r="L3" i="35"/>
  <c r="J3" i="35"/>
  <c r="H3" i="35"/>
  <c r="F3" i="35"/>
  <c r="D3" i="35"/>
  <c r="B3" i="35"/>
  <c r="B10" i="34"/>
  <c r="A41" i="2" s="1"/>
  <c r="B41" i="2" s="1"/>
  <c r="B9" i="34"/>
  <c r="A40" i="2" s="1"/>
  <c r="B40" i="2" s="1"/>
  <c r="T6" i="34"/>
  <c r="R6" i="34"/>
  <c r="P6" i="34"/>
  <c r="N6" i="34"/>
  <c r="L6" i="34"/>
  <c r="J6" i="34"/>
  <c r="H6" i="34"/>
  <c r="F6" i="34"/>
  <c r="D6" i="34"/>
  <c r="B6" i="34"/>
  <c r="T5" i="34"/>
  <c r="R5" i="34"/>
  <c r="P5" i="34"/>
  <c r="N5" i="34"/>
  <c r="L5" i="34"/>
  <c r="J5" i="34"/>
  <c r="H5" i="34"/>
  <c r="F5" i="34"/>
  <c r="D5" i="34"/>
  <c r="B5" i="34"/>
  <c r="T4" i="34"/>
  <c r="R4" i="34"/>
  <c r="Q83" i="2" s="1"/>
  <c r="R83" i="2" s="1"/>
  <c r="P4" i="34"/>
  <c r="N4" i="34"/>
  <c r="M83" i="2" s="1"/>
  <c r="N83" i="2" s="1"/>
  <c r="L4" i="34"/>
  <c r="J4" i="34"/>
  <c r="I83" i="2" s="1"/>
  <c r="J83" i="2" s="1"/>
  <c r="H4" i="34"/>
  <c r="F4" i="34"/>
  <c r="E83" i="2" s="1"/>
  <c r="F83" i="2" s="1"/>
  <c r="D4" i="34"/>
  <c r="C83" i="2" s="1"/>
  <c r="D83" i="2" s="1"/>
  <c r="B4" i="34"/>
  <c r="A83" i="2" s="1"/>
  <c r="B83" i="2" s="1"/>
  <c r="T3" i="34"/>
  <c r="R3" i="34"/>
  <c r="P3" i="34"/>
  <c r="N3" i="34"/>
  <c r="L3" i="34"/>
  <c r="J3" i="34"/>
  <c r="H3" i="34"/>
  <c r="F3" i="34"/>
  <c r="D3" i="34"/>
  <c r="B3" i="34"/>
  <c r="T11" i="33"/>
  <c r="R11" i="33"/>
  <c r="P11" i="33"/>
  <c r="O22" i="2" s="1"/>
  <c r="P22" i="2" s="1"/>
  <c r="N11" i="33"/>
  <c r="L11" i="33"/>
  <c r="J11" i="33"/>
  <c r="I22" i="2" s="1"/>
  <c r="J22" i="2" s="1"/>
  <c r="H11" i="33"/>
  <c r="F11" i="33"/>
  <c r="D11" i="33"/>
  <c r="B11" i="33"/>
  <c r="A22" i="2" s="1"/>
  <c r="B22" i="2" s="1"/>
  <c r="T6" i="33"/>
  <c r="R6" i="33"/>
  <c r="P6" i="33"/>
  <c r="N6" i="33"/>
  <c r="L6" i="33"/>
  <c r="J6" i="33"/>
  <c r="H6" i="33"/>
  <c r="F6" i="33"/>
  <c r="D6" i="33"/>
  <c r="B6" i="33"/>
  <c r="T5" i="33"/>
  <c r="R5" i="33"/>
  <c r="P5" i="33"/>
  <c r="N5" i="33"/>
  <c r="L5" i="33"/>
  <c r="J5" i="33"/>
  <c r="H5" i="33"/>
  <c r="F5" i="33"/>
  <c r="D5" i="33"/>
  <c r="B5" i="33"/>
  <c r="T4" i="33"/>
  <c r="R4" i="33"/>
  <c r="P4" i="33"/>
  <c r="O69" i="2" s="1"/>
  <c r="P69" i="2" s="1"/>
  <c r="N4" i="33"/>
  <c r="M69" i="2" s="1"/>
  <c r="N69" i="2" s="1"/>
  <c r="L4" i="33"/>
  <c r="J4" i="33"/>
  <c r="I69" i="2" s="1"/>
  <c r="J69" i="2" s="1"/>
  <c r="H4" i="33"/>
  <c r="F4" i="33"/>
  <c r="D4" i="33"/>
  <c r="C69" i="2" s="1"/>
  <c r="D69" i="2" s="1"/>
  <c r="B4" i="33"/>
  <c r="A69" i="2" s="1"/>
  <c r="B69" i="2" s="1"/>
  <c r="T3" i="33"/>
  <c r="R3" i="33"/>
  <c r="P3" i="33"/>
  <c r="N3" i="33"/>
  <c r="L3" i="33"/>
  <c r="J3" i="33"/>
  <c r="H3" i="33"/>
  <c r="F3" i="33"/>
  <c r="D3" i="33"/>
  <c r="B3" i="33"/>
  <c r="A20" i="2"/>
  <c r="B20" i="2" s="1"/>
  <c r="A62" i="2"/>
  <c r="B62" i="2" s="1"/>
  <c r="T6" i="32"/>
  <c r="R6" i="32"/>
  <c r="Q20" i="2" s="1"/>
  <c r="R20" i="2" s="1"/>
  <c r="P6" i="32"/>
  <c r="O20" i="2" s="1"/>
  <c r="P20" i="2" s="1"/>
  <c r="N6" i="32"/>
  <c r="L6" i="32"/>
  <c r="K20" i="2" s="1"/>
  <c r="L20" i="2" s="1"/>
  <c r="J6" i="32"/>
  <c r="I20" i="2" s="1"/>
  <c r="J20" i="2" s="1"/>
  <c r="H6" i="32"/>
  <c r="F6" i="32"/>
  <c r="D6" i="32"/>
  <c r="C20" i="2" s="1"/>
  <c r="D20" i="2" s="1"/>
  <c r="B6" i="32"/>
  <c r="T5" i="32"/>
  <c r="R5" i="32"/>
  <c r="P5" i="32"/>
  <c r="N5" i="32"/>
  <c r="L5" i="32"/>
  <c r="J5" i="32"/>
  <c r="H5" i="32"/>
  <c r="F5" i="32"/>
  <c r="D5" i="32"/>
  <c r="B5" i="32"/>
  <c r="T4" i="32"/>
  <c r="R4" i="32"/>
  <c r="Q62" i="2" s="1"/>
  <c r="R62" i="2" s="1"/>
  <c r="P4" i="32"/>
  <c r="N4" i="32"/>
  <c r="L4" i="32"/>
  <c r="K62" i="2" s="1"/>
  <c r="L62" i="2" s="1"/>
  <c r="J4" i="32"/>
  <c r="I62" i="2" s="1"/>
  <c r="J62" i="2" s="1"/>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5" i="2" s="1"/>
  <c r="B25" i="2" s="1"/>
  <c r="T6" i="30"/>
  <c r="R6" i="30"/>
  <c r="Q19" i="2" s="1"/>
  <c r="R19" i="2" s="1"/>
  <c r="P6" i="30"/>
  <c r="N6" i="30"/>
  <c r="M19" i="2" s="1"/>
  <c r="N19" i="2" s="1"/>
  <c r="L6" i="30"/>
  <c r="K19" i="2" s="1"/>
  <c r="L19" i="2" s="1"/>
  <c r="J6" i="30"/>
  <c r="H6" i="30"/>
  <c r="F6" i="30"/>
  <c r="E19" i="2" s="1"/>
  <c r="F19" i="2" s="1"/>
  <c r="D6" i="30"/>
  <c r="C19" i="2" s="1"/>
  <c r="D19" i="2" s="1"/>
  <c r="B6" i="30"/>
  <c r="A19" i="2" s="1"/>
  <c r="B19" i="2" s="1"/>
  <c r="T5" i="30"/>
  <c r="R5" i="30"/>
  <c r="P5" i="30"/>
  <c r="N5" i="30"/>
  <c r="L5" i="30"/>
  <c r="J5" i="30"/>
  <c r="H5" i="30"/>
  <c r="F5" i="30"/>
  <c r="D5" i="30"/>
  <c r="B5" i="30"/>
  <c r="T4" i="30"/>
  <c r="R4" i="30"/>
  <c r="Q81" i="2" s="1"/>
  <c r="R81" i="2" s="1"/>
  <c r="P4" i="30"/>
  <c r="N4" i="30"/>
  <c r="M81" i="2" s="1"/>
  <c r="N81" i="2" s="1"/>
  <c r="L4" i="30"/>
  <c r="K81" i="2" s="1"/>
  <c r="L81" i="2" s="1"/>
  <c r="J4" i="30"/>
  <c r="I81" i="2" s="1"/>
  <c r="J81" i="2" s="1"/>
  <c r="H4" i="30"/>
  <c r="F4" i="30"/>
  <c r="E81" i="2" s="1"/>
  <c r="F81" i="2" s="1"/>
  <c r="D4" i="30"/>
  <c r="B4" i="30"/>
  <c r="A81" i="2" s="1"/>
  <c r="B81" i="2" s="1"/>
  <c r="T3" i="30"/>
  <c r="R3" i="30"/>
  <c r="P3" i="30"/>
  <c r="N3" i="30"/>
  <c r="L3" i="30"/>
  <c r="J3" i="30"/>
  <c r="H3" i="30"/>
  <c r="F3" i="30"/>
  <c r="D3" i="30"/>
  <c r="B3" i="30"/>
  <c r="T7" i="29"/>
  <c r="R7" i="29"/>
  <c r="Q38" i="2" s="1"/>
  <c r="R38" i="2" s="1"/>
  <c r="P7" i="29"/>
  <c r="N7" i="29"/>
  <c r="M38" i="2" s="1"/>
  <c r="N38" i="2" s="1"/>
  <c r="L7" i="29"/>
  <c r="K38" i="2" s="1"/>
  <c r="L38" i="2" s="1"/>
  <c r="J7" i="29"/>
  <c r="H7" i="29"/>
  <c r="E38" i="2"/>
  <c r="F38" i="2" s="1"/>
  <c r="D7" i="29"/>
  <c r="C38" i="2" s="1"/>
  <c r="D38" i="2" s="1"/>
  <c r="B7" i="29"/>
  <c r="A38" i="2" s="1"/>
  <c r="B38"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5" i="2"/>
  <c r="B15" i="2" s="1"/>
  <c r="A105" i="2"/>
  <c r="B105" i="2" s="1"/>
  <c r="T6" i="28"/>
  <c r="R6" i="28"/>
  <c r="P6" i="28"/>
  <c r="O15" i="2" s="1"/>
  <c r="P15" i="2" s="1"/>
  <c r="N6" i="28"/>
  <c r="L6" i="28"/>
  <c r="K15" i="2" s="1"/>
  <c r="L15" i="2" s="1"/>
  <c r="J6" i="28"/>
  <c r="I15" i="2" s="1"/>
  <c r="J15" i="2" s="1"/>
  <c r="H6" i="28"/>
  <c r="F6" i="28"/>
  <c r="D6" i="28"/>
  <c r="C15" i="2" s="1"/>
  <c r="D15"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6" i="2" s="1"/>
  <c r="N16" i="2" s="1"/>
  <c r="L6" i="27"/>
  <c r="K16" i="2" s="1"/>
  <c r="L16" i="2" s="1"/>
  <c r="J6" i="27"/>
  <c r="I16" i="2" s="1"/>
  <c r="J16" i="2" s="1"/>
  <c r="H6" i="27"/>
  <c r="F6" i="27"/>
  <c r="E16" i="2" s="1"/>
  <c r="F16" i="2" s="1"/>
  <c r="D6" i="27"/>
  <c r="B6" i="27"/>
  <c r="A16" i="2" s="1"/>
  <c r="B16" i="2" s="1"/>
  <c r="T5" i="27"/>
  <c r="R5" i="27"/>
  <c r="P5" i="27"/>
  <c r="N5" i="27"/>
  <c r="L5" i="27"/>
  <c r="J5" i="27"/>
  <c r="H5" i="27"/>
  <c r="F5" i="27"/>
  <c r="D5" i="27"/>
  <c r="B5" i="27"/>
  <c r="T4" i="27"/>
  <c r="R4" i="27"/>
  <c r="Q80" i="2" s="1"/>
  <c r="R80" i="2" s="1"/>
  <c r="P4" i="27"/>
  <c r="O80" i="2" s="1"/>
  <c r="P80" i="2" s="1"/>
  <c r="N4" i="27"/>
  <c r="M80" i="2" s="1"/>
  <c r="N80" i="2" s="1"/>
  <c r="L4" i="27"/>
  <c r="K80" i="2" s="1"/>
  <c r="L80" i="2" s="1"/>
  <c r="J4" i="27"/>
  <c r="H4" i="27"/>
  <c r="F4" i="27"/>
  <c r="E80" i="2" s="1"/>
  <c r="F80" i="2" s="1"/>
  <c r="D4" i="27"/>
  <c r="B4" i="27"/>
  <c r="A80" i="2" s="1"/>
  <c r="B80" i="2" s="1"/>
  <c r="T3" i="27"/>
  <c r="R3" i="27"/>
  <c r="P3" i="27"/>
  <c r="N3" i="27"/>
  <c r="L3" i="27"/>
  <c r="J3" i="27"/>
  <c r="H3" i="27"/>
  <c r="F3" i="27"/>
  <c r="D3" i="27"/>
  <c r="B3" i="27"/>
  <c r="A75" i="2"/>
  <c r="B75" i="2" s="1"/>
  <c r="T8" i="26"/>
  <c r="R8" i="26"/>
  <c r="Q35" i="2" s="1"/>
  <c r="R35" i="2" s="1"/>
  <c r="P8" i="26"/>
  <c r="O35" i="2" s="1"/>
  <c r="P35" i="2" s="1"/>
  <c r="N8" i="26"/>
  <c r="L8" i="26"/>
  <c r="K35" i="2" s="1"/>
  <c r="L35" i="2" s="1"/>
  <c r="J8" i="26"/>
  <c r="H8" i="26"/>
  <c r="F8" i="26"/>
  <c r="E35" i="2" s="1"/>
  <c r="F35" i="2" s="1"/>
  <c r="D8" i="26"/>
  <c r="C35" i="2" s="1"/>
  <c r="D35" i="2" s="1"/>
  <c r="B8" i="26"/>
  <c r="A35" i="2" s="1"/>
  <c r="B35" i="2" s="1"/>
  <c r="T6" i="26"/>
  <c r="R6" i="26"/>
  <c r="P6" i="26"/>
  <c r="N6" i="26"/>
  <c r="L6" i="26"/>
  <c r="J6" i="26"/>
  <c r="H6" i="26"/>
  <c r="F6" i="26"/>
  <c r="D6" i="26"/>
  <c r="B6" i="26"/>
  <c r="T5" i="26"/>
  <c r="R5" i="26"/>
  <c r="P5" i="26"/>
  <c r="N5" i="26"/>
  <c r="L5" i="26"/>
  <c r="J5" i="26"/>
  <c r="H5" i="26"/>
  <c r="F5" i="26"/>
  <c r="D5" i="26"/>
  <c r="B5" i="26"/>
  <c r="T4" i="26"/>
  <c r="R4" i="26"/>
  <c r="P4" i="26"/>
  <c r="O75" i="2" s="1"/>
  <c r="P75" i="2" s="1"/>
  <c r="N4" i="26"/>
  <c r="L4" i="26"/>
  <c r="J4" i="26"/>
  <c r="H4" i="26"/>
  <c r="F4" i="26"/>
  <c r="E75" i="2" s="1"/>
  <c r="F75" i="2" s="1"/>
  <c r="D4" i="26"/>
  <c r="B4" i="26"/>
  <c r="T3" i="26"/>
  <c r="R3" i="26"/>
  <c r="P3" i="26"/>
  <c r="N3" i="26"/>
  <c r="L3" i="26"/>
  <c r="J3" i="26"/>
  <c r="H3" i="26"/>
  <c r="F3" i="26"/>
  <c r="D3" i="26"/>
  <c r="B3" i="26"/>
  <c r="A33" i="2"/>
  <c r="B33" i="2" s="1"/>
  <c r="A74" i="2"/>
  <c r="B74" i="2" s="1"/>
  <c r="T9" i="24"/>
  <c r="T8" i="24"/>
  <c r="R9" i="24"/>
  <c r="Q32" i="2" s="1"/>
  <c r="R32" i="2" s="1"/>
  <c r="R8" i="24"/>
  <c r="Q34" i="2" s="1"/>
  <c r="R34" i="2" s="1"/>
  <c r="P9" i="24"/>
  <c r="P8" i="24"/>
  <c r="O34" i="2" s="1"/>
  <c r="P34" i="2" s="1"/>
  <c r="N9" i="24"/>
  <c r="M32" i="2" s="1"/>
  <c r="N32" i="2" s="1"/>
  <c r="N8" i="24"/>
  <c r="M34" i="2" s="1"/>
  <c r="N34" i="2" s="1"/>
  <c r="L9" i="24"/>
  <c r="L8" i="24"/>
  <c r="K34" i="2" s="1"/>
  <c r="L34" i="2" s="1"/>
  <c r="J9" i="24"/>
  <c r="J8" i="24"/>
  <c r="H9" i="24"/>
  <c r="H8" i="24"/>
  <c r="F9" i="24"/>
  <c r="E32" i="2" s="1"/>
  <c r="F32" i="2" s="1"/>
  <c r="F8" i="24"/>
  <c r="E34" i="2" s="1"/>
  <c r="F34" i="2" s="1"/>
  <c r="D9" i="24"/>
  <c r="D8" i="24"/>
  <c r="T8" i="25"/>
  <c r="R8" i="25"/>
  <c r="P8" i="25"/>
  <c r="N8" i="25"/>
  <c r="L8" i="25"/>
  <c r="J8" i="25"/>
  <c r="H8" i="25"/>
  <c r="F8" i="25"/>
  <c r="D8" i="25"/>
  <c r="C33" i="2" s="1"/>
  <c r="D33" i="2" s="1"/>
  <c r="B8" i="25"/>
  <c r="T6" i="25"/>
  <c r="R6" i="25"/>
  <c r="P6" i="25"/>
  <c r="N6" i="25"/>
  <c r="L6" i="25"/>
  <c r="J6" i="25"/>
  <c r="H6" i="25"/>
  <c r="F6" i="25"/>
  <c r="D6" i="25"/>
  <c r="B6" i="25"/>
  <c r="T5" i="25"/>
  <c r="R5" i="25"/>
  <c r="P5" i="25"/>
  <c r="N5" i="25"/>
  <c r="L5" i="25"/>
  <c r="J5" i="25"/>
  <c r="H5" i="25"/>
  <c r="F5" i="25"/>
  <c r="D5" i="25"/>
  <c r="B5" i="25"/>
  <c r="T4" i="25"/>
  <c r="R4" i="25"/>
  <c r="P4" i="25"/>
  <c r="O74" i="2" s="1"/>
  <c r="P74" i="2" s="1"/>
  <c r="N4" i="25"/>
  <c r="L4" i="25"/>
  <c r="K74" i="2" s="1"/>
  <c r="L74" i="2" s="1"/>
  <c r="J4" i="25"/>
  <c r="H4" i="25"/>
  <c r="F4" i="25"/>
  <c r="E74" i="2" s="1"/>
  <c r="F74" i="2" s="1"/>
  <c r="D4" i="25"/>
  <c r="B4" i="25"/>
  <c r="T3" i="25"/>
  <c r="R3" i="25"/>
  <c r="P3" i="25"/>
  <c r="N3" i="25"/>
  <c r="L3" i="25"/>
  <c r="J3" i="25"/>
  <c r="H3" i="25"/>
  <c r="F3" i="25"/>
  <c r="D3" i="25"/>
  <c r="B3" i="25"/>
  <c r="B9" i="24"/>
  <c r="A32" i="2" s="1"/>
  <c r="B32" i="2" s="1"/>
  <c r="B8" i="24"/>
  <c r="A34" i="2" s="1"/>
  <c r="B34" i="2" s="1"/>
  <c r="T6" i="24"/>
  <c r="R6" i="24"/>
  <c r="P6" i="24"/>
  <c r="N6" i="24"/>
  <c r="L6" i="24"/>
  <c r="J6" i="24"/>
  <c r="H6" i="24"/>
  <c r="F6" i="24"/>
  <c r="D6" i="24"/>
  <c r="B6" i="24"/>
  <c r="T5" i="24"/>
  <c r="R5" i="24"/>
  <c r="P5" i="24"/>
  <c r="N5" i="24"/>
  <c r="L5" i="24"/>
  <c r="J5" i="24"/>
  <c r="H5" i="24"/>
  <c r="F5" i="24"/>
  <c r="D5" i="24"/>
  <c r="B5" i="24"/>
  <c r="T4" i="24"/>
  <c r="R4" i="24"/>
  <c r="Q73" i="2" s="1"/>
  <c r="R73" i="2" s="1"/>
  <c r="P4" i="24"/>
  <c r="O73" i="2" s="1"/>
  <c r="P73" i="2" s="1"/>
  <c r="N4" i="24"/>
  <c r="M73" i="2" s="1"/>
  <c r="N73" i="2" s="1"/>
  <c r="L4" i="24"/>
  <c r="K73" i="2" s="1"/>
  <c r="L73" i="2" s="1"/>
  <c r="J4" i="24"/>
  <c r="I73" i="2" s="1"/>
  <c r="J73" i="2" s="1"/>
  <c r="H4" i="24"/>
  <c r="F4" i="24"/>
  <c r="D4" i="24"/>
  <c r="C73" i="2" s="1"/>
  <c r="D73" i="2" s="1"/>
  <c r="B4" i="24"/>
  <c r="A73" i="2" s="1"/>
  <c r="B73" i="2" s="1"/>
  <c r="T3" i="24"/>
  <c r="R3" i="24"/>
  <c r="P3" i="24"/>
  <c r="N3" i="24"/>
  <c r="L3" i="24"/>
  <c r="J3" i="24"/>
  <c r="H3" i="24"/>
  <c r="F3" i="24"/>
  <c r="D3" i="24"/>
  <c r="B3" i="24"/>
  <c r="A72" i="2"/>
  <c r="B72" i="2" s="1"/>
  <c r="T6" i="23"/>
  <c r="R6" i="23"/>
  <c r="P6" i="23"/>
  <c r="N6" i="23"/>
  <c r="L6" i="23"/>
  <c r="J6" i="23"/>
  <c r="H6" i="23"/>
  <c r="F6" i="23"/>
  <c r="D6" i="23"/>
  <c r="B6" i="23"/>
  <c r="T5" i="23"/>
  <c r="R5" i="23"/>
  <c r="P5" i="23"/>
  <c r="N5" i="23"/>
  <c r="L5" i="23"/>
  <c r="J5" i="23"/>
  <c r="H5" i="23"/>
  <c r="F5" i="23"/>
  <c r="D5" i="23"/>
  <c r="B5" i="23"/>
  <c r="T4" i="23"/>
  <c r="R4" i="23"/>
  <c r="Q72" i="2" s="1"/>
  <c r="R72" i="2" s="1"/>
  <c r="P4" i="23"/>
  <c r="O72" i="2" s="1"/>
  <c r="P72" i="2" s="1"/>
  <c r="N4" i="23"/>
  <c r="M72" i="2" s="1"/>
  <c r="N72" i="2" s="1"/>
  <c r="L4" i="23"/>
  <c r="J4" i="23"/>
  <c r="I72" i="2" s="1"/>
  <c r="J72" i="2" s="1"/>
  <c r="H4" i="23"/>
  <c r="F4" i="23"/>
  <c r="D4" i="23"/>
  <c r="C72" i="2" s="1"/>
  <c r="D72" i="2" s="1"/>
  <c r="B4" i="23"/>
  <c r="T3" i="23"/>
  <c r="R3" i="23"/>
  <c r="P3" i="23"/>
  <c r="N3" i="23"/>
  <c r="L3" i="23"/>
  <c r="J3" i="23"/>
  <c r="H3" i="23"/>
  <c r="F3" i="23"/>
  <c r="D3" i="23"/>
  <c r="B3" i="23"/>
  <c r="A71" i="2"/>
  <c r="B71" i="2" s="1"/>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E71" i="2" s="1"/>
  <c r="F71" i="2" s="1"/>
  <c r="D4" i="22"/>
  <c r="B4" i="22"/>
  <c r="T3" i="22"/>
  <c r="R3" i="22"/>
  <c r="P3" i="22"/>
  <c r="N3" i="22"/>
  <c r="L3" i="22"/>
  <c r="J3" i="22"/>
  <c r="H3" i="22"/>
  <c r="F3" i="22"/>
  <c r="D3" i="22"/>
  <c r="B3" i="22"/>
  <c r="A76" i="2"/>
  <c r="B76" i="2" s="1"/>
  <c r="T6" i="21"/>
  <c r="R6" i="21"/>
  <c r="P6" i="21"/>
  <c r="N6" i="21"/>
  <c r="L6" i="21"/>
  <c r="J6" i="21"/>
  <c r="H6" i="21"/>
  <c r="F6" i="21"/>
  <c r="D6" i="21"/>
  <c r="B6" i="21"/>
  <c r="T5" i="21"/>
  <c r="R5" i="21"/>
  <c r="P5" i="21"/>
  <c r="N5" i="21"/>
  <c r="L5" i="21"/>
  <c r="J5" i="21"/>
  <c r="H5" i="21"/>
  <c r="F5" i="21"/>
  <c r="D5" i="21"/>
  <c r="B5" i="21"/>
  <c r="T4" i="21"/>
  <c r="R4" i="21"/>
  <c r="Q76" i="2" s="1"/>
  <c r="R76" i="2" s="1"/>
  <c r="P4" i="21"/>
  <c r="O76" i="2" s="1"/>
  <c r="P76" i="2" s="1"/>
  <c r="N4" i="21"/>
  <c r="M76" i="2" s="1"/>
  <c r="N76" i="2" s="1"/>
  <c r="L4" i="21"/>
  <c r="K76" i="2" s="1"/>
  <c r="L76" i="2" s="1"/>
  <c r="J4" i="21"/>
  <c r="I76" i="2" s="1"/>
  <c r="J76" i="2" s="1"/>
  <c r="H4" i="21"/>
  <c r="F4" i="21"/>
  <c r="D4" i="21"/>
  <c r="B4" i="21"/>
  <c r="T3" i="21"/>
  <c r="R3" i="21"/>
  <c r="P3" i="21"/>
  <c r="N3" i="21"/>
  <c r="L3" i="21"/>
  <c r="J3" i="21"/>
  <c r="H3" i="21"/>
  <c r="F3" i="21"/>
  <c r="D3" i="21"/>
  <c r="B3" i="21"/>
  <c r="A102" i="2"/>
  <c r="B102" i="2" s="1"/>
  <c r="T6" i="20"/>
  <c r="R6" i="20"/>
  <c r="P6" i="20"/>
  <c r="N6" i="20"/>
  <c r="L6" i="20"/>
  <c r="J6" i="20"/>
  <c r="H6" i="20"/>
  <c r="F6" i="20"/>
  <c r="D6" i="20"/>
  <c r="B6" i="20"/>
  <c r="T5" i="20"/>
  <c r="R5" i="20"/>
  <c r="P5" i="20"/>
  <c r="N5" i="20"/>
  <c r="L5" i="20"/>
  <c r="J5" i="20"/>
  <c r="H5" i="20"/>
  <c r="F5" i="20"/>
  <c r="D5" i="20"/>
  <c r="B5" i="20"/>
  <c r="T4" i="20"/>
  <c r="R4" i="20"/>
  <c r="P4" i="20"/>
  <c r="O102" i="2" s="1"/>
  <c r="P102" i="2" s="1"/>
  <c r="N4" i="20"/>
  <c r="L4" i="20"/>
  <c r="K102" i="2" s="1"/>
  <c r="L102" i="2" s="1"/>
  <c r="J4" i="20"/>
  <c r="H4" i="20"/>
  <c r="F4" i="20"/>
  <c r="D4" i="20"/>
  <c r="B4" i="20"/>
  <c r="T3" i="20"/>
  <c r="R3" i="20"/>
  <c r="P3" i="20"/>
  <c r="N3" i="20"/>
  <c r="L3" i="20"/>
  <c r="J3" i="20"/>
  <c r="H3" i="20"/>
  <c r="F3" i="20"/>
  <c r="D3" i="20"/>
  <c r="B3" i="20"/>
  <c r="A96" i="2"/>
  <c r="B96" i="2" s="1"/>
  <c r="T6" i="19"/>
  <c r="R6" i="19"/>
  <c r="P6" i="19"/>
  <c r="N6" i="19"/>
  <c r="L6" i="19"/>
  <c r="J6" i="19"/>
  <c r="H6" i="19"/>
  <c r="F6" i="19"/>
  <c r="D6" i="19"/>
  <c r="B6" i="19"/>
  <c r="T5" i="19"/>
  <c r="R5" i="19"/>
  <c r="P5" i="19"/>
  <c r="N5" i="19"/>
  <c r="L5" i="19"/>
  <c r="J5" i="19"/>
  <c r="H5" i="19"/>
  <c r="F5" i="19"/>
  <c r="D5" i="19"/>
  <c r="B5" i="19"/>
  <c r="T4" i="19"/>
  <c r="R4" i="19"/>
  <c r="Q96" i="2" s="1"/>
  <c r="R96" i="2" s="1"/>
  <c r="P4" i="19"/>
  <c r="N4" i="19"/>
  <c r="L4" i="19"/>
  <c r="J4" i="19"/>
  <c r="I96" i="2" s="1"/>
  <c r="J96" i="2" s="1"/>
  <c r="H4" i="19"/>
  <c r="F4" i="19"/>
  <c r="E96" i="2" s="1"/>
  <c r="F96" i="2" s="1"/>
  <c r="D4" i="19"/>
  <c r="B4" i="19"/>
  <c r="T3" i="19"/>
  <c r="R3" i="19"/>
  <c r="P3" i="19"/>
  <c r="N3" i="19"/>
  <c r="L3" i="19"/>
  <c r="J3" i="19"/>
  <c r="H3" i="19"/>
  <c r="F3" i="19"/>
  <c r="D3" i="19"/>
  <c r="B3" i="19"/>
  <c r="A95" i="2"/>
  <c r="B95" i="2" s="1"/>
  <c r="T6" i="18"/>
  <c r="R6" i="18"/>
  <c r="P6" i="18"/>
  <c r="N6" i="18"/>
  <c r="L6" i="18"/>
  <c r="J6" i="18"/>
  <c r="H6" i="18"/>
  <c r="F6" i="18"/>
  <c r="D6" i="18"/>
  <c r="B6" i="18"/>
  <c r="T5" i="18"/>
  <c r="R5" i="18"/>
  <c r="P5" i="18"/>
  <c r="N5" i="18"/>
  <c r="L5" i="18"/>
  <c r="J5" i="18"/>
  <c r="H5" i="18"/>
  <c r="F5" i="18"/>
  <c r="D5" i="18"/>
  <c r="B5" i="18"/>
  <c r="T4" i="18"/>
  <c r="R4" i="18"/>
  <c r="P4" i="18"/>
  <c r="O95" i="2" s="1"/>
  <c r="P95" i="2" s="1"/>
  <c r="N4" i="18"/>
  <c r="L4" i="18"/>
  <c r="K95" i="2" s="1"/>
  <c r="L95" i="2" s="1"/>
  <c r="J4" i="18"/>
  <c r="I95" i="2" s="1"/>
  <c r="J95" i="2" s="1"/>
  <c r="H4" i="18"/>
  <c r="F4" i="18"/>
  <c r="D4" i="18"/>
  <c r="C95" i="2" s="1"/>
  <c r="D95" i="2" s="1"/>
  <c r="B4" i="18"/>
  <c r="T3" i="18"/>
  <c r="R3" i="18"/>
  <c r="P3" i="18"/>
  <c r="N3" i="18"/>
  <c r="L3" i="18"/>
  <c r="J3" i="18"/>
  <c r="H3" i="18"/>
  <c r="F3" i="18"/>
  <c r="D3" i="18"/>
  <c r="B3" i="18"/>
  <c r="A100" i="2"/>
  <c r="B100" i="2" s="1"/>
  <c r="T6" i="17"/>
  <c r="R6" i="17"/>
  <c r="P6" i="17"/>
  <c r="N6" i="17"/>
  <c r="L6" i="17"/>
  <c r="J6" i="17"/>
  <c r="H6" i="17"/>
  <c r="F6" i="17"/>
  <c r="D6" i="17"/>
  <c r="B6" i="17"/>
  <c r="T5" i="17"/>
  <c r="R5" i="17"/>
  <c r="P5" i="17"/>
  <c r="N5" i="17"/>
  <c r="L5" i="17"/>
  <c r="J5" i="17"/>
  <c r="H5" i="17"/>
  <c r="F5" i="17"/>
  <c r="D5" i="17"/>
  <c r="B5" i="17"/>
  <c r="T4" i="17"/>
  <c r="R4" i="17"/>
  <c r="Q100" i="2" s="1"/>
  <c r="R100" i="2" s="1"/>
  <c r="P4" i="17"/>
  <c r="O100" i="2" s="1"/>
  <c r="P100" i="2" s="1"/>
  <c r="N4" i="17"/>
  <c r="L4" i="17"/>
  <c r="K100" i="2" s="1"/>
  <c r="L100" i="2" s="1"/>
  <c r="J4" i="17"/>
  <c r="I100" i="2" s="1"/>
  <c r="J100" i="2" s="1"/>
  <c r="H4" i="17"/>
  <c r="F4" i="17"/>
  <c r="D4" i="17"/>
  <c r="B4" i="17"/>
  <c r="T3" i="17"/>
  <c r="R3" i="17"/>
  <c r="P3" i="17"/>
  <c r="N3" i="17"/>
  <c r="L3" i="17"/>
  <c r="J3" i="17"/>
  <c r="H3" i="17"/>
  <c r="F3" i="17"/>
  <c r="D3" i="17"/>
  <c r="B3" i="17"/>
  <c r="A42" i="2"/>
  <c r="B42" i="2" s="1"/>
  <c r="A28" i="2"/>
  <c r="B28" i="2" s="1"/>
  <c r="A27" i="2"/>
  <c r="B27" i="2" s="1"/>
  <c r="T22" i="5"/>
  <c r="T20" i="5"/>
  <c r="T15" i="5"/>
  <c r="R22" i="5"/>
  <c r="Q28" i="2" s="1"/>
  <c r="R28" i="2" s="1"/>
  <c r="R20" i="5"/>
  <c r="Q27" i="2" s="1"/>
  <c r="R27" i="2" s="1"/>
  <c r="R15" i="5"/>
  <c r="Q42" i="2" s="1"/>
  <c r="R42" i="2" s="1"/>
  <c r="P22" i="5"/>
  <c r="O28" i="2" s="1"/>
  <c r="P28" i="2" s="1"/>
  <c r="P20" i="5"/>
  <c r="P15" i="5"/>
  <c r="N22" i="5"/>
  <c r="M28" i="2" s="1"/>
  <c r="N28" i="2" s="1"/>
  <c r="N20" i="5"/>
  <c r="M27" i="2" s="1"/>
  <c r="N27" i="2" s="1"/>
  <c r="N15" i="5"/>
  <c r="L22" i="5"/>
  <c r="L20" i="5"/>
  <c r="L15" i="5"/>
  <c r="J22" i="5"/>
  <c r="J20" i="5"/>
  <c r="J15" i="5"/>
  <c r="I42" i="2" s="1"/>
  <c r="J42" i="2" s="1"/>
  <c r="H22" i="5"/>
  <c r="H20" i="5"/>
  <c r="H15" i="5"/>
  <c r="F22" i="5"/>
  <c r="F20" i="5"/>
  <c r="F15" i="5"/>
  <c r="E42" i="2" s="1"/>
  <c r="F42" i="2" s="1"/>
  <c r="D22" i="5"/>
  <c r="D20" i="5"/>
  <c r="D15" i="5"/>
  <c r="C42" i="2" s="1"/>
  <c r="D42" i="2" s="1"/>
  <c r="B20" i="5"/>
  <c r="B15" i="5"/>
  <c r="B22" i="5"/>
  <c r="T12" i="5"/>
  <c r="T11" i="5"/>
  <c r="T10" i="5"/>
  <c r="T9" i="5"/>
  <c r="T6" i="5"/>
  <c r="T5" i="5"/>
  <c r="T4" i="5"/>
  <c r="T3" i="5"/>
  <c r="R12" i="5"/>
  <c r="Q36" i="2" s="1"/>
  <c r="R36" i="2" s="1"/>
  <c r="R11" i="5"/>
  <c r="Q37" i="2" s="1"/>
  <c r="R37" i="2" s="1"/>
  <c r="R10" i="5"/>
  <c r="Q31" i="2" s="1"/>
  <c r="R31" i="2" s="1"/>
  <c r="R9" i="5"/>
  <c r="R6" i="5"/>
  <c r="R5" i="5"/>
  <c r="R4" i="5"/>
  <c r="R3" i="5"/>
  <c r="P12" i="5"/>
  <c r="O36" i="2" s="1"/>
  <c r="P36" i="2" s="1"/>
  <c r="P11" i="5"/>
  <c r="P10" i="5"/>
  <c r="O31" i="2" s="1"/>
  <c r="P31" i="2" s="1"/>
  <c r="P9" i="5"/>
  <c r="O30" i="2" s="1"/>
  <c r="P30" i="2" s="1"/>
  <c r="P6" i="5"/>
  <c r="P5" i="5"/>
  <c r="P4" i="5"/>
  <c r="O101" i="2" s="1"/>
  <c r="P101" i="2" s="1"/>
  <c r="P3" i="5"/>
  <c r="N12" i="5"/>
  <c r="M36" i="2" s="1"/>
  <c r="N36" i="2" s="1"/>
  <c r="N11" i="5"/>
  <c r="M37" i="2" s="1"/>
  <c r="N37" i="2" s="1"/>
  <c r="N10" i="5"/>
  <c r="M31" i="2" s="1"/>
  <c r="N31" i="2" s="1"/>
  <c r="N9" i="5"/>
  <c r="M30" i="2" s="1"/>
  <c r="N30" i="2" s="1"/>
  <c r="N6" i="5"/>
  <c r="N5" i="5"/>
  <c r="N4" i="5"/>
  <c r="M101" i="2" s="1"/>
  <c r="N101" i="2" s="1"/>
  <c r="N3" i="5"/>
  <c r="L12" i="5"/>
  <c r="K36" i="2" s="1"/>
  <c r="L36" i="2" s="1"/>
  <c r="L11" i="5"/>
  <c r="L10" i="5"/>
  <c r="K31" i="2" s="1"/>
  <c r="L31" i="2" s="1"/>
  <c r="L9" i="5"/>
  <c r="K30" i="2" s="1"/>
  <c r="L30" i="2" s="1"/>
  <c r="L6" i="5"/>
  <c r="L5" i="5"/>
  <c r="L4" i="5"/>
  <c r="K101" i="2" s="1"/>
  <c r="L101" i="2" s="1"/>
  <c r="L3" i="5"/>
  <c r="J12" i="5"/>
  <c r="I36" i="2" s="1"/>
  <c r="J36" i="2" s="1"/>
  <c r="J11" i="5"/>
  <c r="I37" i="2" s="1"/>
  <c r="J37" i="2" s="1"/>
  <c r="J10" i="5"/>
  <c r="I31" i="2" s="1"/>
  <c r="J31" i="2" s="1"/>
  <c r="J9" i="5"/>
  <c r="J6" i="5"/>
  <c r="J5" i="5"/>
  <c r="J4" i="5"/>
  <c r="J3" i="5"/>
  <c r="H12" i="5"/>
  <c r="H11" i="5"/>
  <c r="H10" i="5"/>
  <c r="H9" i="5"/>
  <c r="H6" i="5"/>
  <c r="H5" i="5"/>
  <c r="H4" i="5"/>
  <c r="H3" i="5"/>
  <c r="F12" i="5"/>
  <c r="E36" i="2" s="1"/>
  <c r="F36" i="2" s="1"/>
  <c r="F11" i="5"/>
  <c r="E37" i="2" s="1"/>
  <c r="F37" i="2" s="1"/>
  <c r="F10" i="5"/>
  <c r="E31" i="2" s="1"/>
  <c r="F31" i="2" s="1"/>
  <c r="F9" i="5"/>
  <c r="E30" i="2" s="1"/>
  <c r="F30" i="2" s="1"/>
  <c r="F6" i="5"/>
  <c r="F5" i="5"/>
  <c r="F4" i="5"/>
  <c r="F3" i="5"/>
  <c r="D12" i="5"/>
  <c r="D11" i="5"/>
  <c r="D10" i="5"/>
  <c r="D9" i="5"/>
  <c r="D6" i="5"/>
  <c r="D5" i="5"/>
  <c r="D4" i="5"/>
  <c r="C101" i="2" s="1"/>
  <c r="D101" i="2" s="1"/>
  <c r="D3" i="5"/>
  <c r="T6" i="15"/>
  <c r="R6" i="15"/>
  <c r="P6" i="15"/>
  <c r="N6" i="15"/>
  <c r="L6" i="15"/>
  <c r="J6" i="15"/>
  <c r="H6" i="15"/>
  <c r="F6" i="15"/>
  <c r="D6" i="15"/>
  <c r="B6" i="15"/>
  <c r="T5" i="15"/>
  <c r="R5" i="15"/>
  <c r="P5" i="15"/>
  <c r="N5" i="15"/>
  <c r="L5" i="15"/>
  <c r="J5" i="15"/>
  <c r="H5" i="15"/>
  <c r="F5" i="15"/>
  <c r="D5" i="15"/>
  <c r="B5" i="15"/>
  <c r="T4" i="15"/>
  <c r="R4" i="15"/>
  <c r="P4" i="15"/>
  <c r="N4" i="15"/>
  <c r="L4" i="15"/>
  <c r="K82" i="2" s="1"/>
  <c r="L82" i="2" s="1"/>
  <c r="J4" i="15"/>
  <c r="I82" i="2" s="1"/>
  <c r="J82" i="2" s="1"/>
  <c r="H4" i="15"/>
  <c r="F4" i="15"/>
  <c r="E82" i="2" s="1"/>
  <c r="F82" i="2" s="1"/>
  <c r="D4" i="15"/>
  <c r="C82" i="2" s="1"/>
  <c r="D82" i="2" s="1"/>
  <c r="B4" i="15"/>
  <c r="A82" i="2" s="1"/>
  <c r="B82" i="2" s="1"/>
  <c r="T3" i="15"/>
  <c r="R3" i="15"/>
  <c r="P3" i="15"/>
  <c r="N3" i="15"/>
  <c r="L3" i="15"/>
  <c r="J3" i="15"/>
  <c r="H3" i="15"/>
  <c r="F3" i="15"/>
  <c r="D3" i="15"/>
  <c r="B3" i="15"/>
  <c r="T6" i="14"/>
  <c r="R6" i="14"/>
  <c r="P6" i="14"/>
  <c r="N6" i="14"/>
  <c r="L6" i="14"/>
  <c r="J6" i="14"/>
  <c r="H6" i="14"/>
  <c r="F6" i="14"/>
  <c r="D6" i="14"/>
  <c r="B6" i="14"/>
  <c r="T5" i="14"/>
  <c r="R5" i="14"/>
  <c r="P5" i="14"/>
  <c r="N5" i="14"/>
  <c r="L5" i="14"/>
  <c r="J5" i="14"/>
  <c r="H5" i="14"/>
  <c r="F5" i="14"/>
  <c r="D5" i="14"/>
  <c r="B5" i="14"/>
  <c r="T4" i="14"/>
  <c r="R4" i="14"/>
  <c r="Q99" i="2" s="1"/>
  <c r="R99" i="2" s="1"/>
  <c r="P4" i="14"/>
  <c r="N4" i="14"/>
  <c r="L4" i="14"/>
  <c r="J4" i="14"/>
  <c r="H4" i="14"/>
  <c r="F4" i="14"/>
  <c r="D4" i="14"/>
  <c r="C99" i="2" s="1"/>
  <c r="D99" i="2" s="1"/>
  <c r="B4" i="14"/>
  <c r="A99" i="2" s="1"/>
  <c r="B99"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Q94" i="2" s="1"/>
  <c r="R94" i="2" s="1"/>
  <c r="P4" i="13"/>
  <c r="O94" i="2" s="1"/>
  <c r="P94" i="2" s="1"/>
  <c r="N4" i="13"/>
  <c r="M94" i="2" s="1"/>
  <c r="N94" i="2" s="1"/>
  <c r="L4" i="13"/>
  <c r="J4" i="13"/>
  <c r="I94" i="2" s="1"/>
  <c r="J94" i="2" s="1"/>
  <c r="H4" i="13"/>
  <c r="F4" i="13"/>
  <c r="D4" i="13"/>
  <c r="B4" i="13"/>
  <c r="A94"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Q98" i="2" s="1"/>
  <c r="R98" i="2" s="1"/>
  <c r="P4" i="12"/>
  <c r="O98" i="2" s="1"/>
  <c r="P98" i="2" s="1"/>
  <c r="N4" i="12"/>
  <c r="M98" i="2" s="1"/>
  <c r="N98" i="2" s="1"/>
  <c r="L4" i="12"/>
  <c r="J4" i="12"/>
  <c r="H4" i="12"/>
  <c r="F4" i="12"/>
  <c r="D4" i="12"/>
  <c r="C98" i="2" s="1"/>
  <c r="D98" i="2" s="1"/>
  <c r="B4" i="12"/>
  <c r="A98" i="2" s="1"/>
  <c r="B98" i="2" s="1"/>
  <c r="T3" i="12"/>
  <c r="R3" i="12"/>
  <c r="P3" i="12"/>
  <c r="N3" i="12"/>
  <c r="L3" i="12"/>
  <c r="J3" i="12"/>
  <c r="H3" i="12"/>
  <c r="F3" i="12"/>
  <c r="D3" i="12"/>
  <c r="B3" i="12"/>
  <c r="A93" i="2"/>
  <c r="B93" i="2" s="1"/>
  <c r="T6" i="11"/>
  <c r="R6" i="11"/>
  <c r="P6" i="11"/>
  <c r="N6" i="11"/>
  <c r="L6" i="11"/>
  <c r="J6" i="11"/>
  <c r="H6" i="11"/>
  <c r="F6" i="11"/>
  <c r="D6" i="11"/>
  <c r="B6" i="11"/>
  <c r="T5" i="11"/>
  <c r="R5" i="11"/>
  <c r="P5" i="11"/>
  <c r="N5" i="11"/>
  <c r="L5" i="11"/>
  <c r="J5" i="11"/>
  <c r="H5" i="11"/>
  <c r="F5" i="11"/>
  <c r="D5" i="11"/>
  <c r="B5" i="11"/>
  <c r="T4" i="11"/>
  <c r="R4" i="11"/>
  <c r="Q93" i="2" s="1"/>
  <c r="R93" i="2" s="1"/>
  <c r="P4" i="11"/>
  <c r="O93" i="2" s="1"/>
  <c r="P93" i="2" s="1"/>
  <c r="N4" i="11"/>
  <c r="L4" i="11"/>
  <c r="K93" i="2" s="1"/>
  <c r="L93" i="2" s="1"/>
  <c r="J4" i="11"/>
  <c r="I93" i="2" s="1"/>
  <c r="J93" i="2" s="1"/>
  <c r="H4" i="11"/>
  <c r="F4" i="11"/>
  <c r="E93" i="2" s="1"/>
  <c r="F93" i="2" s="1"/>
  <c r="D4" i="11"/>
  <c r="B4" i="11"/>
  <c r="T3" i="11"/>
  <c r="R3" i="11"/>
  <c r="P3" i="11"/>
  <c r="N3" i="11"/>
  <c r="L3" i="11"/>
  <c r="J3" i="11"/>
  <c r="H3" i="11"/>
  <c r="F3" i="11"/>
  <c r="D3" i="11"/>
  <c r="B3" i="11"/>
  <c r="A97" i="2"/>
  <c r="B97" i="2" s="1"/>
  <c r="T6" i="10"/>
  <c r="R6" i="10"/>
  <c r="P6" i="10"/>
  <c r="N6" i="10"/>
  <c r="L6" i="10"/>
  <c r="J6" i="10"/>
  <c r="H6" i="10"/>
  <c r="F6" i="10"/>
  <c r="D6" i="10"/>
  <c r="B6" i="10"/>
  <c r="T5" i="10"/>
  <c r="R5" i="10"/>
  <c r="P5" i="10"/>
  <c r="N5" i="10"/>
  <c r="L5" i="10"/>
  <c r="J5" i="10"/>
  <c r="H5" i="10"/>
  <c r="F5" i="10"/>
  <c r="D5" i="10"/>
  <c r="B5" i="10"/>
  <c r="T4" i="10"/>
  <c r="R4" i="10"/>
  <c r="Q97" i="2" s="1"/>
  <c r="R97" i="2" s="1"/>
  <c r="P4" i="10"/>
  <c r="N4" i="10"/>
  <c r="L4" i="10"/>
  <c r="K97" i="2" s="1"/>
  <c r="L97" i="2" s="1"/>
  <c r="J4" i="10"/>
  <c r="I97" i="2" s="1"/>
  <c r="J97" i="2" s="1"/>
  <c r="H4" i="10"/>
  <c r="F4" i="10"/>
  <c r="E97" i="2" s="1"/>
  <c r="F97" i="2" s="1"/>
  <c r="D4" i="10"/>
  <c r="B4" i="10"/>
  <c r="T3" i="10"/>
  <c r="R3" i="10"/>
  <c r="P3" i="10"/>
  <c r="N3" i="10"/>
  <c r="L3" i="10"/>
  <c r="J3" i="10"/>
  <c r="H3" i="10"/>
  <c r="F3" i="10"/>
  <c r="D3" i="10"/>
  <c r="B3" i="10"/>
  <c r="A92" i="2"/>
  <c r="B92" i="2" s="1"/>
  <c r="T6" i="9"/>
  <c r="R6" i="9"/>
  <c r="P6" i="9"/>
  <c r="N6" i="9"/>
  <c r="L6" i="9"/>
  <c r="J6" i="9"/>
  <c r="H6" i="9"/>
  <c r="F6" i="9"/>
  <c r="D6" i="9"/>
  <c r="B6" i="9"/>
  <c r="T5" i="9"/>
  <c r="R5" i="9"/>
  <c r="P5" i="9"/>
  <c r="N5" i="9"/>
  <c r="L5" i="9"/>
  <c r="J5" i="9"/>
  <c r="H5" i="9"/>
  <c r="F5" i="9"/>
  <c r="D5" i="9"/>
  <c r="B5" i="9"/>
  <c r="T4" i="9"/>
  <c r="R4" i="9"/>
  <c r="Q92" i="2" s="1"/>
  <c r="R92" i="2" s="1"/>
  <c r="P4" i="9"/>
  <c r="N4" i="9"/>
  <c r="M92" i="2" s="1"/>
  <c r="N92" i="2" s="1"/>
  <c r="L4" i="9"/>
  <c r="J4" i="9"/>
  <c r="I92" i="2" s="1"/>
  <c r="J92" i="2" s="1"/>
  <c r="H4" i="9"/>
  <c r="F4" i="9"/>
  <c r="D4" i="9"/>
  <c r="B4" i="9"/>
  <c r="T3" i="9"/>
  <c r="R3" i="9"/>
  <c r="P3" i="9"/>
  <c r="N3" i="9"/>
  <c r="L3" i="9"/>
  <c r="J3" i="9"/>
  <c r="H3" i="9"/>
  <c r="F3" i="9"/>
  <c r="D3" i="9"/>
  <c r="B3" i="9"/>
  <c r="A91" i="2"/>
  <c r="B91" i="2" s="1"/>
  <c r="T6" i="8"/>
  <c r="R6" i="8"/>
  <c r="P6" i="8"/>
  <c r="N6" i="8"/>
  <c r="L6" i="8"/>
  <c r="J6" i="8"/>
  <c r="H6" i="8"/>
  <c r="F6" i="8"/>
  <c r="D6" i="8"/>
  <c r="B6" i="8"/>
  <c r="T5" i="8"/>
  <c r="R5" i="8"/>
  <c r="P5" i="8"/>
  <c r="N5" i="8"/>
  <c r="L5" i="8"/>
  <c r="J5" i="8"/>
  <c r="H5" i="8"/>
  <c r="F5" i="8"/>
  <c r="D5" i="8"/>
  <c r="B5" i="8"/>
  <c r="T4" i="8"/>
  <c r="R4" i="8"/>
  <c r="P4" i="8"/>
  <c r="N4" i="8"/>
  <c r="L4" i="8"/>
  <c r="J4" i="8"/>
  <c r="H4" i="8"/>
  <c r="F4" i="8"/>
  <c r="E91" i="2" s="1"/>
  <c r="F91" i="2" s="1"/>
  <c r="D4" i="8"/>
  <c r="B4" i="8"/>
  <c r="T3" i="8"/>
  <c r="R3" i="8"/>
  <c r="P3" i="8"/>
  <c r="N3" i="8"/>
  <c r="L3" i="8"/>
  <c r="J3" i="8"/>
  <c r="H3" i="8"/>
  <c r="F3" i="8"/>
  <c r="D3" i="8"/>
  <c r="B3" i="8"/>
  <c r="A90" i="2"/>
  <c r="A30" i="2"/>
  <c r="B30" i="2" s="1"/>
  <c r="T6" i="7"/>
  <c r="R6" i="7"/>
  <c r="P6" i="7"/>
  <c r="N6" i="7"/>
  <c r="L6" i="7"/>
  <c r="J6" i="7"/>
  <c r="H6" i="7"/>
  <c r="F6" i="7"/>
  <c r="D6" i="7"/>
  <c r="B6" i="7"/>
  <c r="T5" i="7"/>
  <c r="R5" i="7"/>
  <c r="P5" i="7"/>
  <c r="N5" i="7"/>
  <c r="L5" i="7"/>
  <c r="J5" i="7"/>
  <c r="H5" i="7"/>
  <c r="F5" i="7"/>
  <c r="D5" i="7"/>
  <c r="B5" i="7"/>
  <c r="T4" i="7"/>
  <c r="R4" i="7"/>
  <c r="Q90" i="2" s="1"/>
  <c r="R90" i="2" s="1"/>
  <c r="P4" i="7"/>
  <c r="O90" i="2" s="1"/>
  <c r="P90" i="2" s="1"/>
  <c r="N4" i="7"/>
  <c r="L4" i="7"/>
  <c r="J4" i="7"/>
  <c r="I90" i="2" s="1"/>
  <c r="J90" i="2" s="1"/>
  <c r="H4" i="7"/>
  <c r="F4" i="7"/>
  <c r="E90" i="2" s="1"/>
  <c r="F90" i="2" s="1"/>
  <c r="D4" i="7"/>
  <c r="C90" i="2" s="1"/>
  <c r="D90" i="2" s="1"/>
  <c r="B4" i="7"/>
  <c r="T3" i="7"/>
  <c r="R3" i="7"/>
  <c r="P3" i="7"/>
  <c r="N3" i="7"/>
  <c r="L3" i="7"/>
  <c r="J3" i="7"/>
  <c r="H3" i="7"/>
  <c r="F3" i="7"/>
  <c r="D3" i="7"/>
  <c r="B3" i="7"/>
  <c r="A89" i="2"/>
  <c r="T6" i="6"/>
  <c r="R6" i="6"/>
  <c r="P6" i="6"/>
  <c r="N6" i="6"/>
  <c r="L6" i="6"/>
  <c r="J6" i="6"/>
  <c r="H6" i="6"/>
  <c r="F6" i="6"/>
  <c r="D6" i="6"/>
  <c r="B6" i="6"/>
  <c r="T5" i="6"/>
  <c r="R5" i="6"/>
  <c r="P5" i="6"/>
  <c r="N5" i="6"/>
  <c r="L5" i="6"/>
  <c r="J5" i="6"/>
  <c r="H5" i="6"/>
  <c r="F5" i="6"/>
  <c r="D5" i="6"/>
  <c r="B5" i="6"/>
  <c r="T4" i="6"/>
  <c r="R4" i="6"/>
  <c r="Q89" i="2" s="1"/>
  <c r="R89" i="2" s="1"/>
  <c r="P4" i="6"/>
  <c r="N4" i="6"/>
  <c r="M89" i="2" s="1"/>
  <c r="N89" i="2" s="1"/>
  <c r="L4" i="6"/>
  <c r="K89" i="2" s="1"/>
  <c r="L89" i="2" s="1"/>
  <c r="J4" i="6"/>
  <c r="H4" i="6"/>
  <c r="F4" i="6"/>
  <c r="D4" i="6"/>
  <c r="C89" i="2" s="1"/>
  <c r="D89" i="2" s="1"/>
  <c r="B4" i="6"/>
  <c r="T3" i="6"/>
  <c r="R3" i="6"/>
  <c r="P3" i="6"/>
  <c r="N3" i="6"/>
  <c r="L3" i="6"/>
  <c r="J3" i="6"/>
  <c r="H3" i="6"/>
  <c r="F3" i="6"/>
  <c r="D3" i="6"/>
  <c r="B3" i="6"/>
  <c r="A101" i="2"/>
  <c r="B101" i="2" s="1"/>
  <c r="B12" i="5"/>
  <c r="A36" i="2" s="1"/>
  <c r="B36" i="2" s="1"/>
  <c r="B11" i="5"/>
  <c r="A37" i="2" s="1"/>
  <c r="B37" i="2" s="1"/>
  <c r="B10" i="5"/>
  <c r="A31" i="2" s="1"/>
  <c r="B31" i="2" s="1"/>
  <c r="B9" i="5"/>
  <c r="B6" i="5"/>
  <c r="B5" i="5"/>
  <c r="B4" i="5"/>
  <c r="B3" i="5"/>
  <c r="B3" i="4"/>
  <c r="B4" i="4"/>
  <c r="A88" i="2" s="1"/>
  <c r="B88" i="2" s="1"/>
  <c r="B5" i="4"/>
  <c r="B6" i="4"/>
  <c r="T6" i="4"/>
  <c r="R6" i="4"/>
  <c r="P6" i="4"/>
  <c r="N6" i="4"/>
  <c r="L6" i="4"/>
  <c r="J6" i="4"/>
  <c r="H6" i="4"/>
  <c r="F6" i="4"/>
  <c r="D6" i="4"/>
  <c r="T5" i="4"/>
  <c r="R5" i="4"/>
  <c r="P5" i="4"/>
  <c r="N5" i="4"/>
  <c r="L5" i="4"/>
  <c r="J5" i="4"/>
  <c r="H5" i="4"/>
  <c r="F5" i="4"/>
  <c r="D5" i="4"/>
  <c r="T4" i="4"/>
  <c r="R4" i="4"/>
  <c r="Q88" i="2" s="1"/>
  <c r="R88" i="2" s="1"/>
  <c r="P4" i="4"/>
  <c r="O88" i="2" s="1"/>
  <c r="P88" i="2" s="1"/>
  <c r="N4" i="4"/>
  <c r="M88" i="2" s="1"/>
  <c r="N88" i="2" s="1"/>
  <c r="L4" i="4"/>
  <c r="K88" i="2" s="1"/>
  <c r="L88" i="2" s="1"/>
  <c r="J4" i="4"/>
  <c r="I88" i="2" s="1"/>
  <c r="J88" i="2" s="1"/>
  <c r="H4" i="4"/>
  <c r="F4" i="4"/>
  <c r="E88" i="2" s="1"/>
  <c r="F88" i="2" s="1"/>
  <c r="D4" i="4"/>
  <c r="C88" i="2" s="1"/>
  <c r="D88" i="2" s="1"/>
  <c r="T3" i="4"/>
  <c r="R3" i="4"/>
  <c r="P3" i="4"/>
  <c r="N3" i="4"/>
  <c r="L3" i="4"/>
  <c r="J3" i="4"/>
  <c r="H3" i="4"/>
  <c r="F3" i="4"/>
  <c r="D3" i="4"/>
  <c r="T6" i="1"/>
  <c r="T5" i="1"/>
  <c r="T4" i="1"/>
  <c r="T3" i="1"/>
  <c r="R6" i="1"/>
  <c r="Q14" i="2" s="1"/>
  <c r="R14" i="2" s="1"/>
  <c r="R5" i="1"/>
  <c r="R4" i="1"/>
  <c r="Q70" i="2" s="1"/>
  <c r="R70" i="2" s="1"/>
  <c r="R3" i="1"/>
  <c r="Q61" i="2" s="1"/>
  <c r="R61" i="2" s="1"/>
  <c r="P6" i="1"/>
  <c r="O14" i="2" s="1"/>
  <c r="P14" i="2" s="1"/>
  <c r="P5" i="1"/>
  <c r="P4" i="1"/>
  <c r="O70" i="2" s="1"/>
  <c r="P70" i="2" s="1"/>
  <c r="P3" i="1"/>
  <c r="N6" i="1"/>
  <c r="M14" i="2" s="1"/>
  <c r="N14" i="2" s="1"/>
  <c r="N5" i="1"/>
  <c r="N4" i="1"/>
  <c r="M70" i="2" s="1"/>
  <c r="N70" i="2" s="1"/>
  <c r="N3" i="1"/>
  <c r="M61" i="2" s="1"/>
  <c r="N61" i="2" s="1"/>
  <c r="L6" i="1"/>
  <c r="L5" i="1"/>
  <c r="L4" i="1"/>
  <c r="L3" i="1"/>
  <c r="J6" i="1"/>
  <c r="I14" i="2" s="1"/>
  <c r="J14" i="2" s="1"/>
  <c r="J5" i="1"/>
  <c r="J4" i="1"/>
  <c r="I70" i="2" s="1"/>
  <c r="J70" i="2" s="1"/>
  <c r="J3" i="1"/>
  <c r="I61" i="2" s="1"/>
  <c r="J61" i="2" s="1"/>
  <c r="H6" i="1"/>
  <c r="H5" i="1"/>
  <c r="H4" i="1"/>
  <c r="H3" i="1"/>
  <c r="F6" i="1"/>
  <c r="F5" i="1"/>
  <c r="F4" i="1"/>
  <c r="E70" i="2" s="1"/>
  <c r="F70" i="2" s="1"/>
  <c r="F3" i="1"/>
  <c r="D6" i="1"/>
  <c r="C14" i="2" s="1"/>
  <c r="D14" i="2" s="1"/>
  <c r="D5" i="1"/>
  <c r="D4" i="1"/>
  <c r="D3" i="1"/>
  <c r="B4" i="1"/>
  <c r="A70" i="2" s="1"/>
  <c r="B70" i="2" s="1"/>
  <c r="B6" i="1"/>
  <c r="A14" i="2" s="1"/>
  <c r="B14" i="2" s="1"/>
  <c r="B5" i="1"/>
  <c r="B3" i="1"/>
  <c r="A61" i="2" s="1"/>
  <c r="B61" i="2" s="1"/>
  <c r="B7" i="2"/>
  <c r="B5" i="2"/>
  <c r="B4" i="2"/>
  <c r="B12" i="2"/>
  <c r="B11" i="2"/>
  <c r="B10" i="2"/>
  <c r="B9" i="2"/>
  <c r="N15" i="39" a="1"/>
  <c r="N14" i="39" a="1"/>
  <c r="N13" i="39" a="1"/>
  <c r="J21" i="39" a="1"/>
  <c r="J19" i="39" a="1"/>
  <c r="F8" i="39" a="1"/>
  <c r="F18" i="39" a="1"/>
  <c r="B23" i="39" a="1"/>
  <c r="B19" i="39" a="1"/>
  <c r="B4" i="39" a="1"/>
  <c r="J9" i="39" a="1"/>
  <c r="F20" i="39" a="1"/>
  <c r="F4" i="39" a="1"/>
  <c r="B21" i="39" a="1"/>
  <c r="F3" i="39" a="1"/>
  <c r="J11" i="39" a="1"/>
  <c r="B2" i="39" a="1"/>
  <c r="B22" i="39" a="1"/>
  <c r="B12" i="39" a="1"/>
  <c r="F12" i="39" a="1"/>
  <c r="N7" i="39" a="1"/>
  <c r="J3" i="39" a="1"/>
  <c r="N10" i="39" a="1"/>
  <c r="N5" i="39" a="1"/>
  <c r="F2" i="39" a="1"/>
  <c r="J8" i="39" a="1"/>
  <c r="F11" i="39" a="1"/>
  <c r="B3" i="39" a="1"/>
  <c r="J15" i="39" a="1"/>
  <c r="F19" i="39" a="1"/>
  <c r="J4" i="39" a="1"/>
  <c r="N2" i="39" a="1"/>
  <c r="B24" i="39" a="1"/>
  <c r="F21" i="39" a="1"/>
  <c r="F10" i="39" a="1"/>
  <c r="B26" i="39" a="1"/>
  <c r="F13" i="39" a="1"/>
  <c r="B8" i="39" a="1"/>
  <c r="B9" i="39" a="1"/>
  <c r="F16" i="39" a="1"/>
  <c r="J5" i="39" a="1"/>
  <c r="J10" i="39" a="1"/>
  <c r="J2" i="39" a="1"/>
  <c r="B13" i="39" a="1"/>
  <c r="F5" i="39" a="1"/>
  <c r="J20" i="39" a="1"/>
  <c r="J12" i="39" a="1"/>
  <c r="N4" i="39" a="1"/>
  <c r="J16" i="39" a="1"/>
  <c r="B14" i="39" a="1"/>
  <c r="B27" i="39" a="1"/>
  <c r="B15" i="39" a="1"/>
  <c r="J7" i="39" a="1"/>
  <c r="J18" i="39" a="1"/>
  <c r="B18" i="39" a="1"/>
  <c r="F9" i="39" a="1"/>
  <c r="F17" i="39" a="1"/>
  <c r="N3" i="39" a="1"/>
  <c r="B7" i="39" a="1"/>
  <c r="J13" i="39" a="1"/>
  <c r="J6" i="39" a="1"/>
  <c r="J14" i="39" a="1"/>
  <c r="J17" i="39" a="1"/>
  <c r="B25" i="39" a="1"/>
  <c r="N6" i="39" a="1"/>
  <c r="B20" i="39" a="1"/>
  <c r="N15" i="39" l="1"/>
  <c r="O15" i="39" s="1"/>
  <c r="N14" i="39"/>
  <c r="O14" i="39" s="1"/>
  <c r="N13" i="39"/>
  <c r="O13" i="39" s="1"/>
  <c r="B12" i="39"/>
  <c r="C12" i="39" s="1"/>
  <c r="N10" i="39"/>
  <c r="O10" i="39" s="1"/>
  <c r="N7" i="39"/>
  <c r="O7" i="39" s="1"/>
  <c r="F3" i="39"/>
  <c r="G3" i="39" s="1"/>
  <c r="J20" i="39"/>
  <c r="K20" i="39" s="1"/>
  <c r="F4" i="39"/>
  <c r="G4" i="39" s="1"/>
  <c r="J9" i="39"/>
  <c r="K9" i="39" s="1"/>
  <c r="B19" i="39"/>
  <c r="C19" i="39" s="1"/>
  <c r="F18" i="39"/>
  <c r="G18" i="39" s="1"/>
  <c r="J19" i="39"/>
  <c r="K19" i="39" s="1"/>
  <c r="J8" i="39"/>
  <c r="K8" i="39" s="1"/>
  <c r="B18" i="39"/>
  <c r="C18" i="39" s="1"/>
  <c r="F17" i="39"/>
  <c r="G17" i="39" s="1"/>
  <c r="J18" i="39"/>
  <c r="K18" i="39" s="1"/>
  <c r="F2" i="39"/>
  <c r="G2" i="39" s="1"/>
  <c r="J7" i="39"/>
  <c r="K7" i="39" s="1"/>
  <c r="B15" i="39"/>
  <c r="C15" i="39" s="1"/>
  <c r="F16" i="39"/>
  <c r="G16" i="39" s="1"/>
  <c r="J17" i="39"/>
  <c r="K17" i="39" s="1"/>
  <c r="B27" i="39"/>
  <c r="C27" i="39" s="1"/>
  <c r="J6" i="39"/>
  <c r="K6" i="39" s="1"/>
  <c r="B14" i="39"/>
  <c r="C14" i="39" s="1"/>
  <c r="F13" i="39"/>
  <c r="G13" i="39" s="1"/>
  <c r="J16" i="39"/>
  <c r="K16" i="39" s="1"/>
  <c r="B26" i="39"/>
  <c r="C26" i="39" s="1"/>
  <c r="N4" i="39"/>
  <c r="O4" i="39" s="1"/>
  <c r="F10" i="39"/>
  <c r="G10" i="39" s="1"/>
  <c r="B24" i="39"/>
  <c r="C24" i="39" s="1"/>
  <c r="J4" i="39"/>
  <c r="K4" i="39" s="1"/>
  <c r="J15" i="39"/>
  <c r="K15" i="39" s="1"/>
  <c r="N5" i="39"/>
  <c r="O5" i="39" s="1"/>
  <c r="J3" i="39"/>
  <c r="K3" i="39" s="1"/>
  <c r="F12" i="39"/>
  <c r="G12" i="39" s="1"/>
  <c r="B22" i="39"/>
  <c r="C22" i="39" s="1"/>
  <c r="J11" i="39"/>
  <c r="K11" i="39" s="1"/>
  <c r="B21" i="39"/>
  <c r="C21" i="39" s="1"/>
  <c r="F11" i="39"/>
  <c r="G11" i="39" s="1"/>
  <c r="F20" i="39"/>
  <c r="G20" i="39" s="1"/>
  <c r="B4" i="39"/>
  <c r="C4" i="39" s="1"/>
  <c r="B23" i="39"/>
  <c r="C23" i="39" s="1"/>
  <c r="F8" i="39"/>
  <c r="G8" i="39" s="1"/>
  <c r="J21" i="39"/>
  <c r="K21" i="39" s="1"/>
  <c r="F5" i="39"/>
  <c r="G5" i="39" s="1"/>
  <c r="B13" i="39"/>
  <c r="C13" i="39" s="1"/>
  <c r="J2" i="39"/>
  <c r="K2" i="39" s="1"/>
  <c r="J10" i="39"/>
  <c r="K10" i="39" s="1"/>
  <c r="B20" i="39"/>
  <c r="C20" i="39" s="1"/>
  <c r="J5" i="39"/>
  <c r="K5" i="39" s="1"/>
  <c r="N6" i="39"/>
  <c r="O6" i="39" s="1"/>
  <c r="B25" i="39"/>
  <c r="C25" i="39" s="1"/>
  <c r="B9" i="39"/>
  <c r="C9" i="39" s="1"/>
  <c r="J14" i="39"/>
  <c r="K14" i="39" s="1"/>
  <c r="B8" i="39"/>
  <c r="C8" i="39" s="1"/>
  <c r="J13" i="39"/>
  <c r="K13" i="39" s="1"/>
  <c r="B7" i="39"/>
  <c r="C7" i="39" s="1"/>
  <c r="N3" i="39"/>
  <c r="O3" i="39" s="1"/>
  <c r="F9" i="39"/>
  <c r="G9" i="39" s="1"/>
  <c r="J12" i="39"/>
  <c r="K12" i="39" s="1"/>
  <c r="F21" i="39"/>
  <c r="G21" i="39" s="1"/>
  <c r="N2" i="39"/>
  <c r="O2" i="39" s="1"/>
  <c r="F19" i="39"/>
  <c r="G19" i="39" s="1"/>
  <c r="B3" i="39"/>
  <c r="C3" i="39" s="1"/>
  <c r="B39" i="2"/>
  <c r="B2" i="39"/>
  <c r="C2" i="39" s="1"/>
  <c r="C50" i="2"/>
  <c r="D50" i="2" s="1"/>
  <c r="C49" i="2"/>
  <c r="D49"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<sst xmlns="http://schemas.openxmlformats.org/spreadsheetml/2006/main" count="13206" uniqueCount="6576">
  <si>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</si>
  <si>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</si>
  <si>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</si>
  <si>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</si>
  <si>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</si>
  <si>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</si>
  <si>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</si>
  <si>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</si>
  <si>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</si>
  <si>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</si>
  <si>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</si>
  <si>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</si>
  <si>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</si>
  <si>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namespace Sidekick.Common.Game.Languages.Implementations</t>
  </si>
  <si>
    <t>{</t>
  </si>
  <si>
    <t xml:space="preserve">    {</t>
  </si>
  <si>
    <t xml:space="preserve">        {</t>
  </si>
  <si>
    <t xml:space="preserve">        };</t>
  </si>
  <si>
    <t xml:space="preserve">    }</t>
  </si>
  <si>
    <t>}</t>
  </si>
  <si>
    <t>English</t>
  </si>
  <si>
    <t>Unique</t>
  </si>
  <si>
    <t>Rare</t>
  </si>
  <si>
    <t>https://www.pathofexile.com/trade/search/</t>
  </si>
  <si>
    <t>https://www.pathofexile.com/trade/exchange/</t>
  </si>
  <si>
    <t>https://www.pathofexile.com/api/trade/</t>
  </si>
  <si>
    <t>https://web.poecdn.com/</t>
  </si>
  <si>
    <t>en</t>
  </si>
  <si>
    <t>-</t>
  </si>
  <si>
    <t>Class</t>
  </si>
  <si>
    <t>German</t>
  </si>
  <si>
    <t>de</t>
  </si>
  <si>
    <t>Spanish</t>
  </si>
  <si>
    <t>French</t>
  </si>
  <si>
    <t>Japanese</t>
  </si>
  <si>
    <t>Korean</t>
  </si>
  <si>
    <t>Portuguese</t>
  </si>
  <si>
    <t>Russian</t>
  </si>
  <si>
    <t>Thai</t>
  </si>
  <si>
    <t>Traditional Chinese</t>
  </si>
  <si>
    <t>es</t>
  </si>
  <si>
    <t>fr</t>
  </si>
  <si>
    <t>jp</t>
  </si>
  <si>
    <t>kr</t>
  </si>
  <si>
    <t>pt</t>
  </si>
  <si>
    <t>ru</t>
  </si>
  <si>
    <t>th</t>
  </si>
  <si>
    <t>zh</t>
  </si>
  <si>
    <t>https://de.pathofexile.com/trade/search/</t>
  </si>
  <si>
    <t>https://de.pathofexile.com/trade/exchange/</t>
  </si>
  <si>
    <t>https://de.pathofexile.com/api/trade/</t>
  </si>
  <si>
    <t>https://es.pathofexile.com/trade/search/</t>
  </si>
  <si>
    <t>https://es.pathofexile.com/trade/exchange/</t>
  </si>
  <si>
    <t>https://es.pathofexile.com/api/trade/</t>
  </si>
  <si>
    <t>https://fr.pathofexile.com/trade/search/</t>
  </si>
  <si>
    <t>https://fr.pathofexile.com/trade/exchange/</t>
  </si>
  <si>
    <t>https://fr.pathofexile.com/api/trade/</t>
  </si>
  <si>
    <t>https://jp.pathofexile.com/trade/search/</t>
  </si>
  <si>
    <t>https://jp.pathofexile.com/trade/exchange/</t>
  </si>
  <si>
    <t>https://jp.pathofexile.com/api/trade/</t>
  </si>
  <si>
    <t>https://poe.game.daum.net/trade/search/</t>
  </si>
  <si>
    <t>https://poe.game.daum.net/trade/exchange/</t>
  </si>
  <si>
    <t>https://poe.game.daum.net/api/trade/</t>
  </si>
  <si>
    <t>https://br.pathofexile.com/trade/search/</t>
  </si>
  <si>
    <t>https://br.pathofexile.com/trade/exchange/</t>
  </si>
  <si>
    <t>https://br.pathofexile.com/api/trade/</t>
  </si>
  <si>
    <t>https://ru.pathofexile.com/trade/search/</t>
  </si>
  <si>
    <t>https://ru.pathofexile.com/trade/exchange/</t>
  </si>
  <si>
    <t>https://ru.pathofexile.com/api/trade/</t>
  </si>
  <si>
    <t>https://th.pathofexile.com/api/trade/</t>
  </si>
  <si>
    <t>https://th.pathofexile.com/trade/exchange/</t>
  </si>
  <si>
    <t>https://th.pathofexile.com/trade/search/</t>
  </si>
  <si>
    <t>http://web.poe.garena.tw/trade/search/</t>
  </si>
  <si>
    <t>http://web.poe.garena.tw/trade/exchange/</t>
  </si>
  <si>
    <t>http://web.poe.garena.tw/api/trade/</t>
  </si>
  <si>
    <t>Unidentified</t>
  </si>
  <si>
    <t>Quality</t>
  </si>
  <si>
    <t>Level</t>
  </si>
  <si>
    <t>Corrupted</t>
  </si>
  <si>
    <t>Sockets</t>
  </si>
  <si>
    <t>Experience</t>
  </si>
  <si>
    <t>Armour</t>
  </si>
  <si>
    <t>Requirements</t>
  </si>
  <si>
    <t>Superior</t>
  </si>
  <si>
    <t>Blighted</t>
  </si>
  <si>
    <t>Anomalous</t>
  </si>
  <si>
    <t>Divergent</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</si>
  <si>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</si>
  <si>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</si>
  <si>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</si>
  <si>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</si>
  <si>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</si>
  <si>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</si>
  <si>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</si>
  <si>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</si>
  <si>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</si>
  <si>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</si>
  <si>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</si>
  <si>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</si>
  <si>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</si>
  <si>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Phantasmal</t>
  </si>
  <si>
    <t>Heist</t>
  </si>
  <si>
    <t>Gloves</t>
  </si>
  <si>
    <t>Boots</t>
  </si>
  <si>
    <t>Helmets</t>
  </si>
  <si>
    <t>Shields</t>
  </si>
  <si>
    <t>Quivers</t>
  </si>
  <si>
    <t xml:space="preserve">        public ClassLanguage Classes { get; } = new()</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</si>
  <si>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</si>
  <si>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</si>
  <si>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</si>
  <si>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</si>
  <si>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</si>
  <si>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</si>
  <si>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</si>
  <si>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</si>
  <si>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</si>
  <si>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</si>
  <si>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</si>
  <si>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</si>
  <si>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</si>
  <si>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</si>
  <si>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</si>
  <si>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</si>
  <si>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</si>
  <si>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</si>
  <si>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</si>
  <si>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</si>
  <si>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</si>
  <si>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</si>
  <si>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</si>
  <si>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</si>
  <si>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</si>
  <si>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</si>
  <si>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</si>
  <si>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</si>
  <si>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</si>
  <si>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</si>
  <si>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</si>
  <si>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</si>
  <si>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</si>
  <si>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</si>
  <si>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</si>
  <si>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</si>
  <si>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</si>
  <si>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</si>
  <si>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</si>
  <si>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</si>
  <si>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</si>
  <si>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</si>
  <si>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</si>
  <si>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</si>
  <si>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</si>
  <si>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</si>
  <si>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</si>
  <si>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</si>
  <si>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</si>
  <si>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</si>
  <si>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</si>
  <si>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</si>
  <si>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</si>
  <si>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</si>
  <si>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</si>
  <si>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</si>
  <si>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</si>
  <si>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</si>
  <si>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</si>
  <si>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</si>
  <si>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</si>
  <si>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</si>
  <si>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</si>
  <si>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</si>
  <si>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</si>
  <si>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</si>
  <si>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</si>
  <si>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</si>
  <si>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</si>
  <si>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</si>
  <si>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</si>
  <si>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</si>
  <si>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</si>
  <si>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</si>
  <si>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</si>
  <si>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</si>
  <si>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</si>
  <si>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</si>
  <si>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</si>
  <si>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</si>
  <si>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</si>
  <si>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</si>
  <si>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</si>
  <si>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</si>
  <si>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</si>
  <si>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</si>
  <si>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</si>
  <si>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</si>
  <si>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</si>
  <si>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</si>
  <si>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</si>
  <si>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</si>
  <si>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</si>
  <si>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</si>
  <si>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</si>
  <si>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</si>
  <si>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</si>
  <si>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</si>
  <si>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</si>
  <si>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</si>
  <si>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</si>
  <si>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</si>
  <si>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</si>
  <si>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</si>
  <si>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</si>
  <si>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</si>
  <si>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</si>
  <si>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</si>
  <si>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</si>
  <si>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</si>
  <si>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</si>
  <si>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</si>
  <si>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</si>
  <si>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</si>
  <si>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</si>
  <si>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</si>
  <si>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</si>
  <si>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</si>
  <si>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</si>
  <si>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</si>
  <si>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</si>
  <si>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</si>
  <si>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</si>
  <si>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</si>
  <si>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</si>
  <si>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</si>
  <si>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</si>
  <si>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</si>
  <si>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</si>
  <si>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</si>
  <si>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</si>
  <si>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</si>
  <si>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</si>
  <si>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</si>
  <si>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</si>
  <si>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</si>
  <si>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</si>
  <si>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</si>
  <si>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</si>
  <si>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</si>
  <si>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</si>
  <si>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</si>
  <si>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</si>
  <si>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</si>
  <si>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</si>
  <si>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</si>
  <si>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</si>
  <si>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</si>
  <si>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</si>
  <si>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</si>
  <si>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</si>
  <si>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</si>
  <si>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</si>
  <si>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</si>
  <si>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</si>
  <si>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</si>
  <si>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</si>
  <si>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</si>
  <si>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</si>
  <si>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</si>
  <si>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</si>
  <si>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</si>
  <si>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</si>
  <si>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</si>
  <si>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</si>
  <si>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</si>
  <si>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</si>
  <si>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</si>
  <si>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</si>
  <si>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</si>
  <si>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</si>
  <si>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</si>
  <si>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</si>
  <si>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</si>
  <si>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</si>
  <si>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</si>
  <si>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</si>
  <si>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</si>
  <si>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</si>
  <si>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</si>
  <si>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</si>
  <si>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</si>
  <si>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</si>
  <si>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</si>
  <si>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</si>
  <si>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</si>
  <si>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</si>
  <si>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</si>
  <si>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</si>
  <si>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</si>
  <si>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</si>
  <si>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</si>
  <si>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</si>
  <si>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</si>
  <si>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</si>
  <si>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</si>
  <si>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</si>
  <si>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</si>
  <si>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</si>
  <si>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</si>
  <si>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</si>
  <si>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</si>
  <si>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</si>
  <si>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</si>
  <si>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</si>
  <si>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</si>
  <si>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</si>
  <si>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</si>
  <si>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</si>
  <si>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</si>
  <si>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</si>
  <si>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</si>
  <si>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</si>
  <si>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</si>
  <si>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</si>
  <si>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</si>
  <si>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</si>
  <si>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</si>
  <si>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</si>
  <si>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</si>
  <si>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</si>
  <si>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</si>
  <si>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</si>
  <si>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</si>
  <si>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</si>
  <si>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</si>
  <si>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</si>
  <si>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</si>
  <si>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</si>
  <si>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</si>
  <si>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</si>
  <si>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</si>
  <si>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</si>
  <si>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</si>
  <si>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</si>
  <si>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</si>
  <si>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</si>
  <si>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</si>
  <si>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</si>
  <si>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</si>
  <si>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</si>
  <si>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</si>
  <si>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</si>
  <si>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</si>
  <si>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</si>
  <si>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</si>
  <si>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</si>
  <si>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</si>
  <si>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</si>
  <si>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</si>
  <si>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</si>
  <si>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</si>
  <si>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</si>
  <si>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</si>
  <si>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</si>
  <si>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</si>
  <si>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</si>
  <si>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</si>
  <si>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</si>
  <si>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</si>
  <si>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</si>
  <si>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</si>
  <si>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</si>
  <si>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</si>
  <si>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</si>
  <si>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</si>
  <si>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</si>
  <si>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</si>
  <si>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</si>
  <si>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</si>
  <si>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</si>
  <si>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</si>
  <si>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</si>
  <si>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</si>
  <si>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</si>
  <si>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</si>
  <si>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</si>
  <si>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</si>
  <si>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</si>
  <si>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</si>
  <si>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</si>
  <si>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</si>
  <si>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</si>
  <si>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</si>
  <si>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</si>
  <si>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</si>
  <si>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</si>
  <si>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</si>
  <si>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</si>
  <si>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</si>
  <si>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</si>
  <si>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</si>
  <si>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</si>
  <si>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</si>
  <si>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</si>
  <si>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</si>
  <si>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</si>
  <si>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</si>
  <si>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</si>
  <si>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</si>
  <si>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</si>
  <si>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</si>
  <si>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</si>
  <si>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</si>
  <si>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</si>
  <si>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</si>
  <si>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</si>
  <si>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</si>
  <si>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</si>
  <si>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</si>
  <si>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</si>
  <si>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</si>
  <si>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</si>
  <si>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</si>
  <si>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</si>
  <si>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</si>
  <si>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</si>
  <si>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</si>
  <si>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</si>
  <si>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</si>
  <si>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</si>
  <si>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</si>
  <si>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</si>
  <si>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</si>
  <si>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</si>
  <si>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</si>
  <si>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</si>
  <si>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</si>
  <si>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</si>
  <si>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</si>
  <si>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</si>
  <si>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</si>
  <si>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</si>
  <si>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</si>
  <si>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</si>
  <si>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</si>
  <si>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</si>
  <si>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</si>
  <si>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</si>
  <si>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</si>
  <si>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</si>
  <si>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</si>
  <si>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</si>
  <si>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</si>
  <si>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</si>
  <si>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</si>
  <si>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</si>
  <si>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</si>
  <si>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</si>
  <si>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</si>
  <si>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</si>
  <si>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</si>
  <si>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</si>
  <si>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</si>
  <si>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</si>
  <si>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</si>
  <si>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</si>
  <si>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</si>
  <si>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</si>
  <si>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</si>
  <si>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</si>
  <si>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</si>
  <si>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</si>
  <si>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</si>
  <si>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</si>
  <si>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</si>
  <si>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</si>
  <si>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</si>
  <si>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</si>
  <si>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</si>
  <si>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</si>
  <si>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</si>
  <si>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</si>
  <si>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</si>
  <si>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</si>
  <si>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</si>
  <si>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</si>
  <si>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</si>
  <si>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</si>
  <si>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</si>
  <si>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</si>
  <si>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</si>
  <si>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</si>
  <si>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</si>
  <si>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</si>
  <si>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</si>
  <si>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</si>
  <si>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</si>
  <si>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</si>
  <si>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</si>
  <si>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</si>
  <si>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</si>
  <si>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</si>
  <si>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</si>
  <si>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</si>
  <si>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</si>
  <si>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</si>
  <si>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</si>
  <si>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</si>
  <si>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</si>
  <si>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</si>
  <si>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</si>
  <si>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</si>
  <si>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</si>
  <si>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</si>
  <si>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</si>
  <si>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</si>
  <si>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</si>
  <si>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</si>
  <si>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</si>
  <si>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</si>
  <si>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</si>
  <si>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</si>
  <si>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</si>
  <si>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</si>
  <si>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</si>
  <si>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</si>
  <si>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</si>
  <si>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</si>
  <si>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</si>
  <si>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</si>
  <si>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</si>
  <si>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</si>
  <si>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</si>
  <si>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</si>
  <si>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</si>
  <si>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</si>
  <si>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</si>
  <si>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This is a Support Gem. It does not grant a bonus to your character, but to skills in sockets connected to it. Place into an item socket connected to a socket containing the Skill Gem you wish to augment. Right click to remove from a socket.</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</si>
  <si>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</si>
  <si>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</si>
  <si>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</si>
  <si>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</si>
  <si>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</si>
  <si>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</si>
  <si>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</si>
  <si>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</si>
  <si>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</si>
  <si>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</si>
  <si>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</si>
  <si>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</si>
  <si>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</si>
  <si>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</si>
  <si>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</si>
  <si>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</si>
  <si>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</si>
  <si>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</si>
  <si>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</si>
  <si>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</si>
  <si>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</si>
  <si>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</si>
  <si>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</si>
  <si>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</si>
  <si>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</si>
  <si>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</si>
  <si>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</si>
  <si>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</si>
  <si>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</si>
  <si>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</si>
  <si>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</si>
  <si>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</si>
  <si>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</si>
  <si>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</si>
  <si>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</si>
  <si>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</si>
  <si>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</si>
  <si>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</si>
  <si>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</si>
  <si>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</si>
  <si>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</si>
  <si>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</si>
  <si>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</si>
  <si>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</si>
  <si>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</si>
  <si>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</si>
  <si>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</si>
  <si>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</si>
  <si>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</si>
  <si>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</si>
  <si>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</si>
  <si>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</si>
  <si>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</si>
  <si>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</si>
  <si>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</si>
  <si>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</si>
  <si>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</si>
  <si>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</si>
  <si>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</si>
  <si>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</si>
  <si>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</si>
  <si>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Divergent Divine Blessing Support</t>
  </si>
  <si>
    <t>Support, Aura, Duration, Blessing</t>
  </si>
  <si>
    <t>Level: 20 (Max)</t>
  </si>
  <si>
    <t>Alternate Quality</t>
  </si>
  <si>
    <t>Level: 70</t>
  </si>
  <si>
    <t>Str: 70</t>
  </si>
  <si>
    <t>Int: 48</t>
  </si>
  <si>
    <t>Supports aura skills that create permanent auras around you, changing their reservation to a cost and making them temporary. Cannot support banner or stance skills.</t>
  </si>
  <si>
    <t>Supported Skills have 5% reduced Mana Cost</t>
  </si>
  <si>
    <t>Supported Skills have 29% increased Aura effect</t>
  </si>
  <si>
    <t>Supported Skills Cost +233 Mana</t>
  </si>
  <si>
    <t>Supported Skills also count as Blessing Skills</t>
  </si>
  <si>
    <t>You can only have one Aura on you from your Blessing Skills</t>
  </si>
  <si>
    <t>Auras from Supported Skills have a base duration of 10.90 seconds</t>
  </si>
  <si>
    <t>Item Class: Delve Stackable Socketable Currency</t>
  </si>
  <si>
    <t>Primitive Chaotic Resonator</t>
  </si>
  <si>
    <t>Stack Size: 1/10</t>
  </si>
  <si>
    <t>Requires 1 (unmet) Socketed Fossil</t>
  </si>
  <si>
    <t xml:space="preserve">Sockets: D </t>
  </si>
  <si>
    <t>All sockets must be filled with Fossils before this item can be used.</t>
  </si>
  <si>
    <t>Item Class: Metamorph Samples</t>
  </si>
  <si>
    <t>Captain Clayborne, The Accursed's Brain</t>
  </si>
  <si>
    <t>Uses: Soul Bolt</t>
  </si>
  <si>
    <t>Drops additional Currency Items</t>
  </si>
  <si>
    <t>Drops additional Quality Gems</t>
  </si>
  <si>
    <t>Drops a 5-linked Rare Weapon</t>
  </si>
  <si>
    <t>Combine this with four other different samples in Tane's Laboratory.</t>
  </si>
  <si>
    <t>Anomalous Barrage</t>
  </si>
  <si>
    <t>Attack, Projectile, Bow</t>
  </si>
  <si>
    <t>Cost: 11 Mana</t>
  </si>
  <si>
    <t>Attack Damage: 54.6% of base</t>
  </si>
  <si>
    <t>Effectiveness of Added Damage: 55%</t>
  </si>
  <si>
    <t>Quality: +11% (augmented)</t>
  </si>
  <si>
    <t>Dex: 155</t>
  </si>
  <si>
    <t>After a short preparation time, you attack repeatedly with a ranged weapon. These attacks have a small randomised spread. Only works with Bows and Wands. This skill cannot be Triggered.</t>
  </si>
  <si>
    <t>11% chance to Knock Enemies Back on hit</t>
  </si>
  <si>
    <t>Fires 4 additional Projectiles</t>
  </si>
  <si>
    <t>Fires Projectiles sequentially</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</si>
  <si>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</si>
  <si>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</si>
  <si>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</si>
  <si>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</si>
  <si>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</si>
  <si>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</si>
  <si>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</si>
  <si>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</si>
  <si>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</si>
  <si>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</si>
  <si>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</si>
  <si>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</si>
  <si>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</si>
  <si>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</si>
  <si>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</si>
  <si>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</si>
  <si>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</si>
  <si>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</si>
  <si>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</si>
  <si>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</si>
  <si>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</si>
  <si>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</si>
  <si>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</si>
  <si>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</si>
  <si>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</si>
  <si>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</si>
  <si>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</si>
  <si>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</si>
  <si>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</si>
  <si>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</si>
  <si>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</si>
  <si>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</si>
  <si>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</si>
  <si>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</si>
  <si>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</si>
  <si>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</si>
  <si>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</si>
  <si>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</si>
  <si>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</si>
  <si>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</si>
  <si>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</si>
  <si>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</si>
  <si>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</si>
  <si>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</si>
  <si>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</si>
  <si>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</si>
  <si>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</si>
  <si>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</si>
  <si>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</si>
  <si>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</si>
  <si>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</si>
  <si>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</si>
  <si>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</si>
  <si>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</si>
  <si>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</si>
  <si>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</si>
  <si>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</si>
  <si>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</si>
  <si>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</si>
  <si>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</si>
  <si>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</si>
  <si>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</si>
  <si>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</si>
  <si>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</si>
  <si>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</si>
  <si>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</si>
  <si>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</si>
  <si>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</si>
  <si>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</si>
  <si>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</si>
  <si>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</si>
  <si>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</si>
  <si>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</si>
  <si>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</si>
  <si>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</si>
  <si>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</si>
  <si>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</si>
  <si>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</si>
  <si>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</si>
  <si>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</si>
  <si>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</si>
  <si>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</si>
  <si>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</si>
  <si>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</si>
  <si>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</si>
  <si>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</si>
  <si>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</si>
  <si>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</si>
  <si>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</si>
  <si>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</si>
  <si>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</si>
  <si>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</si>
  <si>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</si>
  <si>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</si>
  <si>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</si>
  <si>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</si>
  <si>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</si>
  <si>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</si>
  <si>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</si>
  <si>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</si>
  <si>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</si>
  <si>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</si>
  <si>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</si>
  <si>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</si>
  <si>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</si>
  <si>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</si>
  <si>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</si>
  <si>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</si>
  <si>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</si>
  <si>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</si>
  <si>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</si>
  <si>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</si>
  <si>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</si>
  <si>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</si>
  <si>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</si>
  <si>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</si>
  <si>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</si>
  <si>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</si>
  <si>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</si>
  <si>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</si>
  <si>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</si>
  <si>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</si>
  <si>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</si>
  <si>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</si>
  <si>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</si>
  <si>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</si>
  <si>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</si>
  <si>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</si>
  <si>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</si>
  <si>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</si>
  <si>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</si>
  <si>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</si>
  <si>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</si>
  <si>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</si>
  <si>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</si>
  <si>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</si>
  <si>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</si>
  <si>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</si>
  <si>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Metamorph Samples</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</si>
  <si>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</si>
  <si>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</si>
  <si>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</si>
  <si>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</si>
  <si>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</si>
  <si>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</si>
  <si>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</si>
  <si>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</si>
  <si>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</si>
  <si>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</si>
  <si>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</si>
  <si>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</si>
  <si>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</si>
  <si>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</si>
  <si>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</si>
  <si>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</si>
  <si>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</si>
  <si>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</si>
  <si>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</si>
  <si>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</si>
  <si>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</si>
  <si>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</si>
  <si>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</si>
  <si>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</si>
  <si>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</si>
  <si>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</si>
  <si>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</si>
  <si>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</si>
  <si>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</si>
  <si>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</si>
  <si>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</si>
  <si>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</si>
  <si>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</si>
  <si>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</si>
  <si>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</si>
  <si>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</si>
  <si>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</si>
  <si>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</si>
  <si>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</si>
  <si>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</si>
  <si>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</si>
  <si>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</si>
  <si>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</si>
  <si>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</si>
  <si>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</si>
  <si>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</si>
  <si>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</si>
  <si>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</si>
  <si>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</si>
  <si>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</si>
  <si>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</si>
  <si>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</si>
  <si>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</si>
  <si>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</si>
  <si>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</si>
  <si>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</si>
  <si>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</si>
  <si>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</si>
  <si>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</si>
  <si>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</si>
  <si>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</si>
  <si>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</si>
  <si>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</si>
  <si>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</si>
  <si>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</si>
  <si>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</si>
  <si>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</si>
  <si>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</si>
  <si>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</si>
  <si>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</si>
  <si>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</si>
  <si>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</si>
  <si>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</si>
  <si>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</si>
  <si>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</si>
  <si>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</si>
  <si>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</si>
  <si>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</si>
  <si>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</si>
  <si>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</si>
  <si>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</si>
  <si>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</si>
  <si>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</si>
  <si>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</si>
  <si>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</si>
  <si>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</si>
  <si>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</si>
  <si>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</si>
  <si>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</si>
  <si>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</si>
  <si>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</si>
  <si>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</si>
  <si>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</si>
  <si>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</si>
  <si>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</si>
  <si>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</si>
  <si>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</si>
  <si>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</si>
  <si>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</si>
  <si>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</si>
  <si>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</si>
  <si>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</si>
  <si>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</si>
  <si>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</si>
  <si>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</si>
  <si>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</si>
  <si>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</si>
  <si>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</si>
  <si>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</si>
  <si>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</si>
  <si>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</si>
  <si>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</si>
  <si>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</si>
  <si>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</si>
  <si>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</si>
  <si>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</si>
  <si>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</si>
  <si>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</si>
  <si>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</si>
  <si>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</si>
  <si>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</si>
  <si>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</si>
  <si>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</si>
  <si>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</si>
  <si>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</si>
  <si>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</si>
  <si>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</si>
  <si>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</si>
  <si>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Tir de barrage anormal</t>
  </si>
  <si>
    <t>Attaque, Projectile, Arc</t>
  </si>
  <si>
    <t>Niveau: 20 (Maxi)</t>
  </si>
  <si>
    <t>Coût: 11 de Mana</t>
  </si>
  <si>
    <t>Dégâts d'Attaque: 54.6% de base</t>
  </si>
  <si>
    <t>Efficacité des Dégâts supplémentaires: 55%</t>
  </si>
  <si>
    <t>Niveau: 70</t>
  </si>
  <si>
    <t>Une succession d'attaques à distance qui nécessite un bref instant de préparation. Ces attaques ont une légère dispersion aléatoire. Fonctionne uniquement avec les arcs et les baguettes. Cette Aptitude ne peut être Déclenchée.</t>
  </si>
  <si>
    <t>11% de chances de Repousser les Ennemis au Toucher</t>
  </si>
  <si>
    <t>Tire 4 Projectiles supplémentaires</t>
  </si>
  <si>
    <t>Tire des Projectiles de manière séquencée</t>
  </si>
  <si>
    <t>Corrompu</t>
  </si>
  <si>
    <t>Classe d'objet: Gemmes de soutien</t>
  </si>
  <si>
    <t>Soutien : Bénédiction divine divergente</t>
  </si>
  <si>
    <t>Soutien, Aura, Durée, Bénédiction</t>
  </si>
  <si>
    <t>Qualité: +20% (augmented)</t>
  </si>
  <si>
    <t>For: 70</t>
  </si>
  <si>
    <t>Modifie les aptitudes d'aura qui créent une aura permanente autour de vous. Remplace leur réservation par un coût à payer, mais rend leur effet temporaire. Ne fonctionne pas avec les aptitudes d'Étendard ou de Posture.</t>
  </si>
  <si>
    <t>Les Aptitudes modifiées ont 5% de Réduction du Coût en Mana</t>
  </si>
  <si>
    <t>Les Aptitudes modifiées ont 29% d'Augmentation de l'Effet de leurs Auras</t>
  </si>
  <si>
    <t>Les Aptitudes modifiées Coûtent +233 de Mana</t>
  </si>
  <si>
    <t>Les Aptitudes modifiées sont aussi considérées comme des Aptitudes de Bénédiction</t>
  </si>
  <si>
    <t>Vous ne pouvez bénéficier que d'une Aura émanant de vos Aptitudes de Bénédiction</t>
  </si>
  <si>
    <t>Les Auras émanant des Aptitudes modifiées ont une durée de base de 10.90 secondes</t>
  </si>
  <si>
    <t>Ceci est une Gemme de Soutien : plutôt que de donner un bonus à votre personnage, elle modifie les Aptitudes auxquelles elle est liée. Insérez-la dans une châsse reliée à une autre châsse qui contient la Gemme d'Aptitude que vous souhaitez modifier. Retirez-la à l'aide d'un clic droit.</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</si>
  <si>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</si>
  <si>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</si>
  <si>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</si>
  <si>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</si>
  <si>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</si>
  <si>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</si>
  <si>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</si>
  <si>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</si>
  <si>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</si>
  <si>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</si>
  <si>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</si>
  <si>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Classe d'objet: Organes de Métamorphe</t>
  </si>
  <si>
    <t>Cerveau (Capitaine Poindreglaise, le Maudit)</t>
  </si>
  <si>
    <t>Aptitude : Trait d'âme</t>
  </si>
  <si>
    <t>Niveau de l'objet: 80</t>
  </si>
  <si>
    <t>Cède des Objets monétaires supplémentaires</t>
  </si>
  <si>
    <t>Cède des Gemmes de qualité supplémentaires</t>
  </si>
  <si>
    <t>Cède une Arme rare avec 5 châsses reliées</t>
  </si>
  <si>
    <t>Mélangez-le avec quatre autres échantillons différents dans le Laboratoire de Tane.</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</si>
  <si>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</si>
  <si>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</si>
  <si>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</si>
  <si>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</si>
  <si>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</si>
  <si>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</si>
  <si>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</si>
  <si>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</si>
  <si>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</si>
  <si>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</si>
  <si>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</si>
  <si>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</si>
  <si>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</si>
  <si>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</si>
  <si>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</si>
  <si>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</si>
  <si>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</si>
  <si>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</si>
  <si>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</si>
  <si>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</si>
  <si>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</si>
  <si>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</si>
  <si>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</si>
  <si>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</si>
  <si>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</si>
  <si>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</si>
  <si>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</si>
  <si>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</si>
  <si>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</si>
  <si>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</si>
  <si>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</si>
  <si>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</si>
  <si>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</si>
  <si>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</si>
  <si>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</si>
  <si>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</si>
  <si>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</si>
  <si>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</si>
  <si>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</si>
  <si>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</si>
  <si>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</si>
  <si>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</si>
  <si>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</si>
  <si>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</si>
  <si>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</si>
  <si>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</si>
  <si>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</si>
  <si>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</si>
  <si>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</si>
  <si>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</si>
  <si>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</si>
  <si>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</si>
  <si>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</si>
  <si>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</si>
  <si>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</si>
  <si>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</si>
  <si>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</si>
  <si>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</si>
  <si>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</si>
  <si>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</si>
  <si>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</si>
  <si>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</si>
  <si>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</si>
  <si>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</si>
  <si>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</si>
  <si>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</si>
  <si>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</si>
  <si>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</si>
  <si>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</si>
  <si>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</si>
  <si>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</si>
  <si>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</si>
  <si>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</si>
  <si>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</si>
  <si>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</si>
  <si>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</si>
  <si>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</si>
  <si>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</si>
  <si>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</si>
  <si>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</si>
  <si>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</si>
  <si>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</si>
  <si>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</si>
  <si>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</si>
  <si>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</si>
  <si>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</si>
  <si>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</si>
  <si>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</si>
  <si>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</si>
  <si>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</si>
  <si>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</si>
  <si>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</si>
  <si>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</si>
  <si>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</si>
  <si>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</si>
  <si>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</si>
  <si>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</si>
  <si>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</si>
  <si>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</si>
  <si>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</si>
  <si>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</si>
  <si>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</si>
  <si>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</si>
  <si>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</si>
  <si>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</si>
  <si>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</si>
  <si>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</si>
  <si>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</si>
  <si>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</si>
  <si>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</si>
  <si>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</si>
  <si>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</si>
  <si>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</si>
  <si>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</si>
  <si>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</si>
  <si>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</si>
  <si>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</si>
  <si>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</si>
  <si>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</si>
  <si>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</si>
  <si>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</si>
  <si>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</si>
  <si>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</si>
  <si>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</si>
  <si>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</si>
  <si>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</si>
  <si>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</si>
  <si>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</si>
  <si>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</si>
  <si>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</si>
  <si>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</si>
  <si>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</si>
  <si>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</si>
  <si>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</si>
  <si>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</si>
  <si>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</si>
  <si>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</si>
  <si>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</si>
  <si>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</si>
  <si>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</si>
  <si>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</si>
  <si>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</si>
  <si>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</si>
  <si>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</si>
  <si>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</si>
  <si>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</si>
  <si>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</si>
  <si>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</si>
  <si>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</si>
  <si>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</si>
  <si>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</si>
  <si>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</si>
  <si>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</si>
  <si>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</si>
  <si>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</si>
  <si>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</si>
  <si>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</si>
  <si>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</si>
  <si>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</si>
  <si>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</si>
  <si>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</si>
  <si>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</si>
  <si>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</si>
  <si>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</si>
  <si>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</si>
  <si>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</si>
  <si>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</si>
  <si>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</si>
  <si>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</si>
  <si>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</si>
  <si>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</si>
  <si>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</si>
  <si>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</si>
  <si>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</si>
  <si>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</si>
  <si>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</si>
  <si>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</si>
  <si>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</si>
  <si>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</si>
  <si>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</si>
  <si>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</si>
  <si>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</si>
  <si>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</si>
  <si>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</si>
  <si>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</si>
  <si>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</si>
  <si>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</si>
  <si>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</si>
  <si>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</si>
  <si>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</si>
  <si>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</si>
  <si>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</si>
  <si>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</si>
  <si>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</si>
  <si>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</si>
  <si>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</si>
  <si>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</si>
  <si>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</si>
  <si>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</si>
  <si>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</si>
  <si>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</si>
  <si>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</si>
  <si>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</si>
  <si>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</si>
  <si>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</si>
  <si>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</si>
  <si>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</si>
  <si>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</si>
  <si>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</si>
  <si>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</si>
  <si>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</si>
  <si>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</si>
  <si>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</si>
  <si>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</si>
  <si>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</si>
  <si>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</si>
  <si>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</si>
  <si>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</si>
  <si>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</si>
  <si>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</si>
  <si>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</si>
  <si>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</si>
  <si>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</si>
  <si>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</si>
  <si>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</si>
  <si>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</si>
  <si>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</si>
  <si>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</si>
  <si>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</si>
  <si>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</si>
  <si>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</si>
  <si>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</si>
  <si>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</si>
  <si>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</si>
  <si>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</si>
  <si>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</si>
  <si>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</si>
  <si>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</si>
  <si>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</si>
  <si>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</si>
  <si>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</si>
  <si>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</si>
  <si>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</si>
  <si>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</si>
  <si>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</si>
  <si>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</si>
  <si>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</si>
  <si>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</si>
  <si>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</si>
  <si>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</si>
  <si>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</si>
  <si>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</si>
  <si>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</si>
  <si>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</si>
  <si>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</si>
  <si>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</si>
  <si>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</si>
  <si>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</si>
  <si>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</si>
  <si>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</si>
  <si>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</si>
  <si>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</si>
  <si>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</si>
  <si>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</si>
  <si>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</si>
  <si>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</si>
  <si>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</si>
  <si>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</si>
  <si>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</si>
  <si>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</si>
  <si>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</si>
  <si>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</si>
  <si>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</si>
  <si>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</si>
  <si>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</si>
  <si>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</si>
  <si>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</si>
  <si>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</si>
  <si>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</si>
  <si>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</si>
  <si>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</si>
  <si>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</si>
  <si>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</si>
  <si>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</si>
  <si>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</si>
  <si>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</si>
  <si>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</si>
  <si>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</si>
  <si>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</si>
  <si>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</si>
  <si>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</si>
  <si>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</si>
  <si>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</si>
  <si>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</si>
  <si>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</si>
  <si>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</si>
  <si>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</si>
  <si>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</si>
  <si>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</si>
  <si>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</si>
  <si>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</si>
  <si>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</si>
  <si>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</si>
  <si>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</si>
  <si>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</si>
  <si>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</si>
  <si>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</si>
  <si>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</si>
  <si>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</si>
  <si>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</si>
  <si>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</si>
  <si>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</si>
  <si>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</si>
  <si>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</si>
  <si>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</si>
  <si>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</si>
  <si>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</si>
  <si>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</si>
  <si>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</si>
  <si>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</si>
  <si>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</si>
  <si>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</si>
  <si>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</si>
  <si>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</si>
  <si>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</si>
  <si>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</si>
  <si>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</si>
  <si>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</si>
  <si>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</si>
  <si>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</si>
  <si>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</si>
  <si>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</si>
  <si>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</si>
  <si>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</si>
  <si>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</si>
  <si>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</si>
  <si>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</si>
  <si>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</si>
  <si>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</si>
  <si>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</si>
  <si>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</si>
  <si>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</si>
  <si>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</si>
  <si>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</si>
  <si>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</si>
  <si>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</si>
  <si>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</si>
  <si>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</si>
  <si>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</si>
  <si>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</si>
  <si>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</si>
  <si>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</si>
  <si>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</si>
  <si>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</si>
  <si>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</si>
  <si>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</si>
  <si>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</si>
  <si>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</si>
  <si>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</si>
  <si>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</si>
  <si>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</si>
  <si>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</si>
  <si>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</si>
  <si>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</si>
  <si>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</si>
  <si>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</si>
  <si>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</si>
  <si>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</si>
  <si>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</si>
  <si>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</si>
  <si>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</si>
  <si>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</si>
  <si>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</si>
  <si>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</si>
  <si>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</si>
  <si>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</si>
  <si>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</si>
  <si>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</si>
  <si>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</si>
  <si>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</si>
  <si>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</si>
  <si>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</si>
  <si>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</si>
  <si>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</si>
  <si>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</si>
  <si>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</si>
  <si>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</si>
  <si>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</si>
  <si>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</si>
  <si>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</si>
  <si>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</si>
  <si>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</si>
  <si>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</si>
  <si>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</si>
  <si>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</si>
  <si>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</si>
  <si>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</si>
  <si>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</si>
  <si>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</si>
  <si>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</si>
  <si>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</si>
  <si>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</si>
  <si>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</si>
  <si>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</si>
  <si>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</si>
  <si>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</si>
  <si>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</si>
  <si>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</si>
  <si>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</si>
  <si>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</si>
  <si>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</si>
  <si>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</si>
  <si>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</si>
  <si>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</si>
  <si>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</si>
  <si>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</si>
  <si>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</si>
  <si>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</si>
  <si>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</si>
  <si>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</si>
  <si>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</si>
  <si>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</si>
  <si>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</si>
  <si>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</si>
  <si>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</si>
  <si>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</si>
  <si>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</si>
  <si>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</si>
  <si>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</si>
  <si>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</si>
  <si>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</si>
  <si>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</si>
  <si>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</si>
  <si>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</si>
  <si>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</si>
  <si>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</si>
  <si>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</si>
  <si>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</si>
  <si>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</si>
  <si>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</si>
  <si>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</si>
  <si>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</si>
  <si>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</si>
  <si>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</si>
  <si>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</si>
  <si>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</si>
  <si>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</si>
  <si>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</si>
  <si>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</si>
  <si>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</si>
  <si>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</si>
  <si>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</si>
  <si>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</si>
  <si>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</si>
  <si>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</si>
  <si>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</si>
  <si>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</si>
  <si>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</si>
  <si>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</si>
  <si>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</si>
  <si>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</si>
  <si>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</si>
  <si>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</si>
  <si>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</si>
  <si>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</si>
  <si>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</si>
  <si>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</si>
  <si>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</si>
  <si>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</si>
  <si>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</si>
  <si>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</si>
  <si>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</si>
  <si>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</si>
  <si>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</si>
  <si>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</si>
  <si>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</si>
  <si>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</si>
  <si>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</si>
  <si>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</si>
  <si>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</si>
  <si>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</si>
  <si>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</si>
  <si>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</si>
  <si>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</si>
  <si>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</si>
  <si>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</si>
  <si>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</si>
  <si>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</si>
  <si>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</si>
  <si>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</si>
  <si>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</si>
  <si>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</si>
  <si>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</si>
  <si>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</si>
  <si>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</si>
  <si>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</si>
  <si>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</si>
  <si>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</si>
  <si>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</si>
  <si>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</si>
  <si>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</si>
  <si>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</si>
  <si>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</si>
  <si>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</si>
  <si>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</si>
  <si>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</si>
  <si>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</si>
  <si>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</si>
  <si>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</si>
  <si>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</si>
  <si>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</si>
  <si>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</si>
  <si>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</si>
  <si>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</si>
  <si>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</si>
  <si>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</si>
  <si>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</si>
  <si>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</si>
  <si>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</si>
  <si>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</si>
  <si>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</si>
  <si>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</si>
  <si>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</si>
  <si>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</si>
  <si>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</si>
  <si>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</si>
  <si>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</si>
  <si>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</si>
  <si>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</si>
  <si>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</si>
  <si>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</si>
  <si>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</si>
  <si>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</si>
  <si>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</si>
  <si>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</si>
  <si>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</si>
  <si>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</si>
  <si>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</si>
  <si>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</si>
  <si>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</si>
  <si>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</si>
  <si>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</si>
  <si>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</si>
  <si>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</si>
  <si>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</si>
  <si>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</si>
  <si>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</si>
  <si>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</si>
  <si>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</si>
  <si>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</si>
  <si>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</si>
  <si>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</si>
  <si>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</si>
  <si>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</si>
  <si>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</si>
  <si>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</si>
  <si>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</si>
  <si>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</si>
  <si>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</si>
  <si>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</si>
  <si>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</si>
  <si>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</si>
  <si>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</si>
  <si>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</si>
  <si>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</si>
  <si>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</si>
  <si>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</si>
  <si>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</si>
  <si>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</si>
  <si>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</si>
  <si>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</si>
  <si>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</si>
  <si>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</si>
  <si>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</si>
  <si>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</si>
  <si>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</si>
  <si>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</si>
  <si>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</si>
  <si>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</si>
  <si>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</si>
  <si>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</si>
  <si>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</si>
  <si>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</si>
  <si>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</si>
  <si>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</si>
  <si>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</si>
  <si>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</si>
  <si>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</si>
  <si>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</si>
  <si>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</si>
  <si>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</si>
  <si>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</si>
  <si>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</si>
  <si>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</si>
  <si>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</si>
  <si>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</si>
  <si>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</si>
  <si>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</si>
  <si>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</si>
  <si>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</si>
  <si>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</si>
  <si>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</si>
  <si>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</si>
  <si>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</si>
  <si>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</si>
  <si>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</si>
  <si>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</si>
  <si>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</si>
  <si>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</si>
  <si>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</si>
  <si>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</si>
  <si>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</si>
  <si>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</si>
  <si>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</si>
  <si>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</si>
  <si>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</si>
  <si>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</si>
  <si>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</si>
  <si>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</si>
  <si>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</si>
  <si>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</si>
  <si>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</si>
  <si>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</si>
  <si>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</si>
  <si>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</si>
  <si>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</si>
  <si>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</si>
  <si>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</si>
  <si>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</si>
  <si>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</si>
  <si>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</si>
  <si>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</si>
  <si>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</si>
  <si>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</si>
  <si>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</si>
  <si>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</si>
  <si>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</si>
  <si>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</si>
  <si>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</si>
  <si>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</si>
  <si>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</si>
  <si>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</si>
  <si>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</si>
  <si>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</si>
  <si>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</si>
  <si>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</si>
  <si>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</si>
  <si>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</si>
  <si>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</si>
  <si>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</si>
  <si>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</si>
  <si>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</si>
  <si>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</si>
  <si>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</si>
  <si>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</si>
  <si>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</si>
  <si>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</si>
  <si>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/divergente?s?/</t>
  </si>
  <si>
    <t>/anormale?s?/</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</si>
  <si>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</si>
  <si>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</si>
  <si>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</si>
  <si>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</si>
  <si>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</si>
  <si>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</si>
  <si>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</si>
  <si>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</si>
  <si>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</si>
  <si>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</si>
  <si>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</si>
  <si>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</si>
  <si>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</si>
  <si>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</si>
  <si>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</si>
  <si>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</si>
  <si>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</si>
  <si>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</si>
  <si>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</si>
  <si>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</si>
  <si>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</si>
  <si>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</si>
  <si>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Sperrfeuer (anormal)</t>
  </si>
  <si>
    <t>Angriff, Projektil, Bogen</t>
  </si>
  <si>
    <t>Stufe: 20 (max)</t>
  </si>
  <si>
    <t>Kosten: 11 Mana</t>
  </si>
  <si>
    <t>Angriffsschaden: 54.6% des Basiswerts</t>
  </si>
  <si>
    <t>Effektivität zusätzlichen Schadens: 55%</t>
  </si>
  <si>
    <t>Stufe: 70</t>
  </si>
  <si>
    <t>Ges: 155</t>
  </si>
  <si>
    <t>Nach einer kurzen Vorbereitungszeit schießt Ihr mehrfach mit einer Fernkampfwaffe. Diese Angriffe haben einen kleinen zufälligen Radius. Funktioniert nur mit Bögen oder Zauberstäben. Diese Fertigkeit kann nicht ausgelöst werden.</t>
  </si>
  <si>
    <t>11% Chance, Gegner bei Treffer zurückzustoßen</t>
  </si>
  <si>
    <t>Feuert 4 zusätzliche Projektile</t>
  </si>
  <si>
    <t>Feuert Projektile nacheinander</t>
  </si>
  <si>
    <t>Verderbt</t>
  </si>
  <si>
    <t>Gegenstandsklasse: Unterstützungsgemmen</t>
  </si>
  <si>
    <t>Unterstützung: Göttliche Segnung (abweichend)</t>
  </si>
  <si>
    <t>Unterstützung, Aura, Dauer, Segnung</t>
  </si>
  <si>
    <t>Qualität: +20% (augmented)</t>
  </si>
  <si>
    <t>Unterstützt Aura-Fertigkeiten, die permanente Auren um Euch herum erzeugen, ihre Reservierung zu Kosten verändern und sie dadurch temporär machen. Kann keine Banner-Fertigkeiten unterstützen.</t>
  </si>
  <si>
    <t>Unterstützte Fertigkeiten haben 5% verringerte Manakosten</t>
  </si>
  <si>
    <t>Unterstützte Fertigkeiten haben 29% erhöhte Aurawirkung</t>
  </si>
  <si>
    <t>Unterstützte Fertigkeiten kosten +233 Mana</t>
  </si>
  <si>
    <t>Unterstützte Fertigkeiten zählen auch als Segnungs-Fertigkeiten</t>
  </si>
  <si>
    <t>Ihr könnt nur eine Aura von Euren Segnungs-Fertigkeiten benutzen</t>
  </si>
  <si>
    <t>Auren von unterstützten Fertigkeiten haben eine Basisdauer von 10.90 Sekunden</t>
  </si>
  <si>
    <t>Dies ist eine Unterstützungsgemme. Sie gewährt deinem Charakter keinen Bonus, sondern den Fertigkeiten in Fassungen, mit denen sie verbunden ist. Setze sie in eine Gegenstandsfassung ein, die mit einer Fassung verbunden ist, die die aktive Fertigkeitengemme enthält, die du verstärken möchtest. Entferne sie mit Rechtsklick aus ihrer Fassung.</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</si>
  <si>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</si>
  <si>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</si>
  <si>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</si>
  <si>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</si>
  <si>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</si>
  <si>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</si>
  <si>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</si>
  <si>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</si>
  <si>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</si>
  <si>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</si>
  <si>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</si>
  <si>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</si>
  <si>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</si>
  <si>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</si>
  <si>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</si>
  <si>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</si>
  <si>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</si>
  <si>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</si>
  <si>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Gegenstandsklasse: Metamorph-Proben</t>
  </si>
  <si>
    <t>Seltenheit: Einzigartig</t>
  </si>
  <si>
    <t>Gehirn von: Kapitän Clayborne, der Verfluchte</t>
  </si>
  <si>
    <t>Verwendet: Seelenblitz</t>
  </si>
  <si>
    <t>Gegenstandsstufe: 80</t>
  </si>
  <si>
    <t>Lässt zusätzliche Währungsgegenstände fallen</t>
  </si>
  <si>
    <t>Lässt zusätzliche Gemmen mit Qualität fallen</t>
  </si>
  <si>
    <t>Lässt eine seltene Waffe mit 5 verbundenen Fassungen fallen</t>
  </si>
  <si>
    <t>Kombiniere dies mit vier anderen unterschiedlichen Proben in Tanes Laboratorium.</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</si>
  <si>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</si>
  <si>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</si>
  <si>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</si>
  <si>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</si>
  <si>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</si>
  <si>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</si>
  <si>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</si>
  <si>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</si>
  <si>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</si>
  <si>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</si>
  <si>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</si>
  <si>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</si>
  <si>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</si>
  <si>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</si>
  <si>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</si>
  <si>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</si>
  <si>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</si>
  <si>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</si>
  <si>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</si>
  <si>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</si>
  <si>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</si>
  <si>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</si>
  <si>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</si>
  <si>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</si>
  <si>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</si>
  <si>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</si>
  <si>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</si>
  <si>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</si>
  <si>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</si>
  <si>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</si>
  <si>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</si>
  <si>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</si>
  <si>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</si>
  <si>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</si>
  <si>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</si>
  <si>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</si>
  <si>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</si>
  <si>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</si>
  <si>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</si>
  <si>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</si>
  <si>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</si>
  <si>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</si>
  <si>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</si>
  <si>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</si>
  <si>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</si>
  <si>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</si>
  <si>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</si>
  <si>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</si>
  <si>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</si>
  <si>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</si>
  <si>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</si>
  <si>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</si>
  <si>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</si>
  <si>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</si>
  <si>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</si>
  <si>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</si>
  <si>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</si>
  <si>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</si>
  <si>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</si>
  <si>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</si>
  <si>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</si>
  <si>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</si>
  <si>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</si>
  <si>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</si>
  <si>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</si>
  <si>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</si>
  <si>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</si>
  <si>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</si>
  <si>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</si>
  <si>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</si>
  <si>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</si>
  <si>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</si>
  <si>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</si>
  <si>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</si>
  <si>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</si>
  <si>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</si>
  <si>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</si>
  <si>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</si>
  <si>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</si>
  <si>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</si>
  <si>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</si>
  <si>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</si>
  <si>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</si>
  <si>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</si>
  <si>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</si>
  <si>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</si>
  <si>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</si>
  <si>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</si>
  <si>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</si>
  <si>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</si>
  <si>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</si>
  <si>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</si>
  <si>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</si>
  <si>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</si>
  <si>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</si>
  <si>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</si>
  <si>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</si>
  <si>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</si>
  <si>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</si>
  <si>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</si>
  <si>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</si>
  <si>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</si>
  <si>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</si>
  <si>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</si>
  <si>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</si>
  <si>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</si>
  <si>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</si>
  <si>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</si>
  <si>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</si>
  <si>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</si>
  <si>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</si>
  <si>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</si>
  <si>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</si>
  <si>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</si>
  <si>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</si>
  <si>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</si>
  <si>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</si>
  <si>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</si>
  <si>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</si>
  <si>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</si>
  <si>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</si>
  <si>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</si>
  <si>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</si>
  <si>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</si>
  <si>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</si>
  <si>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</si>
  <si>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</si>
  <si>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</si>
  <si>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</si>
  <si>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</si>
  <si>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</si>
  <si>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</si>
  <si>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</si>
  <si>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</si>
  <si>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</si>
  <si>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</si>
  <si>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</si>
  <si>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</si>
  <si>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</si>
  <si>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</si>
  <si>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</si>
  <si>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</si>
  <si>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</si>
  <si>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</si>
  <si>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</si>
  <si>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</si>
  <si>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</si>
  <si>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</si>
  <si>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</si>
  <si>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</si>
  <si>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</si>
  <si>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</si>
  <si>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</si>
  <si>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</si>
  <si>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</si>
  <si>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</si>
  <si>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</si>
  <si>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</si>
  <si>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</si>
  <si>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</si>
  <si>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</si>
  <si>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</si>
  <si>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</si>
  <si>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</si>
  <si>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</si>
  <si>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</si>
  <si>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</si>
  <si>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</si>
  <si>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</si>
  <si>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</si>
  <si>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</si>
  <si>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</si>
  <si>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</si>
  <si>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</si>
  <si>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</si>
  <si>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</si>
  <si>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</si>
  <si>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</si>
  <si>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</si>
  <si>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</si>
  <si>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</si>
  <si>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</si>
  <si>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</si>
  <si>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</si>
  <si>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</si>
  <si>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</si>
  <si>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</si>
  <si>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</si>
  <si>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</si>
  <si>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</si>
  <si>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</si>
  <si>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</si>
  <si>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</si>
  <si>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</si>
  <si>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</si>
  <si>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</si>
  <si>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</si>
  <si>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</si>
  <si>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</si>
  <si>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</si>
  <si>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</si>
  <si>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</si>
  <si>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</si>
  <si>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</si>
  <si>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</si>
  <si>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</si>
  <si>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</si>
  <si>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</si>
  <si>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</si>
  <si>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</si>
  <si>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</si>
  <si>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</si>
  <si>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</si>
  <si>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</si>
  <si>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</si>
  <si>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</si>
  <si>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</si>
  <si>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</si>
  <si>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</si>
  <si>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</si>
  <si>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</si>
  <si>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</si>
  <si>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</si>
  <si>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</si>
  <si>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</si>
  <si>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</si>
  <si>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</si>
  <si>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</si>
  <si>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</si>
  <si>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</si>
  <si>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</si>
  <si>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</si>
  <si>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</si>
  <si>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</si>
  <si>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</si>
  <si>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</si>
  <si>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</si>
  <si>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</si>
  <si>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</si>
  <si>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</si>
  <si>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</si>
  <si>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</si>
  <si>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</si>
  <si>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</si>
  <si>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</si>
  <si>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</si>
  <si>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</si>
  <si>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</si>
  <si>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</si>
  <si>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</si>
  <si>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</si>
  <si>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</si>
  <si>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</si>
  <si>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</si>
  <si>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</si>
  <si>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</si>
  <si>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</si>
  <si>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</si>
  <si>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</si>
  <si>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</si>
  <si>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</si>
  <si>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</si>
  <si>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</si>
  <si>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</si>
  <si>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</si>
  <si>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</si>
  <si>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</si>
  <si>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</si>
  <si>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</si>
  <si>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</si>
  <si>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</si>
  <si>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</si>
  <si>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</si>
  <si>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</si>
  <si>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</si>
  <si>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</si>
  <si>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</si>
  <si>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</si>
  <si>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</si>
  <si>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</si>
  <si>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</si>
  <si>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</si>
  <si>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</si>
  <si>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</si>
  <si>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</si>
  <si>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</si>
  <si>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</si>
  <si>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</si>
  <si>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</si>
  <si>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</si>
  <si>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</si>
  <si>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</si>
  <si>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</si>
  <si>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</si>
  <si>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</si>
  <si>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</si>
  <si>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</si>
  <si>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</si>
  <si>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</si>
  <si>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</si>
  <si>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</si>
  <si>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</si>
  <si>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</si>
  <si>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</si>
  <si>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</si>
  <si>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</si>
  <si>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</si>
  <si>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</si>
  <si>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</si>
  <si>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</si>
  <si>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</si>
  <si>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</si>
  <si>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</si>
  <si>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</si>
  <si>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</si>
  <si>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</si>
  <si>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</si>
  <si>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</si>
  <si>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</si>
  <si>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</si>
  <si>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</si>
  <si>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</si>
  <si>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</si>
  <si>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</si>
  <si>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</si>
  <si>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</si>
  <si>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</si>
  <si>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</si>
  <si>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</si>
  <si>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</si>
  <si>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</si>
  <si>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</si>
  <si>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</si>
  <si>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</si>
  <si>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</si>
  <si>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</si>
  <si>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</si>
  <si>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</si>
  <si>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</si>
  <si>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</si>
  <si>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</si>
  <si>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</si>
  <si>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</si>
  <si>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</si>
  <si>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</si>
  <si>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</si>
  <si>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</si>
  <si>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</si>
  <si>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</si>
  <si>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</si>
  <si>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</si>
  <si>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</si>
  <si>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</si>
  <si>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</si>
  <si>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</si>
  <si>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</si>
  <si>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</si>
  <si>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</si>
  <si>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</si>
  <si>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</si>
  <si>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</si>
  <si>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</si>
  <si>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</si>
  <si>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</si>
  <si>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</si>
  <si>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</si>
  <si>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</si>
  <si>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</si>
  <si>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</si>
  <si>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</si>
  <si>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</si>
  <si>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</si>
  <si>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</si>
  <si>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</si>
  <si>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</si>
  <si>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</si>
  <si>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</si>
  <si>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</si>
  <si>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</si>
  <si>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</si>
  <si>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</si>
  <si>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</si>
  <si>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</si>
  <si>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</si>
  <si>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</si>
  <si>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</si>
  <si>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</si>
  <si>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</si>
  <si>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</si>
  <si>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</si>
  <si>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</si>
  <si>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</si>
  <si>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</si>
  <si>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</si>
  <si>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</si>
  <si>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</si>
  <si>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</si>
  <si>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</si>
  <si>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</si>
  <si>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</si>
  <si>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</si>
  <si>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</si>
  <si>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</si>
  <si>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</si>
  <si>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</si>
  <si>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</si>
  <si>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</si>
  <si>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</si>
  <si>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</si>
  <si>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</si>
  <si>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</si>
  <si>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</si>
  <si>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</si>
  <si>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</si>
  <si>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</si>
  <si>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</si>
  <si>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</si>
  <si>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</si>
  <si>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</si>
  <si>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</si>
  <si>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</si>
  <si>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</si>
  <si>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</si>
  <si>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</si>
  <si>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</si>
  <si>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</si>
  <si>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</si>
  <si>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</si>
  <si>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</si>
  <si>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</si>
  <si>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</si>
  <si>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</si>
  <si>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</si>
  <si>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</si>
  <si>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</si>
  <si>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</si>
  <si>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</si>
  <si>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</si>
  <si>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</si>
  <si>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</si>
  <si>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</si>
  <si>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</si>
  <si>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</si>
  <si>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</si>
  <si>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</si>
  <si>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</si>
  <si>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</si>
  <si>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</si>
  <si>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</si>
  <si>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</si>
  <si>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</si>
  <si>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</si>
  <si>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</si>
  <si>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</si>
  <si>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</si>
  <si>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</si>
  <si>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</si>
  <si>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</si>
  <si>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</si>
  <si>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</si>
  <si>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</si>
  <si>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</si>
  <si>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</si>
  <si>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</si>
  <si>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</si>
  <si>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</si>
  <si>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</si>
  <si>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</si>
  <si>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</si>
  <si>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</si>
  <si>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</si>
  <si>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</si>
  <si>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</si>
  <si>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</si>
  <si>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</si>
  <si>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</si>
  <si>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</si>
  <si>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</si>
  <si>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</si>
  <si>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</si>
  <si>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</si>
  <si>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</si>
  <si>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</si>
  <si>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</si>
  <si>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</si>
  <si>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</si>
  <si>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</si>
  <si>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</si>
  <si>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</si>
  <si>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</si>
  <si>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</si>
  <si>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</si>
  <si>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</si>
  <si>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</si>
  <si>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</si>
  <si>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</si>
  <si>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</si>
  <si>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</si>
  <si>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</si>
  <si>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</si>
  <si>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</si>
  <si>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</si>
  <si>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</si>
  <si>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</si>
  <si>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</si>
  <si>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</si>
  <si>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</si>
  <si>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</si>
  <si>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</si>
  <si>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</si>
  <si>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</si>
  <si>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</si>
  <si>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</si>
  <si>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</si>
  <si>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</si>
  <si>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</si>
  <si>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</si>
  <si>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</si>
  <si>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</si>
  <si>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</si>
  <si>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</si>
  <si>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</si>
  <si>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</si>
  <si>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</si>
  <si>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</si>
  <si>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</si>
  <si>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</si>
  <si>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</si>
  <si>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</si>
  <si>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</si>
  <si>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</si>
  <si>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</si>
  <si>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</si>
  <si>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</si>
  <si>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</si>
  <si>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</si>
  <si>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</si>
  <si>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</si>
  <si>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</si>
  <si>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</si>
  <si>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</si>
  <si>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</si>
  <si>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</si>
  <si>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</si>
  <si>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</si>
  <si>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</si>
  <si>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</si>
  <si>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</si>
  <si>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</si>
  <si>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</si>
  <si>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</si>
  <si>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</si>
  <si>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</si>
  <si>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</si>
  <si>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</si>
  <si>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</si>
  <si>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</si>
  <si>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</si>
  <si>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</si>
  <si>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</si>
  <si>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</si>
  <si>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</si>
  <si>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</si>
  <si>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</si>
  <si>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</si>
  <si>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</si>
  <si>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</si>
  <si>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</si>
  <si>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</si>
  <si>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</si>
  <si>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</si>
  <si>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</si>
  <si>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</si>
  <si>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</si>
  <si>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</si>
  <si>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</si>
  <si>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</si>
  <si>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</si>
  <si>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</si>
  <si>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</si>
  <si>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</si>
  <si>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</si>
  <si>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</si>
  <si>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</si>
  <si>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</si>
  <si>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</si>
  <si>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</si>
  <si>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</si>
  <si>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</si>
  <si>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</si>
  <si>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</si>
  <si>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</si>
  <si>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</si>
  <si>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</si>
  <si>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</si>
  <si>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</si>
  <si>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</si>
  <si>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</si>
  <si>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</si>
  <si>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</si>
  <si>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</si>
  <si>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</si>
  <si>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</si>
  <si>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</si>
  <si>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</si>
  <si>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</si>
  <si>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</si>
  <si>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</si>
  <si>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</si>
  <si>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</si>
  <si>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</si>
  <si>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</si>
  <si>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</si>
  <si>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</si>
  <si>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</si>
  <si>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</si>
  <si>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</si>
  <si>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</si>
  <si>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</si>
  <si>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</si>
  <si>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</si>
  <si>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</si>
  <si>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</si>
  <si>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</si>
  <si>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</si>
  <si>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</si>
  <si>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</si>
  <si>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</si>
  <si>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</si>
  <si>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</si>
  <si>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</si>
  <si>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</si>
  <si>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</si>
  <si>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</si>
  <si>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</si>
  <si>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</si>
  <si>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</si>
  <si>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</si>
  <si>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</si>
  <si>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</si>
  <si>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</si>
  <si>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</si>
  <si>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</si>
  <si>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</si>
  <si>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</si>
  <si>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</si>
  <si>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</si>
  <si>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</si>
  <si>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</si>
  <si>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Aluvión anómala</t>
  </si>
  <si>
    <t>Ataque, Proyectil, Arco</t>
  </si>
  <si>
    <t>Nivel: 20 (Máximo)</t>
  </si>
  <si>
    <t>Costo: 11 de maná</t>
  </si>
  <si>
    <t>Daño de ataque: 54.6% de la base</t>
  </si>
  <si>
    <t>Efectividad del daño agregado: 55%</t>
  </si>
  <si>
    <t>Calidad: +11% (augmented)</t>
  </si>
  <si>
    <t>Calidad alternativa</t>
  </si>
  <si>
    <t>Requisitos:</t>
  </si>
  <si>
    <t>Nivel: 70</t>
  </si>
  <si>
    <t>Des: 155</t>
  </si>
  <si>
    <t>Después de un corto tiempo de preparación, atacas repetidamente con un arma a distancia. Estos ataques tienen una extensión aleatoria pequeña. Solo funciona con arcos y varitas. Esta habilidad no se puede activar.</t>
  </si>
  <si>
    <t>11% de probabilidad de empujar a los enemigos con cada golpe</t>
  </si>
  <si>
    <t>Dispara 4 proyectiles adicionales</t>
  </si>
  <si>
    <t>Dispara proyectiles secuencialmente</t>
  </si>
  <si>
    <t>Colócala en un engarce de objeto del color correcto para obtener esta habilidad. Haz clic derecho para retirar de un engarce.</t>
  </si>
  <si>
    <t>Corrupto</t>
  </si>
  <si>
    <t xml:space="preserve">Clase de objeto: Gemas de asistencia </t>
  </si>
  <si>
    <t>Asistencia de Bendición divina divergente</t>
  </si>
  <si>
    <t>Asistencia, Aura, Duración, Bendición</t>
  </si>
  <si>
    <t>Calidad: +20% (augmented)</t>
  </si>
  <si>
    <t>Fue: 70</t>
  </si>
  <si>
    <t xml:space="preserve">Asiste habilidades de aura que crean auras permanentes a tu alrededor, cambia su reserva por un costo y las vuelve temporales. No puede asistir habilidades de estandarte ni de postura. </t>
  </si>
  <si>
    <t>Las habilidades asistidas tienen su costo de maná reducido un 5%</t>
  </si>
  <si>
    <t>Las habilidades asistidas tienen el efecto de las auras aumentado un 29%</t>
  </si>
  <si>
    <t>Las habilidades asistidas cuestan +233 de maná</t>
  </si>
  <si>
    <t>Las habilidades asistidas también se consideran habilidades de bendición</t>
  </si>
  <si>
    <t>Solo puedes tener un aura sobre ti de tus habilidades de bendición</t>
  </si>
  <si>
    <t>Las auras de las habilidades asistidas tienen una duración base de 10.90 segundos</t>
  </si>
  <si>
    <t>Esta es una gema de asistencia. No otorga una bonificación a tu personaje, sino a las habilidades a las que esté conectada. Colócala en un engarce de objeto conectado a otro engarce que contenga la gema de habilidad activa que quieras potenciar. Haz clic derecho para retirar de un engarce.</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</si>
  <si>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</si>
  <si>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</si>
  <si>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</si>
  <si>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</si>
  <si>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</si>
  <si>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</si>
  <si>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</si>
  <si>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</si>
  <si>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</si>
  <si>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</si>
  <si>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</si>
  <si>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</si>
  <si>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</si>
  <si>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</si>
  <si>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</si>
  <si>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</si>
  <si>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</si>
  <si>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</si>
  <si>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</si>
  <si>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</si>
  <si>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</si>
  <si>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</si>
  <si>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</si>
  <si>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</si>
  <si>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</si>
  <si>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</si>
  <si>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</si>
  <si>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</si>
  <si>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</si>
  <si>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</si>
  <si>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</si>
  <si>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</si>
  <si>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Clase de objeto: Muestras de metamorfo</t>
  </si>
  <si>
    <t>Rareza: Único</t>
  </si>
  <si>
    <t>Cerebro: Capitán Clayborne, el Maldito</t>
  </si>
  <si>
    <t>Usa: Descarga de almas</t>
  </si>
  <si>
    <t>Nivel de objeto: 80</t>
  </si>
  <si>
    <t>Arroja objetos monetarios adicionales</t>
  </si>
  <si>
    <t>Arroja gemas de calidad adicionales</t>
  </si>
  <si>
    <t>Arroja un arma rara con 5 engarces vinculados</t>
  </si>
  <si>
    <t>Combina esto con otras cuatro muestras distintas en el laboratorio de Tane.</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</si>
  <si>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</si>
  <si>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</si>
  <si>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</si>
  <si>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</si>
  <si>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</si>
  <si>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</si>
  <si>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</si>
  <si>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</si>
  <si>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</si>
  <si>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</si>
  <si>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</si>
  <si>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</si>
  <si>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</si>
  <si>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</si>
  <si>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</si>
  <si>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</si>
  <si>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</si>
  <si>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</si>
  <si>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</si>
  <si>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</si>
  <si>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</si>
  <si>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</si>
  <si>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</si>
  <si>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</si>
  <si>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</si>
  <si>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</si>
  <si>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</si>
  <si>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</si>
  <si>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</si>
  <si>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</si>
  <si>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</si>
  <si>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</si>
  <si>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</si>
  <si>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</si>
  <si>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</si>
  <si>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</si>
  <si>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</si>
  <si>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</si>
  <si>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</si>
  <si>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</si>
  <si>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</si>
  <si>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</si>
  <si>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</si>
  <si>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</si>
  <si>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</si>
  <si>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</si>
  <si>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</si>
  <si>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</si>
  <si>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</si>
  <si>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</si>
  <si>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</si>
  <si>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</si>
  <si>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</si>
  <si>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</si>
  <si>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</si>
  <si>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</si>
  <si>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</si>
  <si>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</si>
  <si>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</si>
  <si>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</si>
  <si>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</si>
  <si>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</si>
  <si>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</si>
  <si>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</si>
  <si>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</si>
  <si>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</si>
  <si>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</si>
  <si>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</si>
  <si>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</si>
  <si>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</si>
  <si>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</si>
  <si>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</si>
  <si>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</si>
  <si>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</si>
  <si>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</si>
  <si>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</si>
  <si>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</si>
  <si>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</si>
  <si>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</si>
  <si>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</si>
  <si>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</si>
  <si>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</si>
  <si>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</si>
  <si>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</si>
  <si>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</si>
  <si>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</si>
  <si>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</si>
  <si>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</si>
  <si>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</si>
  <si>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</si>
  <si>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</si>
  <si>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</si>
  <si>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</si>
  <si>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</si>
  <si>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</si>
  <si>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</si>
  <si>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</si>
  <si>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</si>
  <si>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</si>
  <si>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</si>
  <si>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</si>
  <si>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</si>
  <si>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</si>
  <si>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</si>
  <si>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</si>
  <si>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</si>
  <si>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</si>
  <si>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</si>
  <si>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</si>
  <si>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</si>
  <si>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</si>
  <si>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</si>
  <si>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</si>
  <si>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</si>
  <si>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</si>
  <si>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</si>
  <si>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</si>
  <si>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</si>
  <si>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</si>
  <si>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</si>
  <si>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</si>
  <si>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</si>
  <si>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</si>
  <si>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</si>
  <si>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</si>
  <si>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</si>
  <si>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</si>
  <si>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</si>
  <si>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</si>
  <si>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</si>
  <si>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</si>
  <si>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</si>
  <si>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</si>
  <si>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</si>
  <si>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</si>
  <si>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</si>
  <si>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</si>
  <si>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</si>
  <si>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</si>
  <si>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</si>
  <si>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</si>
  <si>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</si>
  <si>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</si>
  <si>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</si>
  <si>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</si>
  <si>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</si>
  <si>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</si>
  <si>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</si>
  <si>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</si>
  <si>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</si>
  <si>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</si>
  <si>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</si>
  <si>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</si>
  <si>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</si>
  <si>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</si>
  <si>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</si>
  <si>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</si>
  <si>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</si>
  <si>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</si>
  <si>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</si>
  <si>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</si>
  <si>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</si>
  <si>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</si>
  <si>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</si>
  <si>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</si>
  <si>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</si>
  <si>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</si>
  <si>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</si>
  <si>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</si>
  <si>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</si>
  <si>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</si>
  <si>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</si>
  <si>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</si>
  <si>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</si>
  <si>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</si>
  <si>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</si>
  <si>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</si>
  <si>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</si>
  <si>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</si>
  <si>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</si>
  <si>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</si>
  <si>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</si>
  <si>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</si>
  <si>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</si>
  <si>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</si>
  <si>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</si>
  <si>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</si>
  <si>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</si>
  <si>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</si>
  <si>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</si>
  <si>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</si>
  <si>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</si>
  <si>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</si>
  <si>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</si>
  <si>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</si>
  <si>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</si>
  <si>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</si>
  <si>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</si>
  <si>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</si>
  <si>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</si>
  <si>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</si>
  <si>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</si>
  <si>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</si>
  <si>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</si>
  <si>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</si>
  <si>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</si>
  <si>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</si>
  <si>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</si>
  <si>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</si>
  <si>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</si>
  <si>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</si>
  <si>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</si>
  <si>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</si>
  <si>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</si>
  <si>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</si>
  <si>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</si>
  <si>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</si>
  <si>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</si>
  <si>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</si>
  <si>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</si>
  <si>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</si>
  <si>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</si>
  <si>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</si>
  <si>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</si>
  <si>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</si>
  <si>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</si>
  <si>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</si>
  <si>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</si>
  <si>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</si>
  <si>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</si>
  <si>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</si>
  <si>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</si>
  <si>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</si>
  <si>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</si>
  <si>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</si>
  <si>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</si>
  <si>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</si>
  <si>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</si>
  <si>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</si>
  <si>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</si>
  <si>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</si>
  <si>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</si>
  <si>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</si>
  <si>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</si>
  <si>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</si>
  <si>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</si>
  <si>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</si>
  <si>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</si>
  <si>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</si>
  <si>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</si>
  <si>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</si>
  <si>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</si>
  <si>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</si>
  <si>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</si>
  <si>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</si>
  <si>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</si>
  <si>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</si>
  <si>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</si>
  <si>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</si>
  <si>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</si>
  <si>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</si>
  <si>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</si>
  <si>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</si>
  <si>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</si>
  <si>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</si>
  <si>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</si>
  <si>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</si>
  <si>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</si>
  <si>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</si>
  <si>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</si>
  <si>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</si>
  <si>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</si>
  <si>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</si>
  <si>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</si>
  <si>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</si>
  <si>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</si>
  <si>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</si>
  <si>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</si>
  <si>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</si>
  <si>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</si>
  <si>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</si>
  <si>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</si>
  <si>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</si>
  <si>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</si>
  <si>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</si>
  <si>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</si>
  <si>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</si>
  <si>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</si>
  <si>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</si>
  <si>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</si>
  <si>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</si>
  <si>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</si>
  <si>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</si>
  <si>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</si>
  <si>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</si>
  <si>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</si>
  <si>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</si>
  <si>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</si>
  <si>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</si>
  <si>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</si>
  <si>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</si>
  <si>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</si>
  <si>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</si>
  <si>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</si>
  <si>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</si>
  <si>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</si>
  <si>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</si>
  <si>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</si>
  <si>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</si>
  <si>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</si>
  <si>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</si>
  <si>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</si>
  <si>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</si>
  <si>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</si>
  <si>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</si>
  <si>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</si>
  <si>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</si>
  <si>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</si>
  <si>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</si>
  <si>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</si>
  <si>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</si>
  <si>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</si>
  <si>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</si>
  <si>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</si>
  <si>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</si>
  <si>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</si>
  <si>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</si>
  <si>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</si>
  <si>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</si>
  <si>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</si>
  <si>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</si>
  <si>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</si>
  <si>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</si>
  <si>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</si>
  <si>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</si>
  <si>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</si>
  <si>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</si>
  <si>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</si>
  <si>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</si>
  <si>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</si>
  <si>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</si>
  <si>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</si>
  <si>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</si>
  <si>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</si>
  <si>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</si>
  <si>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</si>
  <si>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</si>
  <si>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</si>
  <si>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</si>
  <si>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</si>
  <si>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</si>
  <si>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</si>
  <si>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</si>
  <si>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</si>
  <si>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</si>
  <si>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</si>
  <si>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</si>
  <si>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</si>
  <si>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</si>
  <si>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</si>
  <si>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</si>
  <si>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</si>
  <si>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</si>
  <si>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</si>
  <si>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</si>
  <si>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</si>
  <si>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</si>
  <si>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</si>
  <si>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</si>
  <si>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</si>
  <si>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</si>
  <si>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</si>
  <si>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</si>
  <si>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</si>
  <si>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</si>
  <si>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</si>
  <si>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</si>
  <si>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</si>
  <si>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</si>
  <si>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</si>
  <si>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</si>
  <si>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</si>
  <si>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</si>
  <si>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</si>
  <si>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</si>
  <si>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</si>
  <si>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</si>
  <si>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</si>
  <si>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</si>
  <si>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</si>
  <si>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</si>
  <si>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</si>
  <si>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</si>
  <si>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</si>
  <si>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</si>
  <si>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</si>
  <si>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</si>
  <si>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</si>
  <si>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</si>
  <si>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</si>
  <si>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</si>
  <si>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</si>
  <si>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</si>
  <si>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</si>
  <si>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</si>
  <si>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</si>
  <si>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</si>
  <si>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</si>
  <si>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</si>
  <si>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</si>
  <si>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</si>
  <si>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</si>
  <si>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</si>
  <si>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</si>
  <si>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</si>
  <si>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</si>
  <si>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</si>
  <si>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</si>
  <si>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</si>
  <si>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</si>
  <si>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</si>
  <si>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</si>
  <si>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</si>
  <si>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</si>
  <si>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</si>
  <si>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</si>
  <si>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</si>
  <si>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</si>
  <si>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</si>
  <si>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</si>
  <si>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</si>
  <si>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</si>
  <si>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</si>
  <si>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</si>
  <si>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</si>
  <si>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</si>
  <si>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</si>
  <si>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</si>
  <si>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</si>
  <si>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</si>
  <si>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</si>
  <si>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</si>
  <si>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</si>
  <si>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</si>
  <si>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</si>
  <si>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</si>
  <si>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</si>
  <si>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</si>
  <si>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</si>
  <si>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</si>
  <si>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</si>
  <si>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</si>
  <si>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</si>
  <si>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</si>
  <si>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</si>
  <si>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</si>
  <si>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</si>
  <si>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</si>
  <si>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</si>
  <si>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</si>
  <si>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</si>
  <si>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</si>
  <si>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</si>
  <si>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</si>
  <si>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</si>
  <si>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</si>
  <si>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</si>
  <si>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</si>
  <si>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</si>
  <si>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</si>
  <si>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</si>
  <si>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</si>
  <si>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</si>
  <si>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</si>
  <si>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</si>
  <si>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</si>
  <si>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</si>
  <si>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</si>
  <si>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</si>
  <si>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</si>
  <si>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</si>
  <si>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</si>
  <si>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</si>
  <si>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</si>
  <si>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</si>
  <si>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</si>
  <si>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</si>
  <si>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</si>
  <si>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</si>
  <si>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</si>
  <si>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</si>
  <si>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</si>
  <si>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</si>
  <si>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</si>
  <si>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</si>
  <si>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</si>
  <si>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</si>
  <si>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</si>
  <si>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</si>
  <si>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</si>
  <si>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</si>
  <si>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</si>
  <si>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</si>
  <si>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</si>
  <si>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</si>
  <si>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</si>
  <si>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</si>
  <si>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</si>
  <si>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</si>
  <si>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</si>
  <si>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</si>
  <si>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</si>
  <si>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</si>
  <si>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</si>
  <si>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</si>
  <si>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</si>
  <si>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</si>
  <si>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</si>
  <si>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</si>
  <si>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</si>
  <si>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</si>
  <si>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</si>
  <si>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</si>
  <si>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</si>
  <si>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</si>
  <si>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</si>
  <si>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</si>
  <si>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</si>
  <si>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</si>
  <si>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</si>
  <si>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</si>
  <si>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</si>
  <si>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</si>
  <si>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</si>
  <si>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</si>
  <si>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</si>
  <si>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</si>
  <si>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</si>
  <si>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</si>
  <si>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</si>
  <si>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</si>
  <si>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</si>
  <si>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</si>
  <si>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</si>
  <si>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</si>
  <si>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</si>
  <si>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</si>
  <si>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</si>
  <si>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</si>
  <si>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</si>
  <si>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</si>
  <si>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</si>
  <si>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</si>
  <si>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</si>
  <si>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</si>
  <si>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</si>
  <si>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</si>
  <si>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</si>
  <si>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</si>
  <si>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</si>
  <si>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</si>
  <si>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</si>
  <si>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</si>
  <si>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</si>
  <si>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</si>
  <si>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</si>
  <si>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</si>
  <si>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</si>
  <si>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</si>
  <si>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</si>
  <si>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</si>
  <si>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</si>
  <si>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</si>
  <si>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</si>
  <si>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</si>
  <si>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</si>
  <si>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</si>
  <si>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</si>
  <si>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</si>
  <si>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</si>
  <si>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</si>
  <si>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</si>
  <si>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</si>
  <si>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</si>
  <si>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</si>
  <si>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</si>
  <si>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</si>
  <si>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</si>
  <si>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</si>
  <si>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</si>
  <si>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</si>
  <si>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</si>
  <si>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</si>
  <si>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</si>
  <si>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</si>
  <si>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</si>
  <si>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</si>
  <si>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</si>
  <si>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</si>
  <si>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</si>
  <si>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</si>
  <si>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</si>
  <si>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</si>
  <si>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</si>
  <si>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</si>
  <si>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</si>
  <si>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</si>
  <si>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</si>
  <si>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</si>
  <si>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</si>
  <si>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</si>
  <si>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</si>
  <si>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</si>
  <si>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</si>
  <si>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</si>
  <si>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</si>
  <si>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</si>
  <si>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</si>
  <si>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</si>
  <si>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</si>
  <si>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</si>
  <si>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</si>
  <si>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</si>
  <si>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</si>
  <si>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</si>
  <si>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</si>
  <si>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</si>
  <si>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</si>
  <si>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</si>
  <si>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</si>
  <si>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</si>
  <si>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</si>
  <si>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</si>
  <si>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</si>
  <si>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</si>
  <si>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</si>
  <si>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</si>
  <si>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</si>
  <si>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</si>
  <si>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異常なバラージ</t>
  </si>
  <si>
    <t>アタック, 投射物, 弓</t>
  </si>
  <si>
    <t>レベル: 20 (最大)</t>
  </si>
  <si>
    <t>コスト: 11 マナ</t>
  </si>
  <si>
    <t>アタックダメージ: 基本の54.6%</t>
  </si>
  <si>
    <t>追加ダメージ効率: 55%</t>
  </si>
  <si>
    <t>品質: +11% (augmented)</t>
  </si>
  <si>
    <t>代替品質</t>
  </si>
  <si>
    <t>装備要求:</t>
  </si>
  <si>
    <t>レベル: 70</t>
  </si>
  <si>
    <t>器用さ: 155</t>
  </si>
  <si>
    <t>短い準備時間の後、遠距離武器で繰り返し攻撃する。この攻撃はわずかにランダムなばらつきを持つ。使用するには弓またはワンドを装備する必要がある。このスキルはトリガーできない。</t>
  </si>
  <si>
    <t>ヒット時に11%の確率で敵をノックバックする</t>
  </si>
  <si>
    <t>追加の投射物を4個放つ</t>
  </si>
  <si>
    <t>連続して投射物を放つ</t>
  </si>
  <si>
    <t>同じ色のソケットにはめることでスキルを使用できるようになります。右クリックしてソケットから取り外す。</t>
  </si>
  <si>
    <t>コラプト状態</t>
  </si>
  <si>
    <t>異常な</t>
  </si>
  <si>
    <t>アイテムクラス: サポートジェム</t>
  </si>
  <si>
    <t>相違のディバインブレッシングサポート</t>
  </si>
  <si>
    <t>サポート, オーラ, 持続時間, ブレッシング</t>
  </si>
  <si>
    <t>品質: +20% (augmented)</t>
  </si>
  <si>
    <t>筋力: 70</t>
  </si>
  <si>
    <t>知性: 48</t>
  </si>
  <si>
    <t>使用者の周りに恒久的なオーラを生成するオーラスキルをサポートし、そのリザーブをコストに変換し、効果を一時的なものにする。バナーおよびスタンススキルはサポートできない。</t>
  </si>
  <si>
    <t>サポートされたスキルのマナコストが5%減少する</t>
  </si>
  <si>
    <t>サポートされたスキルのオーラの効果が29%増加する</t>
  </si>
  <si>
    <t>サポートされたスキルは+233のマナをコストとして消費する</t>
  </si>
  <si>
    <t>サポートされたスキルはブレッシングスキルともみなされる</t>
  </si>
  <si>
    <t>ブレッシングスキルによるオーラを一つだけ自身にキャストできる</t>
  </si>
  <si>
    <t>サポートされたスキルによるオーラの基礎持続時間は10.90秒である</t>
  </si>
  <si>
    <t>これはサポートジェムです⁠。これはキャラクター自身には何も付与しませんが⁠、リンクされたソケットにはめられたスキルにボーナスを与えます⁠。右クリックしてソケットから取り外す⁠。</t>
  </si>
  <si>
    <t>相違の</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</si>
  <si>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</si>
  <si>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</si>
  <si>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</si>
  <si>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</si>
  <si>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</si>
  <si>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</si>
  <si>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</si>
  <si>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</si>
  <si>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</si>
  <si>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</si>
  <si>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</si>
  <si>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</si>
  <si>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</si>
  <si>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</si>
  <si>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</si>
  <si>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</si>
  <si>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</si>
  <si>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</si>
  <si>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</si>
  <si>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</si>
  <si>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</si>
  <si>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</si>
  <si>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</si>
  <si>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</si>
  <si>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</si>
  <si>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</si>
  <si>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</si>
  <si>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</si>
  <si>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</si>
  <si>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</si>
  <si>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</si>
  <si>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</si>
  <si>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</si>
  <si>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</si>
  <si>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アイテムクラス: メタモルフサンプル</t>
  </si>
  <si>
    <t>レアリティ: ユニーク</t>
  </si>
  <si>
    <t>呪われしクレーボーン船長の脳</t>
  </si>
  <si>
    <t>使用スキル: ソウルボルト</t>
  </si>
  <si>
    <t>アイテムレベル: 80</t>
  </si>
  <si>
    <t>追加のカレンシーアイテムをドロップ</t>
  </si>
  <si>
    <t>追加の高品質ジェムをドロップ</t>
  </si>
  <si>
    <t>5-リンクレア武器をドロップ</t>
  </si>
  <si>
    <t>ターネの研究所でこのサンプルと別箇所のサンプル4つを組み合わせる。</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</si>
  <si>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</si>
  <si>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</si>
  <si>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</si>
  <si>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</si>
  <si>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</si>
  <si>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</si>
  <si>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</si>
  <si>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</si>
  <si>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</si>
  <si>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</si>
  <si>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</si>
  <si>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</si>
  <si>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</si>
  <si>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</si>
  <si>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</si>
  <si>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</si>
  <si>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</si>
  <si>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</si>
  <si>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</si>
  <si>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</si>
  <si>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</si>
  <si>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</si>
  <si>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</si>
  <si>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</si>
  <si>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</si>
  <si>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</si>
  <si>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</si>
  <si>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</si>
  <si>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</si>
  <si>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</si>
  <si>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</si>
  <si>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</si>
  <si>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</si>
  <si>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</si>
  <si>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</si>
  <si>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</si>
  <si>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</si>
  <si>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</si>
  <si>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</si>
  <si>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</si>
  <si>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</si>
  <si>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</si>
  <si>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</si>
  <si>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</si>
  <si>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</si>
  <si>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</si>
  <si>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</si>
  <si>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</si>
  <si>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</si>
  <si>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</si>
  <si>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</si>
  <si>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</si>
  <si>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</si>
  <si>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</si>
  <si>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</si>
  <si>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</si>
  <si>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</si>
  <si>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</si>
  <si>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</si>
  <si>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</si>
  <si>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</si>
  <si>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</si>
  <si>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</si>
  <si>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</si>
  <si>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</si>
  <si>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</si>
  <si>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</si>
  <si>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</si>
  <si>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</si>
  <si>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</si>
  <si>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</si>
  <si>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</si>
  <si>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</si>
  <si>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</si>
  <si>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</si>
  <si>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</si>
  <si>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</si>
  <si>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</si>
  <si>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</si>
  <si>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</si>
  <si>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</si>
  <si>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</si>
  <si>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</si>
  <si>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</si>
  <si>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</si>
  <si>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</si>
  <si>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</si>
  <si>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</si>
  <si>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</si>
  <si>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</si>
  <si>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</si>
  <si>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</si>
  <si>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</si>
  <si>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</si>
  <si>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</si>
  <si>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</si>
  <si>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</si>
  <si>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</si>
  <si>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</si>
  <si>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</si>
  <si>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</si>
  <si>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</si>
  <si>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</si>
  <si>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</si>
  <si>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</si>
  <si>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</si>
  <si>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</si>
  <si>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</si>
  <si>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</si>
  <si>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</si>
  <si>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</si>
  <si>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</si>
  <si>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</si>
  <si>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</si>
  <si>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</si>
  <si>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</si>
  <si>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</si>
  <si>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</si>
  <si>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</si>
  <si>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</si>
  <si>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</si>
  <si>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</si>
  <si>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</si>
  <si>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</si>
  <si>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</si>
  <si>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</si>
  <si>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</si>
  <si>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</si>
  <si>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</si>
  <si>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</si>
  <si>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</si>
  <si>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</si>
  <si>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</si>
  <si>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</si>
  <si>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</si>
  <si>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</si>
  <si>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</si>
  <si>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</si>
  <si>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</si>
  <si>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</si>
  <si>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</si>
  <si>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</si>
  <si>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</si>
  <si>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</si>
  <si>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</si>
  <si>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</si>
  <si>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</si>
  <si>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</si>
  <si>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</si>
  <si>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</si>
  <si>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</si>
  <si>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</si>
  <si>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</si>
  <si>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</si>
  <si>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</si>
  <si>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</si>
  <si>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</si>
  <si>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</si>
  <si>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</si>
  <si>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</si>
  <si>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</si>
  <si>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</si>
  <si>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</si>
  <si>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</si>
  <si>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</si>
  <si>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</si>
  <si>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</si>
  <si>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</si>
  <si>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</si>
  <si>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</si>
  <si>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</si>
  <si>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</si>
  <si>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</si>
  <si>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</si>
  <si>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</si>
  <si>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</si>
  <si>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</si>
  <si>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</si>
  <si>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</si>
  <si>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</si>
  <si>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</si>
  <si>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</si>
  <si>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</si>
  <si>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</si>
  <si>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</si>
  <si>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</si>
  <si>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</si>
  <si>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</si>
  <si>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</si>
  <si>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</si>
  <si>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</si>
  <si>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</si>
  <si>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</si>
  <si>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</si>
  <si>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</si>
  <si>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</si>
  <si>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</si>
  <si>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</si>
  <si>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</si>
  <si>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</si>
  <si>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</si>
  <si>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</si>
  <si>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</si>
  <si>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</si>
  <si>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</si>
  <si>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</si>
  <si>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</si>
  <si>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</si>
  <si>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</si>
  <si>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</si>
  <si>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</si>
  <si>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</si>
  <si>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</si>
  <si>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</si>
  <si>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</si>
  <si>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</si>
  <si>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</si>
  <si>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</si>
  <si>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</si>
  <si>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</si>
  <si>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</si>
  <si>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</si>
  <si>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</si>
  <si>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</si>
  <si>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</si>
  <si>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</si>
  <si>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</si>
  <si>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</si>
  <si>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</si>
  <si>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</si>
  <si>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</si>
  <si>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</si>
  <si>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</si>
  <si>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</si>
  <si>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</si>
  <si>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</si>
  <si>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</si>
  <si>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</si>
  <si>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</si>
  <si>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</si>
  <si>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</si>
  <si>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</si>
  <si>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</si>
  <si>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</si>
  <si>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</si>
  <si>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</si>
  <si>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</si>
  <si>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</si>
  <si>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</si>
  <si>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</si>
  <si>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</si>
  <si>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</si>
  <si>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</si>
  <si>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</si>
  <si>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</si>
  <si>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</si>
  <si>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</si>
  <si>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</si>
  <si>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</si>
  <si>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</si>
  <si>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</si>
  <si>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</si>
  <si>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</si>
  <si>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</si>
  <si>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</si>
  <si>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</si>
  <si>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</si>
  <si>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</si>
  <si>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</si>
  <si>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</si>
  <si>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</si>
  <si>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</si>
  <si>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</si>
  <si>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</si>
  <si>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</si>
  <si>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</si>
  <si>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</si>
  <si>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</si>
  <si>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</si>
  <si>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</si>
  <si>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</si>
  <si>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</si>
  <si>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</si>
  <si>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</si>
  <si>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</si>
  <si>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</si>
  <si>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</si>
  <si>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</si>
  <si>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</si>
  <si>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</si>
  <si>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</si>
  <si>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</si>
  <si>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</si>
  <si>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</si>
  <si>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</si>
  <si>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</si>
  <si>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</si>
  <si>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</si>
  <si>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</si>
  <si>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</si>
  <si>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</si>
  <si>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</si>
  <si>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</si>
  <si>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</si>
  <si>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</si>
  <si>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</si>
  <si>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</si>
  <si>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</si>
  <si>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</si>
  <si>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</si>
  <si>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</si>
  <si>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</si>
  <si>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</si>
  <si>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</si>
  <si>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</si>
  <si>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</si>
  <si>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</si>
  <si>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</si>
  <si>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</si>
  <si>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</si>
  <si>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</si>
  <si>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</si>
  <si>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</si>
  <si>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</si>
  <si>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</si>
  <si>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</si>
  <si>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</si>
  <si>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</si>
  <si>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</si>
  <si>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</si>
  <si>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</si>
  <si>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</si>
  <si>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</si>
  <si>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</si>
  <si>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</si>
  <si>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</si>
  <si>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</si>
  <si>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</si>
  <si>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</si>
  <si>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</si>
  <si>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</si>
  <si>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</si>
  <si>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</si>
  <si>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</si>
  <si>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</si>
  <si>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</si>
  <si>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</si>
  <si>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</si>
  <si>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</si>
  <si>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</si>
  <si>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</si>
  <si>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</si>
  <si>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</si>
  <si>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</si>
  <si>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</si>
  <si>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</si>
  <si>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</si>
  <si>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</si>
  <si>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</si>
  <si>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</si>
  <si>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</si>
  <si>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</si>
  <si>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</si>
  <si>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</si>
  <si>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</si>
  <si>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</si>
  <si>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</si>
  <si>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</si>
  <si>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</si>
  <si>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</si>
  <si>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</si>
  <si>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</si>
  <si>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</si>
  <si>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</si>
  <si>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</si>
  <si>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</si>
  <si>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</si>
  <si>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</si>
  <si>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</si>
  <si>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</si>
  <si>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</si>
  <si>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</si>
  <si>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</si>
  <si>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</si>
  <si>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</si>
  <si>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</si>
  <si>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</si>
  <si>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</si>
  <si>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</si>
  <si>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</si>
  <si>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</si>
  <si>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</si>
  <si>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</si>
  <si>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</si>
  <si>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</si>
  <si>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</si>
  <si>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</si>
  <si>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</si>
  <si>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</si>
  <si>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</si>
  <si>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</si>
  <si>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</si>
  <si>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</si>
  <si>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</si>
  <si>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</si>
  <si>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</si>
  <si>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</si>
  <si>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</si>
  <si>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</si>
  <si>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</si>
  <si>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</si>
  <si>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</si>
  <si>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</si>
  <si>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</si>
  <si>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</si>
  <si>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</si>
  <si>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</si>
  <si>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</si>
  <si>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</si>
  <si>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</si>
  <si>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</si>
  <si>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</si>
  <si>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</si>
  <si>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</si>
  <si>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</si>
  <si>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</si>
  <si>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</si>
  <si>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</si>
  <si>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</si>
  <si>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</si>
  <si>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</si>
  <si>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</si>
  <si>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</si>
  <si>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</si>
  <si>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</si>
  <si>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</si>
  <si>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</si>
  <si>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</si>
  <si>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</si>
  <si>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</si>
  <si>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</si>
  <si>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</si>
  <si>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</si>
  <si>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</si>
  <si>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</si>
  <si>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</si>
  <si>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</si>
  <si>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</si>
  <si>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</si>
  <si>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</si>
  <si>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</si>
  <si>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</si>
  <si>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</si>
  <si>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</si>
  <si>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</si>
  <si>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</si>
  <si>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</si>
  <si>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</si>
  <si>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</si>
  <si>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</si>
  <si>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</si>
  <si>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</si>
  <si>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</si>
  <si>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</si>
  <si>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</si>
  <si>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</si>
  <si>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</si>
  <si>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</si>
  <si>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</si>
  <si>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</si>
  <si>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</si>
  <si>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</si>
  <si>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</si>
  <si>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</si>
  <si>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</si>
  <si>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</si>
  <si>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</si>
  <si>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</si>
  <si>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</si>
  <si>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</si>
  <si>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</si>
  <si>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</si>
  <si>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</si>
  <si>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</si>
  <si>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</si>
  <si>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</si>
  <si>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</si>
  <si>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</si>
  <si>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</si>
  <si>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</si>
  <si>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</si>
  <si>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</si>
  <si>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</si>
  <si>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</si>
  <si>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</si>
  <si>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</si>
  <si>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</si>
  <si>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</si>
  <si>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</si>
  <si>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</si>
  <si>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</si>
  <si>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</si>
  <si>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</si>
  <si>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</si>
  <si>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</si>
  <si>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</si>
  <si>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</si>
  <si>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</si>
  <si>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</si>
  <si>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</si>
  <si>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</si>
  <si>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</si>
  <si>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</si>
  <si>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</si>
  <si>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</si>
  <si>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</si>
  <si>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</si>
  <si>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</si>
  <si>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</si>
  <si>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</si>
  <si>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</si>
  <si>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</si>
  <si>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</si>
  <si>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</si>
  <si>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</si>
  <si>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</si>
  <si>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</si>
  <si>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</si>
  <si>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</si>
  <si>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</si>
  <si>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</si>
  <si>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</si>
  <si>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</si>
  <si>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</si>
  <si>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</si>
  <si>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</si>
  <si>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</si>
  <si>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</si>
  <si>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</si>
  <si>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</si>
  <si>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</si>
  <si>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</si>
  <si>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</si>
  <si>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</si>
  <si>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</si>
  <si>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</si>
  <si>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</si>
  <si>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</si>
  <si>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</si>
  <si>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</si>
  <si>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</si>
  <si>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</si>
  <si>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</si>
  <si>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</si>
  <si>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</si>
  <si>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</si>
  <si>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</si>
  <si>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</si>
  <si>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</si>
  <si>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</si>
  <si>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</si>
  <si>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</si>
  <si>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</si>
  <si>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</si>
  <si>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</si>
  <si>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</si>
  <si>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</si>
  <si>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</si>
  <si>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</si>
  <si>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</si>
  <si>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</si>
  <si>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</si>
  <si>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</si>
  <si>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</si>
  <si>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</si>
  <si>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</si>
  <si>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</si>
  <si>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</si>
  <si>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</si>
  <si>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</si>
  <si>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</si>
  <si>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</si>
  <si>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</si>
  <si>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</si>
  <si>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</si>
  <si>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</si>
  <si>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</si>
  <si>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</si>
  <si>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</si>
  <si>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</si>
  <si>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</si>
  <si>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</si>
  <si>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</si>
  <si>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</si>
  <si>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</si>
  <si>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</si>
  <si>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</si>
  <si>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</si>
  <si>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</si>
  <si>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</si>
  <si>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</si>
  <si>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</si>
  <si>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</si>
  <si>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</si>
  <si>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</si>
  <si>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</si>
  <si>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</si>
  <si>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</si>
  <si>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</si>
  <si>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</si>
  <si>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</si>
  <si>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</si>
  <si>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</si>
  <si>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</si>
  <si>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</si>
  <si>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</si>
  <si>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</si>
  <si>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</si>
  <si>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</si>
  <si>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</si>
  <si>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</si>
  <si>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</si>
  <si>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</si>
  <si>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</si>
  <si>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</si>
  <si>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</si>
  <si>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</si>
  <si>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</si>
  <si>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</si>
  <si>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</si>
  <si>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</si>
  <si>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</si>
  <si>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</si>
  <si>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</si>
  <si>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</si>
  <si>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</si>
  <si>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</si>
  <si>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</si>
  <si>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</si>
  <si>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</si>
  <si>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</si>
  <si>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</si>
  <si>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</si>
  <si>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</si>
  <si>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</si>
  <si>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</si>
  <si>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</si>
  <si>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</si>
  <si>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</si>
  <si>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</si>
  <si>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</si>
  <si>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</si>
  <si>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</si>
  <si>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</si>
  <si>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</si>
  <si>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</si>
  <si>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</si>
  <si>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</si>
  <si>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</si>
  <si>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</si>
  <si>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</si>
  <si>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</si>
  <si>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</si>
  <si>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</si>
  <si>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</si>
  <si>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</si>
  <si>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</si>
  <si>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</si>
  <si>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</si>
  <si>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</si>
  <si>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</si>
  <si>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</si>
  <si>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</si>
  <si>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</si>
  <si>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</si>
  <si>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</si>
  <si>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</si>
  <si>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</si>
  <si>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기묘한 연발 사격</t>
  </si>
  <si>
    <t>공격, 투사체, 활</t>
  </si>
  <si>
    <t>레벨: 20 (최대)</t>
  </si>
  <si>
    <t>소모: 마나 11</t>
  </si>
  <si>
    <t>공격 피해: 기본 수치의 54.6%</t>
  </si>
  <si>
    <t>추가 피해 효율: 55%</t>
  </si>
  <si>
    <t>퀄리티: +11% (augmented)</t>
  </si>
  <si>
    <t>대체 퀄리티</t>
  </si>
  <si>
    <t>요구사항:</t>
  </si>
  <si>
    <t>레벨: 70</t>
  </si>
  <si>
    <t>민첩: 155</t>
  </si>
  <si>
    <t>잠깐의 준비 시간 후 원거리 무기로 빠르게 연속 사격합니다. 이 공격은 무작위로 좁은 범위에 확산됩니다. 활과 마법봉으로만 사용할 수 있습니다. 이 스킬은 발동되지 않습니다.</t>
  </si>
  <si>
    <t>명중 시 11%의 확률로 적을 밀어냄</t>
  </si>
  <si>
    <t>투사체 4개 추가 발사</t>
  </si>
  <si>
    <t>연속해서 투사체 발사</t>
  </si>
  <si>
    <t>일치하는 색의 홈에 장착하여 스킬을 획득하십시오. 제거하려면 홈을 우클릭하십시오.</t>
  </si>
  <si>
    <t>타락</t>
  </si>
  <si>
    <t>아이템 종류: 보조 젬</t>
  </si>
  <si>
    <t>상이한 신성한 축복 보조</t>
  </si>
  <si>
    <t>보조, 오라, 지속시간, 축복</t>
  </si>
  <si>
    <t>퀄리티: +20% (augmented)</t>
  </si>
  <si>
    <t>힘: 70</t>
  </si>
  <si>
    <t>지능: 48</t>
  </si>
  <si>
    <t>플레이어 주변에 영구적인 오라를 생성하는 오라 스킬에 적용됩니다. 오라의 점유가 소모로 바뀌며 일시적 오라로 변경됩니다. 깃발 또는 태세 스킬에는 적용되지 않습니다</t>
  </si>
  <si>
    <t>보조 대상 스킬의 마나 소모 5% 감소</t>
  </si>
  <si>
    <t>보조 대상 스킬의 오라 효과 29% 증가</t>
  </si>
  <si>
    <t>보조 대상 스킬의 마나 소모 +233</t>
  </si>
  <si>
    <t>보조 대상 스킬을 축복 스킬로 간주</t>
  </si>
  <si>
    <t>자신의 축복 스킬로 발생하는 오라는 1개만 보유 가능</t>
  </si>
  <si>
    <t>보조 대상 스킬로 발생하는 오라의 기본 지속시간 10.90초</t>
  </si>
  <si>
    <t>보조 젬입니다. 캐릭터가 아닌, 홈을 통해 연결된 젬이 보유한 스킬에 영향을 줍니다. 강화하고 싶은 스킬 젬과 연결된 빈 홈에 장착하십시오. 제거하려면 홈을 우클릭하십시오.</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</si>
  <si>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</si>
  <si>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</si>
  <si>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</si>
  <si>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</si>
  <si>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</si>
  <si>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</si>
  <si>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</si>
  <si>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</si>
  <si>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</si>
  <si>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</si>
  <si>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</si>
  <si>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</si>
  <si>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</si>
  <si>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</si>
  <si>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</si>
  <si>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</si>
  <si>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</si>
  <si>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</si>
  <si>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</si>
  <si>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</si>
  <si>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</si>
  <si>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</si>
  <si>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</si>
  <si>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</si>
  <si>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</si>
  <si>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</si>
  <si>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</si>
  <si>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</si>
  <si>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</si>
  <si>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</si>
  <si>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</si>
  <si>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</si>
  <si>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종류: 변형 샘플</t>
  </si>
  <si>
    <t>아이템 희귀도: 고유</t>
  </si>
  <si>
    <t>저주받은 자 클레이본 대장의 뇌</t>
  </si>
  <si>
    <t>사용: 영혼 화살</t>
  </si>
  <si>
    <t>아이템 레벨: 80</t>
  </si>
  <si>
    <t>화폐 아이템을 추가로 떨어뜨림</t>
  </si>
  <si>
    <t>퀄리티 젬을 추가로 떨어뜨림</t>
  </si>
  <si>
    <t>5연결 희귀 무기를 떨어뜨림</t>
  </si>
  <si>
    <t>테인의 연구실에서 이 아이템을 다른 샘플과 조합하십시오.</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</si>
  <si>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</si>
  <si>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</si>
  <si>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</si>
  <si>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</si>
  <si>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</si>
  <si>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</si>
  <si>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</si>
  <si>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</si>
  <si>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</si>
  <si>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</si>
  <si>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</si>
  <si>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</si>
  <si>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</si>
  <si>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</si>
  <si>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</si>
  <si>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</si>
  <si>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</si>
  <si>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</si>
  <si>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</si>
  <si>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</si>
  <si>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</si>
  <si>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</si>
  <si>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</si>
  <si>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</si>
  <si>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</si>
  <si>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</si>
  <si>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</si>
  <si>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</si>
  <si>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</si>
  <si>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</si>
  <si>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</si>
  <si>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</si>
  <si>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</si>
  <si>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</si>
  <si>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</si>
  <si>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</si>
  <si>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</si>
  <si>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</si>
  <si>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</si>
  <si>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</si>
  <si>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</si>
  <si>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</si>
  <si>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</si>
  <si>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</si>
  <si>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</si>
  <si>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</si>
  <si>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</si>
  <si>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</si>
  <si>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</si>
  <si>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</si>
  <si>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</si>
  <si>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</si>
  <si>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</si>
  <si>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</si>
  <si>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</si>
  <si>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</si>
  <si>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</si>
  <si>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</si>
  <si>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</si>
  <si>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</si>
  <si>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</si>
  <si>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</si>
  <si>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</si>
  <si>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</si>
  <si>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</si>
  <si>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</si>
  <si>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</si>
  <si>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</si>
  <si>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</si>
  <si>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</si>
  <si>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</si>
  <si>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</si>
  <si>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</si>
  <si>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</si>
  <si>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</si>
  <si>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</si>
  <si>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</si>
  <si>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</si>
  <si>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</si>
  <si>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</si>
  <si>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</si>
  <si>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</si>
  <si>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</si>
  <si>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</si>
  <si>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</si>
  <si>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</si>
  <si>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</si>
  <si>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</si>
  <si>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</si>
  <si>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</si>
  <si>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</si>
  <si>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</si>
  <si>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</si>
  <si>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</si>
  <si>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</si>
  <si>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</si>
  <si>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</si>
  <si>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</si>
  <si>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</si>
  <si>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</si>
  <si>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</si>
  <si>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</si>
  <si>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</si>
  <si>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</si>
  <si>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</si>
  <si>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</si>
  <si>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</si>
  <si>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</si>
  <si>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</si>
  <si>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</si>
  <si>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</si>
  <si>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</si>
  <si>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</si>
  <si>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</si>
  <si>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</si>
  <si>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</si>
  <si>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</si>
  <si>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</si>
  <si>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</si>
  <si>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</si>
  <si>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</si>
  <si>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</si>
  <si>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</si>
  <si>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</si>
  <si>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</si>
  <si>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</si>
  <si>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</si>
  <si>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</si>
  <si>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</si>
  <si>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</si>
  <si>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</si>
  <si>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</si>
  <si>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</si>
  <si>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</si>
  <si>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</si>
  <si>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</si>
  <si>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</si>
  <si>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</si>
  <si>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</si>
  <si>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</si>
  <si>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</si>
  <si>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</si>
  <si>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</si>
  <si>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</si>
  <si>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</si>
  <si>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</si>
  <si>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</si>
  <si>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</si>
  <si>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</si>
  <si>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</si>
  <si>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</si>
  <si>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</si>
  <si>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</si>
  <si>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</si>
  <si>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</si>
  <si>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</si>
  <si>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</si>
  <si>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</si>
  <si>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</si>
  <si>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</si>
  <si>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</si>
  <si>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</si>
  <si>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</si>
  <si>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</si>
  <si>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</si>
  <si>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</si>
  <si>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</si>
  <si>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</si>
  <si>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</si>
  <si>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</si>
  <si>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</si>
  <si>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</si>
  <si>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</si>
  <si>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</si>
  <si>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</si>
  <si>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</si>
  <si>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</si>
  <si>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</si>
  <si>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</si>
  <si>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</si>
  <si>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</si>
  <si>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</si>
  <si>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</si>
  <si>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</si>
  <si>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</si>
  <si>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</si>
  <si>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</si>
  <si>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</si>
  <si>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</si>
  <si>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</si>
  <si>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</si>
  <si>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</si>
  <si>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</si>
  <si>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</si>
  <si>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</si>
  <si>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</si>
  <si>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</si>
  <si>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</si>
  <si>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</si>
  <si>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</si>
  <si>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</si>
  <si>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</si>
  <si>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</si>
  <si>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</si>
  <si>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</si>
  <si>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</si>
  <si>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</si>
  <si>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</si>
  <si>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</si>
  <si>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</si>
  <si>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</si>
  <si>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</si>
  <si>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</si>
  <si>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</si>
  <si>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</si>
  <si>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</si>
  <si>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</si>
  <si>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</si>
  <si>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</si>
  <si>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</si>
  <si>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</si>
  <si>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</si>
  <si>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</si>
  <si>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</si>
  <si>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</si>
  <si>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</si>
  <si>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</si>
  <si>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</si>
  <si>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</si>
  <si>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</si>
  <si>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</si>
  <si>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</si>
  <si>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</si>
  <si>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</si>
  <si>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</si>
  <si>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</si>
  <si>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</si>
  <si>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</si>
  <si>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</si>
  <si>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</si>
  <si>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</si>
  <si>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</si>
  <si>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</si>
  <si>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</si>
  <si>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</si>
  <si>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</si>
  <si>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</si>
  <si>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</si>
  <si>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</si>
  <si>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</si>
  <si>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</si>
  <si>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</si>
  <si>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</si>
  <si>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</si>
  <si>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</si>
  <si>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</si>
  <si>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</si>
  <si>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</si>
  <si>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</si>
  <si>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</si>
  <si>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</si>
  <si>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</si>
  <si>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</si>
  <si>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</si>
  <si>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</si>
  <si>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</si>
  <si>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</si>
  <si>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</si>
  <si>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</si>
  <si>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</si>
  <si>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</si>
  <si>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</si>
  <si>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</si>
  <si>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</si>
  <si>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</si>
  <si>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</si>
  <si>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</si>
  <si>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</si>
  <si>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</si>
  <si>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</si>
  <si>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</si>
  <si>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</si>
  <si>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</si>
  <si>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</si>
  <si>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</si>
  <si>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</si>
  <si>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</si>
  <si>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</si>
  <si>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</si>
  <si>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</si>
  <si>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</si>
  <si>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</si>
  <si>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</si>
  <si>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</si>
  <si>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</si>
  <si>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</si>
  <si>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</si>
  <si>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</si>
  <si>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</si>
  <si>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</si>
  <si>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</si>
  <si>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</si>
  <si>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</si>
  <si>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</si>
  <si>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</si>
  <si>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</si>
  <si>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</si>
  <si>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</si>
  <si>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</si>
  <si>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</si>
  <si>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</si>
  <si>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</si>
  <si>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</si>
  <si>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</si>
  <si>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</si>
  <si>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</si>
  <si>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</si>
  <si>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</si>
  <si>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</si>
  <si>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</si>
  <si>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</si>
  <si>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</si>
  <si>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</si>
  <si>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</si>
  <si>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</si>
  <si>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</si>
  <si>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</si>
  <si>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</si>
  <si>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</si>
  <si>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</si>
  <si>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</si>
  <si>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</si>
  <si>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</si>
  <si>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</si>
  <si>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</si>
  <si>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</si>
  <si>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</si>
  <si>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</si>
  <si>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</si>
  <si>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</si>
  <si>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</si>
  <si>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</si>
  <si>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</si>
  <si>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</si>
  <si>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</si>
  <si>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</si>
  <si>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</si>
  <si>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</si>
  <si>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</si>
  <si>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</si>
  <si>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</si>
  <si>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</si>
  <si>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</si>
  <si>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</si>
  <si>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</si>
  <si>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</si>
  <si>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</si>
  <si>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</si>
  <si>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</si>
  <si>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</si>
  <si>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</si>
  <si>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</si>
  <si>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</si>
  <si>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</si>
  <si>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</si>
  <si>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</si>
  <si>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</si>
  <si>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</si>
  <si>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</si>
  <si>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</si>
  <si>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</si>
  <si>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</si>
  <si>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</si>
  <si>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</si>
  <si>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</si>
  <si>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</si>
  <si>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</si>
  <si>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</si>
  <si>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</si>
  <si>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</si>
  <si>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</si>
  <si>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</si>
  <si>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</si>
  <si>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</si>
  <si>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</si>
  <si>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</si>
  <si>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</si>
  <si>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</si>
  <si>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</si>
  <si>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</si>
  <si>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</si>
  <si>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</si>
  <si>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</si>
  <si>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</si>
  <si>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</si>
  <si>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</si>
  <si>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</si>
  <si>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</si>
  <si>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</si>
  <si>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</si>
  <si>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</si>
  <si>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</si>
  <si>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</si>
  <si>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</si>
  <si>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</si>
  <si>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</si>
  <si>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</si>
  <si>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</si>
  <si>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</si>
  <si>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</si>
  <si>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</si>
  <si>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</si>
  <si>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</si>
  <si>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</si>
  <si>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</si>
  <si>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</si>
  <si>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</si>
  <si>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</si>
  <si>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</si>
  <si>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</si>
  <si>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</si>
  <si>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</si>
  <si>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</si>
  <si>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</si>
  <si>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</si>
  <si>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</si>
  <si>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</si>
  <si>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</si>
  <si>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</si>
  <si>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</si>
  <si>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</si>
  <si>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</si>
  <si>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</si>
  <si>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</si>
  <si>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</si>
  <si>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</si>
  <si>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</si>
  <si>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</si>
  <si>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</si>
  <si>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</si>
  <si>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</si>
  <si>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</si>
  <si>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</si>
  <si>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</si>
  <si>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</si>
  <si>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</si>
  <si>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</si>
  <si>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</si>
  <si>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</si>
  <si>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</si>
  <si>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</si>
  <si>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</si>
  <si>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</si>
  <si>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</si>
  <si>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</si>
  <si>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</si>
  <si>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</si>
  <si>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</si>
  <si>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</si>
  <si>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</si>
  <si>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</si>
  <si>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</si>
  <si>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</si>
  <si>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</si>
  <si>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</si>
  <si>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</si>
  <si>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</si>
  <si>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</si>
  <si>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</si>
  <si>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</si>
  <si>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</si>
  <si>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</si>
  <si>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</si>
  <si>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</si>
  <si>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</si>
  <si>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</si>
  <si>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</si>
  <si>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</si>
  <si>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</si>
  <si>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</si>
  <si>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</si>
  <si>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</si>
  <si>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</si>
  <si>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</si>
  <si>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</si>
  <si>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</si>
  <si>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</si>
  <si>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</si>
  <si>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</si>
  <si>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</si>
  <si>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</si>
  <si>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</si>
  <si>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</si>
  <si>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</si>
  <si>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</si>
  <si>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</si>
  <si>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</si>
  <si>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</si>
  <si>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</si>
  <si>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</si>
  <si>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</si>
  <si>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</si>
  <si>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</si>
  <si>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</si>
  <si>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</si>
  <si>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</si>
  <si>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</si>
  <si>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</si>
  <si>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</si>
  <si>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</si>
  <si>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</si>
  <si>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</si>
  <si>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</si>
  <si>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</si>
  <si>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</si>
  <si>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</si>
  <si>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</si>
  <si>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</si>
  <si>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</si>
  <si>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</si>
  <si>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</si>
  <si>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</si>
  <si>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</si>
  <si>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</si>
  <si>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</si>
  <si>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</si>
  <si>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</si>
  <si>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</si>
  <si>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</si>
  <si>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</si>
  <si>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</si>
  <si>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</si>
  <si>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</si>
  <si>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</si>
  <si>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</si>
  <si>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</si>
  <si>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</si>
  <si>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</si>
  <si>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</si>
  <si>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</si>
  <si>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</si>
  <si>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</si>
  <si>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</si>
  <si>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</si>
  <si>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</si>
  <si>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</si>
  <si>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</si>
  <si>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</si>
  <si>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</si>
  <si>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</si>
  <si>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</si>
  <si>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</si>
  <si>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</si>
  <si>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</si>
  <si>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</si>
  <si>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</si>
  <si>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</si>
  <si>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</si>
  <si>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</si>
  <si>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</si>
  <si>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</si>
  <si>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</si>
  <si>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</si>
  <si>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</si>
  <si>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</si>
  <si>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</si>
  <si>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</si>
  <si>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</si>
  <si>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</si>
  <si>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</si>
  <si>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</si>
  <si>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</si>
  <si>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</si>
  <si>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</si>
  <si>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</si>
  <si>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</si>
  <si>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</si>
  <si>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</si>
  <si>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</si>
  <si>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</si>
  <si>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</si>
  <si>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</si>
  <si>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</si>
  <si>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</si>
  <si>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</si>
  <si>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</si>
  <si>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</si>
  <si>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</si>
  <si>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</si>
  <si>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</si>
  <si>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</si>
  <si>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</si>
  <si>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</si>
  <si>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</si>
  <si>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</si>
  <si>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</si>
  <si>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</si>
  <si>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</si>
  <si>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</si>
  <si>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</si>
  <si>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</si>
  <si>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</si>
  <si>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</si>
  <si>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</si>
  <si>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</si>
  <si>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</si>
  <si>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</si>
  <si>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</si>
  <si>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</si>
  <si>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</si>
  <si>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</si>
  <si>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</si>
  <si>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</si>
  <si>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</si>
  <si>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</si>
  <si>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</si>
  <si>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</si>
  <si>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</si>
  <si>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</si>
  <si>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</si>
  <si>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</si>
  <si>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</si>
  <si>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</si>
  <si>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</si>
  <si>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</si>
  <si>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</si>
  <si>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</si>
  <si>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</si>
  <si>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</si>
  <si>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</si>
  <si>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</si>
  <si>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</si>
  <si>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</si>
  <si>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</si>
  <si>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</si>
  <si>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</si>
  <si>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</si>
  <si>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</si>
  <si>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</si>
  <si>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</si>
  <si>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</si>
  <si>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</si>
  <si>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</si>
  <si>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</si>
  <si>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</si>
  <si>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</si>
  <si>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</si>
  <si>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</si>
  <si>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</si>
  <si>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</si>
  <si>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</si>
  <si>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</si>
  <si>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</si>
  <si>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</si>
  <si>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</si>
  <si>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기묘한</t>
  </si>
  <si>
    <t>분기하는</t>
  </si>
  <si>
    <t>환영의</t>
  </si>
  <si>
    <t>Classe do Item: Gemas de Habilidades</t>
  </si>
  <si>
    <t>Raridade: Gema</t>
  </si>
  <si>
    <t>Anômalo Barragem</t>
  </si>
  <si>
    <t>Ataque, Projétil, Arco</t>
  </si>
  <si>
    <t>Nível: 20 (Máx)</t>
  </si>
  <si>
    <t>Custo: 11 Mana</t>
  </si>
  <si>
    <t>Dano de Ataque: 54.6% de base</t>
  </si>
  <si>
    <t>Eficácia do Dano Adicionado: 55%</t>
  </si>
  <si>
    <t>Qualidade: +11% (augmented)</t>
  </si>
  <si>
    <t>Qualidade Alternativa</t>
  </si>
  <si>
    <t>Nível: 70</t>
  </si>
  <si>
    <t>Após uma rápida preparação, você ataca repetidamente com uma arma à distância. Estes ataques têm uma distribuição aleatória pequena. Só funciona com Arcos e Varinhas. Esta habilidade não pode ser Ativada.</t>
  </si>
  <si>
    <t>11% de chance de Empurrar Inimigos ao acertar</t>
  </si>
  <si>
    <t>Dispara 4 Projéteis adicionais</t>
  </si>
  <si>
    <t>Dispara Projéteis em sequência</t>
  </si>
  <si>
    <t>Coloque o item em um encaixe da cor certa para obter esta habilidade. Clique com o botão direito para remover de um encaixe.</t>
  </si>
  <si>
    <t>Corrompido</t>
  </si>
  <si>
    <t>Classe do Item: Gemas de Suporte</t>
  </si>
  <si>
    <t>Divergente Suporte: Bênção Divina</t>
  </si>
  <si>
    <t>Suporte, Aura, Duração, Bênção</t>
  </si>
  <si>
    <t>Qualidade: +20% (augmented)</t>
  </si>
  <si>
    <t>Suporta habilidades de aura que criam auras permanentes ao seu redor, mudando sua reserva para um custo e tornando-as temporárias. Não pode suportar habilidades de estandarte ou postura.</t>
  </si>
  <si>
    <t>Habilidades Suportadas têm 5% do Custo de Mana reduzido</t>
  </si>
  <si>
    <t>Habilidades Suportadas têm  Efeito das Auras aumentado em 29%</t>
  </si>
  <si>
    <t>Habilidades Suportadas Custam +233 de Mana</t>
  </si>
  <si>
    <t>Habilidades Suportadas também contam como Habilidades Bênção</t>
  </si>
  <si>
    <t>Você só pode ter uma Aura de suas Habilidades Bênção</t>
  </si>
  <si>
    <t>Auras das Habilidades Suportadas têm uma duração base de 10.90 segundos</t>
  </si>
  <si>
    <t>Esta é uma Gema de Suporte. Ela não concede um bônus para seu personagem, mas sim para as habilidades em encaixes conectados a ela. Coloque-a em um encaixe de item conectado a um encaixe contendo a Gema de Habilidade que você deseja melhorar. Clique com o botão direito para remover de um encaixe.</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</si>
  <si>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</si>
  <si>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</si>
  <si>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</si>
  <si>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</si>
  <si>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</si>
  <si>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</si>
  <si>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</si>
  <si>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</si>
  <si>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</si>
  <si>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</si>
  <si>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</si>
  <si>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</si>
  <si>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</si>
  <si>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</si>
  <si>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</si>
  <si>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</si>
  <si>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</si>
  <si>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</si>
  <si>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</si>
  <si>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</si>
  <si>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</si>
  <si>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</si>
  <si>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</si>
  <si>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</si>
  <si>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</si>
  <si>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</si>
  <si>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</si>
  <si>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</si>
  <si>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</si>
  <si>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</si>
  <si>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</si>
  <si>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</si>
  <si>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</si>
  <si>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Classe do Item: Amostras Metamorfas</t>
  </si>
  <si>
    <t>Raridade: Único</t>
  </si>
  <si>
    <t>Captão Clayborn, o Amaldiçoado's Cérebro</t>
  </si>
  <si>
    <t>Usos: Tiro D'alma</t>
  </si>
  <si>
    <t>Nível do Item: 80</t>
  </si>
  <si>
    <t>Derruba Itens Monetários adicionais</t>
  </si>
  <si>
    <t>Derruba Gemas com Qualidade adicional</t>
  </si>
  <si>
    <t>Derruba uma Arma Rara com 5 Encaixes Conectados</t>
  </si>
  <si>
    <t>Combine este com quatro outras amostras diferentes no Laboratório de Tane.</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</si>
  <si>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</si>
  <si>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</si>
  <si>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</si>
  <si>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</si>
  <si>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</si>
  <si>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</si>
  <si>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</si>
  <si>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</si>
  <si>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</si>
  <si>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</si>
  <si>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</si>
  <si>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</si>
  <si>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</si>
  <si>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</si>
  <si>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</si>
  <si>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</si>
  <si>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</si>
  <si>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</si>
  <si>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</si>
  <si>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</si>
  <si>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</si>
  <si>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</si>
  <si>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</si>
  <si>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</si>
  <si>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</si>
  <si>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</si>
  <si>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</si>
  <si>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</si>
  <si>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</si>
  <si>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</si>
  <si>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</si>
  <si>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</si>
  <si>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</si>
  <si>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</si>
  <si>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</si>
  <si>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</si>
  <si>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</si>
  <si>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</si>
  <si>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</si>
  <si>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</si>
  <si>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</si>
  <si>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</si>
  <si>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</si>
  <si>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</si>
  <si>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</si>
  <si>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</si>
  <si>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</si>
  <si>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</si>
  <si>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</si>
  <si>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</si>
  <si>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</si>
  <si>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</si>
  <si>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</si>
  <si>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</si>
  <si>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</si>
  <si>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</si>
  <si>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</si>
  <si>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</si>
  <si>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</si>
  <si>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</si>
  <si>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</si>
  <si>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</si>
  <si>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</si>
  <si>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</si>
  <si>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</si>
  <si>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</si>
  <si>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</si>
  <si>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</si>
  <si>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</si>
  <si>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</si>
  <si>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</si>
  <si>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</si>
  <si>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</si>
  <si>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</si>
  <si>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</si>
  <si>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</si>
  <si>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</si>
  <si>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</si>
  <si>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</si>
  <si>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</si>
  <si>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</si>
  <si>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</si>
  <si>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</si>
  <si>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</si>
  <si>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</si>
  <si>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</si>
  <si>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</si>
  <si>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</si>
  <si>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</si>
  <si>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</si>
  <si>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</si>
  <si>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</si>
  <si>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</si>
  <si>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</si>
  <si>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</si>
  <si>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</si>
  <si>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</si>
  <si>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</si>
  <si>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</si>
  <si>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</si>
  <si>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</si>
  <si>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</si>
  <si>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</si>
  <si>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</si>
  <si>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</si>
  <si>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</si>
  <si>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</si>
  <si>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</si>
  <si>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</si>
  <si>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</si>
  <si>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</si>
  <si>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</si>
  <si>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</si>
  <si>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</si>
  <si>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</si>
  <si>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</si>
  <si>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</si>
  <si>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</si>
  <si>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</si>
  <si>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</si>
  <si>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</si>
  <si>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</si>
  <si>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</si>
  <si>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</si>
  <si>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</si>
  <si>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</si>
  <si>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</si>
  <si>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</si>
  <si>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</si>
  <si>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</si>
  <si>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</si>
  <si>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</si>
  <si>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</si>
  <si>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</si>
  <si>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</si>
  <si>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</si>
  <si>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</si>
  <si>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</si>
  <si>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</si>
  <si>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</si>
  <si>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</si>
  <si>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</si>
  <si>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</si>
  <si>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</si>
  <si>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</si>
  <si>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</si>
  <si>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</si>
  <si>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</si>
  <si>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</si>
  <si>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</si>
  <si>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</si>
  <si>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</si>
  <si>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</si>
  <si>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</si>
  <si>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</si>
  <si>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</si>
  <si>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</si>
  <si>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</si>
  <si>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</si>
  <si>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</si>
  <si>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</si>
  <si>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</si>
  <si>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</si>
  <si>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</si>
  <si>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</si>
  <si>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</si>
  <si>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</si>
  <si>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</si>
  <si>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</si>
  <si>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</si>
  <si>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</si>
  <si>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</si>
  <si>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</si>
  <si>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</si>
  <si>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</si>
  <si>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</si>
  <si>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</si>
  <si>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</si>
  <si>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</si>
  <si>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</si>
  <si>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</si>
  <si>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</si>
  <si>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</si>
  <si>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</si>
  <si>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</si>
  <si>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</si>
  <si>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</si>
  <si>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</si>
  <si>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</si>
  <si>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</si>
  <si>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</si>
  <si>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</si>
  <si>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</si>
  <si>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</si>
  <si>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</si>
  <si>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</si>
  <si>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</si>
  <si>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</si>
  <si>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</si>
  <si>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</si>
  <si>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</si>
  <si>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</si>
  <si>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</si>
  <si>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</si>
  <si>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</si>
  <si>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</si>
  <si>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</si>
  <si>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</si>
  <si>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</si>
  <si>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</si>
  <si>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</si>
  <si>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</si>
  <si>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</si>
  <si>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</si>
  <si>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</si>
  <si>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</si>
  <si>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</si>
  <si>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</si>
  <si>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</si>
  <si>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</si>
  <si>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</si>
  <si>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</si>
  <si>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</si>
  <si>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</si>
  <si>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</si>
  <si>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</si>
  <si>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</si>
  <si>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</si>
  <si>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</si>
  <si>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</si>
  <si>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</si>
  <si>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</si>
  <si>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</si>
  <si>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</si>
  <si>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</si>
  <si>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</si>
  <si>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</si>
  <si>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</si>
  <si>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</si>
  <si>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</si>
  <si>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</si>
  <si>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</si>
  <si>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</si>
  <si>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</si>
  <si>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</si>
  <si>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</si>
  <si>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</si>
  <si>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</si>
  <si>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</si>
  <si>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</si>
  <si>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</si>
  <si>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</si>
  <si>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</si>
  <si>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</si>
  <si>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</si>
  <si>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</si>
  <si>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</si>
  <si>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</si>
  <si>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</si>
  <si>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</si>
  <si>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</si>
  <si>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</si>
  <si>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</si>
  <si>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</si>
  <si>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</si>
  <si>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</si>
  <si>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</si>
  <si>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</si>
  <si>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</si>
  <si>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</si>
  <si>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</si>
  <si>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</si>
  <si>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</si>
  <si>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</si>
  <si>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</si>
  <si>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</si>
  <si>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</si>
  <si>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</si>
  <si>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</si>
  <si>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</si>
  <si>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</si>
  <si>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</si>
  <si>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</si>
  <si>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</si>
  <si>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</si>
  <si>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</si>
  <si>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</si>
  <si>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</si>
  <si>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</si>
  <si>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</si>
  <si>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</si>
  <si>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</si>
  <si>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</si>
  <si>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</si>
  <si>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</si>
  <si>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</si>
  <si>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</si>
  <si>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</si>
  <si>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</si>
  <si>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</si>
  <si>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</si>
  <si>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</si>
  <si>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</si>
  <si>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</si>
  <si>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</si>
  <si>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</si>
  <si>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</si>
  <si>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</si>
  <si>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</si>
  <si>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</si>
  <si>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</si>
  <si>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</si>
  <si>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</si>
  <si>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</si>
  <si>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</si>
  <si>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</si>
  <si>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</si>
  <si>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</si>
  <si>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</si>
  <si>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</si>
  <si>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</si>
  <si>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</si>
  <si>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</si>
  <si>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</si>
  <si>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</si>
  <si>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</si>
  <si>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</si>
  <si>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</si>
  <si>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</si>
  <si>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</si>
  <si>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</si>
  <si>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</si>
  <si>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</si>
  <si>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</si>
  <si>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</si>
  <si>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</si>
  <si>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</si>
  <si>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</si>
  <si>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</si>
  <si>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</si>
  <si>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</si>
  <si>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</si>
  <si>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</si>
  <si>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</si>
  <si>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</si>
  <si>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</si>
  <si>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</si>
  <si>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</si>
  <si>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</si>
  <si>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</si>
  <si>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</si>
  <si>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</si>
  <si>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</si>
  <si>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</si>
  <si>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</si>
  <si>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</si>
  <si>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</si>
  <si>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</si>
  <si>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</si>
  <si>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</si>
  <si>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</si>
  <si>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</si>
  <si>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</si>
  <si>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</si>
  <si>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</si>
  <si>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</si>
  <si>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</si>
  <si>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</si>
  <si>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</si>
  <si>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</si>
  <si>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</si>
  <si>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</si>
  <si>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</si>
  <si>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</si>
  <si>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</si>
  <si>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</si>
  <si>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</si>
  <si>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</si>
  <si>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</si>
  <si>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</si>
  <si>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</si>
  <si>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</si>
  <si>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</si>
  <si>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</si>
  <si>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</si>
  <si>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</si>
  <si>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</si>
  <si>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</si>
  <si>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</si>
  <si>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</si>
  <si>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</si>
  <si>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</si>
  <si>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</si>
  <si>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</si>
  <si>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</si>
  <si>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</si>
  <si>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</si>
  <si>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</si>
  <si>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</si>
  <si>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</si>
  <si>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</si>
  <si>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</si>
  <si>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</si>
  <si>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</si>
  <si>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</si>
  <si>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</si>
  <si>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</si>
  <si>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</si>
  <si>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</si>
  <si>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</si>
  <si>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</si>
  <si>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</si>
  <si>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</si>
  <si>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</si>
  <si>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</si>
  <si>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</si>
  <si>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</si>
  <si>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</si>
  <si>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</si>
  <si>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</si>
  <si>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</si>
  <si>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</si>
  <si>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</si>
  <si>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</si>
  <si>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</si>
  <si>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</si>
  <si>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</si>
  <si>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</si>
  <si>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</si>
  <si>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</si>
  <si>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</si>
  <si>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</si>
  <si>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</si>
  <si>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</si>
  <si>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</si>
  <si>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</si>
  <si>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</si>
  <si>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</si>
  <si>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</si>
  <si>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</si>
  <si>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</si>
  <si>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</si>
  <si>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</si>
  <si>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</si>
  <si>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</si>
  <si>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</si>
  <si>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</si>
  <si>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</si>
  <si>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</si>
  <si>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</si>
  <si>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</si>
  <si>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</si>
  <si>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</si>
  <si>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</si>
  <si>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</si>
  <si>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</si>
  <si>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</si>
  <si>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</si>
  <si>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</si>
  <si>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</si>
  <si>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</si>
  <si>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</si>
  <si>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</si>
  <si>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</si>
  <si>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</si>
  <si>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</si>
  <si>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</si>
  <si>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</si>
  <si>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</si>
  <si>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</si>
  <si>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</si>
  <si>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</si>
  <si>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</si>
  <si>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</si>
  <si>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</si>
  <si>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</si>
  <si>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</si>
  <si>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</si>
  <si>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</si>
  <si>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</si>
  <si>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</si>
  <si>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</si>
  <si>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</si>
  <si>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</si>
  <si>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</si>
  <si>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</si>
  <si>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</si>
  <si>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</si>
  <si>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</si>
  <si>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</si>
  <si>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</si>
  <si>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</si>
  <si>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</si>
  <si>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</si>
  <si>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</si>
  <si>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</si>
  <si>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</si>
  <si>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</si>
  <si>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</si>
  <si>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</si>
  <si>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</si>
  <si>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</si>
  <si>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</si>
  <si>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</si>
  <si>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</si>
  <si>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</si>
  <si>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</si>
  <si>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</si>
  <si>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</si>
  <si>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</si>
  <si>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</si>
  <si>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</si>
  <si>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</si>
  <si>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</si>
  <si>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</si>
  <si>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</si>
  <si>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</si>
  <si>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</si>
  <si>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</si>
  <si>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</si>
  <si>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</si>
  <si>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</si>
  <si>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</si>
  <si>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</si>
  <si>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</si>
  <si>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</si>
  <si>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</si>
  <si>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</si>
  <si>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</si>
  <si>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</si>
  <si>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</si>
  <si>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</si>
  <si>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</si>
  <si>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</si>
  <si>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</si>
  <si>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</si>
  <si>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</si>
  <si>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</si>
  <si>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</si>
  <si>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</si>
  <si>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</si>
  <si>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</si>
  <si>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</si>
  <si>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</si>
  <si>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</si>
  <si>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</si>
  <si>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</si>
  <si>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</si>
  <si>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</si>
  <si>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</si>
  <si>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</si>
  <si>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</si>
  <si>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</si>
  <si>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</si>
  <si>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</si>
  <si>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</si>
  <si>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</si>
  <si>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</si>
  <si>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</si>
  <si>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</si>
  <si>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</si>
  <si>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</si>
  <si>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</si>
  <si>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</si>
  <si>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</si>
  <si>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</si>
  <si>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</si>
  <si>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</si>
  <si>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</si>
  <si>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</si>
  <si>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</si>
  <si>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</si>
  <si>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</si>
  <si>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</si>
  <si>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</si>
  <si>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</si>
  <si>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</si>
  <si>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</si>
  <si>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</si>
  <si>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</si>
  <si>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</si>
  <si>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</si>
  <si>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</si>
  <si>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</si>
  <si>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</si>
  <si>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</si>
  <si>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</si>
  <si>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</si>
  <si>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</si>
  <si>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</si>
  <si>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</si>
  <si>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</si>
  <si>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</si>
  <si>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</si>
  <si>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</si>
  <si>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</si>
  <si>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</si>
  <si>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</si>
  <si>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</si>
  <si>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</si>
  <si>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</si>
  <si>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</si>
  <si>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</si>
  <si>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</si>
  <si>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</si>
  <si>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</si>
  <si>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</si>
  <si>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</si>
  <si>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</si>
  <si>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</si>
  <si>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Аномальный: Очередь</t>
  </si>
  <si>
    <t>Атака, Снаряд, Лук</t>
  </si>
  <si>
    <t>Уровень: 20 (макс.)</t>
  </si>
  <si>
    <t>Расход ресурсов: 11 маны</t>
  </si>
  <si>
    <t>Урон от атаки: 54.6% от базовой</t>
  </si>
  <si>
    <t>Эффективность добавленного урона: 55%</t>
  </si>
  <si>
    <t>Качество: +11% (augmented)</t>
  </si>
  <si>
    <t>Изменённый эффект качества</t>
  </si>
  <si>
    <t>Требования:</t>
  </si>
  <si>
    <t>Уровень: 70</t>
  </si>
  <si>
    <t>Ловк: 155</t>
  </si>
  <si>
    <t>После небольшой подготовки герой многократно атакует, используя оружие дальнего боя. Снаряды имеют небольшой разброс. Умение требует лук или жезл. Нельзя вызвать срабатывание этого умения.</t>
  </si>
  <si>
    <t>11% шанс отбросить врагов при нанесении удара</t>
  </si>
  <si>
    <t>Выпускает дополнительных снарядов: 4</t>
  </si>
  <si>
    <t>Выпускает снаряды последовательно</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</si>
  <si>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</si>
  <si>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</si>
  <si>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</si>
  <si>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Искривлённый: Божественное благословение</t>
  </si>
  <si>
    <t>Поддержка, Аура, Длится, Благословение</t>
  </si>
  <si>
    <t>Качество: +20% (augmented)</t>
  </si>
  <si>
    <t>Сила: 70</t>
  </si>
  <si>
    <t>Инт: 48</t>
  </si>
  <si>
    <t>Усиливает умения аур, создающие постоянные ауры вокруг героя, заменяя удержание расходом и делая ауры временными. Не может усиливать умения знамён и стоек.</t>
  </si>
  <si>
    <t>Усиленные умения имеют 5% снижение затрат маны</t>
  </si>
  <si>
    <t>Усиленные умения имеют 29% усиление эффекта ауры</t>
  </si>
  <si>
    <t>Усиленные умения стоят +233 маны</t>
  </si>
  <si>
    <t>Усиленные умения также считаются умениями благословения</t>
  </si>
  <si>
    <t>На вас может быть только одна аура от ваших умения благословения</t>
  </si>
  <si>
    <t>Базовая длительность аур от усиленных умений: 10.90 секунд(-ы)</t>
  </si>
  <si>
    <t>Это камень поддержки. Он даёт преимущества не герою, а умениям в связанных гнёздах. Вставьте камень поддержки в гнездо, соединённое с гнездом усиливаемого камня умения. Щёлкните ПКМ, чтобы вынуть камень из гнезда.</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</si>
  <si>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</si>
  <si>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</si>
  <si>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</si>
  <si>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</si>
  <si>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</si>
  <si>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</si>
  <si>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</si>
  <si>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</si>
  <si>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</si>
  <si>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</si>
  <si>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</si>
  <si>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</si>
  <si>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</si>
  <si>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</si>
  <si>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</si>
  <si>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</si>
  <si>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</si>
  <si>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</si>
  <si>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</si>
  <si>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</si>
  <si>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</si>
  <si>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</si>
  <si>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</si>
  <si>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</si>
  <si>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</si>
  <si>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</si>
  <si>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</si>
  <si>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</si>
  <si>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</si>
  <si>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</si>
  <si>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</si>
  <si>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</si>
  <si>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</si>
  <si>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Класс предмета: Образцы Метаморфа</t>
  </si>
  <si>
    <t>Редкость: Уникальный</t>
  </si>
  <si>
    <t>Мозг: Капитан Клейборн, проклятый</t>
  </si>
  <si>
    <t>Использует: Снаряд души</t>
  </si>
  <si>
    <t>Уровень предмета: 80</t>
  </si>
  <si>
    <t>Бросает дополнительную валюту</t>
  </si>
  <si>
    <t>Бросает дополнительные камни с качеством</t>
  </si>
  <si>
    <t>Бросает редкое оружие с 5 связанными гнёздами</t>
  </si>
  <si>
    <t>Объедините эту часть с четырьмя другими в Лаборатории Танэ.</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</si>
  <si>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</si>
  <si>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</si>
  <si>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</si>
  <si>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</si>
  <si>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</si>
  <si>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</si>
  <si>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</si>
  <si>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</si>
  <si>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</si>
  <si>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</si>
  <si>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</si>
  <si>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</si>
  <si>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</si>
  <si>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</si>
  <si>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</si>
  <si>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</si>
  <si>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</si>
  <si>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</si>
  <si>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</si>
  <si>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</si>
  <si>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</si>
  <si>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</si>
  <si>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</si>
  <si>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</si>
  <si>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</si>
  <si>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</si>
  <si>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</si>
  <si>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</si>
  <si>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</si>
  <si>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</si>
  <si>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</si>
  <si>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</si>
  <si>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</si>
  <si>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</si>
  <si>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</si>
  <si>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</si>
  <si>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</si>
  <si>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</si>
  <si>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</si>
  <si>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</si>
  <si>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</si>
  <si>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</si>
  <si>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</si>
  <si>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</si>
  <si>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</si>
  <si>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</si>
  <si>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</si>
  <si>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</si>
  <si>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</si>
  <si>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</si>
  <si>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</si>
  <si>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</si>
  <si>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</si>
  <si>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</si>
  <si>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</si>
  <si>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</si>
  <si>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</si>
  <si>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</si>
  <si>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</si>
  <si>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</si>
  <si>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</si>
  <si>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</si>
  <si>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</si>
  <si>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</si>
  <si>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</si>
  <si>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</si>
  <si>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</si>
  <si>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</si>
  <si>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</si>
  <si>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</si>
  <si>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</si>
  <si>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</si>
  <si>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</si>
  <si>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</si>
  <si>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</si>
  <si>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</si>
  <si>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</si>
  <si>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</si>
  <si>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</si>
  <si>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</si>
  <si>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</si>
  <si>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</si>
  <si>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</si>
  <si>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</si>
  <si>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</si>
  <si>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</si>
  <si>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</si>
  <si>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</si>
  <si>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</si>
  <si>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</si>
  <si>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</si>
  <si>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</si>
  <si>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</si>
  <si>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</si>
  <si>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</si>
  <si>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</si>
  <si>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</si>
  <si>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</si>
  <si>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</si>
  <si>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</si>
  <si>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</si>
  <si>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</si>
  <si>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</si>
  <si>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</si>
  <si>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</si>
  <si>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</si>
  <si>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</si>
  <si>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</si>
  <si>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</si>
  <si>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</si>
  <si>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</si>
  <si>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</si>
  <si>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</si>
  <si>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</si>
  <si>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</si>
  <si>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</si>
  <si>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</si>
  <si>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</si>
  <si>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</si>
  <si>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</si>
  <si>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</si>
  <si>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</si>
  <si>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</si>
  <si>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</si>
  <si>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</si>
  <si>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</si>
  <si>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</si>
  <si>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</si>
  <si>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</si>
  <si>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</si>
  <si>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</si>
  <si>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</si>
  <si>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</si>
  <si>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</si>
  <si>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</si>
  <si>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</si>
  <si>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</si>
  <si>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</si>
  <si>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</si>
  <si>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</si>
  <si>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</si>
  <si>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</si>
  <si>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</si>
  <si>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</si>
  <si>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</si>
  <si>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</si>
  <si>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</si>
  <si>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</si>
  <si>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</si>
  <si>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</si>
  <si>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</si>
  <si>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</si>
  <si>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</si>
  <si>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</si>
  <si>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</si>
  <si>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</si>
  <si>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</si>
  <si>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</si>
  <si>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</si>
  <si>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</si>
  <si>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</si>
  <si>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</si>
  <si>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</si>
  <si>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</si>
  <si>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</si>
  <si>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</si>
  <si>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</si>
  <si>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</si>
  <si>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</si>
  <si>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</si>
  <si>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</si>
  <si>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</si>
  <si>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</si>
  <si>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</si>
  <si>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</si>
  <si>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</si>
  <si>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</si>
  <si>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</si>
  <si>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</si>
  <si>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</si>
  <si>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</si>
  <si>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</si>
  <si>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</si>
  <si>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</si>
  <si>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</si>
  <si>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</si>
  <si>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</si>
  <si>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</si>
  <si>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</si>
  <si>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</si>
  <si>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</si>
  <si>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</si>
  <si>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</si>
  <si>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</si>
  <si>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</si>
  <si>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</si>
  <si>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</si>
  <si>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</si>
  <si>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</si>
  <si>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</si>
  <si>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</si>
  <si>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</si>
  <si>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</si>
  <si>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</si>
  <si>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</si>
  <si>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</si>
  <si>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</si>
  <si>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</si>
  <si>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</si>
  <si>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</si>
  <si>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</si>
  <si>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</si>
  <si>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</si>
  <si>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</si>
  <si>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</si>
  <si>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</si>
  <si>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</si>
  <si>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</si>
  <si>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</si>
  <si>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</si>
  <si>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</si>
  <si>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</si>
  <si>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</si>
  <si>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</si>
  <si>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</si>
  <si>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</si>
  <si>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</si>
  <si>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</si>
  <si>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</si>
  <si>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</si>
  <si>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</si>
  <si>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</si>
  <si>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</si>
  <si>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</si>
  <si>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</si>
  <si>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</si>
  <si>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</si>
  <si>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</si>
  <si>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</si>
  <si>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</si>
  <si>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</si>
  <si>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</si>
  <si>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</si>
  <si>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</si>
  <si>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</si>
  <si>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</si>
  <si>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</si>
  <si>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</si>
  <si>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</si>
  <si>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</si>
  <si>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</si>
  <si>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</si>
  <si>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</si>
  <si>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</si>
  <si>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</si>
  <si>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</si>
  <si>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</si>
  <si>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</si>
  <si>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</si>
  <si>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</si>
  <si>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</si>
  <si>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</si>
  <si>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</si>
  <si>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</si>
  <si>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</si>
  <si>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</si>
  <si>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</si>
  <si>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</si>
  <si>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</si>
  <si>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</si>
  <si>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</si>
  <si>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</si>
  <si>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</si>
  <si>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</si>
  <si>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</si>
  <si>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</si>
  <si>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</si>
  <si>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</si>
  <si>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</si>
  <si>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</si>
  <si>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</si>
  <si>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</si>
  <si>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</si>
  <si>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</si>
  <si>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</si>
  <si>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</si>
  <si>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</si>
  <si>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</si>
  <si>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</si>
  <si>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</si>
  <si>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</si>
  <si>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</si>
  <si>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</si>
  <si>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</si>
  <si>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</si>
  <si>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</si>
  <si>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</si>
  <si>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</si>
  <si>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</si>
  <si>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</si>
  <si>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</si>
  <si>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</si>
  <si>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</si>
  <si>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</si>
  <si>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</si>
  <si>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</si>
  <si>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</si>
  <si>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</si>
  <si>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</si>
  <si>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</si>
  <si>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</si>
  <si>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</si>
  <si>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</si>
  <si>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</si>
  <si>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</si>
  <si>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</si>
  <si>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</si>
  <si>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</si>
  <si>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</si>
  <si>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</si>
  <si>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</si>
  <si>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</si>
  <si>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</si>
  <si>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</si>
  <si>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</si>
  <si>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</si>
  <si>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</si>
  <si>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</si>
  <si>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</si>
  <si>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</si>
  <si>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</si>
  <si>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</si>
  <si>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</si>
  <si>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</si>
  <si>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</si>
  <si>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</si>
  <si>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</si>
  <si>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</si>
  <si>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</si>
  <si>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</si>
  <si>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</si>
  <si>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</si>
  <si>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</si>
  <si>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</si>
  <si>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</si>
  <si>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</si>
  <si>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</si>
  <si>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</si>
  <si>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</si>
  <si>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</si>
  <si>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</si>
  <si>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</si>
  <si>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</si>
  <si>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</si>
  <si>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</si>
  <si>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</si>
  <si>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</si>
  <si>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</si>
  <si>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</si>
  <si>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</si>
  <si>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</si>
  <si>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</si>
  <si>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</si>
  <si>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</si>
  <si>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</si>
  <si>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</si>
  <si>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</si>
  <si>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</si>
  <si>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</si>
  <si>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</si>
  <si>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</si>
  <si>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</si>
  <si>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</si>
  <si>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</si>
  <si>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</si>
  <si>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</si>
  <si>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</si>
  <si>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</si>
  <si>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</si>
  <si>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</si>
  <si>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</si>
  <si>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</si>
  <si>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</si>
  <si>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</si>
  <si>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</si>
  <si>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</si>
  <si>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</si>
  <si>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</si>
  <si>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</si>
  <si>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</si>
  <si>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</si>
  <si>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</si>
  <si>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</si>
  <si>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</si>
  <si>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</si>
  <si>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</si>
  <si>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</si>
  <si>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</si>
  <si>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</si>
  <si>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</si>
  <si>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</si>
  <si>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</si>
  <si>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</si>
  <si>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</si>
  <si>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</si>
  <si>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</si>
  <si>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</si>
  <si>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</si>
  <si>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</si>
  <si>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</si>
  <si>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</si>
  <si>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</si>
  <si>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</si>
  <si>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</si>
  <si>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</si>
  <si>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</si>
  <si>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</si>
  <si>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</si>
  <si>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</si>
  <si>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</si>
  <si>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</si>
  <si>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</si>
  <si>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</si>
  <si>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</si>
  <si>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</si>
  <si>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</si>
  <si>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</si>
  <si>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</si>
  <si>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</si>
  <si>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</si>
  <si>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</si>
  <si>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</si>
  <si>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</si>
  <si>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</si>
  <si>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</si>
  <si>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</si>
  <si>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</si>
  <si>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</si>
  <si>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</si>
  <si>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</si>
  <si>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</si>
  <si>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</si>
  <si>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</si>
  <si>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</si>
  <si>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</si>
  <si>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</si>
  <si>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</si>
  <si>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</si>
  <si>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</si>
  <si>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</si>
  <si>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</si>
  <si>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</si>
  <si>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</si>
  <si>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</si>
  <si>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</si>
  <si>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</si>
  <si>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</si>
  <si>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</si>
  <si>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</si>
  <si>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</si>
  <si>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</si>
  <si>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</si>
  <si>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</si>
  <si>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</si>
  <si>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</si>
  <si>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</si>
  <si>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</si>
  <si>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</si>
  <si>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</si>
  <si>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</si>
  <si>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</si>
  <si>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</si>
  <si>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</si>
  <si>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</si>
  <si>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</si>
  <si>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</si>
  <si>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</si>
  <si>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</si>
  <si>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</si>
  <si>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</si>
  <si>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</si>
  <si>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</si>
  <si>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</si>
  <si>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</si>
  <si>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</si>
  <si>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</si>
  <si>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</si>
  <si>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</si>
  <si>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</si>
  <si>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</si>
  <si>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</si>
  <si>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</si>
  <si>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</si>
  <si>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</si>
  <si>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</si>
  <si>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</si>
  <si>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</si>
  <si>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</si>
  <si>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</si>
  <si>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</si>
  <si>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</si>
  <si>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</si>
  <si>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</si>
  <si>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</si>
  <si>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</si>
  <si>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</si>
  <si>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</si>
  <si>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</si>
  <si>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</si>
  <si>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</si>
  <si>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</si>
  <si>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</si>
  <si>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</si>
  <si>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</si>
  <si>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</si>
  <si>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</si>
  <si>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</si>
  <si>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</si>
  <si>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</si>
  <si>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</si>
  <si>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</si>
  <si>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</si>
  <si>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</si>
  <si>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</si>
  <si>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</si>
  <si>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</si>
  <si>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</si>
  <si>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</si>
  <si>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</si>
  <si>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</si>
  <si>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</si>
  <si>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</si>
  <si>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</si>
  <si>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</si>
  <si>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</si>
  <si>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</si>
  <si>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</si>
  <si>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</si>
  <si>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</si>
  <si>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</si>
  <si>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</si>
  <si>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</si>
  <si>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</si>
  <si>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</si>
  <si>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</si>
  <si>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</si>
  <si>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</si>
  <si>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</si>
  <si>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</si>
  <si>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</si>
  <si>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</si>
  <si>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</si>
  <si>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</si>
  <si>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</si>
  <si>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</si>
  <si>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</si>
  <si>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</si>
  <si>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</si>
  <si>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</si>
  <si>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</si>
  <si>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</si>
  <si>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</si>
  <si>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</si>
  <si>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</si>
  <si>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</si>
  <si>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</si>
  <si>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</si>
  <si>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</si>
  <si>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</si>
  <si>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</si>
  <si>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</si>
  <si>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</si>
  <si>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</si>
  <si>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</si>
  <si>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</si>
  <si>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</si>
  <si>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</si>
  <si>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</si>
  <si>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</si>
  <si>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</si>
  <si>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</si>
  <si>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</si>
  <si>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</si>
  <si>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</si>
  <si>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</si>
  <si>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</si>
  <si>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</si>
  <si>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</si>
  <si>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</si>
  <si>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</si>
  <si>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</si>
  <si>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</si>
  <si>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</si>
  <si>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</si>
  <si>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</si>
  <si>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</si>
  <si>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</si>
  <si>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</si>
  <si>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</si>
  <si>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</si>
  <si>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</si>
  <si>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</si>
  <si>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</si>
  <si>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</si>
  <si>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</si>
  <si>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</si>
  <si>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</si>
  <si>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</si>
  <si>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</si>
  <si>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</si>
  <si>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</si>
  <si>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</si>
  <si>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</si>
  <si>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</si>
  <si>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</si>
  <si>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</si>
  <si>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</si>
  <si>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</si>
  <si>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</si>
  <si>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</si>
  <si>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</si>
  <si>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</si>
  <si>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</si>
  <si>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</si>
  <si>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</si>
  <si>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</si>
  <si>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</si>
  <si>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</si>
  <si>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</si>
  <si>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</si>
  <si>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</si>
  <si>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</si>
  <si>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</si>
  <si>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</si>
  <si>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</si>
  <si>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</si>
  <si>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</si>
  <si>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</si>
  <si>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</si>
  <si>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</si>
  <si>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</si>
  <si>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</si>
  <si>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</si>
  <si>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</si>
  <si>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</si>
  <si>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</si>
  <si>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</si>
  <si>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</si>
  <si>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</si>
  <si>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</si>
  <si>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</si>
  <si>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</si>
  <si>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</si>
  <si>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</si>
  <si>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</si>
  <si>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</si>
  <si>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</si>
  <si>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</si>
  <si>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</si>
  <si>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</si>
  <si>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</si>
  <si>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</si>
  <si>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</si>
  <si>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</si>
  <si>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</si>
  <si>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</si>
  <si>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</si>
  <si>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</si>
  <si>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</si>
  <si>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</si>
  <si>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</si>
  <si>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</si>
  <si>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Anomalous ระดมยิง (Barrage)</t>
  </si>
  <si>
    <t>โจมตี, กระสุน, ธนู</t>
  </si>
  <si>
    <t>เลเวล: 20 (สูงสุด)</t>
  </si>
  <si>
    <t>ค่าใช้งาน: มานา 11</t>
  </si>
  <si>
    <t>ความเสียหายโจมตี: 54.6% ของค่าพื้นฐาน</t>
  </si>
  <si>
    <t>ประสิทธิภาพการเสริมความเสียหาย: 55%</t>
  </si>
  <si>
    <t>ค่าคุณภาพ: +11% (augmented)</t>
  </si>
  <si>
    <t>ค่าคุณภาพแบบพิเศษ</t>
  </si>
  <si>
    <t>เงื่อนไข:</t>
  </si>
  <si>
    <t>เลเวล: 70</t>
  </si>
  <si>
    <t>หลังจากเวลาเตรียมการสั้นๆ คุณจะโจมตีซ้ำๆ ด้วยอาวุธระยะไกล การโจมตีเหล่านี้มีการกระจายแบบสุ่มขนาดเล็ก ต้องใช้กับ ธนูหรือไม้กายสิทธิ์ เท่านั้น สกิลนี้ไม่สามารถถูกทริกเกอร์ได้</t>
  </si>
  <si>
    <t>มีโอกาส ผลักศัตรูออกไป 11% เมื่อปะทะ</t>
  </si>
  <si>
    <t>ยิงกระสุน เพิ่มเติม 4 ลูก</t>
  </si>
  <si>
    <t>ยิงกระสุนเป็นชุด</t>
  </si>
  <si>
    <t>ใส่ในรูของไอเทมที่มีสีตรงกันเพื่อรับสกิลนี้ คลิกขวาเพื่อถอดออกจากรู</t>
  </si>
  <si>
    <t>มีมลทิน</t>
  </si>
  <si>
    <t>ชนิดไอเทม: หินเสริม</t>
  </si>
  <si>
    <t>Divergent หินเสริม Divine Blessing</t>
  </si>
  <si>
    <t>เสริม, ออร่า, กาลเวลา, พร</t>
  </si>
  <si>
    <t>ค่าคุณภาพ: +20% (augmented)</t>
  </si>
  <si>
    <t>ใช้เสริม สกิลออร่า ที่สร้างออร่าถาวรรอบตัวคุณ เปลี่ยนค่าสำรองของสกิลเหล่านี้เป็นค่าใช้งาน และทำให้มีผลชั่วคราว ไม่สามารถเสริม สกิลธงหรือกระบวนท่า ได้</t>
  </si>
  <si>
    <t>สกิลที่เสริม มีค่าใช้งานมานา ลดลง 5%</t>
  </si>
  <si>
    <t>สกิลที่เสริม มีผลของออร่า เพิ่มขึ้น 29%</t>
  </si>
  <si>
    <t>สกิลที่เสริม ใช้งานมานา +233</t>
  </si>
  <si>
    <t>สกิลที่เสริม นับว่าเป็น สกิลพร</t>
  </si>
  <si>
    <t>คุณมีออร่าบนตัวคุณได้เพียง 1 อย่าง จาก สกิลพรของคุณ</t>
  </si>
  <si>
    <t>ออร่าจากสกิลที่เสริม มีระยะเวลาพื้นฐาน 10.90 วินาที</t>
  </si>
  <si>
    <t>นี่คือหินเสริม โดยตัวมันเองจะไม่สามารถทำอะไรได้ แต่มันจะส่งผลกับหินสกิลที่เชื่อมต่อกันในไอเทมของคุณ จงใส่มันไว้ในไอเทมที่มีรูเชื่อมต่อกันกับหินสกิลของคุณเพื่อเพิ่มความสามารถ คลิกขวาเพื่อถอดออกจากรู</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</si>
  <si>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</si>
  <si>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</si>
  <si>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</si>
  <si>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</si>
  <si>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</si>
  <si>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</si>
  <si>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</si>
  <si>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</si>
  <si>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</si>
  <si>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</si>
  <si>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</si>
  <si>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</si>
  <si>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</si>
  <si>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</si>
  <si>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</si>
  <si>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</si>
  <si>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</si>
  <si>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</si>
  <si>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</si>
  <si>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</si>
  <si>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</si>
  <si>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</si>
  <si>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</si>
  <si>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</si>
  <si>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</si>
  <si>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</si>
  <si>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</si>
  <si>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</si>
  <si>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ชนิดไอเทม: ชิ้นส่วนตัวอย่างเมตามอร์ฟ</t>
  </si>
  <si>
    <t>ความหายาก: ยูนิค</t>
  </si>
  <si>
    <t>สมองของ กัปตันเคลย์บอร์น ผู้ต้องสาป</t>
  </si>
  <si>
    <t>ใช้: กระสุนวิญญาณ</t>
  </si>
  <si>
    <t>เลเวลไอเทม: 80</t>
  </si>
  <si>
    <t>ดรอป ไอเทมเงินตรา เพิ่มเติม</t>
  </si>
  <si>
    <t>ดรอป หินที่มีค่าคุณภาพ เพิ่มเติม</t>
  </si>
  <si>
    <t>ดรอป อาวุธแรร์ 5 เชื่อม 1 ชิ้น</t>
  </si>
  <si>
    <t>ผสมตัวอย่างนี้กับตัวอย่างอื่นอีก 4 ชิ้นได้ที่ห้องทดลองของทาเน</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</si>
  <si>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</si>
  <si>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</si>
  <si>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</si>
  <si>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</si>
  <si>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</si>
  <si>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</si>
  <si>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</si>
  <si>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</si>
  <si>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</si>
  <si>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</si>
  <si>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</si>
  <si>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</si>
  <si>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</si>
  <si>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</si>
  <si>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</si>
  <si>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</si>
  <si>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</si>
  <si>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</si>
  <si>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</si>
  <si>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</si>
  <si>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</si>
  <si>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</si>
  <si>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</si>
  <si>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</si>
  <si>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</si>
  <si>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</si>
  <si>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</si>
  <si>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</si>
  <si>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</si>
  <si>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</si>
  <si>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</si>
  <si>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</si>
  <si>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</si>
  <si>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</si>
  <si>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</si>
  <si>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</si>
  <si>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</si>
  <si>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</si>
  <si>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</si>
  <si>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</si>
  <si>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</si>
  <si>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</si>
  <si>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</si>
  <si>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</si>
  <si>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</si>
  <si>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</si>
  <si>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</si>
  <si>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</si>
  <si>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</si>
  <si>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</si>
  <si>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</si>
  <si>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</si>
  <si>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</si>
  <si>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</si>
  <si>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</si>
  <si>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</si>
  <si>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</si>
  <si>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</si>
  <si>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</si>
  <si>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</si>
  <si>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</si>
  <si>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</si>
  <si>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</si>
  <si>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</si>
  <si>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</si>
  <si>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</si>
  <si>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</si>
  <si>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</si>
  <si>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</si>
  <si>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</si>
  <si>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</si>
  <si>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</si>
  <si>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</si>
  <si>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</si>
  <si>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</si>
  <si>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</si>
  <si>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</si>
  <si>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</si>
  <si>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</si>
  <si>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</si>
  <si>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</si>
  <si>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</si>
  <si>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</si>
  <si>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</si>
  <si>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</si>
  <si>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</si>
  <si>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</si>
  <si>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</si>
  <si>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</si>
  <si>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</si>
  <si>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</si>
  <si>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</si>
  <si>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</si>
  <si>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</si>
  <si>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</si>
  <si>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</si>
  <si>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</si>
  <si>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</si>
  <si>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</si>
  <si>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</si>
  <si>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</si>
  <si>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</si>
  <si>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</si>
  <si>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</si>
  <si>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</si>
  <si>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</si>
  <si>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</si>
  <si>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</si>
  <si>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</si>
  <si>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</si>
  <si>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</si>
  <si>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</si>
  <si>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</si>
  <si>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</si>
  <si>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</si>
  <si>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</si>
  <si>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</si>
  <si>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</si>
  <si>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</si>
  <si>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</si>
  <si>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</si>
  <si>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</si>
  <si>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</si>
  <si>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</si>
  <si>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</si>
  <si>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</si>
  <si>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</si>
  <si>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</si>
  <si>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</si>
  <si>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</si>
  <si>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</si>
  <si>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</si>
  <si>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</si>
  <si>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</si>
  <si>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</si>
  <si>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</si>
  <si>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</si>
  <si>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</si>
  <si>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</si>
  <si>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</si>
  <si>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</si>
  <si>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</si>
  <si>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</si>
  <si>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</si>
  <si>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</si>
  <si>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</si>
  <si>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</si>
  <si>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</si>
  <si>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</si>
  <si>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</si>
  <si>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</si>
  <si>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</si>
  <si>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</si>
  <si>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</si>
  <si>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</si>
  <si>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</si>
  <si>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</si>
  <si>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</si>
  <si>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</si>
  <si>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</si>
  <si>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</si>
  <si>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</si>
  <si>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</si>
  <si>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</si>
  <si>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</si>
  <si>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</si>
  <si>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</si>
  <si>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</si>
  <si>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</si>
  <si>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</si>
  <si>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</si>
  <si>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</si>
  <si>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</si>
  <si>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</si>
  <si>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</si>
  <si>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</si>
  <si>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</si>
  <si>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</si>
  <si>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</si>
  <si>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</si>
  <si>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</si>
  <si>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</si>
  <si>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</si>
  <si>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</si>
  <si>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</si>
  <si>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</si>
  <si>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</si>
  <si>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</si>
  <si>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</si>
  <si>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</si>
  <si>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</si>
  <si>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</si>
  <si>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</si>
  <si>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</si>
  <si>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</si>
  <si>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</si>
  <si>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</si>
  <si>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</si>
  <si>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</si>
  <si>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</si>
  <si>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</si>
  <si>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</si>
  <si>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</si>
  <si>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</si>
  <si>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</si>
  <si>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</si>
  <si>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</si>
  <si>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</si>
  <si>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</si>
  <si>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</si>
  <si>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</si>
  <si>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</si>
  <si>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</si>
  <si>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</si>
  <si>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</si>
  <si>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</si>
  <si>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</si>
  <si>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</si>
  <si>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</si>
  <si>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</si>
  <si>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</si>
  <si>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</si>
  <si>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</si>
  <si>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</si>
  <si>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</si>
  <si>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</si>
  <si>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</si>
  <si>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</si>
  <si>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</si>
  <si>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</si>
  <si>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</si>
  <si>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</si>
  <si>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</si>
  <si>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</si>
  <si>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</si>
  <si>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</si>
  <si>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</si>
  <si>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</si>
  <si>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</si>
  <si>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</si>
  <si>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</si>
  <si>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</si>
  <si>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</si>
  <si>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</si>
  <si>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</si>
  <si>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</si>
  <si>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</si>
  <si>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</si>
  <si>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</si>
  <si>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</si>
  <si>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</si>
  <si>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</si>
  <si>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</si>
  <si>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</si>
  <si>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</si>
  <si>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</si>
  <si>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</si>
  <si>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</si>
  <si>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</si>
  <si>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</si>
  <si>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</si>
  <si>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</si>
  <si>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</si>
  <si>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</si>
  <si>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</si>
  <si>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</si>
  <si>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</si>
  <si>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</si>
  <si>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</si>
  <si>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</si>
  <si>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</si>
  <si>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</si>
  <si>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</si>
  <si>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</si>
  <si>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</si>
  <si>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</si>
  <si>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</si>
  <si>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</si>
  <si>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</si>
  <si>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</si>
  <si>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</si>
  <si>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</si>
  <si>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</si>
  <si>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</si>
  <si>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</si>
  <si>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</si>
  <si>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</si>
  <si>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</si>
  <si>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</si>
  <si>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</si>
  <si>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</si>
  <si>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</si>
  <si>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</si>
  <si>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</si>
  <si>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</si>
  <si>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</si>
  <si>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</si>
  <si>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</si>
  <si>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</si>
  <si>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</si>
  <si>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</si>
  <si>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</si>
  <si>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</si>
  <si>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</si>
  <si>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</si>
  <si>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</si>
  <si>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</si>
  <si>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</si>
  <si>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</si>
  <si>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</si>
  <si>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</si>
  <si>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</si>
  <si>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</si>
  <si>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</si>
  <si>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</si>
  <si>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</si>
  <si>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</si>
  <si>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</si>
  <si>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</si>
  <si>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</si>
  <si>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</si>
  <si>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</si>
  <si>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</si>
  <si>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</si>
  <si>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</si>
  <si>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</si>
  <si>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</si>
  <si>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</si>
  <si>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</si>
  <si>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</si>
  <si>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</si>
  <si>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</si>
  <si>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</si>
  <si>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</si>
  <si>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</si>
  <si>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</si>
  <si>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</si>
  <si>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</si>
  <si>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</si>
  <si>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</si>
  <si>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</si>
  <si>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</si>
  <si>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</si>
  <si>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</si>
  <si>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</si>
  <si>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</si>
  <si>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</si>
  <si>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</si>
  <si>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</si>
  <si>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</si>
  <si>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</si>
  <si>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</si>
  <si>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</si>
  <si>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</si>
  <si>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</si>
  <si>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</si>
  <si>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</si>
  <si>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</si>
  <si>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</si>
  <si>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</si>
  <si>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</si>
  <si>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</si>
  <si>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</si>
  <si>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</si>
  <si>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</si>
  <si>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</si>
  <si>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</si>
  <si>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</si>
  <si>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</si>
  <si>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</si>
  <si>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</si>
  <si>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</si>
  <si>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</si>
  <si>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</si>
  <si>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</si>
  <si>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</si>
  <si>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</si>
  <si>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</si>
  <si>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</si>
  <si>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</si>
  <si>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</si>
  <si>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</si>
  <si>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</si>
  <si>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</si>
  <si>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</si>
  <si>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</si>
  <si>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</si>
  <si>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</si>
  <si>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</si>
  <si>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</si>
  <si>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</si>
  <si>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</si>
  <si>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</si>
  <si>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</si>
  <si>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</si>
  <si>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</si>
  <si>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</si>
  <si>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</si>
  <si>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</si>
  <si>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</si>
  <si>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</si>
  <si>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</si>
  <si>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</si>
  <si>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</si>
  <si>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</si>
  <si>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</si>
  <si>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</si>
  <si>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</si>
  <si>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</si>
  <si>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</si>
  <si>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</si>
  <si>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</si>
  <si>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</si>
  <si>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</si>
  <si>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</si>
  <si>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</si>
  <si>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</si>
  <si>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</si>
  <si>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</si>
  <si>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</si>
  <si>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</si>
  <si>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</si>
  <si>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</si>
  <si>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</si>
  <si>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</si>
  <si>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</si>
  <si>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</si>
  <si>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</si>
  <si>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</si>
  <si>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</si>
  <si>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</si>
  <si>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</si>
  <si>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</si>
  <si>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</si>
  <si>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</si>
  <si>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</si>
  <si>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</si>
  <si>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</si>
  <si>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</si>
  <si>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</si>
  <si>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</si>
  <si>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</si>
  <si>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</si>
  <si>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</si>
  <si>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</si>
  <si>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</si>
  <si>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</si>
  <si>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</si>
  <si>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</si>
  <si>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</si>
  <si>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</si>
  <si>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</si>
  <si>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</si>
  <si>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</si>
  <si>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</si>
  <si>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</si>
  <si>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</si>
  <si>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</si>
  <si>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</si>
  <si>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</si>
  <si>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</si>
  <si>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</si>
  <si>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</si>
  <si>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</si>
  <si>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</si>
  <si>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</si>
  <si>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</si>
  <si>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</si>
  <si>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</si>
  <si>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</si>
  <si>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</si>
  <si>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</si>
  <si>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</si>
  <si>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</si>
  <si>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</si>
  <si>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</si>
  <si>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</si>
  <si>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</si>
  <si>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</si>
  <si>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</si>
  <si>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</si>
  <si>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</si>
  <si>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</si>
  <si>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</si>
  <si>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</si>
  <si>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</si>
  <si>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</si>
  <si>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</si>
  <si>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</si>
  <si>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</si>
  <si>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</si>
  <si>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</si>
  <si>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</si>
  <si>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</si>
  <si>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</si>
  <si>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</si>
  <si>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</si>
  <si>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</si>
  <si>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</si>
  <si>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</si>
  <si>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</si>
  <si>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</si>
  <si>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</si>
  <si>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</si>
  <si>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</si>
  <si>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</si>
  <si>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</si>
  <si>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</si>
  <si>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</si>
  <si>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</si>
  <si>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</si>
  <si>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</si>
  <si>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</si>
  <si>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</si>
  <si>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</si>
  <si>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</si>
  <si>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</si>
  <si>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</si>
  <si>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</si>
  <si>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</si>
  <si>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</si>
  <si>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</si>
  <si>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</si>
  <si>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</si>
  <si>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</si>
  <si>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</si>
  <si>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</si>
  <si>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</si>
  <si>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</si>
  <si>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</si>
  <si>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</si>
  <si>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</si>
  <si>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</si>
  <si>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</si>
  <si>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</si>
  <si>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</si>
  <si>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</si>
  <si>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</si>
  <si>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</si>
  <si>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</si>
  <si>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</si>
  <si>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</si>
  <si>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</si>
  <si>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</si>
  <si>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Charms</t>
  </si>
  <si>
    <t>Corvine Charm of the Trickster</t>
  </si>
  <si>
    <t>Recover 2% of Life on Kill</t>
  </si>
  <si>
    <t>Recover 2% of Energy Shield on Kill</t>
  </si>
  <si>
    <t>Recover 2% of Mana on Kill</t>
  </si>
  <si>
    <t>Place into an allocated Charm Socket on the Wildwood Primalist Passive Skill Tree. Right click to remove from the Socket.</t>
  </si>
  <si>
    <t>Item Class: Tinctures</t>
  </si>
  <si>
    <t>Item Class: Corpses</t>
  </si>
  <si>
    <t>Meatsack</t>
  </si>
  <si>
    <t>Corpse Level: 40</t>
  </si>
  <si>
    <t>Monster Category: Undead</t>
  </si>
  <si>
    <t>Item Level: 40</t>
  </si>
  <si>
    <t>Higher Life (implicit)</t>
  </si>
  <si>
    <t>Releases a caustic cloud when hit (implicit)</t>
  </si>
  <si>
    <t>Right click this item to create this corpse.</t>
  </si>
  <si>
    <t>Note: ~price 1 alch</t>
  </si>
  <si>
    <t>Affliction</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</si>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</sst>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4">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cellXfs>
  <cellStyles count="2">
    <cellStyle name="Hyperlink" xfId="1" builtinId="8"/>
    <cellStyle name="Normal" xfId="0" builtinId="0"/>
  </cellStyles>
  <dxfs count="404">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17/06/relationships/rdRichValueStructure" Target="richData/rdrichvaluestructur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microsoft.com/office/2017/06/relationships/rdRichValue" Target="richData/rdrichvalue.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fb t="e">#NAME?</fb>
    <v>10</v>
    <v>10</v>
  </rv>
  <rv s="1">
    <v>10</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eb.poecdn.com/" TargetMode="External"/><Relationship Id="rId1" Type="http://schemas.openxmlformats.org/officeDocument/2006/relationships/hyperlink" Target="https://www.pathofexile.com/trade/exchang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tabColor theme="8" tint="0.79998168889431442"/>
  </sheetPr>
  <dimension ref="A1:O39"/>
  <sheetViews>
    <sheetView workbookViewId="0">
      <selection activeCell="M16" sqref="M16"/>
    </sheetView>
  </sheetViews>
  <sheetFormatPr defaultRowHeight="15" x14ac:dyDescent="0.25"/>
  <cols>
    <col min="1" max="1" width="6" style="26" customWidth="1"/>
    <col min="2" max="2" width="23.7109375" style="26" customWidth="1"/>
    <col min="3" max="3" width="12.7109375" style="26" customWidth="1"/>
    <col min="4" max="4" width="5.42578125" style="26" customWidth="1"/>
    <col min="5" max="5" width="6" style="26" customWidth="1"/>
    <col min="6" max="6" width="23.7109375" style="26" customWidth="1"/>
    <col min="7" max="7" width="12.7109375" style="26" customWidth="1"/>
    <col min="8" max="8" width="5.42578125" style="26" customWidth="1"/>
    <col min="9" max="9" width="6" style="26" customWidth="1"/>
    <col min="10" max="10" width="23.7109375" style="26" customWidth="1"/>
    <col min="11" max="11" width="12.7109375" style="26" customWidth="1"/>
    <col min="12" max="12" width="5.42578125" style="26" customWidth="1"/>
    <col min="13" max="13" width="6" style="26" customWidth="1"/>
    <col min="14" max="14" width="23.7109375" style="26" customWidth="1"/>
    <col min="15" max="15" width="12.7109375" style="26" customWidth="1"/>
  </cols>
  <sheetData>
    <row r="1" spans="1:15" ht="21" customHeight="1" x14ac:dyDescent="0.25">
      <c r="A1" s="30" t="s">
        <v>1593</v>
      </c>
      <c r="B1" s="30"/>
      <c r="C1" s="30"/>
      <c r="E1" s="30" t="s">
        <v>1595</v>
      </c>
      <c r="F1" s="30"/>
      <c r="G1" s="30"/>
      <c r="I1" s="30" t="s">
        <v>1598</v>
      </c>
      <c r="J1" s="30"/>
      <c r="K1" s="30"/>
      <c r="M1" s="30" t="s">
        <v>101</v>
      </c>
      <c r="N1" s="30"/>
      <c r="O1" s="30"/>
    </row>
    <row r="2" spans="1:15" ht="21" customHeight="1" x14ac:dyDescent="0.25">
      <c r="A2" s="25">
        <v>1</v>
      </c>
      <c r="B2" s="27" t="e" cm="1" vm="1">
        <f t="array" ref="B2">INDEX(LISTSHEETS,A2)</f>
        <v>#NAME?</v>
      </c>
      <c r="C2" s="28" t="e" vm="2">
        <f t="shared" ref="C2:C4" si="0">HYPERLINK(_xlfn.CONCAT("#'", B2, "'!A1"), "Go to Sheet")</f>
        <v>#VALUE!</v>
      </c>
      <c r="E2" s="25">
        <v>21</v>
      </c>
      <c r="F2" s="27" t="e" cm="1" vm="1">
        <f t="array" ref="F2">INDEX(LISTSHEETS,E2)</f>
        <v>#NAME?</v>
      </c>
      <c r="G2" s="28" t="e" vm="2">
        <f>HYPERLINK(_xlfn.CONCAT("#'", F2, "'!A1"), "Go to Sheet")</f>
        <v>#VALUE!</v>
      </c>
      <c r="I2" s="25">
        <v>37</v>
      </c>
      <c r="J2" s="27" t="e" cm="1" vm="1">
        <f t="array" ref="J2">INDEX(LISTSHEETS,I2)</f>
        <v>#NAME?</v>
      </c>
      <c r="K2" s="28" t="e" vm="2">
        <f t="shared" ref="K2:K21" si="1">HYPERLINK(_xlfn.CONCAT("#'", J2, "'!A1"), "Go to Sheet")</f>
        <v>#VALUE!</v>
      </c>
      <c r="M2" s="25">
        <v>57</v>
      </c>
      <c r="N2" s="27" t="e" cm="1" vm="1">
        <f t="array" ref="N2">INDEX(LISTSHEETS,M2)</f>
        <v>#NAME?</v>
      </c>
      <c r="O2" s="28" t="e" vm="2">
        <f t="shared" ref="O2:O7" si="2">HYPERLINK(_xlfn.CONCAT("#'", N2, "'!A1"), "Go to Sheet")</f>
        <v>#VALUE!</v>
      </c>
    </row>
    <row r="3" spans="1:15" ht="21" customHeight="1" x14ac:dyDescent="0.25">
      <c r="A3" s="25">
        <v>2</v>
      </c>
      <c r="B3" s="27" t="e" cm="1" vm="1">
        <f t="array" ref="B3">INDEX(LISTSHEETS,A3)</f>
        <v>#NAME?</v>
      </c>
      <c r="C3" s="28" t="e" vm="2">
        <f t="shared" si="0"/>
        <v>#VALUE!</v>
      </c>
      <c r="E3" s="25">
        <v>22</v>
      </c>
      <c r="F3" s="27" t="e" cm="1" vm="1">
        <f t="array" ref="F3">INDEX(LISTSHEETS,E3)</f>
        <v>#NAME?</v>
      </c>
      <c r="G3" s="28" t="e" vm="2">
        <f>HYPERLINK(_xlfn.CONCAT("#'", F3, "'!A1"), "Go to Sheet")</f>
        <v>#VALUE!</v>
      </c>
      <c r="I3" s="25">
        <v>38</v>
      </c>
      <c r="J3" s="27" t="e" cm="1" vm="1">
        <f t="array" ref="J3">INDEX(LISTSHEETS,I3)</f>
        <v>#NAME?</v>
      </c>
      <c r="K3" s="28" t="e" vm="2">
        <f t="shared" si="1"/>
        <v>#VALUE!</v>
      </c>
      <c r="M3" s="25">
        <v>58</v>
      </c>
      <c r="N3" s="27" t="e" cm="1" vm="1">
        <f t="array" ref="N3">INDEX(LISTSHEETS,M3)</f>
        <v>#NAME?</v>
      </c>
      <c r="O3" s="28" t="e" vm="2">
        <f t="shared" si="2"/>
        <v>#VALUE!</v>
      </c>
    </row>
    <row r="4" spans="1:15" ht="21" customHeight="1" x14ac:dyDescent="0.25">
      <c r="A4" s="25">
        <v>3</v>
      </c>
      <c r="B4" s="27" t="e" cm="1" vm="1">
        <f t="array" ref="B4">INDEX(LISTSHEETS,A4)</f>
        <v>#NAME?</v>
      </c>
      <c r="C4" s="28" t="e" vm="2">
        <f t="shared" si="0"/>
        <v>#VALUE!</v>
      </c>
      <c r="E4" s="25">
        <v>23</v>
      </c>
      <c r="F4" s="27" t="e" cm="1" vm="1">
        <f t="array" ref="F4">INDEX(LISTSHEETS,E4)</f>
        <v>#NAME?</v>
      </c>
      <c r="G4" s="28" t="e" vm="2">
        <f>HYPERLINK(_xlfn.CONCAT("#'", F4, "'!A1"), "Go to Sheet")</f>
        <v>#VALUE!</v>
      </c>
      <c r="I4" s="25">
        <v>39</v>
      </c>
      <c r="J4" s="27" t="e" cm="1" vm="1">
        <f t="array" ref="J4">INDEX(LISTSHEETS,I4)</f>
        <v>#NAME?</v>
      </c>
      <c r="K4" s="28" t="e" vm="2">
        <f t="shared" si="1"/>
        <v>#VALUE!</v>
      </c>
      <c r="M4" s="25">
        <v>59</v>
      </c>
      <c r="N4" s="27" t="e" cm="1" vm="1">
        <f t="array" ref="N4">INDEX(LISTSHEETS,M4)</f>
        <v>#NAME?</v>
      </c>
      <c r="O4" s="28" t="e" vm="2">
        <f t="shared" si="2"/>
        <v>#VALUE!</v>
      </c>
    </row>
    <row r="5" spans="1:15" ht="21" customHeight="1" x14ac:dyDescent="0.25">
      <c r="A5"/>
      <c r="B5"/>
      <c r="C5"/>
      <c r="E5" s="25">
        <v>24</v>
      </c>
      <c r="F5" s="27" t="e" cm="1" vm="1">
        <f t="array" ref="F5">INDEX(LISTSHEETS,E5)</f>
        <v>#NAME?</v>
      </c>
      <c r="G5" s="28" t="e" vm="2">
        <f>HYPERLINK(_xlfn.CONCAT("#'", F5, "'!A1"), "Go to Sheet")</f>
        <v>#VALUE!</v>
      </c>
      <c r="I5" s="25">
        <v>40</v>
      </c>
      <c r="J5" s="27" t="e" cm="1" vm="1">
        <f t="array" ref="J5">INDEX(LISTSHEETS,I5)</f>
        <v>#NAME?</v>
      </c>
      <c r="K5" s="28" t="e" vm="2">
        <f t="shared" si="1"/>
        <v>#VALUE!</v>
      </c>
      <c r="M5" s="25">
        <v>60</v>
      </c>
      <c r="N5" s="27" t="e" cm="1" vm="1">
        <f t="array" ref="N5">INDEX(LISTSHEETS,M5)</f>
        <v>#NAME?</v>
      </c>
      <c r="O5" s="28" t="e" vm="2">
        <f t="shared" si="2"/>
        <v>#VALUE!</v>
      </c>
    </row>
    <row r="6" spans="1:15" ht="21" customHeight="1" x14ac:dyDescent="0.25">
      <c r="A6" s="31" t="s">
        <v>1594</v>
      </c>
      <c r="B6" s="32"/>
      <c r="C6" s="33"/>
      <c r="I6" s="25">
        <v>41</v>
      </c>
      <c r="J6" s="27" t="e" cm="1" vm="1">
        <f t="array" ref="J6">INDEX(LISTSHEETS,I6)</f>
        <v>#NAME?</v>
      </c>
      <c r="K6" s="28" t="e" vm="2">
        <f t="shared" si="1"/>
        <v>#VALUE!</v>
      </c>
      <c r="M6" s="25">
        <v>61</v>
      </c>
      <c r="N6" s="27" t="e" cm="1" vm="1">
        <f t="array" ref="N6">INDEX(LISTSHEETS,M6)</f>
        <v>#NAME?</v>
      </c>
      <c r="O6" s="28" t="e" vm="2">
        <f t="shared" si="2"/>
        <v>#VALUE!</v>
      </c>
    </row>
    <row r="7" spans="1:15" ht="21" customHeight="1" x14ac:dyDescent="0.25">
      <c r="A7" s="25">
        <v>4</v>
      </c>
      <c r="B7" s="27" t="e" cm="1" vm="1">
        <f t="array" ref="B7">INDEX(LISTSHEETS,A7)</f>
        <v>#NAME?</v>
      </c>
      <c r="C7" s="28" t="e" vm="2">
        <f>HYPERLINK(_xlfn.CONCAT("#'", B7, "'!A1"), "Go to Sheet")</f>
        <v>#VALUE!</v>
      </c>
      <c r="E7" s="30" t="s">
        <v>1596</v>
      </c>
      <c r="F7" s="30"/>
      <c r="G7" s="30"/>
      <c r="I7" s="25">
        <v>42</v>
      </c>
      <c r="J7" s="27" t="e" cm="1" vm="1">
        <f t="array" ref="J7">INDEX(LISTSHEETS,I7)</f>
        <v>#NAME?</v>
      </c>
      <c r="K7" s="28" t="e" vm="2">
        <f t="shared" si="1"/>
        <v>#VALUE!</v>
      </c>
      <c r="M7" s="25">
        <v>62</v>
      </c>
      <c r="N7" s="27" t="e" cm="1" vm="1">
        <f t="array" ref="N7">INDEX(LISTSHEETS,M7)</f>
        <v>#NAME?</v>
      </c>
      <c r="O7" s="28" t="e" vm="2">
        <f t="shared" si="2"/>
        <v>#VALUE!</v>
      </c>
    </row>
    <row r="8" spans="1:15" ht="21" customHeight="1" x14ac:dyDescent="0.25">
      <c r="A8" s="25">
        <v>5</v>
      </c>
      <c r="B8" s="27" t="e" cm="1" vm="1">
        <f t="array" ref="B8">INDEX(LISTSHEETS,A8)</f>
        <v>#NAME?</v>
      </c>
      <c r="C8" s="28" t="e" vm="2">
        <f>HYPERLINK(_xlfn.CONCAT("#'", B8, "'!A1"), "Go to Sheet")</f>
        <v>#VALUE!</v>
      </c>
      <c r="E8" s="25">
        <v>25</v>
      </c>
      <c r="F8" s="27" t="e" cm="1" vm="1">
        <f t="array" ref="F8">INDEX(LISTSHEETS,E8)</f>
        <v>#NAME?</v>
      </c>
      <c r="G8" s="28" t="e" vm="2">
        <f t="shared" ref="G8:G13" si="3">HYPERLINK(_xlfn.CONCAT("#'", F8, "'!A1"), "Go to Sheet")</f>
        <v>#VALUE!</v>
      </c>
      <c r="I8" s="25">
        <v>43</v>
      </c>
      <c r="J8" s="27" t="e" cm="1" vm="1">
        <f t="array" ref="J8">INDEX(LISTSHEETS,I8)</f>
        <v>#NAME?</v>
      </c>
      <c r="K8" s="28" t="e" vm="2">
        <f t="shared" si="1"/>
        <v>#VALUE!</v>
      </c>
    </row>
    <row r="9" spans="1:15" ht="21" customHeight="1" x14ac:dyDescent="0.25">
      <c r="A9" s="25">
        <v>6</v>
      </c>
      <c r="B9" s="27" t="e" cm="1" vm="1">
        <f t="array" ref="B9">INDEX(LISTSHEETS,A9)</f>
        <v>#NAME?</v>
      </c>
      <c r="C9" s="28" t="e" vm="2">
        <f>HYPERLINK(_xlfn.CONCAT("#'", B9, "'!A1"), "Go to Sheet")</f>
        <v>#VALUE!</v>
      </c>
      <c r="E9" s="25">
        <v>26</v>
      </c>
      <c r="F9" s="27" t="e" cm="1" vm="1">
        <f t="array" ref="F9">INDEX(LISTSHEETS,E9)</f>
        <v>#NAME?</v>
      </c>
      <c r="G9" s="28" t="e" vm="2">
        <f t="shared" si="3"/>
        <v>#VALUE!</v>
      </c>
      <c r="I9" s="25">
        <v>44</v>
      </c>
      <c r="J9" s="27" t="e" cm="1" vm="1">
        <f t="array" ref="J9">INDEX(LISTSHEETS,I9)</f>
        <v>#NAME?</v>
      </c>
      <c r="K9" s="28" t="e" vm="2">
        <f t="shared" si="1"/>
        <v>#VALUE!</v>
      </c>
      <c r="M9" s="30" t="s">
        <v>1599</v>
      </c>
      <c r="N9" s="30"/>
      <c r="O9" s="30"/>
    </row>
    <row r="10" spans="1:15" ht="21" customHeight="1" x14ac:dyDescent="0.25">
      <c r="E10" s="25">
        <v>27</v>
      </c>
      <c r="F10" s="27" t="e" cm="1" vm="1">
        <f t="array" ref="F10">INDEX(LISTSHEETS,E10)</f>
        <v>#NAME?</v>
      </c>
      <c r="G10" s="28" t="e" vm="2">
        <f t="shared" si="3"/>
        <v>#VALUE!</v>
      </c>
      <c r="I10" s="25">
        <v>45</v>
      </c>
      <c r="J10" s="27" t="e" cm="1" vm="1">
        <f t="array" ref="J10">INDEX(LISTSHEETS,I10)</f>
        <v>#NAME?</v>
      </c>
      <c r="K10" s="28" t="e" vm="2">
        <f t="shared" si="1"/>
        <v>#VALUE!</v>
      </c>
      <c r="M10" s="25">
        <v>63</v>
      </c>
      <c r="N10" s="27" t="e" cm="1" vm="1">
        <f t="array" ref="N10">INDEX(LISTSHEETS,M10)</f>
        <v>#NAME?</v>
      </c>
      <c r="O10" s="28" t="e" vm="2">
        <f>HYPERLINK(_xlfn.CONCAT("#'", N10, "'!A1"), "Go to Sheet")</f>
        <v>#VALUE!</v>
      </c>
    </row>
    <row r="11" spans="1:15" ht="21" customHeight="1" x14ac:dyDescent="0.25">
      <c r="A11" s="31" t="s">
        <v>769</v>
      </c>
      <c r="B11" s="32"/>
      <c r="C11" s="33"/>
      <c r="E11" s="25">
        <v>28</v>
      </c>
      <c r="F11" s="27" t="e" cm="1" vm="1">
        <f t="array" ref="F11">INDEX(LISTSHEETS,E11)</f>
        <v>#NAME?</v>
      </c>
      <c r="G11" s="28" t="e" vm="2">
        <f t="shared" si="3"/>
        <v>#VALUE!</v>
      </c>
      <c r="I11" s="25">
        <v>46</v>
      </c>
      <c r="J11" s="27" t="e" cm="1" vm="1">
        <f t="array" ref="J11">INDEX(LISTSHEETS,I11)</f>
        <v>#NAME?</v>
      </c>
      <c r="K11" s="28" t="e" vm="2">
        <f t="shared" si="1"/>
        <v>#VALUE!</v>
      </c>
    </row>
    <row r="12" spans="1:15" ht="21" customHeight="1" x14ac:dyDescent="0.25">
      <c r="A12" s="25">
        <v>7</v>
      </c>
      <c r="B12" s="27" t="e" cm="1" vm="1">
        <f t="array" ref="B12">INDEX(LISTSHEETS,A12)</f>
        <v>#NAME?</v>
      </c>
      <c r="C12" s="28" t="e" vm="2">
        <f>HYPERLINK(_xlfn.CONCAT("#'", B12, "'!A1"), "Go to Sheet")</f>
        <v>#VALUE!</v>
      </c>
      <c r="E12" s="25">
        <v>29</v>
      </c>
      <c r="F12" s="27" t="e" cm="1" vm="1">
        <f t="array" ref="F12">INDEX(LISTSHEETS,E12)</f>
        <v>#NAME?</v>
      </c>
      <c r="G12" s="28" t="e" vm="2">
        <f t="shared" si="3"/>
        <v>#VALUE!</v>
      </c>
      <c r="I12" s="25">
        <v>47</v>
      </c>
      <c r="J12" s="27" t="e" cm="1" vm="1">
        <f t="array" ref="J12">INDEX(LISTSHEETS,I12)</f>
        <v>#NAME?</v>
      </c>
      <c r="K12" s="28" t="e" vm="2">
        <f t="shared" si="1"/>
        <v>#VALUE!</v>
      </c>
      <c r="M12" s="30" t="s">
        <v>6574</v>
      </c>
      <c r="N12" s="30"/>
      <c r="O12" s="30"/>
    </row>
    <row r="13" spans="1:15" ht="21" customHeight="1" x14ac:dyDescent="0.25">
      <c r="A13" s="25">
        <v>8</v>
      </c>
      <c r="B13" s="27" t="e" cm="1" vm="1">
        <f t="array" ref="B13">INDEX(LISTSHEETS,A13)</f>
        <v>#NAME?</v>
      </c>
      <c r="C13" s="28" t="e" vm="2">
        <f>HYPERLINK(_xlfn.CONCAT("#'", B13, "'!A1"), "Go to Sheet")</f>
        <v>#VALUE!</v>
      </c>
      <c r="E13" s="25">
        <v>30</v>
      </c>
      <c r="F13" s="27" t="e" cm="1" vm="1">
        <f t="array" ref="F13">INDEX(LISTSHEETS,E13)</f>
        <v>#NAME?</v>
      </c>
      <c r="G13" s="28" t="e" vm="2">
        <f t="shared" si="3"/>
        <v>#VALUE!</v>
      </c>
      <c r="I13" s="25">
        <v>48</v>
      </c>
      <c r="J13" s="27" t="e" cm="1" vm="1">
        <f t="array" ref="J13">INDEX(LISTSHEETS,I13)</f>
        <v>#NAME?</v>
      </c>
      <c r="K13" s="28" t="e" vm="2">
        <f t="shared" si="1"/>
        <v>#VALUE!</v>
      </c>
      <c r="M13" s="25">
        <v>64</v>
      </c>
      <c r="N13" s="27" t="e" cm="1" vm="1">
        <f t="array" ref="N13">INDEX(LISTSHEETS,M13)</f>
        <v>#NAME?</v>
      </c>
      <c r="O13" s="28" t="e" vm="2">
        <f>HYPERLINK(_xlfn.CONCAT("#'", N13, "'!A1"), "Go to Sheet")</f>
        <v>#VALUE!</v>
      </c>
    </row>
    <row r="14" spans="1:15" ht="21" customHeight="1" x14ac:dyDescent="0.25">
      <c r="A14" s="25">
        <v>9</v>
      </c>
      <c r="B14" s="27" t="e" cm="1" vm="1">
        <f t="array" ref="B14">INDEX(LISTSHEETS,A14)</f>
        <v>#NAME?</v>
      </c>
      <c r="C14" s="28" t="e" vm="2">
        <f>HYPERLINK(_xlfn.CONCAT("#'", B14, "'!A1"), "Go to Sheet")</f>
        <v>#VALUE!</v>
      </c>
      <c r="I14" s="25">
        <v>49</v>
      </c>
      <c r="J14" s="27" t="e" cm="1" vm="1">
        <f t="array" ref="J14">INDEX(LISTSHEETS,I14)</f>
        <v>#NAME?</v>
      </c>
      <c r="K14" s="28" t="e" vm="2">
        <f t="shared" si="1"/>
        <v>#VALUE!</v>
      </c>
      <c r="M14" s="25">
        <v>65</v>
      </c>
      <c r="N14" s="27" t="e" cm="1" vm="1">
        <f t="array" ref="N14">INDEX(LISTSHEETS,M14)</f>
        <v>#NAME?</v>
      </c>
      <c r="O14" s="28" t="e" vm="2">
        <f>HYPERLINK(_xlfn.CONCAT("#'", N14, "'!A1"), "Go to Sheet")</f>
        <v>#VALUE!</v>
      </c>
    </row>
    <row r="15" spans="1:15" ht="21" customHeight="1" x14ac:dyDescent="0.25">
      <c r="A15" s="25">
        <v>10</v>
      </c>
      <c r="B15" s="27" t="e" cm="1" vm="1">
        <f t="array" ref="B15">INDEX(LISTSHEETS,A15)</f>
        <v>#NAME?</v>
      </c>
      <c r="C15" s="28" t="e" vm="2">
        <f>HYPERLINK(_xlfn.CONCAT("#'", B15, "'!A1"), "Go to Sheet")</f>
        <v>#VALUE!</v>
      </c>
      <c r="D15" s="29"/>
      <c r="E15" s="30" t="s">
        <v>1597</v>
      </c>
      <c r="F15" s="30"/>
      <c r="G15" s="30"/>
      <c r="I15" s="25">
        <v>50</v>
      </c>
      <c r="J15" s="27" t="e" cm="1" vm="1">
        <f t="array" ref="J15">INDEX(LISTSHEETS,I15)</f>
        <v>#NAME?</v>
      </c>
      <c r="K15" s="28" t="e" vm="2">
        <f t="shared" si="1"/>
        <v>#VALUE!</v>
      </c>
      <c r="M15" s="25">
        <v>66</v>
      </c>
      <c r="N15" s="27" t="e" cm="1" vm="1">
        <f t="array" ref="N15">INDEX(LISTSHEETS,M15)</f>
        <v>#NAME?</v>
      </c>
      <c r="O15" s="28" t="e" vm="2">
        <f>HYPERLINK(_xlfn.CONCAT("#'", N15, "'!A1"), "Go to Sheet")</f>
        <v>#VALUE!</v>
      </c>
    </row>
    <row r="16" spans="1:15" ht="21" customHeight="1" x14ac:dyDescent="0.25">
      <c r="E16" s="25">
        <v>31</v>
      </c>
      <c r="F16" s="27" t="e" cm="1" vm="1">
        <f t="array" ref="F16">INDEX(LISTSHEETS,E16)</f>
        <v>#NAME?</v>
      </c>
      <c r="G16" s="28" t="e" vm="2">
        <f t="shared" ref="G16:G21" si="4">HYPERLINK(_xlfn.CONCAT("#'", F16, "'!A1"), "Go to Sheet")</f>
        <v>#VALUE!</v>
      </c>
      <c r="I16" s="25">
        <v>51</v>
      </c>
      <c r="J16" s="27" t="e" cm="1" vm="1">
        <f t="array" ref="J16">INDEX(LISTSHEETS,I16)</f>
        <v>#NAME?</v>
      </c>
      <c r="K16" s="28" t="e" vm="2">
        <f t="shared" si="1"/>
        <v>#VALUE!</v>
      </c>
    </row>
    <row r="17" spans="1:11" ht="21" customHeight="1" x14ac:dyDescent="0.25">
      <c r="A17" s="31" t="s">
        <v>780</v>
      </c>
      <c r="B17" s="32"/>
      <c r="C17" s="33"/>
      <c r="E17" s="25">
        <v>32</v>
      </c>
      <c r="F17" s="27" t="e" cm="1" vm="1">
        <f t="array" ref="F17">INDEX(LISTSHEETS,E17)</f>
        <v>#NAME?</v>
      </c>
      <c r="G17" s="28" t="e" vm="2">
        <f t="shared" si="4"/>
        <v>#VALUE!</v>
      </c>
      <c r="I17" s="25">
        <v>52</v>
      </c>
      <c r="J17" s="27" t="e" cm="1" vm="1">
        <f t="array" ref="J17">INDEX(LISTSHEETS,I17)</f>
        <v>#NAME?</v>
      </c>
      <c r="K17" s="28" t="e" vm="2">
        <f t="shared" si="1"/>
        <v>#VALUE!</v>
      </c>
    </row>
    <row r="18" spans="1:11" ht="21" customHeight="1" x14ac:dyDescent="0.25">
      <c r="A18" s="25">
        <v>11</v>
      </c>
      <c r="B18" s="27" t="e" cm="1" vm="1">
        <f t="array" ref="B18">INDEX(LISTSHEETS,A18)</f>
        <v>#NAME?</v>
      </c>
      <c r="C18" s="28" t="e" vm="2">
        <f t="shared" ref="C18:C27" si="5">HYPERLINK(_xlfn.CONCAT("#'", B18, "'!A1"), "Go to Sheet")</f>
        <v>#VALUE!</v>
      </c>
      <c r="E18" s="25">
        <v>33</v>
      </c>
      <c r="F18" s="27" t="e" cm="1" vm="1">
        <f t="array" ref="F18">INDEX(LISTSHEETS,E18)</f>
        <v>#NAME?</v>
      </c>
      <c r="G18" s="28" t="e" vm="2">
        <f t="shared" si="4"/>
        <v>#VALUE!</v>
      </c>
      <c r="I18" s="25">
        <v>53</v>
      </c>
      <c r="J18" s="27" t="e" cm="1" vm="1">
        <f t="array" ref="J18">INDEX(LISTSHEETS,I18)</f>
        <v>#NAME?</v>
      </c>
      <c r="K18" s="28" t="e" vm="2">
        <f t="shared" si="1"/>
        <v>#VALUE!</v>
      </c>
    </row>
    <row r="19" spans="1:11" ht="21" customHeight="1" x14ac:dyDescent="0.25">
      <c r="A19" s="25">
        <v>12</v>
      </c>
      <c r="B19" s="27" t="e" cm="1" vm="1">
        <f t="array" ref="B19">INDEX(LISTSHEETS,A19)</f>
        <v>#NAME?</v>
      </c>
      <c r="C19" s="28" t="e" vm="2">
        <f t="shared" si="5"/>
        <v>#VALUE!</v>
      </c>
      <c r="E19" s="25">
        <v>34</v>
      </c>
      <c r="F19" s="27" t="e" cm="1" vm="1">
        <f t="array" ref="F19">INDEX(LISTSHEETS,E19)</f>
        <v>#NAME?</v>
      </c>
      <c r="G19" s="28" t="e" vm="2">
        <f t="shared" si="4"/>
        <v>#VALUE!</v>
      </c>
      <c r="I19" s="25">
        <v>54</v>
      </c>
      <c r="J19" s="27" t="e" cm="1" vm="1">
        <f t="array" ref="J19">INDEX(LISTSHEETS,I19)</f>
        <v>#NAME?</v>
      </c>
      <c r="K19" s="28" t="e" vm="2">
        <f t="shared" si="1"/>
        <v>#VALUE!</v>
      </c>
    </row>
    <row r="20" spans="1:11" ht="21" customHeight="1" x14ac:dyDescent="0.25">
      <c r="A20" s="25">
        <v>13</v>
      </c>
      <c r="B20" s="27" t="e" cm="1" vm="1">
        <f t="array" ref="B20">INDEX(LISTSHEETS,A20)</f>
        <v>#NAME?</v>
      </c>
      <c r="C20" s="28" t="e" vm="2">
        <f t="shared" si="5"/>
        <v>#VALUE!</v>
      </c>
      <c r="E20" s="25">
        <v>35</v>
      </c>
      <c r="F20" s="27" t="e" cm="1" vm="1">
        <f t="array" ref="F20">INDEX(LISTSHEETS,E20)</f>
        <v>#NAME?</v>
      </c>
      <c r="G20" s="28" t="e" vm="2">
        <f t="shared" si="4"/>
        <v>#VALUE!</v>
      </c>
      <c r="I20" s="25">
        <v>55</v>
      </c>
      <c r="J20" s="27" t="e" cm="1" vm="1">
        <f t="array" ref="J20">INDEX(LISTSHEETS,I20)</f>
        <v>#NAME?</v>
      </c>
      <c r="K20" s="28" t="e" vm="2">
        <f t="shared" si="1"/>
        <v>#VALUE!</v>
      </c>
    </row>
    <row r="21" spans="1:11" ht="21" customHeight="1" x14ac:dyDescent="0.25">
      <c r="A21" s="25">
        <v>14</v>
      </c>
      <c r="B21" s="27" t="e" cm="1" vm="1">
        <f t="array" ref="B21">INDEX(LISTSHEETS,A21)</f>
        <v>#NAME?</v>
      </c>
      <c r="C21" s="28" t="e" vm="2">
        <f t="shared" si="5"/>
        <v>#VALUE!</v>
      </c>
      <c r="E21" s="25">
        <v>36</v>
      </c>
      <c r="F21" s="27" t="e" cm="1" vm="1">
        <f t="array" ref="F21">INDEX(LISTSHEETS,E21)</f>
        <v>#NAME?</v>
      </c>
      <c r="G21" s="28" t="e" vm="2">
        <f t="shared" si="4"/>
        <v>#VALUE!</v>
      </c>
      <c r="I21" s="25">
        <v>56</v>
      </c>
      <c r="J21" s="27" t="e" cm="1" vm="1">
        <f t="array" ref="J21">INDEX(LISTSHEETS,I21)</f>
        <v>#NAME?</v>
      </c>
      <c r="K21" s="28" t="e" vm="2">
        <f t="shared" si="1"/>
        <v>#VALUE!</v>
      </c>
    </row>
    <row r="22" spans="1:11" ht="21" customHeight="1" x14ac:dyDescent="0.25">
      <c r="A22" s="25">
        <v>15</v>
      </c>
      <c r="B22" s="27" t="e" cm="1" vm="1">
        <f t="array" ref="B22">INDEX(LISTSHEETS,A22)</f>
        <v>#NAME?</v>
      </c>
      <c r="C22" s="28" t="e" vm="2">
        <f t="shared" si="5"/>
        <v>#VALUE!</v>
      </c>
    </row>
    <row r="23" spans="1:11" ht="21" customHeight="1" x14ac:dyDescent="0.25">
      <c r="A23" s="25">
        <v>16</v>
      </c>
      <c r="B23" s="27" t="e" cm="1" vm="1">
        <f t="array" ref="B23">INDEX(LISTSHEETS,A23)</f>
        <v>#NAME?</v>
      </c>
      <c r="C23" s="28" t="e" vm="2">
        <f t="shared" si="5"/>
        <v>#VALUE!</v>
      </c>
    </row>
    <row r="24" spans="1:11" ht="21" customHeight="1" x14ac:dyDescent="0.25">
      <c r="A24" s="25">
        <v>17</v>
      </c>
      <c r="B24" s="27" t="e" cm="1" vm="1">
        <f t="array" ref="B24">INDEX(LISTSHEETS,A24)</f>
        <v>#NAME?</v>
      </c>
      <c r="C24" s="28" t="e" vm="2">
        <f t="shared" si="5"/>
        <v>#VALUE!</v>
      </c>
    </row>
    <row r="25" spans="1:11" ht="21" customHeight="1" x14ac:dyDescent="0.25">
      <c r="A25" s="25">
        <v>18</v>
      </c>
      <c r="B25" s="27" t="e" cm="1" vm="1">
        <f t="array" ref="B25">INDEX(LISTSHEETS,A25)</f>
        <v>#NAME?</v>
      </c>
      <c r="C25" s="28" t="e" vm="2">
        <f t="shared" si="5"/>
        <v>#VALUE!</v>
      </c>
    </row>
    <row r="26" spans="1:11" ht="21" customHeight="1" x14ac:dyDescent="0.25">
      <c r="A26" s="25">
        <v>19</v>
      </c>
      <c r="B26" s="27" t="e" cm="1" vm="1">
        <f t="array" ref="B26">INDEX(LISTSHEETS,A26)</f>
        <v>#NAME?</v>
      </c>
      <c r="C26" s="28" t="e" vm="2">
        <f t="shared" si="5"/>
        <v>#VALUE!</v>
      </c>
    </row>
    <row r="27" spans="1:11" ht="21" customHeight="1" x14ac:dyDescent="0.25">
      <c r="A27" s="25">
        <v>20</v>
      </c>
      <c r="B27" s="27" t="e" cm="1" vm="1">
        <f t="array" ref="B27">INDEX(LISTSHEETS,A27)</f>
        <v>#NAME?</v>
      </c>
      <c r="C27" s="28" t="e" vm="2">
        <f t="shared" si="5"/>
        <v>#VALUE!</v>
      </c>
    </row>
    <row r="28" spans="1:11" ht="21" customHeight="1" x14ac:dyDescent="0.25"/>
    <row r="29" spans="1:11" ht="21" customHeight="1" x14ac:dyDescent="0.25"/>
    <row r="30" spans="1:11" ht="21" customHeight="1" x14ac:dyDescent="0.25"/>
    <row r="31" spans="1:11" ht="21" customHeight="1" x14ac:dyDescent="0.25"/>
    <row r="32" spans="1:11"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sheetData>
  <mergeCells count="11">
    <mergeCell ref="I1:K1"/>
    <mergeCell ref="M1:O1"/>
    <mergeCell ref="M9:O9"/>
    <mergeCell ref="A17:C17"/>
    <mergeCell ref="A11:C11"/>
    <mergeCell ref="A6:C6"/>
    <mergeCell ref="A1:C1"/>
    <mergeCell ref="E1:G1"/>
    <mergeCell ref="E7:G7"/>
    <mergeCell ref="E15:G15"/>
    <mergeCell ref="M12:O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tabColor theme="9" tint="0.79998168889431442"/>
  </sheetPr>
  <dimension ref="A1:V118"/>
  <sheetViews>
    <sheetView workbookViewId="0">
      <selection activeCell="S116" activeCellId="69" sqref="E3:E8 G3:G8 I3:I8 K3:K8 M3:M8 O3:O8 Q3:Q8 S3:S8 A4:A8 C4:C8 A13 C13 E13 G13 I13 K13 M13 O13 Q13 S13 A21 C21 E21 G21 I21 K21 M21 O21 Q21 S21 A44 C44 E44 G44 I44 K44 M44 O44 Q44 S44 A51 C51 E51 G51 I51 K51 M51 O51 Q51 S51 A58:A60 C58:C60 E58:E60 G58:G60 I58:I60 K58:K60 M58:M60 O58:O60 Q58:Q60 S58:S60 A116:A118 C116:C118 E116:E118 G116:G118 I116:I118 K116:K118 M116:M118 O116:O118 Q116:Q118 S116:S118"/>
    </sheetView>
  </sheetViews>
  <sheetFormatPr defaultRowHeight="15.95" customHeight="1" x14ac:dyDescent="0.25"/>
  <cols>
    <col min="1" max="1" width="20.7109375" style="15" customWidth="1"/>
    <col min="2" max="2" width="91.140625" style="15" customWidth="1"/>
    <col min="3" max="3" width="20.7109375" style="15" customWidth="1"/>
    <col min="4" max="4" width="5.28515625" style="15" customWidth="1"/>
    <col min="5" max="5" width="20.7109375" style="15" customWidth="1"/>
    <col min="6" max="6" width="5.28515625" style="15" customWidth="1"/>
    <col min="7" max="7" width="20.7109375" style="15" customWidth="1"/>
    <col min="8" max="8" width="5.28515625" style="15" customWidth="1"/>
    <col min="9" max="9" width="20.7109375" style="15" customWidth="1"/>
    <col min="10" max="10" width="5.28515625" style="15" customWidth="1"/>
    <col min="11" max="11" width="20.7109375" style="15" customWidth="1"/>
    <col min="12" max="12" width="5.28515625" style="15" customWidth="1"/>
    <col min="13" max="13" width="20.7109375" style="15" customWidth="1"/>
    <col min="14" max="14" width="5.28515625" style="15" customWidth="1"/>
    <col min="15" max="15" width="20.7109375" style="15" customWidth="1"/>
    <col min="16" max="16" width="5.28515625" style="15" customWidth="1"/>
    <col min="17" max="17" width="20.7109375" style="15" customWidth="1"/>
    <col min="18" max="18" width="5.28515625" style="15" customWidth="1"/>
    <col min="19" max="19" width="20.7109375" style="15" customWidth="1"/>
    <col min="20" max="20" width="5.28515625" style="15" customWidth="1"/>
    <col min="21" max="21" width="3" customWidth="1"/>
    <col min="22" max="22" width="4.7109375" style="23" customWidth="1"/>
  </cols>
  <sheetData>
    <row r="1" spans="1:22" ht="15.95" customHeight="1" x14ac:dyDescent="0.25">
      <c r="A1" s="8" t="s">
        <v>20</v>
      </c>
      <c r="B1" s="9" t="s">
        <v>29</v>
      </c>
      <c r="C1" s="8" t="s">
        <v>30</v>
      </c>
      <c r="D1" s="9" t="s">
        <v>29</v>
      </c>
      <c r="E1" s="8" t="s">
        <v>32</v>
      </c>
      <c r="F1" s="9" t="s">
        <v>29</v>
      </c>
      <c r="G1" s="8" t="s">
        <v>33</v>
      </c>
      <c r="H1" s="9" t="s">
        <v>29</v>
      </c>
      <c r="I1" s="8" t="s">
        <v>34</v>
      </c>
      <c r="J1" s="9" t="s">
        <v>29</v>
      </c>
      <c r="K1" s="8" t="s">
        <v>35</v>
      </c>
      <c r="L1" s="9" t="s">
        <v>29</v>
      </c>
      <c r="M1" s="8" t="s">
        <v>36</v>
      </c>
      <c r="N1" s="9" t="s">
        <v>29</v>
      </c>
      <c r="O1" s="8" t="s">
        <v>37</v>
      </c>
      <c r="P1" s="9" t="s">
        <v>29</v>
      </c>
      <c r="Q1" s="8" t="s">
        <v>38</v>
      </c>
      <c r="R1" s="9" t="s">
        <v>29</v>
      </c>
      <c r="S1" s="8" t="s">
        <v>39</v>
      </c>
      <c r="T1" s="9" t="s">
        <v>29</v>
      </c>
      <c r="V1" s="8" t="s">
        <v>545</v>
      </c>
    </row>
    <row r="2" spans="1:22" ht="15.95" customHeight="1" x14ac:dyDescent="0.25">
      <c r="A2" s="6" t="s">
        <v>27</v>
      </c>
      <c r="B2" s="10" t="s">
        <v>13</v>
      </c>
      <c r="C2" s="16" t="s">
        <v>31</v>
      </c>
      <c r="D2" s="10" t="s">
        <v>13</v>
      </c>
      <c r="E2" s="16" t="s">
        <v>40</v>
      </c>
      <c r="F2" s="10" t="s">
        <v>13</v>
      </c>
      <c r="G2" s="16" t="s">
        <v>41</v>
      </c>
      <c r="H2" s="10" t="s">
        <v>13</v>
      </c>
      <c r="I2" s="16" t="s">
        <v>42</v>
      </c>
      <c r="J2" s="10" t="s">
        <v>13</v>
      </c>
      <c r="K2" s="16" t="s">
        <v>43</v>
      </c>
      <c r="L2" s="10" t="s">
        <v>13</v>
      </c>
      <c r="M2" s="16" t="s">
        <v>44</v>
      </c>
      <c r="N2" s="10" t="s">
        <v>13</v>
      </c>
      <c r="O2" s="16" t="s">
        <v>45</v>
      </c>
      <c r="P2" s="10" t="s">
        <v>13</v>
      </c>
      <c r="Q2" s="16" t="s">
        <v>46</v>
      </c>
      <c r="R2" s="10" t="s">
        <v>13</v>
      </c>
      <c r="S2" s="16" t="s">
        <v>47</v>
      </c>
      <c r="T2" s="10" t="s">
        <v>13</v>
      </c>
      <c r="V2" s="1" t="s">
        <v>27</v>
      </c>
    </row>
    <row r="3" spans="1:22" ht="15.95" customHeight="1" x14ac:dyDescent="0.25">
      <c r="A3" s="6" t="s">
        <v>28</v>
      </c>
      <c r="B3" s="11" t="s">
        <v>14</v>
      </c>
      <c r="C3" s="16" t="s">
        <v>28</v>
      </c>
      <c r="D3" s="11" t="s">
        <v>14</v>
      </c>
      <c r="E3" s="12" t="s">
        <v>28</v>
      </c>
      <c r="F3" s="11" t="s">
        <v>14</v>
      </c>
      <c r="G3" s="12" t="s">
        <v>28</v>
      </c>
      <c r="H3" s="11" t="s">
        <v>14</v>
      </c>
      <c r="I3" s="12" t="s">
        <v>28</v>
      </c>
      <c r="J3" s="11" t="s">
        <v>14</v>
      </c>
      <c r="K3" s="12" t="s">
        <v>28</v>
      </c>
      <c r="L3" s="11" t="s">
        <v>14</v>
      </c>
      <c r="M3" s="12" t="s">
        <v>28</v>
      </c>
      <c r="N3" s="11" t="s">
        <v>14</v>
      </c>
      <c r="O3" s="12" t="s">
        <v>28</v>
      </c>
      <c r="P3" s="11" t="s">
        <v>14</v>
      </c>
      <c r="Q3" s="12" t="s">
        <v>28</v>
      </c>
      <c r="R3" s="11" t="s">
        <v>14</v>
      </c>
      <c r="S3" s="12" t="s">
        <v>28</v>
      </c>
      <c r="T3" s="11" t="s">
        <v>14</v>
      </c>
      <c r="V3" s="1" t="s">
        <v>28</v>
      </c>
    </row>
    <row r="4" spans="1:22" ht="15.95" customHeight="1" x14ac:dyDescent="0.25">
      <c r="A4" s="12" t="s">
        <v>28</v>
      </c>
      <c r="B4" s="11" t="str">
        <f>_xlfn.CONCAT("    [GameLanguage(""", A1,""", """, A2,""")]")</f>
        <v xml:space="preserve">    [GameLanguage("English", "en")]</v>
      </c>
      <c r="C4" s="12" t="s">
        <v>28</v>
      </c>
      <c r="D4" s="11" t="str">
        <f>_xlfn.CONCAT("    [GameLanguage(""", C1,""", """, C2,""")]")</f>
        <v xml:space="preserve">    [GameLanguage("German", "de")]</v>
      </c>
      <c r="E4" s="12" t="s">
        <v>28</v>
      </c>
      <c r="F4" s="11" t="str">
        <f>_xlfn.CONCAT("    [GameLanguage(""", E1,""", """, E2,""")]")</f>
        <v xml:space="preserve">    [GameLanguage("Spanish", "es")]</v>
      </c>
      <c r="G4" s="12" t="s">
        <v>28</v>
      </c>
      <c r="H4" s="11" t="str">
        <f>_xlfn.CONCAT("    [GameLanguage(""", G1,""", """, G2,""")]")</f>
        <v xml:space="preserve">    [GameLanguage("French", "fr")]</v>
      </c>
      <c r="I4" s="12" t="s">
        <v>28</v>
      </c>
      <c r="J4" s="11" t="str">
        <f>_xlfn.CONCAT("    [GameLanguage(""", I1,""", """, I2,""")]")</f>
        <v xml:space="preserve">    [GameLanguage("Japanese", "jp")]</v>
      </c>
      <c r="K4" s="12" t="s">
        <v>28</v>
      </c>
      <c r="L4" s="11" t="str">
        <f>_xlfn.CONCAT("    [GameLanguage(""", K1,""", """, K2,""")]")</f>
        <v xml:space="preserve">    [GameLanguage("Korean", "kr")]</v>
      </c>
      <c r="M4" s="12" t="s">
        <v>28</v>
      </c>
      <c r="N4" s="11" t="str">
        <f>_xlfn.CONCAT("    [GameLanguage(""", M1,""", """, M2,""")]")</f>
        <v xml:space="preserve">    [GameLanguage("Portuguese", "pt")]</v>
      </c>
      <c r="O4" s="12" t="s">
        <v>28</v>
      </c>
      <c r="P4" s="11" t="str">
        <f>_xlfn.CONCAT("    [GameLanguage(""", O1,""", """, O2,""")]")</f>
        <v xml:space="preserve">    [GameLanguage("Russian", "ru")]</v>
      </c>
      <c r="Q4" s="12" t="s">
        <v>28</v>
      </c>
      <c r="R4" s="11" t="str">
        <f>_xlfn.CONCAT("    [GameLanguage(""", Q1,""", """, Q2,""")]")</f>
        <v xml:space="preserve">    [GameLanguage("Thai", "th")]</v>
      </c>
      <c r="S4" s="12" t="s">
        <v>28</v>
      </c>
      <c r="T4" s="11" t="str">
        <f>_xlfn.CONCAT("    [GameLanguage(""", S1,""", """, S2,""")]")</f>
        <v xml:space="preserve">    [GameLanguage("Traditional Chinese", "zh")]</v>
      </c>
      <c r="V4" s="1" t="s">
        <v>28</v>
      </c>
    </row>
    <row r="5" spans="1:22" ht="15.95" customHeight="1" x14ac:dyDescent="0.25">
      <c r="A5" s="12" t="s">
        <v>28</v>
      </c>
      <c r="B5" s="11" t="str">
        <f>_xlfn.CONCAT("    public class GameLanguage", UPPER(A2), " : IGameLanguage")</f>
        <v xml:space="preserve">    public class GameLanguageEN : IGameLanguage</v>
      </c>
      <c r="C5" s="12" t="s">
        <v>28</v>
      </c>
      <c r="D5" s="11" t="str">
        <f>_xlfn.CONCAT("    public class GameLanguage", UPPER(C2), " : IGameLanguage")</f>
        <v xml:space="preserve">    public class GameLanguageDE : IGameLanguage</v>
      </c>
      <c r="E5" s="12" t="s">
        <v>28</v>
      </c>
      <c r="F5" s="11" t="str">
        <f>_xlfn.CONCAT("    public class GameLanguage", UPPER(E2), " : IGameLanguage")</f>
        <v xml:space="preserve">    public class GameLanguageES : IGameLanguage</v>
      </c>
      <c r="G5" s="12" t="s">
        <v>28</v>
      </c>
      <c r="H5" s="11" t="str">
        <f>_xlfn.CONCAT("    public class GameLanguage", UPPER(G2), " : IGameLanguage")</f>
        <v xml:space="preserve">    public class GameLanguageFR : IGameLanguage</v>
      </c>
      <c r="I5" s="12" t="s">
        <v>28</v>
      </c>
      <c r="J5" s="11" t="str">
        <f>_xlfn.CONCAT("    public class GameLanguage", UPPER(I2), " : IGameLanguage")</f>
        <v xml:space="preserve">    public class GameLanguageJP : IGameLanguage</v>
      </c>
      <c r="K5" s="12" t="s">
        <v>28</v>
      </c>
      <c r="L5" s="11" t="str">
        <f>_xlfn.CONCAT("    public class GameLanguage", UPPER(K2), " : IGameLanguage")</f>
        <v xml:space="preserve">    public class GameLanguageKR : IGameLanguage</v>
      </c>
      <c r="M5" s="12" t="s">
        <v>28</v>
      </c>
      <c r="N5" s="11" t="str">
        <f>_xlfn.CONCAT("    public class GameLanguage", UPPER(M2), " : IGameLanguage")</f>
        <v xml:space="preserve">    public class GameLanguagePT : IGameLanguage</v>
      </c>
      <c r="O5" s="12" t="s">
        <v>28</v>
      </c>
      <c r="P5" s="11" t="str">
        <f>_xlfn.CONCAT("    public class GameLanguage", UPPER(O2), " : IGameLanguage")</f>
        <v xml:space="preserve">    public class GameLanguageRU : IGameLanguage</v>
      </c>
      <c r="Q5" s="12" t="s">
        <v>28</v>
      </c>
      <c r="R5" s="11" t="str">
        <f>_xlfn.CONCAT("    public class GameLanguage", UPPER(Q2), " : IGameLanguage")</f>
        <v xml:space="preserve">    public class GameLanguageTH : IGameLanguage</v>
      </c>
      <c r="S5" s="12" t="s">
        <v>28</v>
      </c>
      <c r="T5" s="11" t="str">
        <f>_xlfn.CONCAT("    public class GameLanguage", UPPER(S2), " : IGameLanguage")</f>
        <v xml:space="preserve">    public class GameLanguageZH : IGameLanguage</v>
      </c>
      <c r="V5" s="1" t="s">
        <v>28</v>
      </c>
    </row>
    <row r="6" spans="1:22" ht="15.95" customHeight="1" x14ac:dyDescent="0.25">
      <c r="A6" s="12" t="s">
        <v>28</v>
      </c>
      <c r="B6" s="11" t="s">
        <v>15</v>
      </c>
      <c r="C6" s="12" t="s">
        <v>28</v>
      </c>
      <c r="D6" s="11" t="s">
        <v>15</v>
      </c>
      <c r="E6" s="12" t="s">
        <v>28</v>
      </c>
      <c r="F6" s="11" t="s">
        <v>15</v>
      </c>
      <c r="G6" s="12" t="s">
        <v>28</v>
      </c>
      <c r="H6" s="11" t="s">
        <v>15</v>
      </c>
      <c r="I6" s="12" t="s">
        <v>28</v>
      </c>
      <c r="J6" s="11" t="s">
        <v>15</v>
      </c>
      <c r="K6" s="12" t="s">
        <v>28</v>
      </c>
      <c r="L6" s="11" t="s">
        <v>15</v>
      </c>
      <c r="M6" s="12" t="s">
        <v>28</v>
      </c>
      <c r="N6" s="11" t="s">
        <v>15</v>
      </c>
      <c r="O6" s="12" t="s">
        <v>28</v>
      </c>
      <c r="P6" s="11" t="s">
        <v>15</v>
      </c>
      <c r="Q6" s="12" t="s">
        <v>28</v>
      </c>
      <c r="R6" s="11" t="s">
        <v>15</v>
      </c>
      <c r="S6" s="12" t="s">
        <v>28</v>
      </c>
      <c r="T6" s="11" t="s">
        <v>15</v>
      </c>
      <c r="V6" s="1" t="s">
        <v>28</v>
      </c>
    </row>
    <row r="7" spans="1:22" ht="15.95" customHeight="1" x14ac:dyDescent="0.25">
      <c r="A7" s="12" t="s">
        <v>28</v>
      </c>
      <c r="B7" s="11" t="str">
        <f>_xlfn.CONCAT("        public string LanguageCode =&gt; """, A2, """;")</f>
        <v xml:space="preserve">        public string LanguageCode =&gt; "en";</v>
      </c>
      <c r="C7" s="12" t="s">
        <v>28</v>
      </c>
      <c r="D7" s="11" t="str">
        <f>_xlfn.CONCAT("        public string LanguageCode =&gt; """, C2, """;")</f>
        <v xml:space="preserve">        public string LanguageCode =&gt; "de";</v>
      </c>
      <c r="E7" s="12" t="s">
        <v>28</v>
      </c>
      <c r="F7" s="11" t="str">
        <f>_xlfn.CONCAT("        public string LanguageCode =&gt; """, E2, """;")</f>
        <v xml:space="preserve">        public string LanguageCode =&gt; "es";</v>
      </c>
      <c r="G7" s="12" t="s">
        <v>28</v>
      </c>
      <c r="H7" s="11" t="str">
        <f>_xlfn.CONCAT("        public string LanguageCode =&gt; """, G2, """;")</f>
        <v xml:space="preserve">        public string LanguageCode =&gt; "fr";</v>
      </c>
      <c r="I7" s="12" t="s">
        <v>28</v>
      </c>
      <c r="J7" s="11" t="str">
        <f>_xlfn.CONCAT("        public string LanguageCode =&gt; """, I2, """;")</f>
        <v xml:space="preserve">        public string LanguageCode =&gt; "jp";</v>
      </c>
      <c r="K7" s="12" t="s">
        <v>28</v>
      </c>
      <c r="L7" s="11" t="str">
        <f>_xlfn.CONCAT("        public string LanguageCode =&gt; """, K2, """;")</f>
        <v xml:space="preserve">        public string LanguageCode =&gt; "kr";</v>
      </c>
      <c r="M7" s="12" t="s">
        <v>28</v>
      </c>
      <c r="N7" s="11" t="str">
        <f>_xlfn.CONCAT("        public string LanguageCode =&gt; """, M2, """;")</f>
        <v xml:space="preserve">        public string LanguageCode =&gt; "pt";</v>
      </c>
      <c r="O7" s="12" t="s">
        <v>28</v>
      </c>
      <c r="P7" s="11" t="str">
        <f>_xlfn.CONCAT("        public string LanguageCode =&gt; """, O2, """;")</f>
        <v xml:space="preserve">        public string LanguageCode =&gt; "ru";</v>
      </c>
      <c r="Q7" s="12" t="s">
        <v>28</v>
      </c>
      <c r="R7" s="11" t="str">
        <f>_xlfn.CONCAT("        public string LanguageCode =&gt; """, Q2, """;")</f>
        <v xml:space="preserve">        public string LanguageCode =&gt; "th";</v>
      </c>
      <c r="S7" s="12" t="s">
        <v>28</v>
      </c>
      <c r="T7" s="11" t="str">
        <f>_xlfn.CONCAT("        public string LanguageCode =&gt; """, S2, """;")</f>
        <v xml:space="preserve">        public string LanguageCode =&gt; "zh";</v>
      </c>
      <c r="V7" s="1" t="s">
        <v>28</v>
      </c>
    </row>
    <row r="8" spans="1:22" ht="15.95" customHeight="1" x14ac:dyDescent="0.25">
      <c r="A8" s="12" t="s">
        <v>28</v>
      </c>
      <c r="B8" s="11"/>
      <c r="C8" s="12" t="s">
        <v>28</v>
      </c>
      <c r="D8" s="11"/>
      <c r="E8" s="12" t="s">
        <v>28</v>
      </c>
      <c r="F8" s="11"/>
      <c r="G8" s="12" t="s">
        <v>28</v>
      </c>
      <c r="H8" s="11"/>
      <c r="I8" s="12" t="s">
        <v>28</v>
      </c>
      <c r="J8" s="11"/>
      <c r="K8" s="12" t="s">
        <v>28</v>
      </c>
      <c r="L8" s="11"/>
      <c r="M8" s="12" t="s">
        <v>28</v>
      </c>
      <c r="N8" s="11"/>
      <c r="O8" s="12" t="s">
        <v>28</v>
      </c>
      <c r="P8" s="11"/>
      <c r="Q8" s="12" t="s">
        <v>28</v>
      </c>
      <c r="R8" s="11"/>
      <c r="S8" s="12" t="s">
        <v>28</v>
      </c>
      <c r="T8" s="11"/>
      <c r="V8" s="1" t="s">
        <v>28</v>
      </c>
    </row>
    <row r="9" spans="1:22" ht="15.95" customHeight="1" x14ac:dyDescent="0.25">
      <c r="A9" s="6" t="s">
        <v>23</v>
      </c>
      <c r="B9" s="11" t="str">
        <f>_xlfn.CONCAT("        public Uri PoeTradeSearchBaseUrl =&gt; new(""", A9, """);")</f>
        <v xml:space="preserve">        public Uri PoeTradeSearchBaseUrl =&gt; new("https://www.pathofexile.com/trade/search/");</v>
      </c>
      <c r="C9" s="16" t="s">
        <v>48</v>
      </c>
      <c r="D9" s="11" t="str">
        <f>_xlfn.CONCAT("        public Uri PoeTradeSearchBaseUrl =&gt; new(""", C9, """);")</f>
        <v xml:space="preserve">        public Uri PoeTradeSearchBaseUrl =&gt; new("https://de.pathofexile.com/trade/search/");</v>
      </c>
      <c r="E9" s="16" t="s">
        <v>51</v>
      </c>
      <c r="F9" s="11" t="str">
        <f>_xlfn.CONCAT("        public Uri PoeTradeSearchBaseUrl =&gt; new(""", E9, """);")</f>
        <v xml:space="preserve">        public Uri PoeTradeSearchBaseUrl =&gt; new("https://es.pathofexile.com/trade/search/");</v>
      </c>
      <c r="G9" s="16" t="s">
        <v>54</v>
      </c>
      <c r="H9" s="11" t="str">
        <f>_xlfn.CONCAT("        public Uri PoeTradeSearchBaseUrl =&gt; new(""", G9, """);")</f>
        <v xml:space="preserve">        public Uri PoeTradeSearchBaseUrl =&gt; new("https://fr.pathofexile.com/trade/search/");</v>
      </c>
      <c r="I9" s="16" t="s">
        <v>57</v>
      </c>
      <c r="J9" s="11" t="str">
        <f>_xlfn.CONCAT("        public Uri PoeTradeSearchBaseUrl =&gt; new(""", I9, """);")</f>
        <v xml:space="preserve">        public Uri PoeTradeSearchBaseUrl =&gt; new("https://jp.pathofexile.com/trade/search/");</v>
      </c>
      <c r="K9" s="16" t="s">
        <v>60</v>
      </c>
      <c r="L9" s="11" t="str">
        <f>_xlfn.CONCAT("        public Uri PoeTradeSearchBaseUrl =&gt; new(""", K9, """);")</f>
        <v xml:space="preserve">        public Uri PoeTradeSearchBaseUrl =&gt; new("https://poe.game.daum.net/trade/search/");</v>
      </c>
      <c r="M9" s="16" t="s">
        <v>63</v>
      </c>
      <c r="N9" s="11" t="str">
        <f>_xlfn.CONCAT("        public Uri PoeTradeSearchBaseUrl =&gt; new(""", M9, """);")</f>
        <v xml:space="preserve">        public Uri PoeTradeSearchBaseUrl =&gt; new("https://br.pathofexile.com/trade/search/");</v>
      </c>
      <c r="O9" s="16" t="s">
        <v>66</v>
      </c>
      <c r="P9" s="11" t="str">
        <f>_xlfn.CONCAT("        public Uri PoeTradeSearchBaseUrl =&gt; new(""", O9, """);")</f>
        <v xml:space="preserve">        public Uri PoeTradeSearchBaseUrl =&gt; new("https://ru.pathofexile.com/trade/search/");</v>
      </c>
      <c r="Q9" s="16" t="s">
        <v>71</v>
      </c>
      <c r="R9" s="11" t="str">
        <f>_xlfn.CONCAT("        public Uri PoeTradeSearchBaseUrl =&gt; new(""", Q9, """);")</f>
        <v xml:space="preserve">        public Uri PoeTradeSearchBaseUrl =&gt; new("https://th.pathofexile.com/trade/search/");</v>
      </c>
      <c r="S9" s="16" t="s">
        <v>72</v>
      </c>
      <c r="T9" s="11" t="str">
        <f>_xlfn.CONCAT("        public Uri PoeTradeSearchBaseUrl =&gt; new(""", S9, """);")</f>
        <v xml:space="preserve">        public Uri PoeTradeSearchBaseUrl =&gt; new("http://web.poe.garena.tw/trade/search/");</v>
      </c>
      <c r="V9" s="1" t="s">
        <v>23</v>
      </c>
    </row>
    <row r="10" spans="1:22" ht="15.95" customHeight="1" x14ac:dyDescent="0.25">
      <c r="A10" s="7" t="s">
        <v>24</v>
      </c>
      <c r="B10" s="11" t="str">
        <f>_xlfn.CONCAT("        public Uri PoeTradeExchangeBaseUrl =&gt; new(""", A10, """);")</f>
        <v xml:space="preserve">        public Uri PoeTradeExchangeBaseUrl =&gt; new("https://www.pathofexile.com/trade/exchange/");</v>
      </c>
      <c r="C10" s="16" t="s">
        <v>49</v>
      </c>
      <c r="D10" s="11" t="str">
        <f>_xlfn.CONCAT("        public Uri PoeTradeExchangeBaseUrl =&gt; new(""", C10, """);")</f>
        <v xml:space="preserve">        public Uri PoeTradeExchangeBaseUrl =&gt; new("https://de.pathofexile.com/trade/exchange/");</v>
      </c>
      <c r="E10" s="16" t="s">
        <v>52</v>
      </c>
      <c r="F10" s="11" t="str">
        <f>_xlfn.CONCAT("        public Uri PoeTradeExchangeBaseUrl =&gt; new(""", E10, """);")</f>
        <v xml:space="preserve">        public Uri PoeTradeExchangeBaseUrl =&gt; new("https://es.pathofexile.com/trade/exchange/");</v>
      </c>
      <c r="G10" s="16" t="s">
        <v>55</v>
      </c>
      <c r="H10" s="11" t="str">
        <f>_xlfn.CONCAT("        public Uri PoeTradeExchangeBaseUrl =&gt; new(""", G10, """);")</f>
        <v xml:space="preserve">        public Uri PoeTradeExchangeBaseUrl =&gt; new("https://fr.pathofexile.com/trade/exchange/");</v>
      </c>
      <c r="I10" s="16" t="s">
        <v>58</v>
      </c>
      <c r="J10" s="11" t="str">
        <f>_xlfn.CONCAT("        public Uri PoeTradeExchangeBaseUrl =&gt; new(""", I10, """);")</f>
        <v xml:space="preserve">        public Uri PoeTradeExchangeBaseUrl =&gt; new("https://jp.pathofexile.com/trade/exchange/");</v>
      </c>
      <c r="K10" s="16" t="s">
        <v>61</v>
      </c>
      <c r="L10" s="11" t="str">
        <f>_xlfn.CONCAT("        public Uri PoeTradeExchangeBaseUrl =&gt; new(""", K10, """);")</f>
        <v xml:space="preserve">        public Uri PoeTradeExchangeBaseUrl =&gt; new("https://poe.game.daum.net/trade/exchange/");</v>
      </c>
      <c r="M10" s="16" t="s">
        <v>64</v>
      </c>
      <c r="N10" s="11" t="str">
        <f>_xlfn.CONCAT("        public Uri PoeTradeExchangeBaseUrl =&gt; new(""", M10, """);")</f>
        <v xml:space="preserve">        public Uri PoeTradeExchangeBaseUrl =&gt; new("https://br.pathofexile.com/trade/exchange/");</v>
      </c>
      <c r="O10" s="16" t="s">
        <v>67</v>
      </c>
      <c r="P10" s="11" t="str">
        <f>_xlfn.CONCAT("        public Uri PoeTradeExchangeBaseUrl =&gt; new(""", O10, """);")</f>
        <v xml:space="preserve">        public Uri PoeTradeExchangeBaseUrl =&gt; new("https://ru.pathofexile.com/trade/exchange/");</v>
      </c>
      <c r="Q10" s="16" t="s">
        <v>70</v>
      </c>
      <c r="R10" s="11" t="str">
        <f>_xlfn.CONCAT("        public Uri PoeTradeExchangeBaseUrl =&gt; new(""", Q10, """);")</f>
        <v xml:space="preserve">        public Uri PoeTradeExchangeBaseUrl =&gt; new("https://th.pathofexile.com/trade/exchange/");</v>
      </c>
      <c r="S10" s="16" t="s">
        <v>73</v>
      </c>
      <c r="T10" s="11" t="str">
        <f>_xlfn.CONCAT("        public Uri PoeTradeExchangeBaseUrl =&gt; new(""", S10, """);")</f>
        <v xml:space="preserve">        public Uri PoeTradeExchangeBaseUrl =&gt; new("http://web.poe.garena.tw/trade/exchange/");</v>
      </c>
      <c r="V10" s="1" t="s">
        <v>24</v>
      </c>
    </row>
    <row r="11" spans="1:22" ht="15.95" customHeight="1" x14ac:dyDescent="0.25">
      <c r="A11" s="6" t="s">
        <v>25</v>
      </c>
      <c r="B11" s="11" t="str">
        <f>_xlfn.CONCAT("        public Uri PoeTradeApiBaseUrl =&gt; new(""", A11, """);")</f>
        <v xml:space="preserve">        public Uri PoeTradeApiBaseUrl =&gt; new("https://www.pathofexile.com/api/trade/");</v>
      </c>
      <c r="C11" s="16" t="s">
        <v>50</v>
      </c>
      <c r="D11" s="11" t="str">
        <f>_xlfn.CONCAT("        public Uri PoeTradeApiBaseUrl =&gt; new(""", C11, """);")</f>
        <v xml:space="preserve">        public Uri PoeTradeApiBaseUrl =&gt; new("https://de.pathofexile.com/api/trade/");</v>
      </c>
      <c r="E11" s="16" t="s">
        <v>53</v>
      </c>
      <c r="F11" s="11" t="str">
        <f>_xlfn.CONCAT("        public Uri PoeTradeApiBaseUrl =&gt; new(""", E11, """);")</f>
        <v xml:space="preserve">        public Uri PoeTradeApiBaseUrl =&gt; new("https://es.pathofexile.com/api/trade/");</v>
      </c>
      <c r="G11" s="16" t="s">
        <v>56</v>
      </c>
      <c r="H11" s="11" t="str">
        <f>_xlfn.CONCAT("        public Uri PoeTradeApiBaseUrl =&gt; new(""", G11, """);")</f>
        <v xml:space="preserve">        public Uri PoeTradeApiBaseUrl =&gt; new("https://fr.pathofexile.com/api/trade/");</v>
      </c>
      <c r="I11" s="16" t="s">
        <v>59</v>
      </c>
      <c r="J11" s="11" t="str">
        <f>_xlfn.CONCAT("        public Uri PoeTradeApiBaseUrl =&gt; new(""", I11, """);")</f>
        <v xml:space="preserve">        public Uri PoeTradeApiBaseUrl =&gt; new("https://jp.pathofexile.com/api/trade/");</v>
      </c>
      <c r="K11" s="16" t="s">
        <v>62</v>
      </c>
      <c r="L11" s="11" t="str">
        <f>_xlfn.CONCAT("        public Uri PoeTradeApiBaseUrl =&gt; new(""", K11, """);")</f>
        <v xml:space="preserve">        public Uri PoeTradeApiBaseUrl =&gt; new("https://poe.game.daum.net/api/trade/");</v>
      </c>
      <c r="M11" s="16" t="s">
        <v>65</v>
      </c>
      <c r="N11" s="11" t="str">
        <f>_xlfn.CONCAT("        public Uri PoeTradeApiBaseUrl =&gt; new(""", M11, """);")</f>
        <v xml:space="preserve">        public Uri PoeTradeApiBaseUrl =&gt; new("https://br.pathofexile.com/api/trade/");</v>
      </c>
      <c r="O11" s="16" t="s">
        <v>68</v>
      </c>
      <c r="P11" s="11" t="str">
        <f>_xlfn.CONCAT("        public Uri PoeTradeApiBaseUrl =&gt; new(""", O11, """);")</f>
        <v xml:space="preserve">        public Uri PoeTradeApiBaseUrl =&gt; new("https://ru.pathofexile.com/api/trade/");</v>
      </c>
      <c r="Q11" s="16" t="s">
        <v>69</v>
      </c>
      <c r="R11" s="11" t="str">
        <f>_xlfn.CONCAT("        public Uri PoeTradeApiBaseUrl =&gt; new(""", Q11, """);")</f>
        <v xml:space="preserve">        public Uri PoeTradeApiBaseUrl =&gt; new("https://th.pathofexile.com/api/trade/");</v>
      </c>
      <c r="S11" s="16" t="s">
        <v>74</v>
      </c>
      <c r="T11" s="11" t="str">
        <f>_xlfn.CONCAT("        public Uri PoeTradeApiBaseUrl =&gt; new(""", S11, """);")</f>
        <v xml:space="preserve">        public Uri PoeTradeApiBaseUrl =&gt; new("http://web.poe.garena.tw/api/trade/");</v>
      </c>
      <c r="V11" s="1" t="s">
        <v>25</v>
      </c>
    </row>
    <row r="12" spans="1:22" ht="15.95" customHeight="1" x14ac:dyDescent="0.25">
      <c r="A12" s="7" t="s">
        <v>26</v>
      </c>
      <c r="B12" s="11" t="str">
        <f>_xlfn.CONCAT("        public Uri PoeCdnBaseUrl =&gt; new(""", A12, """);")</f>
        <v xml:space="preserve">        public Uri PoeCdnBaseUrl =&gt; new("https://web.poecdn.com/");</v>
      </c>
      <c r="C12" s="16" t="s">
        <v>26</v>
      </c>
      <c r="D12" s="11" t="str">
        <f>_xlfn.CONCAT("        public Uri PoeCdnBaseUrl =&gt; new(""", C12, """);")</f>
        <v xml:space="preserve">        public Uri PoeCdnBaseUrl =&gt; new("https://web.poecdn.com/");</v>
      </c>
      <c r="E12" s="16" t="s">
        <v>26</v>
      </c>
      <c r="F12" s="11" t="str">
        <f>_xlfn.CONCAT("        public Uri PoeCdnBaseUrl =&gt; new(""", E12, """);")</f>
        <v xml:space="preserve">        public Uri PoeCdnBaseUrl =&gt; new("https://web.poecdn.com/");</v>
      </c>
      <c r="G12" s="16" t="s">
        <v>26</v>
      </c>
      <c r="H12" s="11" t="str">
        <f>_xlfn.CONCAT("        public Uri PoeCdnBaseUrl =&gt; new(""", G12, """);")</f>
        <v xml:space="preserve">        public Uri PoeCdnBaseUrl =&gt; new("https://web.poecdn.com/");</v>
      </c>
      <c r="I12" s="16" t="s">
        <v>26</v>
      </c>
      <c r="J12" s="11" t="str">
        <f>_xlfn.CONCAT("        public Uri PoeCdnBaseUrl =&gt; new(""", I12, """);")</f>
        <v xml:space="preserve">        public Uri PoeCdnBaseUrl =&gt; new("https://web.poecdn.com/");</v>
      </c>
      <c r="K12" s="16" t="s">
        <v>26</v>
      </c>
      <c r="L12" s="11" t="str">
        <f>_xlfn.CONCAT("        public Uri PoeCdnBaseUrl =&gt; new(""", K12, """);")</f>
        <v xml:space="preserve">        public Uri PoeCdnBaseUrl =&gt; new("https://web.poecdn.com/");</v>
      </c>
      <c r="M12" s="16" t="s">
        <v>26</v>
      </c>
      <c r="N12" s="11" t="str">
        <f>_xlfn.CONCAT("        public Uri PoeCdnBaseUrl =&gt; new(""", M12, """);")</f>
        <v xml:space="preserve">        public Uri PoeCdnBaseUrl =&gt; new("https://web.poecdn.com/");</v>
      </c>
      <c r="O12" s="16" t="s">
        <v>26</v>
      </c>
      <c r="P12" s="11" t="str">
        <f>_xlfn.CONCAT("        public Uri PoeCdnBaseUrl =&gt; new(""", O12, """);")</f>
        <v xml:space="preserve">        public Uri PoeCdnBaseUrl =&gt; new("https://web.poecdn.com/");</v>
      </c>
      <c r="Q12" s="16" t="s">
        <v>26</v>
      </c>
      <c r="R12" s="11" t="str">
        <f>_xlfn.CONCAT("        public Uri PoeCdnBaseUrl =&gt; new(""", Q12, """);")</f>
        <v xml:space="preserve">        public Uri PoeCdnBaseUrl =&gt; new("https://web.poecdn.com/");</v>
      </c>
      <c r="S12" s="16" t="s">
        <v>26</v>
      </c>
      <c r="T12" s="11" t="str">
        <f>_xlfn.CONCAT("        public Uri PoeCdnBaseUrl =&gt; new(""", S12, """);")</f>
        <v xml:space="preserve">        public Uri PoeCdnBaseUrl =&gt; new("https://web.poecdn.com/");</v>
      </c>
      <c r="V12" s="1" t="s">
        <v>26</v>
      </c>
    </row>
    <row r="13" spans="1:22" ht="15.95" customHeight="1" x14ac:dyDescent="0.25">
      <c r="A13" s="12" t="s">
        <v>28</v>
      </c>
      <c r="B13" s="11"/>
      <c r="C13" s="12" t="s">
        <v>28</v>
      </c>
      <c r="D13" s="11"/>
      <c r="E13" s="12" t="s">
        <v>28</v>
      </c>
      <c r="F13" s="11"/>
      <c r="G13" s="12" t="s">
        <v>28</v>
      </c>
      <c r="H13" s="11"/>
      <c r="I13" s="12" t="s">
        <v>28</v>
      </c>
      <c r="J13" s="11"/>
      <c r="K13" s="12" t="s">
        <v>28</v>
      </c>
      <c r="L13" s="11"/>
      <c r="M13" s="12" t="s">
        <v>28</v>
      </c>
      <c r="N13" s="11"/>
      <c r="O13" s="12" t="s">
        <v>28</v>
      </c>
      <c r="P13" s="11"/>
      <c r="Q13" s="12" t="s">
        <v>28</v>
      </c>
      <c r="R13" s="11"/>
      <c r="S13" s="12" t="s">
        <v>28</v>
      </c>
      <c r="T13" s="11"/>
      <c r="V13" s="1" t="s">
        <v>28</v>
      </c>
    </row>
    <row r="14" spans="1:22" ht="15.95" customHeight="1" x14ac:dyDescent="0.25">
      <c r="A14" s="13" t="str">
        <f>Belt!B6</f>
        <v>Unique</v>
      </c>
      <c r="B14" s="11" t="str">
        <f>_xlfn.CONCAT("        public string RarityUnique =&gt; """, A14, """;")</f>
        <v xml:space="preserve">        public string RarityUnique =&gt; "Unique";</v>
      </c>
      <c r="C14" s="13" t="str">
        <f>Belt!D6</f>
        <v>Einzigartig</v>
      </c>
      <c r="D14" s="11" t="str">
        <f>_xlfn.CONCAT("        public string RarityUnique =&gt; """, C14, """;")</f>
        <v xml:space="preserve">        public string RarityUnique =&gt; "Einzigartig";</v>
      </c>
      <c r="E14" s="13" t="str">
        <f>Belt!F6</f>
        <v>Único</v>
      </c>
      <c r="F14" s="11" t="str">
        <f>_xlfn.CONCAT("        public string RarityUnique =&gt; """, E14, """;")</f>
        <v xml:space="preserve">        public string RarityUnique =&gt; "Único";</v>
      </c>
      <c r="G14" s="13" t="str">
        <f>Belt!H6</f>
        <v>Unique</v>
      </c>
      <c r="H14" s="11" t="str">
        <f>_xlfn.CONCAT("        public string RarityUnique =&gt; """, G14, """;")</f>
        <v xml:space="preserve">        public string RarityUnique =&gt; "Unique";</v>
      </c>
      <c r="I14" s="13" t="str">
        <f>Belt!J6</f>
        <v>ユニーク</v>
      </c>
      <c r="J14" s="11" t="str">
        <f>_xlfn.CONCAT("        public string RarityUnique =&gt; """, I14, """;")</f>
        <v xml:space="preserve">        public string RarityUnique =&gt; "ユニーク";</v>
      </c>
      <c r="K14" s="13" t="str">
        <f>Belt!L6</f>
        <v>고유</v>
      </c>
      <c r="L14" s="11" t="str">
        <f>_xlfn.CONCAT("        public string RarityUnique =&gt; """, K14, """;")</f>
        <v xml:space="preserve">        public string RarityUnique =&gt; "고유";</v>
      </c>
      <c r="M14" s="13" t="str">
        <f>Belt!N6</f>
        <v>Único</v>
      </c>
      <c r="N14" s="11" t="str">
        <f>_xlfn.CONCAT("        public string RarityUnique =&gt; """, M14, """;")</f>
        <v xml:space="preserve">        public string RarityUnique =&gt; "Único";</v>
      </c>
      <c r="O14" s="13" t="str">
        <f>Belt!P6</f>
        <v>Уникальный</v>
      </c>
      <c r="P14" s="11" t="str">
        <f>_xlfn.CONCAT("        public string RarityUnique =&gt; """, O14, """;")</f>
        <v xml:space="preserve">        public string RarityUnique =&gt; "Уникальный";</v>
      </c>
      <c r="Q14" s="13" t="str">
        <f>Belt!R6</f>
        <v>ยูนิค</v>
      </c>
      <c r="R14" s="11" t="str">
        <f>_xlfn.CONCAT("        public string RarityUnique =&gt; """, Q14, """;")</f>
        <v xml:space="preserve">        public string RarityUnique =&gt; "ยูนิค";</v>
      </c>
      <c r="S14" s="13" t="e">
        <f>Belt!T6</f>
        <v>#N/A</v>
      </c>
      <c r="T14" s="11" t="e">
        <f>_xlfn.CONCAT("        public string RarityUnique =&gt; """, S14, """;")</f>
        <v>#N/A</v>
      </c>
      <c r="V14" s="1" t="s">
        <v>21</v>
      </c>
    </row>
    <row r="15" spans="1:22" ht="15.95" customHeight="1" x14ac:dyDescent="0.25">
      <c r="A15" s="13" t="str">
        <f>'Heist Brooch'!B6</f>
        <v>Rare</v>
      </c>
      <c r="B15" s="11" t="str">
        <f>_xlfn.CONCAT("        public string RarityRare =&gt; """, A15, """;")</f>
        <v xml:space="preserve">        public string RarityRare =&gt; "Rare";</v>
      </c>
      <c r="C15" s="13" t="str">
        <f>'Heist Brooch'!D6</f>
        <v>Selten</v>
      </c>
      <c r="D15" s="11" t="str">
        <f>_xlfn.CONCAT("        public string RarityRare =&gt; """, C15, """;")</f>
        <v xml:space="preserve">        public string RarityRare =&gt; "Selten";</v>
      </c>
      <c r="E15" s="13" t="str">
        <f>'Heist Brooch'!F6</f>
        <v>Raro</v>
      </c>
      <c r="F15" s="11" t="str">
        <f>_xlfn.CONCAT("        public string RarityRare =&gt; """, E15, """;")</f>
        <v xml:space="preserve">        public string RarityRare =&gt; "Raro";</v>
      </c>
      <c r="G15" s="13" t="str">
        <f>'Heist Brooch'!H6</f>
        <v>Rare</v>
      </c>
      <c r="H15" s="11" t="str">
        <f>_xlfn.CONCAT("        public string RarityRare =&gt; """, G15, """;")</f>
        <v xml:space="preserve">        public string RarityRare =&gt; "Rare";</v>
      </c>
      <c r="I15" s="13" t="str">
        <f>'Heist Brooch'!J6</f>
        <v>レア</v>
      </c>
      <c r="J15" s="11" t="str">
        <f>_xlfn.CONCAT("        public string RarityRare =&gt; """, I15, """;")</f>
        <v xml:space="preserve">        public string RarityRare =&gt; "レア";</v>
      </c>
      <c r="K15" s="13" t="str">
        <f>'Heist Brooch'!L6</f>
        <v>희귀</v>
      </c>
      <c r="L15" s="11" t="str">
        <f>_xlfn.CONCAT("        public string RarityRare =&gt; """, K15, """;")</f>
        <v xml:space="preserve">        public string RarityRare =&gt; "희귀";</v>
      </c>
      <c r="M15" s="13" t="str">
        <f>'Heist Brooch'!N6</f>
        <v>Raro</v>
      </c>
      <c r="N15" s="11" t="str">
        <f>_xlfn.CONCAT("        public string RarityRare =&gt; """, M15, """;")</f>
        <v xml:space="preserve">        public string RarityRare =&gt; "Raro";</v>
      </c>
      <c r="O15" s="13" t="str">
        <f>'Heist Brooch'!P6</f>
        <v>Редкий</v>
      </c>
      <c r="P15" s="11" t="str">
        <f>_xlfn.CONCAT("        public string RarityRare =&gt; """, O15, """;")</f>
        <v xml:space="preserve">        public string RarityRare =&gt; "Редкий";</v>
      </c>
      <c r="Q15" s="13" t="str">
        <f>'Heist Brooch'!R6</f>
        <v>แรร์</v>
      </c>
      <c r="R15" s="11" t="str">
        <f>_xlfn.CONCAT("        public string RarityRare =&gt; """, Q15, """;")</f>
        <v xml:space="preserve">        public string RarityRare =&gt; "แรร์";</v>
      </c>
      <c r="S15" s="13" t="e">
        <f>'Heist Brooch'!T6</f>
        <v>#N/A</v>
      </c>
      <c r="T15" s="11" t="e">
        <f>_xlfn.CONCAT("        public string RarityRare =&gt; """, S15, """;")</f>
        <v>#N/A</v>
      </c>
      <c r="V15" s="1" t="s">
        <v>22</v>
      </c>
    </row>
    <row r="16" spans="1:22" ht="15.95" customHeight="1" x14ac:dyDescent="0.25">
      <c r="A16" s="13" t="str">
        <f>'Magic Utility Flask'!B6</f>
        <v>Magic</v>
      </c>
      <c r="B16" s="11" t="str">
        <f>_xlfn.CONCAT("        public string RarityMagic =&gt; """, A16, """;")</f>
        <v xml:space="preserve">        public string RarityMagic =&gt; "Magic";</v>
      </c>
      <c r="C16" s="13" t="str">
        <f>'Magic Utility Flask'!D6</f>
        <v>Magisch</v>
      </c>
      <c r="D16" s="11" t="str">
        <f>_xlfn.CONCAT("        public string RarityMagic =&gt; """, C16, """;")</f>
        <v xml:space="preserve">        public string RarityMagic =&gt; "Magisch";</v>
      </c>
      <c r="E16" s="13" t="str">
        <f>'Magic Utility Flask'!F6</f>
        <v>Mágico</v>
      </c>
      <c r="F16" s="11" t="str">
        <f>_xlfn.CONCAT("        public string RarityMagic =&gt; """, E16, """;")</f>
        <v xml:space="preserve">        public string RarityMagic =&gt; "Mágico";</v>
      </c>
      <c r="G16" s="13" t="str">
        <f>'Magic Utility Flask'!H6</f>
        <v>Magique</v>
      </c>
      <c r="H16" s="11" t="str">
        <f>_xlfn.CONCAT("        public string RarityMagic =&gt; """, G16, """;")</f>
        <v xml:space="preserve">        public string RarityMagic =&gt; "Magique";</v>
      </c>
      <c r="I16" s="13" t="str">
        <f>'Magic Utility Flask'!J6</f>
        <v>マジック</v>
      </c>
      <c r="J16" s="11" t="str">
        <f>_xlfn.CONCAT("        public string RarityMagic =&gt; """, I16, """;")</f>
        <v xml:space="preserve">        public string RarityMagic =&gt; "マジック";</v>
      </c>
      <c r="K16" s="13" t="str">
        <f>'Magic Utility Flask'!L6</f>
        <v>마법</v>
      </c>
      <c r="L16" s="11" t="str">
        <f>_xlfn.CONCAT("        public string RarityMagic =&gt; """, K16, """;")</f>
        <v xml:space="preserve">        public string RarityMagic =&gt; "마법";</v>
      </c>
      <c r="M16" s="13" t="str">
        <f>'Magic Utility Flask'!N6</f>
        <v>Mágico</v>
      </c>
      <c r="N16" s="11" t="str">
        <f>_xlfn.CONCAT("        public string RarityMagic =&gt; """, M16, """;")</f>
        <v xml:space="preserve">        public string RarityMagic =&gt; "Mágico";</v>
      </c>
      <c r="O16" s="13" t="str">
        <f>'Magic Utility Flask'!P6</f>
        <v>Волшебный</v>
      </c>
      <c r="P16" s="11" t="str">
        <f>_xlfn.CONCAT("        public string RarityMagic =&gt; """, O16, """;")</f>
        <v xml:space="preserve">        public string RarityMagic =&gt; "Волшебный";</v>
      </c>
      <c r="Q16" s="13" t="str">
        <f>'Magic Utility Flask'!R6</f>
        <v>เมจิก</v>
      </c>
      <c r="R16" s="11" t="str">
        <f>_xlfn.CONCAT("        public string RarityMagic =&gt; """, Q16, """;")</f>
        <v xml:space="preserve">        public string RarityMagic =&gt; "เมจิก";</v>
      </c>
      <c r="S16" s="13" t="e">
        <f>'Magic Utility Flask'!T6</f>
        <v>#N/A</v>
      </c>
      <c r="T16" s="11" t="e">
        <f>_xlfn.CONCAT("        public string RarityMagic =&gt; """, S16, """;")</f>
        <v>#N/A</v>
      </c>
      <c r="V16" s="1" t="s">
        <v>546</v>
      </c>
    </row>
    <row r="17" spans="1:22" ht="15.95" customHeight="1" x14ac:dyDescent="0.25">
      <c r="A17" s="13" t="str">
        <f>Logbook!B6</f>
        <v>Normal</v>
      </c>
      <c r="B17" s="11" t="str">
        <f>_xlfn.CONCAT("        public string RarityNormal =&gt; """, A17, """;")</f>
        <v xml:space="preserve">        public string RarityNormal =&gt; "Normal";</v>
      </c>
      <c r="C17" s="13" t="str">
        <f>Logbook!D6</f>
        <v>Normal</v>
      </c>
      <c r="D17" s="11" t="str">
        <f>_xlfn.CONCAT("        public string RarityNormal =&gt; """, C17, """;")</f>
        <v xml:space="preserve">        public string RarityNormal =&gt; "Normal";</v>
      </c>
      <c r="E17" s="13" t="str">
        <f>Logbook!F6</f>
        <v>Normal</v>
      </c>
      <c r="F17" s="11" t="str">
        <f>_xlfn.CONCAT("        public string RarityNormal =&gt; """, E17, """;")</f>
        <v xml:space="preserve">        public string RarityNormal =&gt; "Normal";</v>
      </c>
      <c r="G17" s="13" t="str">
        <f>Logbook!H6</f>
        <v>Normal</v>
      </c>
      <c r="H17" s="11" t="str">
        <f>_xlfn.CONCAT("        public string RarityNormal =&gt; """, G17, """;")</f>
        <v xml:space="preserve">        public string RarityNormal =&gt; "Normal";</v>
      </c>
      <c r="I17" s="13" t="str">
        <f>Logbook!J6</f>
        <v>ノーマル</v>
      </c>
      <c r="J17" s="11" t="str">
        <f>_xlfn.CONCAT("        public string RarityNormal =&gt; """, I17, """;")</f>
        <v xml:space="preserve">        public string RarityNormal =&gt; "ノーマル";</v>
      </c>
      <c r="K17" s="13" t="str">
        <f>Logbook!L6</f>
        <v>일반</v>
      </c>
      <c r="L17" s="11" t="str">
        <f>_xlfn.CONCAT("        public string RarityNormal =&gt; """, K17, """;")</f>
        <v xml:space="preserve">        public string RarityNormal =&gt; "일반";</v>
      </c>
      <c r="M17" s="13" t="str">
        <f>Logbook!N6</f>
        <v>Normal</v>
      </c>
      <c r="N17" s="11" t="str">
        <f>_xlfn.CONCAT("        public string RarityNormal =&gt; """, M17, """;")</f>
        <v xml:space="preserve">        public string RarityNormal =&gt; "Normal";</v>
      </c>
      <c r="O17" s="13" t="str">
        <f>Logbook!P6</f>
        <v>Обычный</v>
      </c>
      <c r="P17" s="11" t="str">
        <f>_xlfn.CONCAT("        public string RarityNormal =&gt; """, O17, """;")</f>
        <v xml:space="preserve">        public string RarityNormal =&gt; "Обычный";</v>
      </c>
      <c r="Q17" s="13" t="str">
        <f>Logbook!R6</f>
        <v>ปกติ</v>
      </c>
      <c r="R17" s="11" t="str">
        <f>_xlfn.CONCAT("        public string RarityNormal =&gt; """, Q17, """;")</f>
        <v xml:space="preserve">        public string RarityNormal =&gt; "ปกติ";</v>
      </c>
      <c r="S17" s="13" t="e">
        <f>Logbook!T6</f>
        <v>#N/A</v>
      </c>
      <c r="T17" s="11" t="e">
        <f>_xlfn.CONCAT("        public string RarityNormal =&gt; """, S17, """;")</f>
        <v>#N/A</v>
      </c>
      <c r="V17" s="1" t="s">
        <v>768</v>
      </c>
    </row>
    <row r="18" spans="1:22" ht="15.95" customHeight="1" x14ac:dyDescent="0.25">
      <c r="A18" s="13" t="str">
        <f>'Chaos Orb'!B6</f>
        <v>Currency</v>
      </c>
      <c r="B18" s="11" t="str">
        <f>_xlfn.CONCAT("        public string RarityCurrency =&gt; """, A18, """;")</f>
        <v xml:space="preserve">        public string RarityCurrency =&gt; "Currency";</v>
      </c>
      <c r="C18" s="13" t="str">
        <f>'Chaos Orb'!D6</f>
        <v>Währung</v>
      </c>
      <c r="D18" s="11" t="str">
        <f>_xlfn.CONCAT("        public string RarityCurrency =&gt; """, C18, """;")</f>
        <v xml:space="preserve">        public string RarityCurrency =&gt; "Währung";</v>
      </c>
      <c r="E18" s="13" t="str">
        <f>'Chaos Orb'!F6</f>
        <v>Objetos monetarios</v>
      </c>
      <c r="F18" s="11" t="str">
        <f>_xlfn.CONCAT("        public string RarityCurrency =&gt; """, E18, """;")</f>
        <v xml:space="preserve">        public string RarityCurrency =&gt; "Objetos monetarios";</v>
      </c>
      <c r="G18" s="13" t="str">
        <f>'Chaos Orb'!H6</f>
        <v>Objet monétaire</v>
      </c>
      <c r="H18" s="11" t="str">
        <f>_xlfn.CONCAT("        public string RarityCurrency =&gt; """, G18, """;")</f>
        <v xml:space="preserve">        public string RarityCurrency =&gt; "Objet monétaire";</v>
      </c>
      <c r="I18" s="13" t="str">
        <f>'Chaos Orb'!J6</f>
        <v>カレンシー</v>
      </c>
      <c r="J18" s="11" t="str">
        <f>_xlfn.CONCAT("        public string RarityCurrency =&gt; """, I18, """;")</f>
        <v xml:space="preserve">        public string RarityCurrency =&gt; "カレンシー";</v>
      </c>
      <c r="K18" s="13" t="str">
        <f>'Chaos Orb'!L6</f>
        <v>화폐</v>
      </c>
      <c r="L18" s="11" t="str">
        <f>_xlfn.CONCAT("        public string RarityCurrency =&gt; """, K18, """;")</f>
        <v xml:space="preserve">        public string RarityCurrency =&gt; "화폐";</v>
      </c>
      <c r="M18" s="13" t="str">
        <f>'Chaos Orb'!N6</f>
        <v>Moeda</v>
      </c>
      <c r="N18" s="11" t="str">
        <f>_xlfn.CONCAT("        public string RarityCurrency =&gt; """, M18, """;")</f>
        <v xml:space="preserve">        public string RarityCurrency =&gt; "Moeda";</v>
      </c>
      <c r="O18" s="13" t="str">
        <f>'Chaos Orb'!P6</f>
        <v>Валюта</v>
      </c>
      <c r="P18" s="11" t="str">
        <f>_xlfn.CONCAT("        public string RarityCurrency =&gt; """, O18, """;")</f>
        <v xml:space="preserve">        public string RarityCurrency =&gt; "Валюта";</v>
      </c>
      <c r="Q18" s="13" t="str">
        <f>'Chaos Orb'!R6</f>
        <v>เงินตรา</v>
      </c>
      <c r="R18" s="11" t="str">
        <f>_xlfn.CONCAT("        public string RarityCurrency =&gt; """, Q18, """;")</f>
        <v xml:space="preserve">        public string RarityCurrency =&gt; "เงินตรา";</v>
      </c>
      <c r="S18" s="13" t="e">
        <f>'Chaos Orb'!T6</f>
        <v>#N/A</v>
      </c>
      <c r="T18" s="11" t="e">
        <f>_xlfn.CONCAT("        public string RarityCurrency =&gt; """, S18, """;")</f>
        <v>#N/A</v>
      </c>
      <c r="V18" s="1" t="s">
        <v>769</v>
      </c>
    </row>
    <row r="19" spans="1:22" ht="15.95" customHeight="1" x14ac:dyDescent="0.25">
      <c r="A19" s="13" t="str">
        <f>'Phantasmal Gem'!B6</f>
        <v>Gem</v>
      </c>
      <c r="B19" s="11" t="str">
        <f>_xlfn.CONCAT("        public string RarityGem =&gt; """, A19, """;")</f>
        <v xml:space="preserve">        public string RarityGem =&gt; "Gem";</v>
      </c>
      <c r="C19" s="13" t="str">
        <f>'Phantasmal Gem'!D6</f>
        <v>Gemme</v>
      </c>
      <c r="D19" s="11" t="str">
        <f>_xlfn.CONCAT("        public string RarityGem =&gt; """, C19, """;")</f>
        <v xml:space="preserve">        public string RarityGem =&gt; "Gemme";</v>
      </c>
      <c r="E19" s="13" t="str">
        <f>'Phantasmal Gem'!F6</f>
        <v>Gema</v>
      </c>
      <c r="F19" s="11" t="str">
        <f>_xlfn.CONCAT("        public string RarityGem =&gt; """, E19, """;")</f>
        <v xml:space="preserve">        public string RarityGem =&gt; "Gema";</v>
      </c>
      <c r="G19" s="13" t="str">
        <f>'Phantasmal Gem'!H6</f>
        <v>Gemme</v>
      </c>
      <c r="H19" s="11" t="str">
        <f>_xlfn.CONCAT("        public string RarityGem =&gt; """, G19, """;")</f>
        <v xml:space="preserve">        public string RarityGem =&gt; "Gemme";</v>
      </c>
      <c r="I19" s="13" t="str">
        <f>'Phantasmal Gem'!J6</f>
        <v>ジェム</v>
      </c>
      <c r="J19" s="11" t="str">
        <f>_xlfn.CONCAT("        public string RarityGem =&gt; """, I19, """;")</f>
        <v xml:space="preserve">        public string RarityGem =&gt; "ジェム";</v>
      </c>
      <c r="K19" s="13" t="str">
        <f>'Phantasmal Gem'!L6</f>
        <v>젬</v>
      </c>
      <c r="L19" s="11" t="str">
        <f>_xlfn.CONCAT("        public string RarityGem =&gt; """, K19, """;")</f>
        <v xml:space="preserve">        public string RarityGem =&gt; "젬";</v>
      </c>
      <c r="M19" s="13" t="str">
        <f>'Phantasmal Gem'!N6</f>
        <v>Gema</v>
      </c>
      <c r="N19" s="11" t="str">
        <f>_xlfn.CONCAT("        public string RarityGem =&gt; """, M19, """;")</f>
        <v xml:space="preserve">        public string RarityGem =&gt; "Gema";</v>
      </c>
      <c r="O19" s="13" t="str">
        <f>'Phantasmal Gem'!P6</f>
        <v>Камень</v>
      </c>
      <c r="P19" s="11" t="str">
        <f>_xlfn.CONCAT("        public string RarityGem =&gt; """, O19, """;")</f>
        <v xml:space="preserve">        public string RarityGem =&gt; "Камень";</v>
      </c>
      <c r="Q19" s="13" t="str">
        <f>'Phantasmal Gem'!R6</f>
        <v>หิน</v>
      </c>
      <c r="R19" s="11" t="str">
        <f>_xlfn.CONCAT("        public string RarityGem =&gt; """, Q19, """;")</f>
        <v xml:space="preserve">        public string RarityGem =&gt; "หิน";</v>
      </c>
      <c r="S19" s="13" t="e">
        <f>'Phantasmal Gem'!T6</f>
        <v>#N/A</v>
      </c>
      <c r="T19" s="11" t="e">
        <f>_xlfn.CONCAT("        public string RarityGem =&gt; """, S19, """;")</f>
        <v>#N/A</v>
      </c>
      <c r="V19" s="1" t="s">
        <v>547</v>
      </c>
    </row>
    <row r="20" spans="1:22" ht="15.95" customHeight="1" x14ac:dyDescent="0.25">
      <c r="A20" s="13" t="str">
        <f>Card!B6</f>
        <v>Divination Card</v>
      </c>
      <c r="B20" s="11" t="str">
        <f>_xlfn.CONCAT("        public string RarityDivinationCard =&gt; """, A20, """;")</f>
        <v xml:space="preserve">        public string RarityDivinationCard =&gt; "Divination Card";</v>
      </c>
      <c r="C20" s="13" t="str">
        <f>Card!D6</f>
        <v>Weissagungskarte</v>
      </c>
      <c r="D20" s="11" t="str">
        <f>_xlfn.CONCAT("        public string RarityDivinationCard =&gt; """, C20, """;")</f>
        <v xml:space="preserve">        public string RarityDivinationCard =&gt; "Weissagungskarte";</v>
      </c>
      <c r="E20" s="13" t="str">
        <f>Card!F6</f>
        <v>Carta de adivinación</v>
      </c>
      <c r="F20" s="11" t="str">
        <f>_xlfn.CONCAT("        public string RarityDivinationCard =&gt; """, E20, """;")</f>
        <v xml:space="preserve">        public string RarityDivinationCard =&gt; "Carta de adivinación";</v>
      </c>
      <c r="G20" s="13" t="str">
        <f>Card!H6</f>
        <v>Carte divinatoire</v>
      </c>
      <c r="H20" s="11" t="str">
        <f>_xlfn.CONCAT("        public string RarityDivinationCard =&gt; """, G20, """;")</f>
        <v xml:space="preserve">        public string RarityDivinationCard =&gt; "Carte divinatoire";</v>
      </c>
      <c r="I20" s="13" t="str">
        <f>Card!J6</f>
        <v>占いカード</v>
      </c>
      <c r="J20" s="11" t="str">
        <f>_xlfn.CONCAT("        public string RarityDivinationCard =&gt; """, I20, """;")</f>
        <v xml:space="preserve">        public string RarityDivinationCard =&gt; "占いカード";</v>
      </c>
      <c r="K20" s="13" t="str">
        <f>Card!L6</f>
        <v>점술 카드</v>
      </c>
      <c r="L20" s="11" t="str">
        <f>_xlfn.CONCAT("        public string RarityDivinationCard =&gt; """, K20, """;")</f>
        <v xml:space="preserve">        public string RarityDivinationCard =&gt; "점술 카드";</v>
      </c>
      <c r="M20" s="13" t="str">
        <f>Card!N6</f>
        <v>Carta de Adivinhação</v>
      </c>
      <c r="N20" s="11" t="str">
        <f>_xlfn.CONCAT("        public string RarityDivinationCard =&gt; """, M20, """;")</f>
        <v xml:space="preserve">        public string RarityDivinationCard =&gt; "Carta de Adivinhação";</v>
      </c>
      <c r="O20" s="13" t="str">
        <f>Card!P6</f>
        <v>Гадальная карта</v>
      </c>
      <c r="P20" s="11" t="str">
        <f>_xlfn.CONCAT("        public string RarityDivinationCard =&gt; """, O20, """;")</f>
        <v xml:space="preserve">        public string RarityDivinationCard =&gt; "Гадальная карта";</v>
      </c>
      <c r="Q20" s="13" t="str">
        <f>Card!R6</f>
        <v>ไพ่พยากรณ์</v>
      </c>
      <c r="R20" s="11" t="str">
        <f>_xlfn.CONCAT("        public string RarityDivinationCard =&gt; """, Q20, """;")</f>
        <v xml:space="preserve">        public string RarityDivinationCard =&gt; "ไพ่พยากรณ์";</v>
      </c>
      <c r="S20" s="13" t="e">
        <f>Card!T6</f>
        <v>#N/A</v>
      </c>
      <c r="T20" s="11" t="e">
        <f>_xlfn.CONCAT("        public string RarityDivinationCard =&gt; """, S20, """;")</f>
        <v>#N/A</v>
      </c>
      <c r="V20" s="1" t="s">
        <v>548</v>
      </c>
    </row>
    <row r="21" spans="1:22" ht="15.95" customHeight="1" x14ac:dyDescent="0.25">
      <c r="A21" s="12" t="s">
        <v>28</v>
      </c>
      <c r="B21" s="11"/>
      <c r="C21" s="12" t="s">
        <v>28</v>
      </c>
      <c r="D21" s="11"/>
      <c r="E21" s="12" t="s">
        <v>28</v>
      </c>
      <c r="F21" s="11"/>
      <c r="G21" s="12" t="s">
        <v>28</v>
      </c>
      <c r="H21" s="11"/>
      <c r="I21" s="12" t="s">
        <v>28</v>
      </c>
      <c r="J21" s="11"/>
      <c r="K21" s="12" t="s">
        <v>28</v>
      </c>
      <c r="L21" s="11"/>
      <c r="M21" s="12" t="s">
        <v>28</v>
      </c>
      <c r="N21" s="11"/>
      <c r="O21" s="12" t="s">
        <v>28</v>
      </c>
      <c r="P21" s="11"/>
      <c r="Q21" s="12" t="s">
        <v>28</v>
      </c>
      <c r="R21" s="11"/>
      <c r="S21" s="12" t="s">
        <v>28</v>
      </c>
      <c r="T21" s="11"/>
      <c r="V21" s="1" t="s">
        <v>28</v>
      </c>
    </row>
    <row r="22" spans="1:22" ht="15.95" customHeight="1" x14ac:dyDescent="0.25">
      <c r="A22" s="13" t="str">
        <f>'Unidentified ring'!B11</f>
        <v>Unidentified</v>
      </c>
      <c r="B22" s="11" t="str">
        <f>_xlfn.CONCAT("        public string DescriptionUnidentified =&gt; """, A22, """;")</f>
        <v xml:space="preserve">        public string DescriptionUnidentified =&gt; "Unidentified";</v>
      </c>
      <c r="C22" s="13" t="str">
        <f>'Unidentified ring'!D11</f>
        <v>Nicht identifiziert</v>
      </c>
      <c r="D22" s="11" t="str">
        <f>_xlfn.CONCAT("        public string DescriptionUnidentified =&gt; """, C22, """;")</f>
        <v xml:space="preserve">        public string DescriptionUnidentified =&gt; "Nicht identifiziert";</v>
      </c>
      <c r="E22" s="13" t="str">
        <f>'Unidentified ring'!F11</f>
        <v>Sin identificar</v>
      </c>
      <c r="F22" s="11" t="str">
        <f>_xlfn.CONCAT("        public string DescriptionUnidentified =&gt; """, E22, """;")</f>
        <v xml:space="preserve">        public string DescriptionUnidentified =&gt; "Sin identificar";</v>
      </c>
      <c r="G22" s="13" t="str">
        <f>'Unidentified ring'!H11</f>
        <v>Non identifié</v>
      </c>
      <c r="H22" s="11" t="str">
        <f>_xlfn.CONCAT("        public string DescriptionUnidentified =&gt; """, G22, """;")</f>
        <v xml:space="preserve">        public string DescriptionUnidentified =&gt; "Non identifié";</v>
      </c>
      <c r="I22" s="13" t="str">
        <f>'Unidentified ring'!J11</f>
        <v>未鑑定</v>
      </c>
      <c r="J22" s="11" t="str">
        <f>_xlfn.CONCAT("        public string DescriptionUnidentified =&gt; """, I22, """;")</f>
        <v xml:space="preserve">        public string DescriptionUnidentified =&gt; "未鑑定";</v>
      </c>
      <c r="K22" s="13" t="str">
        <f>'Unidentified ring'!L11</f>
        <v>미확인</v>
      </c>
      <c r="L22" s="11" t="str">
        <f>_xlfn.CONCAT("        public string DescriptionUnidentified =&gt; """, K22, """;")</f>
        <v xml:space="preserve">        public string DescriptionUnidentified =&gt; "미확인";</v>
      </c>
      <c r="M22" s="13" t="str">
        <f>'Unidentified ring'!N11</f>
        <v>Não Identificado</v>
      </c>
      <c r="N22" s="11" t="str">
        <f>_xlfn.CONCAT("        public string DescriptionUnidentified =&gt; """, M22, """;")</f>
        <v xml:space="preserve">        public string DescriptionUnidentified =&gt; "Não Identificado";</v>
      </c>
      <c r="O22" s="13" t="str">
        <f>'Unidentified ring'!P11</f>
        <v>Неопознано</v>
      </c>
      <c r="P22" s="11" t="str">
        <f>_xlfn.CONCAT("        public string DescriptionUnidentified =&gt; """, O22, """;")</f>
        <v xml:space="preserve">        public string DescriptionUnidentified =&gt; "Неопознано";</v>
      </c>
      <c r="Q22" s="13" t="str">
        <f>'Unidentified ring'!R11</f>
        <v>ยังไม่ได้ตรวจสอบ</v>
      </c>
      <c r="R22" s="11" t="str">
        <f>_xlfn.CONCAT("        public string DescriptionUnidentified =&gt; """, Q22, """;")</f>
        <v xml:space="preserve">        public string DescriptionUnidentified =&gt; "ยังไม่ได้ตรวจสอบ";</v>
      </c>
      <c r="S22" s="13">
        <f>'Unidentified ring'!T11</f>
        <v>0</v>
      </c>
      <c r="T22" s="11" t="str">
        <f>_xlfn.CONCAT("        public string DescriptionUnidentified =&gt; """, S22, """;")</f>
        <v xml:space="preserve">        public string DescriptionUnidentified =&gt; "0";</v>
      </c>
      <c r="V22" s="1" t="s">
        <v>75</v>
      </c>
    </row>
    <row r="23" spans="1:22" ht="15.95" customHeight="1" x14ac:dyDescent="0.25">
      <c r="A23" s="13" t="str">
        <f>'Life Flask'!B8</f>
        <v>Quality</v>
      </c>
      <c r="B23" s="11" t="str">
        <f>_xlfn.CONCAT("        public string DescriptionQuality =&gt; """, A23, """;")</f>
        <v xml:space="preserve">        public string DescriptionQuality =&gt; "Quality";</v>
      </c>
      <c r="C23" s="13" t="str">
        <f>'Life Flask'!D8</f>
        <v>Qualität</v>
      </c>
      <c r="D23" s="11" t="str">
        <f>_xlfn.CONCAT("        public string DescriptionQuality =&gt; """, C23, """;")</f>
        <v xml:space="preserve">        public string DescriptionQuality =&gt; "Qualität";</v>
      </c>
      <c r="E23" s="13" t="str">
        <f>'Life Flask'!F8</f>
        <v>Calidad</v>
      </c>
      <c r="F23" s="11" t="str">
        <f>_xlfn.CONCAT("        public string DescriptionQuality =&gt; """, E23, """;")</f>
        <v xml:space="preserve">        public string DescriptionQuality =&gt; "Calidad";</v>
      </c>
      <c r="G23" s="13" t="str">
        <f>'Life Flask'!H8</f>
        <v>Qualité</v>
      </c>
      <c r="H23" s="11" t="str">
        <f>_xlfn.CONCAT("        public string DescriptionQuality =&gt; """, G23, """;")</f>
        <v xml:space="preserve">        public string DescriptionQuality =&gt; "Qualité";</v>
      </c>
      <c r="I23" s="13" t="str">
        <f>'Life Flask'!J8</f>
        <v>品質</v>
      </c>
      <c r="J23" s="11" t="str">
        <f>_xlfn.CONCAT("        public string DescriptionQuality =&gt; """, I23, """;")</f>
        <v xml:space="preserve">        public string DescriptionQuality =&gt; "品質";</v>
      </c>
      <c r="K23" s="13" t="str">
        <f>'Life Flask'!L8</f>
        <v>퀄리티</v>
      </c>
      <c r="L23" s="11" t="str">
        <f>_xlfn.CONCAT("        public string DescriptionQuality =&gt; """, K23, """;")</f>
        <v xml:space="preserve">        public string DescriptionQuality =&gt; "퀄리티";</v>
      </c>
      <c r="M23" s="13" t="str">
        <f>'Life Flask'!N8</f>
        <v>Qualidade</v>
      </c>
      <c r="N23" s="11" t="str">
        <f>_xlfn.CONCAT("        public string DescriptionQuality =&gt; """, M23, """;")</f>
        <v xml:space="preserve">        public string DescriptionQuality =&gt; "Qualidade";</v>
      </c>
      <c r="O23" s="13" t="str">
        <f>'Life Flask'!P8</f>
        <v>Качество</v>
      </c>
      <c r="P23" s="11" t="str">
        <f>_xlfn.CONCAT("        public string DescriptionQuality =&gt; """, O23, """;")</f>
        <v xml:space="preserve">        public string DescriptionQuality =&gt; "Качество";</v>
      </c>
      <c r="Q23" s="13" t="str">
        <f>'Life Flask'!R8</f>
        <v>ค่าคุณภาพ</v>
      </c>
      <c r="R23" s="11" t="str">
        <f>_xlfn.CONCAT("        public string DescriptionQuality =&gt; """, Q23, """;")</f>
        <v xml:space="preserve">        public string DescriptionQuality =&gt; "ค่าคุณภาพ";</v>
      </c>
      <c r="S23" s="13" t="e">
        <f>'Life Flask'!T8</f>
        <v>#N/A</v>
      </c>
      <c r="T23" s="11" t="e">
        <f>_xlfn.CONCAT("        public string DescriptionQuality =&gt; """, S23, """;")</f>
        <v>#N/A</v>
      </c>
      <c r="V23" s="1" t="s">
        <v>76</v>
      </c>
    </row>
    <row r="24" spans="1:22" ht="15.95" customHeight="1" x14ac:dyDescent="0.25">
      <c r="A24" s="13" t="str">
        <f>'Divergent Support Gem'!B10</f>
        <v>Alternate Quality</v>
      </c>
      <c r="B24" s="11" t="str">
        <f>_xlfn.CONCAT("        public string DescriptionAlternateQuality =&gt; """, A24, """;")</f>
        <v xml:space="preserve">        public string DescriptionAlternateQuality =&gt; "Alternate Quality";</v>
      </c>
      <c r="C24" s="13" t="str">
        <f>'Divergent Support Gem'!D10</f>
        <v>Alternative Qualität</v>
      </c>
      <c r="D24" s="11" t="str">
        <f>_xlfn.CONCAT("        public string DescriptionAlternateQuality =&gt; """, C24, """;")</f>
        <v xml:space="preserve">        public string DescriptionAlternateQuality =&gt; "Alternative Qualität";</v>
      </c>
      <c r="E24" s="13" t="str">
        <f>'Divergent Support Gem'!F10</f>
        <v>Calidad alternativa</v>
      </c>
      <c r="F24" s="11" t="str">
        <f>_xlfn.CONCAT("        public string DescriptionAlternateQuality =&gt; """, E24, """;")</f>
        <v xml:space="preserve">        public string DescriptionAlternateQuality =&gt; "Calidad alternativa";</v>
      </c>
      <c r="G24" s="13" t="str">
        <f>'Divergent Support Gem'!H10</f>
        <v>Qualité alternative</v>
      </c>
      <c r="H24" s="11" t="str">
        <f>_xlfn.CONCAT("        public string DescriptionAlternateQuality =&gt; """, G24, """;")</f>
        <v xml:space="preserve">        public string DescriptionAlternateQuality =&gt; "Qualité alternative";</v>
      </c>
      <c r="I24" s="13" t="str">
        <f>'Divergent Support Gem'!J10</f>
        <v>代替品質</v>
      </c>
      <c r="J24" s="11" t="str">
        <f>_xlfn.CONCAT("        public string DescriptionAlternateQuality =&gt; """, I24, """;")</f>
        <v xml:space="preserve">        public string DescriptionAlternateQuality =&gt; "代替品質";</v>
      </c>
      <c r="K24" s="13" t="str">
        <f>'Divergent Support Gem'!L10</f>
        <v>대체 퀄리티</v>
      </c>
      <c r="L24" s="11" t="str">
        <f>_xlfn.CONCAT("        public string DescriptionAlternateQuality =&gt; """, K24, """;")</f>
        <v xml:space="preserve">        public string DescriptionAlternateQuality =&gt; "대체 퀄리티";</v>
      </c>
      <c r="M24" s="13" t="str">
        <f>'Divergent Support Gem'!N10</f>
        <v>Qualidade Alternativa</v>
      </c>
      <c r="N24" s="11" t="str">
        <f>_xlfn.CONCAT("        public string DescriptionAlternateQuality =&gt; """, M24, """;")</f>
        <v xml:space="preserve">        public string DescriptionAlternateQuality =&gt; "Qualidade Alternativa";</v>
      </c>
      <c r="O24" s="13" t="str">
        <f>'Divergent Support Gem'!P10</f>
        <v>Изменённый эффект качества</v>
      </c>
      <c r="P24" s="11" t="str">
        <f>_xlfn.CONCAT("        public string DescriptionAlternateQuality =&gt; """, O24, """;")</f>
        <v xml:space="preserve">        public string DescriptionAlternateQuality =&gt; "Изменённый эффект качества";</v>
      </c>
      <c r="Q24" s="13" t="str">
        <f>'Divergent Support Gem'!R10</f>
        <v>ค่าคุณภาพแบบพิเศษ</v>
      </c>
      <c r="R24" s="11" t="str">
        <f>_xlfn.CONCAT("        public string DescriptionAlternateQuality =&gt; """, Q24, """;")</f>
        <v xml:space="preserve">        public string DescriptionAlternateQuality =&gt; "ค่าคุณภาพแบบพิเศษ";</v>
      </c>
      <c r="S24" s="13">
        <f>'Divergent Support Gem'!T10</f>
        <v>0</v>
      </c>
      <c r="T24" s="11" t="str">
        <f>_xlfn.CONCAT("        public string DescriptionAlternateQuality =&gt; """, S24, """;")</f>
        <v xml:space="preserve">        public string DescriptionAlternateQuality =&gt; "0";</v>
      </c>
      <c r="V24" s="1" t="s">
        <v>601</v>
      </c>
    </row>
    <row r="25" spans="1:22" ht="15.95" customHeight="1" x14ac:dyDescent="0.25">
      <c r="A25" s="13" t="str">
        <f>'Phantasmal Gem'!B8</f>
        <v>Level</v>
      </c>
      <c r="B25" s="11" t="str">
        <f>_xlfn.CONCAT("        public string DescriptionLevel =&gt; """, A25, """;")</f>
        <v xml:space="preserve">        public string DescriptionLevel =&gt; "Level";</v>
      </c>
      <c r="C25" s="13" t="str">
        <f>'Phantasmal Gem'!D8</f>
        <v>Stufe</v>
      </c>
      <c r="D25" s="11" t="str">
        <f>_xlfn.CONCAT("        public string DescriptionLevel =&gt; """, C25, """;")</f>
        <v xml:space="preserve">        public string DescriptionLevel =&gt; "Stufe";</v>
      </c>
      <c r="E25" s="13" t="str">
        <f>'Phantasmal Gem'!F8</f>
        <v>16</v>
      </c>
      <c r="F25" s="11" t="str">
        <f>_xlfn.CONCAT("        public string DescriptionLevel =&gt; """, E25, """;")</f>
        <v xml:space="preserve">        public string DescriptionLevel =&gt; "16";</v>
      </c>
      <c r="G25" s="13" t="str">
        <f>'Phantasmal Gem'!H8</f>
        <v>Niveau</v>
      </c>
      <c r="H25" s="11" t="str">
        <f>_xlfn.CONCAT("        public string DescriptionLevel =&gt; """, G25, """;")</f>
        <v xml:space="preserve">        public string DescriptionLevel =&gt; "Niveau";</v>
      </c>
      <c r="I25" s="13" t="str">
        <f>'Phantasmal Gem'!J8</f>
        <v>レベル</v>
      </c>
      <c r="J25" s="11" t="str">
        <f>_xlfn.CONCAT("        public string DescriptionLevel =&gt; """, I25, """;")</f>
        <v xml:space="preserve">        public string DescriptionLevel =&gt; "レベル";</v>
      </c>
      <c r="K25" s="13" t="str">
        <f>'Phantasmal Gem'!L8</f>
        <v>레벨</v>
      </c>
      <c r="L25" s="11" t="str">
        <f>_xlfn.CONCAT("        public string DescriptionLevel =&gt; """, K25, """;")</f>
        <v xml:space="preserve">        public string DescriptionLevel =&gt; "레벨";</v>
      </c>
      <c r="M25" s="13" t="str">
        <f>'Phantasmal Gem'!N8</f>
        <v>Nível</v>
      </c>
      <c r="N25" s="11" t="str">
        <f>_xlfn.CONCAT("        public string DescriptionLevel =&gt; """, M25, """;")</f>
        <v xml:space="preserve">        public string DescriptionLevel =&gt; "Nível";</v>
      </c>
      <c r="O25" s="13" t="str">
        <f>'Phantasmal Gem'!P8</f>
        <v>Уровень</v>
      </c>
      <c r="P25" s="11" t="str">
        <f>_xlfn.CONCAT("        public string DescriptionLevel =&gt; """, O25, """;")</f>
        <v xml:space="preserve">        public string DescriptionLevel =&gt; "Уровень";</v>
      </c>
      <c r="Q25" s="13" t="str">
        <f>'Phantasmal Gem'!R8</f>
        <v>เลเวล</v>
      </c>
      <c r="R25" s="11" t="str">
        <f>_xlfn.CONCAT("        public string DescriptionLevel =&gt; """, Q25, """;")</f>
        <v xml:space="preserve">        public string DescriptionLevel =&gt; "เลเวล";</v>
      </c>
      <c r="S25" s="13" t="e">
        <f>'Phantasmal Gem'!T8</f>
        <v>#N/A</v>
      </c>
      <c r="T25" s="11" t="e">
        <f>_xlfn.CONCAT("        public string DescriptionLevel =&gt; """, S25, """;")</f>
        <v>#N/A</v>
      </c>
      <c r="V25" s="1" t="s">
        <v>77</v>
      </c>
    </row>
    <row r="26" spans="1:22" ht="15.95" customHeight="1" x14ac:dyDescent="0.25">
      <c r="A26" s="13" t="str">
        <f>'Anomalous Gem'!B27</f>
        <v>Corrupted</v>
      </c>
      <c r="B26" s="11" t="str">
        <f>_xlfn.CONCAT("        public string DescriptionCorrupted =&gt; """, A26, """;")</f>
        <v xml:space="preserve">        public string DescriptionCorrupted =&gt; "Corrupted";</v>
      </c>
      <c r="C26" s="13" t="str">
        <f>'Anomalous Gem'!D27</f>
        <v>Verderbt</v>
      </c>
      <c r="D26" s="11" t="str">
        <f>_xlfn.CONCAT("        public string DescriptionCorrupted =&gt; """, C26, """;")</f>
        <v xml:space="preserve">        public string DescriptionCorrupted =&gt; "Verderbt";</v>
      </c>
      <c r="E26" s="13" t="str">
        <f>'Anomalous Gem'!F27</f>
        <v>Corrupto</v>
      </c>
      <c r="F26" s="11" t="str">
        <f>_xlfn.CONCAT("        public string DescriptionCorrupted =&gt; """, E26, """;")</f>
        <v xml:space="preserve">        public string DescriptionCorrupted =&gt; "Corrupto";</v>
      </c>
      <c r="G26" s="13" t="str">
        <f>'Anomalous Gem'!H27</f>
        <v>Corrompu</v>
      </c>
      <c r="H26" s="11" t="str">
        <f>_xlfn.CONCAT("        public string DescriptionCorrupted =&gt; """, G26, """;")</f>
        <v xml:space="preserve">        public string DescriptionCorrupted =&gt; "Corrompu";</v>
      </c>
      <c r="I26" s="13" t="str">
        <f>'Anomalous Gem'!J27</f>
        <v>コラプト状態</v>
      </c>
      <c r="J26" s="11" t="str">
        <f>_xlfn.CONCAT("        public string DescriptionCorrupted =&gt; """, I26, """;")</f>
        <v xml:space="preserve">        public string DescriptionCorrupted =&gt; "コラプト状態";</v>
      </c>
      <c r="K26" s="13" t="str">
        <f>'Anomalous Gem'!L27</f>
        <v>타락</v>
      </c>
      <c r="L26" s="11" t="str">
        <f>_xlfn.CONCAT("        public string DescriptionCorrupted =&gt; """, K26, """;")</f>
        <v xml:space="preserve">        public string DescriptionCorrupted =&gt; "타락";</v>
      </c>
      <c r="M26" s="13" t="str">
        <f>'Anomalous Gem'!N27</f>
        <v>Corrompido</v>
      </c>
      <c r="N26" s="11" t="str">
        <f>_xlfn.CONCAT("        public string DescriptionCorrupted =&gt; """, M26, """;")</f>
        <v xml:space="preserve">        public string DescriptionCorrupted =&gt; "Corrompido";</v>
      </c>
      <c r="O26" s="13" t="str">
        <f>'Anomalous Gem'!P27</f>
        <v>Осквернено</v>
      </c>
      <c r="P26" s="11" t="str">
        <f>_xlfn.CONCAT("        public string DescriptionCorrupted =&gt; """, O26, """;")</f>
        <v xml:space="preserve">        public string DescriptionCorrupted =&gt; "Осквернено";</v>
      </c>
      <c r="Q26" s="13" t="str">
        <f>'Anomalous Gem'!R27</f>
        <v>มีมลทิน</v>
      </c>
      <c r="R26" s="11" t="str">
        <f>_xlfn.CONCAT("        public string DescriptionCorrupted =&gt; """, Q26, """;")</f>
        <v xml:space="preserve">        public string DescriptionCorrupted =&gt; "มีมลทิน";</v>
      </c>
      <c r="S26" s="13">
        <f>'Anomalous Gem'!T27</f>
        <v>0</v>
      </c>
      <c r="T26" s="11" t="str">
        <f>_xlfn.CONCAT("        public string DescriptionCorrupted =&gt; """, S26, """;")</f>
        <v xml:space="preserve">        public string DescriptionCorrupted =&gt; "0";</v>
      </c>
      <c r="V26" s="1" t="s">
        <v>78</v>
      </c>
    </row>
    <row r="27" spans="1:22" ht="15.95" customHeight="1" x14ac:dyDescent="0.25">
      <c r="A27" s="13" t="str">
        <f>'White Wind'!B20</f>
        <v>Sockets</v>
      </c>
      <c r="B27" s="11" t="str">
        <f>_xlfn.CONCAT("        public string DescriptionSockets =&gt; """, A27, """;")</f>
        <v xml:space="preserve">        public string DescriptionSockets =&gt; "Sockets";</v>
      </c>
      <c r="C27" s="13" t="str">
        <f>'White Wind'!D20</f>
        <v>Fassungen</v>
      </c>
      <c r="D27" s="11" t="str">
        <f>_xlfn.CONCAT("        public string DescriptionSockets =&gt; """, C27, """;")</f>
        <v xml:space="preserve">        public string DescriptionSockets =&gt; "Fassungen";</v>
      </c>
      <c r="E27" s="13" t="str">
        <f>'White Wind'!F20</f>
        <v>Engarces</v>
      </c>
      <c r="F27" s="11" t="str">
        <f>_xlfn.CONCAT("        public string DescriptionSockets =&gt; """, E27, """;")</f>
        <v xml:space="preserve">        public string DescriptionSockets =&gt; "Engarces";</v>
      </c>
      <c r="G27" s="13" t="str">
        <f>'White Wind'!H20</f>
        <v>Châsses</v>
      </c>
      <c r="H27" s="11" t="str">
        <f>_xlfn.CONCAT("        public string DescriptionSockets =&gt; """, G27, """;")</f>
        <v xml:space="preserve">        public string DescriptionSockets =&gt; "Châsses";</v>
      </c>
      <c r="I27" s="13" t="str">
        <f>'White Wind'!J20</f>
        <v>ソケット</v>
      </c>
      <c r="J27" s="11" t="str">
        <f>_xlfn.CONCAT("        public string DescriptionSockets =&gt; """, I27, """;")</f>
        <v xml:space="preserve">        public string DescriptionSockets =&gt; "ソケット";</v>
      </c>
      <c r="K27" s="13" t="str">
        <f>'White Wind'!L20</f>
        <v>홈</v>
      </c>
      <c r="L27" s="11" t="str">
        <f>_xlfn.CONCAT("        public string DescriptionSockets =&gt; """, K27, """;")</f>
        <v xml:space="preserve">        public string DescriptionSockets =&gt; "홈";</v>
      </c>
      <c r="M27" s="13" t="str">
        <f>'White Wind'!N20</f>
        <v>Encaixes</v>
      </c>
      <c r="N27" s="11" t="str">
        <f>_xlfn.CONCAT("        public string DescriptionSockets =&gt; """, M27, """;")</f>
        <v xml:space="preserve">        public string DescriptionSockets =&gt; "Encaixes";</v>
      </c>
      <c r="O27" s="13" t="str">
        <f>'White Wind'!P20</f>
        <v>Гнезда</v>
      </c>
      <c r="P27" s="11" t="str">
        <f>_xlfn.CONCAT("        public string DescriptionSockets =&gt; """, O27, """;")</f>
        <v xml:space="preserve">        public string DescriptionSockets =&gt; "Гнезда";</v>
      </c>
      <c r="Q27" s="13" t="str">
        <f>'White Wind'!R20</f>
        <v>รู</v>
      </c>
      <c r="R27" s="11" t="str">
        <f>_xlfn.CONCAT("        public string DescriptionSockets =&gt; """, Q27, """;")</f>
        <v xml:space="preserve">        public string DescriptionSockets =&gt; "รู";</v>
      </c>
      <c r="S27" s="13" t="e">
        <f>'White Wind'!T20</f>
        <v>#N/A</v>
      </c>
      <c r="T27" s="11" t="e">
        <f>_xlfn.CONCAT("        public string DescriptionSockets =&gt; """, S27, """;")</f>
        <v>#N/A</v>
      </c>
      <c r="V27" s="1" t="s">
        <v>79</v>
      </c>
    </row>
    <row r="28" spans="1:22" ht="15.95" customHeight="1" x14ac:dyDescent="0.25">
      <c r="A28" s="13" t="str">
        <f>'White Wind'!B22</f>
        <v>Item Level</v>
      </c>
      <c r="B28" s="11" t="str">
        <f>_xlfn.CONCAT("        public string DescriptionItemLevel =&gt; """, A28, """;")</f>
        <v xml:space="preserve">        public string DescriptionItemLevel =&gt; "Item Level";</v>
      </c>
      <c r="C28" s="13" t="str">
        <f>'White Wind'!D22</f>
        <v>Gegenstandsstufe</v>
      </c>
      <c r="D28" s="11" t="str">
        <f>_xlfn.CONCAT("        public string DescriptionItemLevel =&gt; """, C28, """;")</f>
        <v xml:space="preserve">        public string DescriptionItemLevel =&gt; "Gegenstandsstufe";</v>
      </c>
      <c r="E28" s="13" t="str">
        <f>'White Wind'!F22</f>
        <v>Nivel de objeto</v>
      </c>
      <c r="F28" s="11" t="str">
        <f>_xlfn.CONCAT("        public string DescriptionItemLevel =&gt; """, E28, """;")</f>
        <v xml:space="preserve">        public string DescriptionItemLevel =&gt; "Nivel de objeto";</v>
      </c>
      <c r="G28" s="13" t="str">
        <f>'White Wind'!H22</f>
        <v>Niveau de l'objet</v>
      </c>
      <c r="H28" s="11" t="str">
        <f>_xlfn.CONCAT("        public string DescriptionItemLevel =&gt; """, G28, """;")</f>
        <v xml:space="preserve">        public string DescriptionItemLevel =&gt; "Niveau de l'objet";</v>
      </c>
      <c r="I28" s="13" t="str">
        <f>'White Wind'!J22</f>
        <v>アイテムレベル</v>
      </c>
      <c r="J28" s="11" t="str">
        <f>_xlfn.CONCAT("        public string DescriptionItemLevel =&gt; """, I28, """;")</f>
        <v xml:space="preserve">        public string DescriptionItemLevel =&gt; "アイテムレベル";</v>
      </c>
      <c r="K28" s="13" t="str">
        <f>'White Wind'!L22</f>
        <v>아이템 레벨</v>
      </c>
      <c r="L28" s="11" t="str">
        <f>_xlfn.CONCAT("        public string DescriptionItemLevel =&gt; """, K28, """;")</f>
        <v xml:space="preserve">        public string DescriptionItemLevel =&gt; "아이템 레벨";</v>
      </c>
      <c r="M28" s="13" t="str">
        <f>'White Wind'!N22</f>
        <v>Nível do Item</v>
      </c>
      <c r="N28" s="11" t="str">
        <f>_xlfn.CONCAT("        public string DescriptionItemLevel =&gt; """, M28, """;")</f>
        <v xml:space="preserve">        public string DescriptionItemLevel =&gt; "Nível do Item";</v>
      </c>
      <c r="O28" s="13" t="str">
        <f>'White Wind'!P22</f>
        <v>Уровень предмета</v>
      </c>
      <c r="P28" s="11" t="str">
        <f>_xlfn.CONCAT("        public string DescriptionItemLevel =&gt; """, O28, """;")</f>
        <v xml:space="preserve">        public string DescriptionItemLevel =&gt; "Уровень предмета";</v>
      </c>
      <c r="Q28" s="13" t="str">
        <f>'White Wind'!R22</f>
        <v>เลเวลไอเทม</v>
      </c>
      <c r="R28" s="11" t="str">
        <f>_xlfn.CONCAT("        public string DescriptionItemLevel =&gt; """, Q28, """;")</f>
        <v xml:space="preserve">        public string DescriptionItemLevel =&gt; "เลเวลไอเทม";</v>
      </c>
      <c r="S28" s="13" t="e">
        <f>'White Wind'!T22</f>
        <v>#N/A</v>
      </c>
      <c r="T28" s="11" t="e">
        <f>_xlfn.CONCAT("        public string DescriptionItemLevel =&gt; """, S28, """;")</f>
        <v>#N/A</v>
      </c>
      <c r="V28" s="1" t="s">
        <v>87</v>
      </c>
    </row>
    <row r="29" spans="1:22" ht="15.95" customHeight="1" x14ac:dyDescent="0.25">
      <c r="A29" s="13" t="str">
        <f>'Phantasmal Gem'!B28</f>
        <v>Experience</v>
      </c>
      <c r="B29" s="11" t="str">
        <f>_xlfn.CONCAT("        public string DescriptionExperience =&gt; """, A29, """;")</f>
        <v xml:space="preserve">        public string DescriptionExperience =&gt; "Experience";</v>
      </c>
      <c r="C29" s="13" t="str">
        <f>'Phantasmal Gem'!D28</f>
        <v>Erfahrung</v>
      </c>
      <c r="D29" s="11" t="str">
        <f>_xlfn.CONCAT("        public string DescriptionExperience =&gt; """, C29, """;")</f>
        <v xml:space="preserve">        public string DescriptionExperience =&gt; "Erfahrung";</v>
      </c>
      <c r="E29" s="13" t="str">
        <f>'Phantasmal Gem'!F28</f>
        <v>Experiencia</v>
      </c>
      <c r="F29" s="11" t="str">
        <f>_xlfn.CONCAT("        public string DescriptionExperience =&gt; """, E29, """;")</f>
        <v xml:space="preserve">        public string DescriptionExperience =&gt; "Experiencia";</v>
      </c>
      <c r="G29" s="13" t="str">
        <f>'Phantasmal Gem'!H28</f>
        <v>Expérience</v>
      </c>
      <c r="H29" s="11" t="str">
        <f>_xlfn.CONCAT("        public string DescriptionExperience =&gt; """, G29, """;")</f>
        <v xml:space="preserve">        public string DescriptionExperience =&gt; "Expérience";</v>
      </c>
      <c r="I29" s="13" t="str">
        <f>'Phantasmal Gem'!J28</f>
        <v>経験値</v>
      </c>
      <c r="J29" s="11" t="str">
        <f>_xlfn.CONCAT("        public string DescriptionExperience =&gt; """, I29, """;")</f>
        <v xml:space="preserve">        public string DescriptionExperience =&gt; "経験値";</v>
      </c>
      <c r="K29" s="13" t="str">
        <f>'Phantasmal Gem'!L28</f>
        <v>경험치</v>
      </c>
      <c r="L29" s="11" t="str">
        <f>_xlfn.CONCAT("        public string DescriptionExperience =&gt; """, K29, """;")</f>
        <v xml:space="preserve">        public string DescriptionExperience =&gt; "경험치";</v>
      </c>
      <c r="M29" s="13" t="str">
        <f>'Phantasmal Gem'!N28</f>
        <v>Experiência</v>
      </c>
      <c r="N29" s="11" t="str">
        <f>_xlfn.CONCAT("        public string DescriptionExperience =&gt; """, M29, """;")</f>
        <v xml:space="preserve">        public string DescriptionExperience =&gt; "Experiência";</v>
      </c>
      <c r="O29" s="13" t="str">
        <f>'Phantasmal Gem'!P28</f>
        <v>Опыт</v>
      </c>
      <c r="P29" s="11" t="str">
        <f>_xlfn.CONCAT("        public string DescriptionExperience =&gt; """, O29, """;")</f>
        <v xml:space="preserve">        public string DescriptionExperience =&gt; "Опыт";</v>
      </c>
      <c r="Q29" s="13" t="str">
        <f>'Phantasmal Gem'!R28</f>
        <v>ค่าประสบการณ์</v>
      </c>
      <c r="R29" s="11" t="str">
        <f>_xlfn.CONCAT("        public string DescriptionExperience =&gt; """, Q29, """;")</f>
        <v xml:space="preserve">        public string DescriptionExperience =&gt; "ค่าประสบการณ์";</v>
      </c>
      <c r="S29" s="13" t="e">
        <f>'Phantasmal Gem'!T28</f>
        <v>#N/A</v>
      </c>
      <c r="T29" s="11" t="e">
        <f>_xlfn.CONCAT("        public string DescriptionExperience =&gt; """, S29, """;")</f>
        <v>#N/A</v>
      </c>
      <c r="V29" s="1" t="s">
        <v>80</v>
      </c>
    </row>
    <row r="30" spans="1:22" ht="15.95" customHeight="1" x14ac:dyDescent="0.25">
      <c r="A30" s="13" t="str">
        <f>'White Wind'!B9</f>
        <v>Physical Damage</v>
      </c>
      <c r="B30" s="11" t="str">
        <f>_xlfn.CONCAT("        public string DescriptionPhysicalDamage =&gt; """, A30, """;")</f>
        <v xml:space="preserve">        public string DescriptionPhysicalDamage =&gt; "Physical Damage";</v>
      </c>
      <c r="C30" s="13" t="str">
        <f>'White Wind'!D9</f>
        <v>Physischer Schaden</v>
      </c>
      <c r="D30" s="11" t="str">
        <f>_xlfn.CONCAT("        public string DescriptionPhysicalDamage =&gt; """, C30, """;")</f>
        <v xml:space="preserve">        public string DescriptionPhysicalDamage =&gt; "Physischer Schaden";</v>
      </c>
      <c r="E30" s="13" t="str">
        <f>'White Wind'!F9</f>
        <v>Daño físico</v>
      </c>
      <c r="F30" s="11" t="str">
        <f>_xlfn.CONCAT("        public string DescriptionPhysicalDamage =&gt; """, E30, """;")</f>
        <v xml:space="preserve">        public string DescriptionPhysicalDamage =&gt; "Daño físico";</v>
      </c>
      <c r="G30" s="13" t="str">
        <f>'White Wind'!H9</f>
        <v>Dégâts physiques</v>
      </c>
      <c r="H30" s="11" t="str">
        <f>_xlfn.CONCAT("        public string DescriptionPhysicalDamage =&gt; """, G30, """;")</f>
        <v xml:space="preserve">        public string DescriptionPhysicalDamage =&gt; "Dégâts physiques";</v>
      </c>
      <c r="I30" s="13" t="str">
        <f>'White Wind'!J9</f>
        <v>物理ダメージ</v>
      </c>
      <c r="J30" s="11" t="str">
        <f>_xlfn.CONCAT("        public string DescriptionPhysicalDamage =&gt; """, I30, """;")</f>
        <v xml:space="preserve">        public string DescriptionPhysicalDamage =&gt; "物理ダメージ";</v>
      </c>
      <c r="K30" s="13" t="str">
        <f>'White Wind'!L9</f>
        <v>물리 피해</v>
      </c>
      <c r="L30" s="11" t="str">
        <f>_xlfn.CONCAT("        public string DescriptionPhysicalDamage =&gt; """, K30, """;")</f>
        <v xml:space="preserve">        public string DescriptionPhysicalDamage =&gt; "물리 피해";</v>
      </c>
      <c r="M30" s="13" t="str">
        <f>'White Wind'!N9</f>
        <v>Dano Físico</v>
      </c>
      <c r="N30" s="11" t="str">
        <f>_xlfn.CONCAT("        public string DescriptionPhysicalDamage =&gt; """, M30, """;")</f>
        <v xml:space="preserve">        public string DescriptionPhysicalDamage =&gt; "Dano Físico";</v>
      </c>
      <c r="O30" s="13" t="str">
        <f>'White Wind'!P9</f>
        <v>Физический урон</v>
      </c>
      <c r="P30" s="11" t="str">
        <f>_xlfn.CONCAT("        public string DescriptionPhysicalDamage =&gt; """, O30, """;")</f>
        <v xml:space="preserve">        public string DescriptionPhysicalDamage =&gt; "Физический урон";</v>
      </c>
      <c r="Q30" s="13" t="str">
        <f>'White Wind'!R9</f>
        <v>ความเสียหายกายภาพ</v>
      </c>
      <c r="R30" s="11" t="str">
        <f>_xlfn.CONCAT("        public string DescriptionPhysicalDamage =&gt; """, Q30, """;")</f>
        <v xml:space="preserve">        public string DescriptionPhysicalDamage =&gt; "ความเสียหายกายภาพ";</v>
      </c>
      <c r="S30" s="13" t="e">
        <f>'White Wind'!T9</f>
        <v>#N/A</v>
      </c>
      <c r="T30" s="11" t="e">
        <f>_xlfn.CONCAT("        public string DescriptionPhysicalDamage =&gt; """, S30, """;")</f>
        <v>#N/A</v>
      </c>
      <c r="V30" s="1" t="s">
        <v>88</v>
      </c>
    </row>
    <row r="31" spans="1:22" ht="15.95" customHeight="1" x14ac:dyDescent="0.25">
      <c r="A31" s="13" t="str">
        <f>'White Wind'!B10</f>
        <v>Elemental Damage</v>
      </c>
      <c r="B31" s="11" t="str">
        <f>_xlfn.CONCAT("        public string DescriptionElementalDamage =&gt; """, A31, """;")</f>
        <v xml:space="preserve">        public string DescriptionElementalDamage =&gt; "Elemental Damage";</v>
      </c>
      <c r="C31" s="13" t="str">
        <f>'White Wind'!D10</f>
        <v>Elementarschaden</v>
      </c>
      <c r="D31" s="11" t="str">
        <f>_xlfn.CONCAT("        public string DescriptionElementalDamage =&gt; """, C31, """;")</f>
        <v xml:space="preserve">        public string DescriptionElementalDamage =&gt; "Elementarschaden";</v>
      </c>
      <c r="E31" s="13" t="str">
        <f>'White Wind'!F10</f>
        <v>Daño elemental</v>
      </c>
      <c r="F31" s="11" t="str">
        <f>_xlfn.CONCAT("        public string DescriptionElementalDamage =&gt; """, E31, """;")</f>
        <v xml:space="preserve">        public string DescriptionElementalDamage =&gt; "Daño elemental";</v>
      </c>
      <c r="G31" s="13" t="str">
        <f>'White Wind'!H10</f>
        <v>Dégâts élémentaires</v>
      </c>
      <c r="H31" s="11" t="str">
        <f>_xlfn.CONCAT("        public string DescriptionElementalDamage =&gt; """, G31, """;")</f>
        <v xml:space="preserve">        public string DescriptionElementalDamage =&gt; "Dégâts élémentaires";</v>
      </c>
      <c r="I31" s="13" t="str">
        <f>'White Wind'!J10</f>
        <v>元素ダメージ</v>
      </c>
      <c r="J31" s="11" t="str">
        <f>_xlfn.CONCAT("        public string DescriptionElementalDamage =&gt; """, I31, """;")</f>
        <v xml:space="preserve">        public string DescriptionElementalDamage =&gt; "元素ダメージ";</v>
      </c>
      <c r="K31" s="13" t="str">
        <f>'White Wind'!L10</f>
        <v>원소 피해</v>
      </c>
      <c r="L31" s="11" t="str">
        <f>_xlfn.CONCAT("        public string DescriptionElementalDamage =&gt; """, K31, """;")</f>
        <v xml:space="preserve">        public string DescriptionElementalDamage =&gt; "원소 피해";</v>
      </c>
      <c r="M31" s="13" t="str">
        <f>'White Wind'!N10</f>
        <v>Dano Elemental</v>
      </c>
      <c r="N31" s="11" t="str">
        <f>_xlfn.CONCAT("        public string DescriptionElementalDamage =&gt; """, M31, """;")</f>
        <v xml:space="preserve">        public string DescriptionElementalDamage =&gt; "Dano Elemental";</v>
      </c>
      <c r="O31" s="13" t="str">
        <f>'White Wind'!P10</f>
        <v>Урон от стихий</v>
      </c>
      <c r="P31" s="11" t="str">
        <f>_xlfn.CONCAT("        public string DescriptionElementalDamage =&gt; """, O31, """;")</f>
        <v xml:space="preserve">        public string DescriptionElementalDamage =&gt; "Урон от стихий";</v>
      </c>
      <c r="Q31" s="13" t="str">
        <f>'White Wind'!R10</f>
        <v>ความเสียหายธาตุ</v>
      </c>
      <c r="R31" s="11" t="str">
        <f>_xlfn.CONCAT("        public string DescriptionElementalDamage =&gt; """, Q31, """;")</f>
        <v xml:space="preserve">        public string DescriptionElementalDamage =&gt; "ความเสียหายธาตุ";</v>
      </c>
      <c r="S31" s="13" t="e">
        <f>'White Wind'!T10</f>
        <v>#N/A</v>
      </c>
      <c r="T31" s="11" t="e">
        <f>_xlfn.CONCAT("        public string DescriptionElementalDamage =&gt; """, S31, """;")</f>
        <v>#N/A</v>
      </c>
      <c r="V31" s="1" t="s">
        <v>89</v>
      </c>
    </row>
    <row r="32" spans="1:22" ht="15.95" customHeight="1" x14ac:dyDescent="0.25">
      <c r="A32" s="13" t="str">
        <f>'Carcass Jack'!B9</f>
        <v>Energy Shield</v>
      </c>
      <c r="B32" s="11" t="str">
        <f>_xlfn.CONCAT("        public string DescriptionEnergyShield =&gt; """, A32, """;")</f>
        <v xml:space="preserve">        public string DescriptionEnergyShield =&gt; "Energy Shield";</v>
      </c>
      <c r="C32" s="13" t="str">
        <f>'Carcass Jack'!D9</f>
        <v>Energieschild</v>
      </c>
      <c r="D32" s="11" t="str">
        <f>_xlfn.CONCAT("        public string DescriptionEnergyShield =&gt; """, C32, """;")</f>
        <v xml:space="preserve">        public string DescriptionEnergyShield =&gt; "Energieschild";</v>
      </c>
      <c r="E32" s="13" t="str">
        <f>'Carcass Jack'!F9</f>
        <v>Escudo de energía</v>
      </c>
      <c r="F32" s="11" t="str">
        <f>_xlfn.CONCAT("        public string DescriptionEnergyShield =&gt; """, E32, """;")</f>
        <v xml:space="preserve">        public string DescriptionEnergyShield =&gt; "Escudo de energía";</v>
      </c>
      <c r="G32" s="13" t="str">
        <f>'Carcass Jack'!H9</f>
        <v>Bouclier d'énergie</v>
      </c>
      <c r="H32" s="11" t="str">
        <f>_xlfn.CONCAT("        public string DescriptionEnergyShield =&gt; """, G32, """;")</f>
        <v xml:space="preserve">        public string DescriptionEnergyShield =&gt; "Bouclier d'énergie";</v>
      </c>
      <c r="I32" s="13" t="str">
        <f>'Carcass Jack'!J9</f>
        <v>エナジーシールド</v>
      </c>
      <c r="J32" s="11" t="str">
        <f>_xlfn.CONCAT("        public string DescriptionEnergyShield =&gt; """, I32, """;")</f>
        <v xml:space="preserve">        public string DescriptionEnergyShield =&gt; "エナジーシールド";</v>
      </c>
      <c r="K32" s="13" t="str">
        <f>'Carcass Jack'!L9</f>
        <v>에너지 보호막</v>
      </c>
      <c r="L32" s="11" t="str">
        <f>_xlfn.CONCAT("        public string DescriptionEnergyShield =&gt; """, K32, """;")</f>
        <v xml:space="preserve">        public string DescriptionEnergyShield =&gt; "에너지 보호막";</v>
      </c>
      <c r="M32" s="13" t="str">
        <f>'Carcass Jack'!N9</f>
        <v>Escudo de Energia</v>
      </c>
      <c r="N32" s="11" t="str">
        <f>_xlfn.CONCAT("        public string DescriptionEnergyShield =&gt; """, M32, """;")</f>
        <v xml:space="preserve">        public string DescriptionEnergyShield =&gt; "Escudo de Energia";</v>
      </c>
      <c r="O32" s="13" t="str">
        <f>'Carcass Jack'!P9</f>
        <v>Энерг. щит</v>
      </c>
      <c r="P32" s="11" t="str">
        <f>_xlfn.CONCAT("        public string DescriptionEnergyShield =&gt; """, O32, """;")</f>
        <v xml:space="preserve">        public string DescriptionEnergyShield =&gt; "Энерг. щит";</v>
      </c>
      <c r="Q32" s="13" t="str">
        <f>'Carcass Jack'!R9</f>
        <v>โล่พลังงาน</v>
      </c>
      <c r="R32" s="11" t="str">
        <f>_xlfn.CONCAT("        public string DescriptionEnergyShield =&gt; """, Q32, """;")</f>
        <v xml:space="preserve">        public string DescriptionEnergyShield =&gt; "โล่พลังงาน";</v>
      </c>
      <c r="S32" s="13" t="e">
        <f>'Carcass Jack'!T9</f>
        <v>#N/A</v>
      </c>
      <c r="T32" s="11" t="e">
        <f>_xlfn.CONCAT("        public string DescriptionEnergyShield =&gt; """, S32, """;")</f>
        <v>#N/A</v>
      </c>
      <c r="V32" s="1" t="s">
        <v>90</v>
      </c>
    </row>
    <row r="33" spans="1:22" ht="15.95" customHeight="1" x14ac:dyDescent="0.25">
      <c r="A33" s="13" t="str">
        <f>Abyssus!B8</f>
        <v>Armour</v>
      </c>
      <c r="B33" s="11" t="str">
        <f>_xlfn.CONCAT("        public string DescriptionArmour =&gt; """, A33, """;")</f>
        <v xml:space="preserve">        public string DescriptionArmour =&gt; "Armour";</v>
      </c>
      <c r="C33" s="13" t="str">
        <f>Abyssus!D8</f>
        <v>Rüstung</v>
      </c>
      <c r="D33" s="11" t="str">
        <f>_xlfn.CONCAT("        public string DescriptionArmour =&gt; """, C33, """;")</f>
        <v xml:space="preserve">        public string DescriptionArmour =&gt; "Rüstung";</v>
      </c>
      <c r="E33" s="13" t="str">
        <f>Abyssus!F8</f>
        <v>Armadura</v>
      </c>
      <c r="F33" s="11" t="str">
        <f>_xlfn.CONCAT("        public string DescriptionArmour =&gt; """, E33, """;")</f>
        <v xml:space="preserve">        public string DescriptionArmour =&gt; "Armadura";</v>
      </c>
      <c r="G33" s="13" t="str">
        <f>Abyssus!H8</f>
        <v>Armure</v>
      </c>
      <c r="H33" s="11" t="str">
        <f>_xlfn.CONCAT("        public string DescriptionArmour =&gt; """, G33, """;")</f>
        <v xml:space="preserve">        public string DescriptionArmour =&gt; "Armure";</v>
      </c>
      <c r="I33" s="13" t="str">
        <f>Abyssus!J8</f>
        <v>アーマー</v>
      </c>
      <c r="J33" s="11" t="str">
        <f>_xlfn.CONCAT("        public string DescriptionArmour =&gt; """, I33, """;")</f>
        <v xml:space="preserve">        public string DescriptionArmour =&gt; "アーマー";</v>
      </c>
      <c r="K33" s="13" t="str">
        <f>Abyssus!L8</f>
        <v>방어도</v>
      </c>
      <c r="L33" s="11" t="str">
        <f>_xlfn.CONCAT("        public string DescriptionArmour =&gt; """, K33, """;")</f>
        <v xml:space="preserve">        public string DescriptionArmour =&gt; "방어도";</v>
      </c>
      <c r="M33" s="13" t="str">
        <f>Abyssus!N8</f>
        <v>Armadura</v>
      </c>
      <c r="N33" s="11" t="str">
        <f>_xlfn.CONCAT("        public string DescriptionArmour =&gt; """, M33, """;")</f>
        <v xml:space="preserve">        public string DescriptionArmour =&gt; "Armadura";</v>
      </c>
      <c r="O33" s="13" t="str">
        <f>Abyssus!P8</f>
        <v>Броня</v>
      </c>
      <c r="P33" s="11" t="str">
        <f>_xlfn.CONCAT("        public string DescriptionArmour =&gt; """, O33, """;")</f>
        <v xml:space="preserve">        public string DescriptionArmour =&gt; "Броня";</v>
      </c>
      <c r="Q33" s="13" t="str">
        <f>Abyssus!R8</f>
        <v>ค่าเกราะ</v>
      </c>
      <c r="R33" s="11" t="str">
        <f>_xlfn.CONCAT("        public string DescriptionArmour =&gt; """, Q33, """;")</f>
        <v xml:space="preserve">        public string DescriptionArmour =&gt; "ค่าเกราะ";</v>
      </c>
      <c r="S33" s="13" t="e">
        <f>Abyssus!T8</f>
        <v>#N/A</v>
      </c>
      <c r="T33" s="11" t="e">
        <f>_xlfn.CONCAT("        public string DescriptionArmour =&gt; """, S33, """;")</f>
        <v>#N/A</v>
      </c>
      <c r="V33" s="1" t="s">
        <v>81</v>
      </c>
    </row>
    <row r="34" spans="1:22" ht="15.95" customHeight="1" x14ac:dyDescent="0.25">
      <c r="A34" s="13" t="str">
        <f>'Carcass Jack'!B8</f>
        <v>Evasion Rating</v>
      </c>
      <c r="B34" s="11" t="str">
        <f>_xlfn.CONCAT("        public string DescriptionEvasion =&gt; """, A34, """;")</f>
        <v xml:space="preserve">        public string DescriptionEvasion =&gt; "Evasion Rating";</v>
      </c>
      <c r="C34" s="13" t="str">
        <f>'Carcass Jack'!D8</f>
        <v>Ausweichwert</v>
      </c>
      <c r="D34" s="11" t="str">
        <f>_xlfn.CONCAT("        public string DescriptionEvasion =&gt; """, C34, """;")</f>
        <v xml:space="preserve">        public string DescriptionEvasion =&gt; "Ausweichwert";</v>
      </c>
      <c r="E34" s="13" t="str">
        <f>'Carcass Jack'!F8</f>
        <v>Evasión</v>
      </c>
      <c r="F34" s="11" t="str">
        <f>_xlfn.CONCAT("        public string DescriptionEvasion =&gt; """, E34, """;")</f>
        <v xml:space="preserve">        public string DescriptionEvasion =&gt; "Evasión";</v>
      </c>
      <c r="G34" s="13" t="str">
        <f>'Carcass Jack'!H8</f>
        <v>Score d'Évasion</v>
      </c>
      <c r="H34" s="11" t="str">
        <f>_xlfn.CONCAT("        public string DescriptionEvasion =&gt; """, G34, """;")</f>
        <v xml:space="preserve">        public string DescriptionEvasion =&gt; "Score d'Évasion";</v>
      </c>
      <c r="I34" s="13" t="str">
        <f>'Carcass Jack'!J8</f>
        <v>回避力</v>
      </c>
      <c r="J34" s="11" t="str">
        <f>_xlfn.CONCAT("        public string DescriptionEvasion =&gt; """, I34, """;")</f>
        <v xml:space="preserve">        public string DescriptionEvasion =&gt; "回避力";</v>
      </c>
      <c r="K34" s="13" t="str">
        <f>'Carcass Jack'!L8</f>
        <v>회피</v>
      </c>
      <c r="L34" s="11" t="str">
        <f>_xlfn.CONCAT("        public string DescriptionEvasion =&gt; """, K34, """;")</f>
        <v xml:space="preserve">        public string DescriptionEvasion =&gt; "회피";</v>
      </c>
      <c r="M34" s="13" t="str">
        <f>'Carcass Jack'!N8</f>
        <v>Evasão</v>
      </c>
      <c r="N34" s="11" t="str">
        <f>_xlfn.CONCAT("        public string DescriptionEvasion =&gt; """, M34, """;")</f>
        <v xml:space="preserve">        public string DescriptionEvasion =&gt; "Evasão";</v>
      </c>
      <c r="O34" s="13" t="str">
        <f>'Carcass Jack'!P8</f>
        <v>Уклонение</v>
      </c>
      <c r="P34" s="11" t="str">
        <f>_xlfn.CONCAT("        public string DescriptionEvasion =&gt; """, O34, """;")</f>
        <v xml:space="preserve">        public string DescriptionEvasion =&gt; "Уклонение";</v>
      </c>
      <c r="Q34" s="13" t="str">
        <f>'Carcass Jack'!R8</f>
        <v>อัตราการหลบหลีก</v>
      </c>
      <c r="R34" s="11" t="str">
        <f>_xlfn.CONCAT("        public string DescriptionEvasion =&gt; """, Q34, """;")</f>
        <v xml:space="preserve">        public string DescriptionEvasion =&gt; "อัตราการหลบหลีก";</v>
      </c>
      <c r="S34" s="13" t="e">
        <f>'Carcass Jack'!T8</f>
        <v>#N/A</v>
      </c>
      <c r="T34" s="11" t="e">
        <f>_xlfn.CONCAT("        public string DescriptionEvasion =&gt; """, S34, """;")</f>
        <v>#N/A</v>
      </c>
      <c r="V34" s="1" t="s">
        <v>91</v>
      </c>
    </row>
    <row r="35" spans="1:22" ht="15.95" customHeight="1" x14ac:dyDescent="0.25">
      <c r="A35" s="13" t="str">
        <f>Mistwall!B8</f>
        <v>Chance to Block</v>
      </c>
      <c r="B35" s="11" t="str">
        <f>_xlfn.CONCAT("        public string DescriptionChanceToBlock =&gt; """, A35, """;")</f>
        <v xml:space="preserve">        public string DescriptionChanceToBlock =&gt; "Chance to Block";</v>
      </c>
      <c r="C35" s="13" t="str">
        <f>Mistwall!D8</f>
        <v>Chance auf Blocken</v>
      </c>
      <c r="D35" s="11" t="str">
        <f>_xlfn.CONCAT("        public string DescriptionChanceToBlock =&gt; """, C35, """;")</f>
        <v xml:space="preserve">        public string DescriptionChanceToBlock =&gt; "Chance auf Blocken";</v>
      </c>
      <c r="E35" s="13" t="str">
        <f>Mistwall!F8</f>
        <v>Probabilidad de bloqueo</v>
      </c>
      <c r="F35" s="11" t="str">
        <f>_xlfn.CONCAT("        public string DescriptionChanceToBlock =&gt; """, E35, """;")</f>
        <v xml:space="preserve">        public string DescriptionChanceToBlock =&gt; "Probabilidad de bloqueo";</v>
      </c>
      <c r="G35" s="13" t="str">
        <f>Mistwall!H8</f>
        <v>Chances de blocage</v>
      </c>
      <c r="H35" s="11" t="str">
        <f>_xlfn.CONCAT("        public string DescriptionChanceToBlock =&gt; """, G35, """;")</f>
        <v xml:space="preserve">        public string DescriptionChanceToBlock =&gt; "Chances de blocage";</v>
      </c>
      <c r="I35" s="13" t="str">
        <f>Mistwall!J8</f>
        <v>ブロック率</v>
      </c>
      <c r="J35" s="11" t="str">
        <f>_xlfn.CONCAT("        public string DescriptionChanceToBlock =&gt; """, I35, """;")</f>
        <v xml:space="preserve">        public string DescriptionChanceToBlock =&gt; "ブロック率";</v>
      </c>
      <c r="K35" s="13" t="str">
        <f>Mistwall!L8</f>
        <v>막기 확률</v>
      </c>
      <c r="L35" s="11" t="str">
        <f>_xlfn.CONCAT("        public string DescriptionChanceToBlock =&gt; """, K35, """;")</f>
        <v xml:space="preserve">        public string DescriptionChanceToBlock =&gt; "막기 확률";</v>
      </c>
      <c r="M35" s="13" t="str">
        <f>Mistwall!N8</f>
        <v>Chance de Bloquear</v>
      </c>
      <c r="N35" s="11" t="str">
        <f>_xlfn.CONCAT("        public string DescriptionChanceToBlock =&gt; """, M35, """;")</f>
        <v xml:space="preserve">        public string DescriptionChanceToBlock =&gt; "Chance de Bloquear";</v>
      </c>
      <c r="O35" s="13" t="str">
        <f>Mistwall!P8</f>
        <v>Шанс заблокировать удар</v>
      </c>
      <c r="P35" s="11" t="str">
        <f>_xlfn.CONCAT("        public string DescriptionChanceToBlock =&gt; """, O35, """;")</f>
        <v xml:space="preserve">        public string DescriptionChanceToBlock =&gt; "Шанс заблокировать удар";</v>
      </c>
      <c r="Q35" s="13" t="str">
        <f>Mistwall!R8</f>
        <v>โอกาสบล็อค</v>
      </c>
      <c r="R35" s="11" t="str">
        <f>_xlfn.CONCAT("        public string DescriptionChanceToBlock =&gt; """, Q35, """;")</f>
        <v xml:space="preserve">        public string DescriptionChanceToBlock =&gt; "โอกาสบล็อค";</v>
      </c>
      <c r="S35" s="13" t="e">
        <f>Mistwall!T8</f>
        <v>#N/A</v>
      </c>
      <c r="T35" s="11" t="e">
        <f>_xlfn.CONCAT("        public string DescriptionChanceToBlock =&gt; """, S35, """;")</f>
        <v>#N/A</v>
      </c>
      <c r="V35" s="1" t="s">
        <v>92</v>
      </c>
    </row>
    <row r="36" spans="1:22" ht="15.95" customHeight="1" x14ac:dyDescent="0.25">
      <c r="A36" s="13" t="str">
        <f>'White Wind'!B12</f>
        <v>Attacks per Second</v>
      </c>
      <c r="B36" s="11" t="str">
        <f>_xlfn.CONCAT("        public string DescriptionAttacksPerSecond =&gt; """, A36, """;")</f>
        <v xml:space="preserve">        public string DescriptionAttacksPerSecond =&gt; "Attacks per Second";</v>
      </c>
      <c r="C36" s="13" t="str">
        <f>'White Wind'!D12</f>
        <v>Angriffe pro Sekunde</v>
      </c>
      <c r="D36" s="11" t="str">
        <f>_xlfn.CONCAT("        public string DescriptionAttacksPerSecond =&gt; """, C36, """;")</f>
        <v xml:space="preserve">        public string DescriptionAttacksPerSecond =&gt; "Angriffe pro Sekunde";</v>
      </c>
      <c r="E36" s="13" t="str">
        <f>'White Wind'!F12</f>
        <v>Ataques por segundo</v>
      </c>
      <c r="F36" s="11" t="str">
        <f>_xlfn.CONCAT("        public string DescriptionAttacksPerSecond =&gt; """, E36, """;")</f>
        <v xml:space="preserve">        public string DescriptionAttacksPerSecond =&gt; "Ataques por segundo";</v>
      </c>
      <c r="G36" s="13" t="str">
        <f>'White Wind'!H12</f>
        <v>Attaques par seconde</v>
      </c>
      <c r="H36" s="11" t="str">
        <f>_xlfn.CONCAT("        public string DescriptionAttacksPerSecond =&gt; """, G36, """;")</f>
        <v xml:space="preserve">        public string DescriptionAttacksPerSecond =&gt; "Attaques par seconde";</v>
      </c>
      <c r="I36" s="13" t="str">
        <f>'White Wind'!J12</f>
        <v>秒間アタック回数</v>
      </c>
      <c r="J36" s="11" t="str">
        <f>_xlfn.CONCAT("        public string DescriptionAttacksPerSecond =&gt; """, I36, """;")</f>
        <v xml:space="preserve">        public string DescriptionAttacksPerSecond =&gt; "秒間アタック回数";</v>
      </c>
      <c r="K36" s="13" t="str">
        <f>'White Wind'!L12</f>
        <v>초당 공격 횟수</v>
      </c>
      <c r="L36" s="11" t="str">
        <f>_xlfn.CONCAT("        public string DescriptionAttacksPerSecond =&gt; """, K36, """;")</f>
        <v xml:space="preserve">        public string DescriptionAttacksPerSecond =&gt; "초당 공격 횟수";</v>
      </c>
      <c r="M36" s="13" t="str">
        <f>'White Wind'!N12</f>
        <v>Ataques por Segundo</v>
      </c>
      <c r="N36" s="11" t="str">
        <f>_xlfn.CONCAT("        public string DescriptionAttacksPerSecond =&gt; """, M36, """;")</f>
        <v xml:space="preserve">        public string DescriptionAttacksPerSecond =&gt; "Ataques por Segundo";</v>
      </c>
      <c r="O36" s="13" t="str">
        <f>'White Wind'!P12</f>
        <v>Атак в секунду</v>
      </c>
      <c r="P36" s="11" t="str">
        <f>_xlfn.CONCAT("        public string DescriptionAttacksPerSecond =&gt; """, O36, """;")</f>
        <v xml:space="preserve">        public string DescriptionAttacksPerSecond =&gt; "Атак в секунду";</v>
      </c>
      <c r="Q36" s="13" t="str">
        <f>'White Wind'!R12</f>
        <v>จำนวนครั้งการโจมตีต่อวินาที</v>
      </c>
      <c r="R36" s="11" t="str">
        <f>_xlfn.CONCAT("        public string DescriptionAttacksPerSecond =&gt; """, Q36, """;")</f>
        <v xml:space="preserve">        public string DescriptionAttacksPerSecond =&gt; "จำนวนครั้งการโจมตีต่อวินาที";</v>
      </c>
      <c r="S36" s="13" t="e">
        <f>'White Wind'!T12</f>
        <v>#N/A</v>
      </c>
      <c r="T36" s="11" t="e">
        <f>_xlfn.CONCAT("        public string DescriptionAttacksPerSecond =&gt; """, S36, """;")</f>
        <v>#N/A</v>
      </c>
      <c r="V36" s="1" t="s">
        <v>93</v>
      </c>
    </row>
    <row r="37" spans="1:22" ht="15.95" customHeight="1" x14ac:dyDescent="0.25">
      <c r="A37" s="13" t="str">
        <f>'White Wind'!B11</f>
        <v>Critical Strike Chance</v>
      </c>
      <c r="B37" s="11" t="str">
        <f>_xlfn.CONCAT("        public string DescriptionCriticalStrikeChance =&gt; """, A37, """;")</f>
        <v xml:space="preserve">        public string DescriptionCriticalStrikeChance =&gt; "Critical Strike Chance";</v>
      </c>
      <c r="C37" s="13" t="str">
        <f>'White Wind'!D11</f>
        <v>Kritische Trefferchance</v>
      </c>
      <c r="D37" s="11" t="str">
        <f>_xlfn.CONCAT("        public string DescriptionCriticalStrikeChance =&gt; """, C37, """;")</f>
        <v xml:space="preserve">        public string DescriptionCriticalStrikeChance =&gt; "Kritische Trefferchance";</v>
      </c>
      <c r="E37" s="13" t="str">
        <f>'White Wind'!F11</f>
        <v>Daño de golpe crítico</v>
      </c>
      <c r="F37" s="11" t="str">
        <f>_xlfn.CONCAT("        public string DescriptionCriticalStrikeChance =&gt; """, E37, """;")</f>
        <v xml:space="preserve">        public string DescriptionCriticalStrikeChance =&gt; "Daño de golpe crítico";</v>
      </c>
      <c r="G37" s="13" t="str">
        <f>'White Wind'!H11</f>
        <v>Chances de coup critique</v>
      </c>
      <c r="H37" s="11" t="str">
        <f>_xlfn.CONCAT("        public string DescriptionCriticalStrikeChance =&gt; """, G37, """;")</f>
        <v xml:space="preserve">        public string DescriptionCriticalStrikeChance =&gt; "Chances de coup critique";</v>
      </c>
      <c r="I37" s="13" t="str">
        <f>'White Wind'!J11</f>
        <v>クリティカル率</v>
      </c>
      <c r="J37" s="11" t="str">
        <f>_xlfn.CONCAT("        public string DescriptionCriticalStrikeChance =&gt; """, I37, """;")</f>
        <v xml:space="preserve">        public string DescriptionCriticalStrikeChance =&gt; "クリティカル率";</v>
      </c>
      <c r="K37" s="13" t="str">
        <f>'White Wind'!L11</f>
        <v>치명타 확률</v>
      </c>
      <c r="L37" s="11" t="str">
        <f>_xlfn.CONCAT("        public string DescriptionCriticalStrikeChance =&gt; """, K37, """;")</f>
        <v xml:space="preserve">        public string DescriptionCriticalStrikeChance =&gt; "치명타 확률";</v>
      </c>
      <c r="M37" s="13" t="str">
        <f>'White Wind'!N11</f>
        <v>Chance de Crítico</v>
      </c>
      <c r="N37" s="11" t="str">
        <f>_xlfn.CONCAT("        public string DescriptionCriticalStrikeChance =&gt; """, M37, """;")</f>
        <v xml:space="preserve">        public string DescriptionCriticalStrikeChance =&gt; "Chance de Crítico";</v>
      </c>
      <c r="O37" s="13" t="str">
        <f>'White Wind'!P11</f>
        <v>Шанс критического удара</v>
      </c>
      <c r="P37" s="11" t="str">
        <f>_xlfn.CONCAT("        public string DescriptionCriticalStrikeChance =&gt; """, O37, """;")</f>
        <v xml:space="preserve">        public string DescriptionCriticalStrikeChance =&gt; "Шанс критического удара";</v>
      </c>
      <c r="Q37" s="13" t="str">
        <f>'White Wind'!R11</f>
        <v>โอกาสคริติคอล</v>
      </c>
      <c r="R37" s="11" t="str">
        <f>_xlfn.CONCAT("        public string DescriptionCriticalStrikeChance =&gt; """, Q37, """;")</f>
        <v xml:space="preserve">        public string DescriptionCriticalStrikeChance =&gt; "โอกาสคริติคอล";</v>
      </c>
      <c r="S37" s="13" t="e">
        <f>'White Wind'!T11</f>
        <v>#N/A</v>
      </c>
      <c r="T37" s="11" t="e">
        <f>_xlfn.CONCAT("        public string DescriptionCriticalStrikeChance =&gt; """, S37, """;")</f>
        <v>#N/A</v>
      </c>
      <c r="V37" s="1" t="s">
        <v>94</v>
      </c>
    </row>
    <row r="38" spans="1:22" ht="15.95" customHeight="1" x14ac:dyDescent="0.25">
      <c r="A38" s="13" t="str">
        <f>'Blighted Map'!B7</f>
        <v>Map Tier</v>
      </c>
      <c r="B38" s="11" t="str">
        <f>_xlfn.CONCAT("        public string DescriptionMapTier =&gt; """, A38, """;")</f>
        <v xml:space="preserve">        public string DescriptionMapTier =&gt; "Map Tier";</v>
      </c>
      <c r="C38" s="13" t="str">
        <f>'Blighted Map'!D7</f>
        <v>Kartenlevel</v>
      </c>
      <c r="D38" s="11" t="str">
        <f>_xlfn.CONCAT("        public string DescriptionMapTier =&gt; """, C38, """;")</f>
        <v xml:space="preserve">        public string DescriptionMapTier =&gt; "Kartenlevel";</v>
      </c>
      <c r="E38" s="13" t="str">
        <f>'Blighted Map'!F7</f>
        <v>Grado del mapa</v>
      </c>
      <c r="F38" s="11" t="str">
        <f>_xlfn.CONCAT("        public string DescriptionMapTier =&gt; """, E38, """;")</f>
        <v xml:space="preserve">        public string DescriptionMapTier =&gt; "Grado del mapa";</v>
      </c>
      <c r="G38" s="13" t="str">
        <f>'Blighted Map'!H7</f>
        <v>Palier de Carte</v>
      </c>
      <c r="H38" s="11" t="str">
        <f>_xlfn.CONCAT("        public string DescriptionMapTier =&gt; """, G38, """;")</f>
        <v xml:space="preserve">        public string DescriptionMapTier =&gt; "Palier de Carte";</v>
      </c>
      <c r="I38" s="13" t="str">
        <f>'Blighted Map'!J7</f>
        <v>マップティア</v>
      </c>
      <c r="J38" s="11" t="str">
        <f>_xlfn.CONCAT("        public string DescriptionMapTier =&gt; """, I38, """;")</f>
        <v xml:space="preserve">        public string DescriptionMapTier =&gt; "マップティア";</v>
      </c>
      <c r="K38" s="13" t="str">
        <f>'Blighted Map'!L7</f>
        <v>지도 등급</v>
      </c>
      <c r="L38" s="11" t="str">
        <f>_xlfn.CONCAT("        public string DescriptionMapTier =&gt; """, K38, """;")</f>
        <v xml:space="preserve">        public string DescriptionMapTier =&gt; "지도 등급";</v>
      </c>
      <c r="M38" s="13" t="str">
        <f>'Blighted Map'!N7</f>
        <v>Tier do Mapa</v>
      </c>
      <c r="N38" s="11" t="str">
        <f>_xlfn.CONCAT("        public string DescriptionMapTier =&gt; """, M38, """;")</f>
        <v xml:space="preserve">        public string DescriptionMapTier =&gt; "Tier do Mapa";</v>
      </c>
      <c r="O38" s="13" t="str">
        <f>'Blighted Map'!P7</f>
        <v>Уровень карты</v>
      </c>
      <c r="P38" s="11" t="str">
        <f>_xlfn.CONCAT("        public string DescriptionMapTier =&gt; """, O38, """;")</f>
        <v xml:space="preserve">        public string DescriptionMapTier =&gt; "Уровень карты";</v>
      </c>
      <c r="Q38" s="13" t="str">
        <f>'Blighted Map'!R7</f>
        <v>ระดับแผนที่</v>
      </c>
      <c r="R38" s="11" t="str">
        <f>_xlfn.CONCAT("        public string DescriptionMapTier =&gt; """, Q38, """;")</f>
        <v xml:space="preserve">        public string DescriptionMapTier =&gt; "ระดับแผนที่";</v>
      </c>
      <c r="S38" s="13" t="e">
        <f>'Blighted Map'!T7</f>
        <v>#N/A</v>
      </c>
      <c r="T38" s="11" t="e">
        <f>_xlfn.CONCAT("        public string DescriptionMapTier =&gt; """, S38, """;")</f>
        <v>#N/A</v>
      </c>
      <c r="V38" s="1" t="s">
        <v>95</v>
      </c>
    </row>
    <row r="39" spans="1:22" ht="15.95" customHeight="1" x14ac:dyDescent="0.25">
      <c r="A39" s="13" t="str">
        <f>Map!B8</f>
        <v>Item Quantity</v>
      </c>
      <c r="B39" s="11" t="str">
        <f>_xlfn.CONCAT("        public string DescriptionItemQuantity =&gt; """, A39, """;")</f>
        <v xml:space="preserve">        public string DescriptionItemQuantity =&gt; "Item Quantity";</v>
      </c>
      <c r="C39" s="13" t="str">
        <f>Map!D8</f>
        <v>Gegenstandsmenge</v>
      </c>
      <c r="D39" s="11" t="str">
        <f>_xlfn.CONCAT("        public string DescriptionItemQuantity =&gt; """, C39, """;")</f>
        <v xml:space="preserve">        public string DescriptionItemQuantity =&gt; "Gegenstandsmenge";</v>
      </c>
      <c r="E39" s="13" t="str">
        <f>Map!F8</f>
        <v>Cantidad de objetos</v>
      </c>
      <c r="F39" s="11" t="str">
        <f>_xlfn.CONCAT("        public string DescriptionItemQuantity =&gt; """, E39, """;")</f>
        <v xml:space="preserve">        public string DescriptionItemQuantity =&gt; "Cantidad de objetos";</v>
      </c>
      <c r="G39" s="13" t="str">
        <f>Map!H8</f>
        <v>Quantité d'objets</v>
      </c>
      <c r="H39" s="11" t="str">
        <f>_xlfn.CONCAT("        public string DescriptionItemQuantity =&gt; """, G39, """;")</f>
        <v xml:space="preserve">        public string DescriptionItemQuantity =&gt; "Quantité d'objets";</v>
      </c>
      <c r="I39" s="13" t="str">
        <f>Map!J8</f>
        <v>アイテム数量</v>
      </c>
      <c r="J39" s="11" t="str">
        <f>_xlfn.CONCAT("        public string DescriptionItemQuantity =&gt; """, I39, """;")</f>
        <v xml:space="preserve">        public string DescriptionItemQuantity =&gt; "アイテム数量";</v>
      </c>
      <c r="K39" s="13" t="str">
        <f>Map!L8</f>
        <v>아이템 수량</v>
      </c>
      <c r="L39" s="11" t="str">
        <f>_xlfn.CONCAT("        public string DescriptionItemQuantity =&gt; """, K39, """;")</f>
        <v xml:space="preserve">        public string DescriptionItemQuantity =&gt; "아이템 수량";</v>
      </c>
      <c r="M39" s="13" t="str">
        <f>Map!N8</f>
        <v>Quantidade de Itens</v>
      </c>
      <c r="N39" s="11" t="str">
        <f>_xlfn.CONCAT("        public string DescriptionItemQuantity =&gt; """, M39, """;")</f>
        <v xml:space="preserve">        public string DescriptionItemQuantity =&gt; "Quantidade de Itens";</v>
      </c>
      <c r="O39" s="13" t="str">
        <f>Map!P8</f>
        <v>Количество предметов</v>
      </c>
      <c r="P39" s="11" t="str">
        <f>_xlfn.CONCAT("        public string DescriptionItemQuantity =&gt; """, O39, """;")</f>
        <v xml:space="preserve">        public string DescriptionItemQuantity =&gt; "Количество предметов";</v>
      </c>
      <c r="Q39" s="13" t="str">
        <f>Map!R8</f>
        <v>จำนวนของไอเทม</v>
      </c>
      <c r="R39" s="11" t="str">
        <f>_xlfn.CONCAT("        public string DescriptionItemQuantity =&gt; """, Q39, """;")</f>
        <v xml:space="preserve">        public string DescriptionItemQuantity =&gt; "จำนวนของไอเทม";</v>
      </c>
      <c r="S39" s="13" t="e">
        <f>Map!T8</f>
        <v>#N/A</v>
      </c>
      <c r="T39" s="11" t="e">
        <f>_xlfn.CONCAT("        public string DescriptionItemQuantity =&gt; """, S39, """;")</f>
        <v>#N/A</v>
      </c>
      <c r="V39" s="1" t="s">
        <v>96</v>
      </c>
    </row>
    <row r="40" spans="1:22" ht="15.95" customHeight="1" x14ac:dyDescent="0.25">
      <c r="A40" s="13" t="str">
        <f>Map!B9</f>
        <v>Item Rarity</v>
      </c>
      <c r="B40" s="11" t="str">
        <f>_xlfn.CONCAT("        public string DescriptionItemRarity =&gt; """, A40, """;")</f>
        <v xml:space="preserve">        public string DescriptionItemRarity =&gt; "Item Rarity";</v>
      </c>
      <c r="C40" s="13" t="str">
        <f>Map!D9</f>
        <v>Gegenstandsseltenheit</v>
      </c>
      <c r="D40" s="11" t="str">
        <f>_xlfn.CONCAT("        public string DescriptionItemRarity =&gt; """, C40, """;")</f>
        <v xml:space="preserve">        public string DescriptionItemRarity =&gt; "Gegenstandsseltenheit";</v>
      </c>
      <c r="E40" s="13" t="str">
        <f>Map!F9</f>
        <v>Rareza de objetos</v>
      </c>
      <c r="F40" s="11" t="str">
        <f>_xlfn.CONCAT("        public string DescriptionItemRarity =&gt; """, E40, """;")</f>
        <v xml:space="preserve">        public string DescriptionItemRarity =&gt; "Rareza de objetos";</v>
      </c>
      <c r="G40" s="13" t="str">
        <f>Map!H9</f>
        <v>Rareté des objets</v>
      </c>
      <c r="H40" s="11" t="str">
        <f>_xlfn.CONCAT("        public string DescriptionItemRarity =&gt; """, G40, """;")</f>
        <v xml:space="preserve">        public string DescriptionItemRarity =&gt; "Rareté des objets";</v>
      </c>
      <c r="I40" s="13" t="str">
        <f>Map!J9</f>
        <v>アイテムレアリティ</v>
      </c>
      <c r="J40" s="11" t="str">
        <f>_xlfn.CONCAT("        public string DescriptionItemRarity =&gt; """, I40, """;")</f>
        <v xml:space="preserve">        public string DescriptionItemRarity =&gt; "アイテムレアリティ";</v>
      </c>
      <c r="K40" s="13" t="str">
        <f>Map!L9</f>
        <v>아이템 희귀도</v>
      </c>
      <c r="L40" s="11" t="str">
        <f>_xlfn.CONCAT("        public string DescriptionItemRarity =&gt; """, K40, """;")</f>
        <v xml:space="preserve">        public string DescriptionItemRarity =&gt; "아이템 희귀도";</v>
      </c>
      <c r="M40" s="13" t="str">
        <f>Map!N9</f>
        <v>Raridade de Itens</v>
      </c>
      <c r="N40" s="11" t="str">
        <f>_xlfn.CONCAT("        public string DescriptionItemRarity =&gt; """, M40, """;")</f>
        <v xml:space="preserve">        public string DescriptionItemRarity =&gt; "Raridade de Itens";</v>
      </c>
      <c r="O40" s="13" t="str">
        <f>Map!P9</f>
        <v>Редкость предметов</v>
      </c>
      <c r="P40" s="11" t="str">
        <f>_xlfn.CONCAT("        public string DescriptionItemRarity =&gt; """, O40, """;")</f>
        <v xml:space="preserve">        public string DescriptionItemRarity =&gt; "Редкость предметов";</v>
      </c>
      <c r="Q40" s="13" t="str">
        <f>Map!R9</f>
        <v>ระดับความหายากของไอเทม</v>
      </c>
      <c r="R40" s="11" t="str">
        <f>_xlfn.CONCAT("        public string DescriptionItemRarity =&gt; """, Q40, """;")</f>
        <v xml:space="preserve">        public string DescriptionItemRarity =&gt; "ระดับความหายากของไอเทม";</v>
      </c>
      <c r="S40" s="13" t="e">
        <f>Map!T9</f>
        <v>#N/A</v>
      </c>
      <c r="T40" s="11" t="e">
        <f>_xlfn.CONCAT("        public string DescriptionItemRarity =&gt; """, S40, """;")</f>
        <v>#N/A</v>
      </c>
      <c r="V40" s="1" t="s">
        <v>97</v>
      </c>
    </row>
    <row r="41" spans="1:22" ht="15.95" customHeight="1" x14ac:dyDescent="0.25">
      <c r="A41" s="13" t="str">
        <f>Map!B10</f>
        <v>Monster Pack Size</v>
      </c>
      <c r="B41" s="11" t="str">
        <f>_xlfn.CONCAT("        public string DescriptionMonsterPackSize =&gt; """, A41, """;")</f>
        <v xml:space="preserve">        public string DescriptionMonsterPackSize =&gt; "Monster Pack Size";</v>
      </c>
      <c r="C41" s="13" t="str">
        <f>Map!D10</f>
        <v>Monstergruppengröße</v>
      </c>
      <c r="D41" s="11" t="str">
        <f>_xlfn.CONCAT("        public string DescriptionMonsterPackSize =&gt; """, C41, """;")</f>
        <v xml:space="preserve">        public string DescriptionMonsterPackSize =&gt; "Monstergruppengröße";</v>
      </c>
      <c r="E41" s="13" t="str">
        <f>Map!F10</f>
        <v>Tamaño de los grupos de monstruos</v>
      </c>
      <c r="F41" s="11" t="str">
        <f>_xlfn.CONCAT("        public string DescriptionMonsterPackSize =&gt; """, E41, """;")</f>
        <v xml:space="preserve">        public string DescriptionMonsterPackSize =&gt; "Tamaño de los grupos de monstruos";</v>
      </c>
      <c r="G41" s="13" t="str">
        <f>Map!H10</f>
        <v>Taille des groupes de monstres</v>
      </c>
      <c r="H41" s="11" t="str">
        <f>_xlfn.CONCAT("        public string DescriptionMonsterPackSize =&gt; """, G41, """;")</f>
        <v xml:space="preserve">        public string DescriptionMonsterPackSize =&gt; "Taille des groupes de monstres";</v>
      </c>
      <c r="I41" s="13" t="str">
        <f>Map!J10</f>
        <v>モンスターパックサイズ</v>
      </c>
      <c r="J41" s="11" t="str">
        <f>_xlfn.CONCAT("        public string DescriptionMonsterPackSize =&gt; """, I41, """;")</f>
        <v xml:space="preserve">        public string DescriptionMonsterPackSize =&gt; "モンスターパックサイズ";</v>
      </c>
      <c r="K41" s="13" t="str">
        <f>Map!L10</f>
        <v>몬스터 무리 규모</v>
      </c>
      <c r="L41" s="11" t="str">
        <f>_xlfn.CONCAT("        public string DescriptionMonsterPackSize =&gt; """, K41, """;")</f>
        <v xml:space="preserve">        public string DescriptionMonsterPackSize =&gt; "몬스터 무리 규모";</v>
      </c>
      <c r="M41" s="13" t="str">
        <f>Map!N10</f>
        <v>Tamanho do Grupo de Monstros</v>
      </c>
      <c r="N41" s="11" t="str">
        <f>_xlfn.CONCAT("        public string DescriptionMonsterPackSize =&gt; """, M41, """;")</f>
        <v xml:space="preserve">        public string DescriptionMonsterPackSize =&gt; "Tamanho do Grupo de Monstros";</v>
      </c>
      <c r="O41" s="13" t="str">
        <f>Map!P10</f>
        <v>Размер групп монстров</v>
      </c>
      <c r="P41" s="11" t="str">
        <f>_xlfn.CONCAT("        public string DescriptionMonsterPackSize =&gt; """, O41, """;")</f>
        <v xml:space="preserve">        public string DescriptionMonsterPackSize =&gt; "Размер групп монстров";</v>
      </c>
      <c r="Q41" s="13" t="str">
        <f>Map!R10</f>
        <v>ขนาดกองมอนสเตอร์</v>
      </c>
      <c r="R41" s="11" t="str">
        <f>_xlfn.CONCAT("        public string DescriptionMonsterPackSize =&gt; """, Q41, """;")</f>
        <v xml:space="preserve">        public string DescriptionMonsterPackSize =&gt; "ขนาดกองมอนสเตอร์";</v>
      </c>
      <c r="S41" s="13" t="e">
        <f>Map!T10</f>
        <v>#N/A</v>
      </c>
      <c r="T41" s="11" t="e">
        <f>_xlfn.CONCAT("        public string DescriptionMonsterPackSize =&gt; """, S41, """;")</f>
        <v>#N/A</v>
      </c>
      <c r="V41" s="1" t="s">
        <v>98</v>
      </c>
    </row>
    <row r="42" spans="1:22" ht="15.95" customHeight="1" x14ac:dyDescent="0.25">
      <c r="A42" s="13" t="str">
        <f>'White Wind'!B15</f>
        <v>Requirements</v>
      </c>
      <c r="B42" s="11" t="str">
        <f>_xlfn.CONCAT("        public string DescriptionRequirements =&gt; """, A42, """;")</f>
        <v xml:space="preserve">        public string DescriptionRequirements =&gt; "Requirements";</v>
      </c>
      <c r="C42" s="13" t="str">
        <f>'White Wind'!D15</f>
        <v>Anforderungen</v>
      </c>
      <c r="D42" s="11" t="str">
        <f>_xlfn.CONCAT("        public string DescriptionRequirements =&gt; """, C42, """;")</f>
        <v xml:space="preserve">        public string DescriptionRequirements =&gt; "Anforderungen";</v>
      </c>
      <c r="E42" s="13" t="str">
        <f>'White Wind'!F15</f>
        <v>Requisitos</v>
      </c>
      <c r="F42" s="11" t="str">
        <f>_xlfn.CONCAT("        public string DescriptionRequirements =&gt; """, E42, """;")</f>
        <v xml:space="preserve">        public string DescriptionRequirements =&gt; "Requisitos";</v>
      </c>
      <c r="G42" s="13" t="str">
        <f>'White Wind'!H15</f>
        <v>Prérequis</v>
      </c>
      <c r="H42" s="11" t="str">
        <f>_xlfn.CONCAT("        public string DescriptionRequirements =&gt; """, G42, """;")</f>
        <v xml:space="preserve">        public string DescriptionRequirements =&gt; "Prérequis";</v>
      </c>
      <c r="I42" s="13" t="str">
        <f>'White Wind'!J15</f>
        <v>装備要求</v>
      </c>
      <c r="J42" s="11" t="str">
        <f>_xlfn.CONCAT("        public string DescriptionRequirements =&gt; """, I42, """;")</f>
        <v xml:space="preserve">        public string DescriptionRequirements =&gt; "装備要求";</v>
      </c>
      <c r="K42" s="13" t="str">
        <f>'White Wind'!L15</f>
        <v>요구사항</v>
      </c>
      <c r="L42" s="11" t="str">
        <f>_xlfn.CONCAT("        public string DescriptionRequirements =&gt; """, K42, """;")</f>
        <v xml:space="preserve">        public string DescriptionRequirements =&gt; "요구사항";</v>
      </c>
      <c r="M42" s="13" t="str">
        <f>'White Wind'!N15</f>
        <v>Requisitos</v>
      </c>
      <c r="N42" s="11" t="str">
        <f>_xlfn.CONCAT("        public string DescriptionRequirements =&gt; """, M42, """;")</f>
        <v xml:space="preserve">        public string DescriptionRequirements =&gt; "Requisitos";</v>
      </c>
      <c r="O42" s="13" t="str">
        <f>'White Wind'!P15</f>
        <v>Требования</v>
      </c>
      <c r="P42" s="11" t="str">
        <f>_xlfn.CONCAT("        public string DescriptionRequirements =&gt; """, O42, """;")</f>
        <v xml:space="preserve">        public string DescriptionRequirements =&gt; "Требования";</v>
      </c>
      <c r="Q42" s="13" t="str">
        <f>'White Wind'!R15</f>
        <v>เงื่อนไข</v>
      </c>
      <c r="R42" s="11" t="str">
        <f>_xlfn.CONCAT("        public string DescriptionRequirements =&gt; """, Q42, """;")</f>
        <v xml:space="preserve">        public string DescriptionRequirements =&gt; "เงื่อนไข";</v>
      </c>
      <c r="S42" s="13" t="e">
        <f>'White Wind'!T15</f>
        <v>#N/A</v>
      </c>
      <c r="T42" s="11" t="e">
        <f>_xlfn.CONCAT("        public string DescriptionRequirements =&gt; """, S42, """;")</f>
        <v>#N/A</v>
      </c>
      <c r="V42" s="1" t="s">
        <v>82</v>
      </c>
    </row>
    <row r="43" spans="1:22" ht="15.95" customHeight="1" x14ac:dyDescent="0.25">
      <c r="A43" s="13" t="str">
        <f>Logbook!B7</f>
        <v>Area Level</v>
      </c>
      <c r="B43" s="11" t="str">
        <f>_xlfn.CONCAT("        public string DescriptionAreaLevel =&gt; """, A43, """;")</f>
        <v xml:space="preserve">        public string DescriptionAreaLevel =&gt; "Area Level";</v>
      </c>
      <c r="C43" s="13" t="str">
        <f>Logbook!D7</f>
        <v>Gebietsstufe</v>
      </c>
      <c r="D43" s="11" t="str">
        <f>_xlfn.CONCAT("        public string DescriptionAreaLevel =&gt; """, C43, """;")</f>
        <v xml:space="preserve">        public string DescriptionAreaLevel =&gt; "Gebietsstufe";</v>
      </c>
      <c r="E43" s="13" t="str">
        <f>Logbook!F7</f>
        <v>Nivel del área</v>
      </c>
      <c r="F43" s="11" t="str">
        <f>_xlfn.CONCAT("        public string DescriptionAreaLevel =&gt; """, E43, """;")</f>
        <v xml:space="preserve">        public string DescriptionAreaLevel =&gt; "Nivel del área";</v>
      </c>
      <c r="G43" s="13" t="str">
        <f>Logbook!H7</f>
        <v>Niveau de la zone</v>
      </c>
      <c r="H43" s="11" t="str">
        <f>_xlfn.CONCAT("        public string DescriptionAreaLevel =&gt; """, G43, """;")</f>
        <v xml:space="preserve">        public string DescriptionAreaLevel =&gt; "Niveau de la zone";</v>
      </c>
      <c r="I43" s="13" t="str">
        <f>Logbook!J7</f>
        <v>エリアレベル</v>
      </c>
      <c r="J43" s="11" t="str">
        <f>_xlfn.CONCAT("        public string DescriptionAreaLevel =&gt; """, I43, """;")</f>
        <v xml:space="preserve">        public string DescriptionAreaLevel =&gt; "エリアレベル";</v>
      </c>
      <c r="K43" s="13" t="str">
        <f>Logbook!L7</f>
        <v>지역 레벨</v>
      </c>
      <c r="L43" s="11" t="str">
        <f>_xlfn.CONCAT("        public string DescriptionAreaLevel =&gt; """, K43, """;")</f>
        <v xml:space="preserve">        public string DescriptionAreaLevel =&gt; "지역 레벨";</v>
      </c>
      <c r="M43" s="13" t="str">
        <f>Logbook!N7</f>
        <v>Nível da Área</v>
      </c>
      <c r="N43" s="11" t="str">
        <f>_xlfn.CONCAT("        public string DescriptionAreaLevel =&gt; """, M43, """;")</f>
        <v xml:space="preserve">        public string DescriptionAreaLevel =&gt; "Nível da Área";</v>
      </c>
      <c r="O43" s="13" t="str">
        <f>Logbook!P7</f>
        <v>Уровень области</v>
      </c>
      <c r="P43" s="11" t="str">
        <f>_xlfn.CONCAT("        public string DescriptionAreaLevel =&gt; """, O43, """;")</f>
        <v xml:space="preserve">        public string DescriptionAreaLevel =&gt; "Уровень области";</v>
      </c>
      <c r="Q43" s="13" t="str">
        <f>Logbook!R7</f>
        <v>ด่านเลเวล</v>
      </c>
      <c r="R43" s="11" t="str">
        <f>_xlfn.CONCAT("        public string DescriptionAreaLevel =&gt; """, Q43, """;")</f>
        <v xml:space="preserve">        public string DescriptionAreaLevel =&gt; "ด่านเลเวล";</v>
      </c>
      <c r="S43" s="13" t="e">
        <f>Logbook!T7</f>
        <v>#N/A</v>
      </c>
      <c r="T43" s="11" t="e">
        <f>_xlfn.CONCAT("        public string DescriptionAreaLevel =&gt; """, S43, """;")</f>
        <v>#N/A</v>
      </c>
      <c r="V43" s="1" t="s">
        <v>99</v>
      </c>
    </row>
    <row r="44" spans="1:22" ht="15.95" customHeight="1" x14ac:dyDescent="0.25">
      <c r="A44" s="12" t="s">
        <v>28</v>
      </c>
      <c r="B44" s="11"/>
      <c r="C44" s="12" t="s">
        <v>28</v>
      </c>
      <c r="D44" s="11"/>
      <c r="E44" s="12" t="s">
        <v>28</v>
      </c>
      <c r="F44" s="11"/>
      <c r="G44" s="12" t="s">
        <v>28</v>
      </c>
      <c r="H44" s="11"/>
      <c r="I44" s="12" t="s">
        <v>28</v>
      </c>
      <c r="J44" s="11"/>
      <c r="K44" s="12" t="s">
        <v>28</v>
      </c>
      <c r="L44" s="11"/>
      <c r="M44" s="12" t="s">
        <v>28</v>
      </c>
      <c r="N44" s="11"/>
      <c r="O44" s="12" t="s">
        <v>28</v>
      </c>
      <c r="P44" s="11"/>
      <c r="Q44" s="12" t="s">
        <v>28</v>
      </c>
      <c r="R44" s="11"/>
      <c r="S44" s="12" t="s">
        <v>28</v>
      </c>
      <c r="T44" s="11"/>
      <c r="V44" s="1" t="s">
        <v>28</v>
      </c>
    </row>
    <row r="45" spans="1:22" ht="15.95" customHeight="1" x14ac:dyDescent="0.25">
      <c r="A45" s="13" t="str">
        <f>'Life Flask'!B7</f>
        <v>Superior</v>
      </c>
      <c r="B45" s="11" t="str">
        <f>_xlfn.CONCAT("        public string AffixSuperior =&gt; """, A45, """;")</f>
        <v xml:space="preserve">        public string AffixSuperior =&gt; "Superior";</v>
      </c>
      <c r="C45" s="13" t="str">
        <f>'Life Flask'!D7</f>
        <v>(hochwertig)</v>
      </c>
      <c r="D45" s="11" t="str">
        <f>_xlfn.CONCAT("        public string AffixSuperior =&gt; """, C45, """;")</f>
        <v xml:space="preserve">        public string AffixSuperior =&gt; "(hochwertig)";</v>
      </c>
      <c r="E45" s="13" t="str">
        <f>'Life Flask'!F7</f>
        <v>Superior</v>
      </c>
      <c r="F45" s="11" t="str">
        <f>_xlfn.CONCAT("        public string AffixSuperior =&gt; """, E45, """;")</f>
        <v xml:space="preserve">        public string AffixSuperior =&gt; "Superior";</v>
      </c>
      <c r="G45" s="13" t="str">
        <f>'Life Flask'!H7</f>
        <v>supérieur</v>
      </c>
      <c r="H45" s="11" t="str">
        <f>_xlfn.CONCAT("        public string AffixSuperior =&gt; """, G45, """;")</f>
        <v xml:space="preserve">        public string AffixSuperior =&gt; "supérieur";</v>
      </c>
      <c r="I45" s="13" t="str">
        <f>'Life Flask'!J7</f>
        <v>上質な</v>
      </c>
      <c r="J45" s="11" t="str">
        <f>_xlfn.CONCAT("        public string AffixSuperior =&gt; """, I45, """;")</f>
        <v xml:space="preserve">        public string AffixSuperior =&gt; "上質な";</v>
      </c>
      <c r="K45" s="13" t="str">
        <f>'Life Flask'!L7</f>
        <v>상</v>
      </c>
      <c r="L45" s="11" t="str">
        <f>_xlfn.CONCAT("        public string AffixSuperior =&gt; """, K45, """;")</f>
        <v xml:space="preserve">        public string AffixSuperior =&gt; "상";</v>
      </c>
      <c r="M45" s="13" t="str">
        <f>'Life Flask'!N7</f>
        <v>Superior</v>
      </c>
      <c r="N45" s="11" t="str">
        <f>_xlfn.CONCAT("        public string AffixSuperior =&gt; """, M45, """;")</f>
        <v xml:space="preserve">        public string AffixSuperior =&gt; "Superior";</v>
      </c>
      <c r="O45" s="13" t="str">
        <f>'Life Flask'!P7</f>
        <v>высокого качества</v>
      </c>
      <c r="P45" s="11" t="str">
        <f>_xlfn.CONCAT("        public string AffixSuperior =&gt; """, O45, """;")</f>
        <v xml:space="preserve">        public string AffixSuperior =&gt; "высокого качества";</v>
      </c>
      <c r="Q45" s="13" t="str">
        <f>'Life Flask'!R7</f>
        <v>Superior</v>
      </c>
      <c r="R45" s="11" t="str">
        <f>_xlfn.CONCAT("        public string AffixSuperior =&gt; """, Q45, """;")</f>
        <v xml:space="preserve">        public string AffixSuperior =&gt; "Superior";</v>
      </c>
      <c r="S45" s="13" t="e">
        <f>'Life Flask'!T7</f>
        <v>#N/A</v>
      </c>
      <c r="T45" s="11" t="e">
        <f>_xlfn.CONCAT("        public string AffixSuperior =&gt; """, S45, """;")</f>
        <v>#N/A</v>
      </c>
      <c r="V45" s="1" t="s">
        <v>83</v>
      </c>
    </row>
    <row r="46" spans="1:22" ht="15.95" customHeight="1" x14ac:dyDescent="0.25">
      <c r="A46" s="13" t="str">
        <f>'Blighted Map'!B10</f>
        <v>Blighted</v>
      </c>
      <c r="B46" s="11" t="str">
        <f>_xlfn.CONCAT("        public string AffixBlighted =&gt; """, A46, """;")</f>
        <v xml:space="preserve">        public string AffixBlighted =&gt; "Blighted";</v>
      </c>
      <c r="C46" s="13" t="str">
        <f>'Blighted Map'!D10</f>
        <v>Befallene</v>
      </c>
      <c r="D46" s="11" t="str">
        <f>_xlfn.CONCAT("        public string AffixBlighted =&gt; """, C46, """;")</f>
        <v xml:space="preserve">        public string AffixBlighted =&gt; "Befallene";</v>
      </c>
      <c r="E46" s="13" t="str">
        <f>'Blighted Map'!F10</f>
        <v>infestado</v>
      </c>
      <c r="F46" s="11" t="str">
        <f>_xlfn.CONCAT("        public string AffixBlighted =&gt; """, E46, """;")</f>
        <v xml:space="preserve">        public string AffixBlighted =&gt; "infestado";</v>
      </c>
      <c r="G46" s="13" t="str">
        <f>'Blighted Map'!H10</f>
        <v>Carte infestée</v>
      </c>
      <c r="H46" s="11" t="str">
        <f>_xlfn.CONCAT("        public string AffixBlighted =&gt; """, G46, """;")</f>
        <v xml:space="preserve">        public string AffixBlighted =&gt; "Carte infestée";</v>
      </c>
      <c r="I46" s="13" t="str">
        <f>'Blighted Map'!J10</f>
        <v>ブライト</v>
      </c>
      <c r="J46" s="11" t="str">
        <f>_xlfn.CONCAT("        public string AffixBlighted =&gt; """, I46, """;")</f>
        <v xml:space="preserve">        public string AffixBlighted =&gt; "ブライト";</v>
      </c>
      <c r="K46" s="13" t="str">
        <f>'Blighted Map'!L10</f>
        <v>역병</v>
      </c>
      <c r="L46" s="11" t="str">
        <f>_xlfn.CONCAT("        public string AffixBlighted =&gt; """, K46, """;")</f>
        <v xml:space="preserve">        public string AffixBlighted =&gt; "역병";</v>
      </c>
      <c r="M46" s="13" t="str">
        <f>'Blighted Map'!N10</f>
        <v>Infestado</v>
      </c>
      <c r="N46" s="11" t="str">
        <f>_xlfn.CONCAT("        public string AffixBlighted =&gt; """, M46, """;")</f>
        <v xml:space="preserve">        public string AffixBlighted =&gt; "Infestado";</v>
      </c>
      <c r="O46" s="13" t="str">
        <f>'Blighted Map'!P10</f>
        <v>Заражённая</v>
      </c>
      <c r="P46" s="11" t="str">
        <f>_xlfn.CONCAT("        public string AffixBlighted =&gt; """, O46, """;")</f>
        <v xml:space="preserve">        public string AffixBlighted =&gt; "Заражённая";</v>
      </c>
      <c r="Q46" s="13" t="str">
        <f>'Blighted Map'!R10</f>
        <v>Blighted</v>
      </c>
      <c r="R46" s="11" t="str">
        <f>_xlfn.CONCAT("        public string AffixBlighted =&gt; """, Q46, """;")</f>
        <v xml:space="preserve">        public string AffixBlighted =&gt; "Blighted";</v>
      </c>
      <c r="S46" s="13" t="e">
        <f>'Blighted Map'!T10</f>
        <v>#N/A</v>
      </c>
      <c r="T46" s="11" t="e">
        <f>_xlfn.CONCAT("        public string AffixBlighted =&gt; """, S46, """;")</f>
        <v>#N/A</v>
      </c>
      <c r="V46" s="1" t="s">
        <v>84</v>
      </c>
    </row>
    <row r="47" spans="1:22" ht="15.95" customHeight="1" x14ac:dyDescent="0.25">
      <c r="A47" s="13" t="str">
        <f>'Blight-ravaged Map'!B7</f>
        <v>Blight-ravaged</v>
      </c>
      <c r="B47" s="11" t="str">
        <f>_xlfn.CONCAT("        public string AffixBlightRavaged =&gt; """, A47, """;")</f>
        <v xml:space="preserve">        public string AffixBlightRavaged =&gt; "Blight-ravaged";</v>
      </c>
      <c r="C47" s="13" t="str">
        <f>'Blight-ravaged Map'!D7</f>
        <v>Extrem befallene</v>
      </c>
      <c r="D47" s="11" t="str">
        <f>_xlfn.CONCAT("        public string AffixBlightRavaged =&gt; """, C47, """;")</f>
        <v xml:space="preserve">        public string AffixBlightRavaged =&gt; "Extrem befallene";</v>
      </c>
      <c r="E47" s="13" t="str">
        <f>'Blight-ravaged Map'!F7</f>
        <v>devastado por la plaga</v>
      </c>
      <c r="F47" s="11" t="str">
        <f>_xlfn.CONCAT("        public string AffixBlightRavaged =&gt; """, E47, """;")</f>
        <v xml:space="preserve">        public string AffixBlightRavaged =&gt; "devastado por la plaga";</v>
      </c>
      <c r="G47" s="13" t="str">
        <f>'Blight-ravaged Map'!H7</f>
        <v>Carte ravagée par l'Infestation</v>
      </c>
      <c r="H47" s="11" t="str">
        <f>_xlfn.CONCAT("        public string AffixBlightRavaged =&gt; """, G47, """;")</f>
        <v xml:space="preserve">        public string AffixBlightRavaged =&gt; "Carte ravagée par l'Infestation";</v>
      </c>
      <c r="I47" s="13" t="str">
        <f>'Blight-ravaged Map'!J7</f>
        <v>ブライトに破壊された</v>
      </c>
      <c r="J47" s="11" t="str">
        <f>_xlfn.CONCAT("        public string AffixBlightRavaged =&gt; """, I47, """;")</f>
        <v xml:space="preserve">        public string AffixBlightRavaged =&gt; "ブライトに破壊された";</v>
      </c>
      <c r="K47" s="13" t="str">
        <f>'Blight-ravaged Map'!L7</f>
        <v>역병에 유린당한</v>
      </c>
      <c r="L47" s="11" t="str">
        <f>_xlfn.CONCAT("        public string AffixBlightRavaged =&gt; """, K47, """;")</f>
        <v xml:space="preserve">        public string AffixBlightRavaged =&gt; "역병에 유린당한";</v>
      </c>
      <c r="M47" s="13" t="str">
        <f>'Blight-ravaged Map'!N7</f>
        <v>Devastado</v>
      </c>
      <c r="N47" s="11" t="str">
        <f>_xlfn.CONCAT("        public string AffixBlightRavaged =&gt; """, M47, """;")</f>
        <v xml:space="preserve">        public string AffixBlightRavaged =&gt; "Devastado";</v>
      </c>
      <c r="O47" s="13" t="str">
        <f>'Blight-ravaged Map'!P7</f>
        <v>Разорённая Скверной</v>
      </c>
      <c r="P47" s="11" t="str">
        <f>_xlfn.CONCAT("        public string AffixBlightRavaged =&gt; """, O47, """;")</f>
        <v xml:space="preserve">        public string AffixBlightRavaged =&gt; "Разорённая Скверной";</v>
      </c>
      <c r="Q47" s="13" t="str">
        <f>'Blight-ravaged Map'!R7</f>
        <v>Blight-ravaged</v>
      </c>
      <c r="R47" s="11" t="str">
        <f>_xlfn.CONCAT("        public string AffixBlightRavaged =&gt; """, Q47, """;")</f>
        <v xml:space="preserve">        public string AffixBlightRavaged =&gt; "Blight-ravaged";</v>
      </c>
      <c r="S47" s="13" t="e">
        <f>'Blight-ravaged Map'!T7</f>
        <v>#N/A</v>
      </c>
      <c r="T47" s="11" t="e">
        <f>_xlfn.CONCAT("        public string AffixBlightRavaged =&gt; """, S47, """;")</f>
        <v>#N/A</v>
      </c>
      <c r="V47" s="1" t="s">
        <v>770</v>
      </c>
    </row>
    <row r="48" spans="1:22" ht="15.95" customHeight="1" x14ac:dyDescent="0.25">
      <c r="A48" s="13" t="str">
        <f>'Anomalous Gem'!B7</f>
        <v>Anomalous</v>
      </c>
      <c r="B48" s="11" t="str">
        <f>_xlfn.CONCAT("        public string AffixAnomalous =&gt; """, A48, """;")</f>
        <v xml:space="preserve">        public string AffixAnomalous =&gt; "Anomalous";</v>
      </c>
      <c r="C48" s="13" t="str">
        <f>'Anomalous Gem'!D7</f>
        <v>(anormal)</v>
      </c>
      <c r="D48" s="11" t="str">
        <f>_xlfn.CONCAT("        public string AffixAnomalous =&gt; """, C48, """;")</f>
        <v xml:space="preserve">        public string AffixAnomalous =&gt; "(anormal)";</v>
      </c>
      <c r="E48" s="13" t="str">
        <f>'Anomalous Gem'!F7</f>
        <v>anómala</v>
      </c>
      <c r="F48" s="11" t="str">
        <f>_xlfn.CONCAT("        public string AffixAnomalous =&gt; """, E48, """;")</f>
        <v xml:space="preserve">        public string AffixAnomalous =&gt; "anómala";</v>
      </c>
      <c r="G48" s="13" t="str">
        <f>'Anomalous Gem'!H7</f>
        <v>/anormale?s?/</v>
      </c>
      <c r="H48" s="11" t="str">
        <f>_xlfn.CONCAT("        public string AffixAnomalous =&gt; """, G48, """;")</f>
        <v xml:space="preserve">        public string AffixAnomalous =&gt; "/anormale?s?/";</v>
      </c>
      <c r="I48" s="13" t="str">
        <f>'Anomalous Gem'!J7</f>
        <v>異常な</v>
      </c>
      <c r="J48" s="11" t="str">
        <f>_xlfn.CONCAT("        public string AffixAnomalous =&gt; """, I48, """;")</f>
        <v xml:space="preserve">        public string AffixAnomalous =&gt; "異常な";</v>
      </c>
      <c r="K48" s="13" t="str">
        <f>'Anomalous Gem'!L7</f>
        <v>기묘한</v>
      </c>
      <c r="L48" s="11" t="str">
        <f>_xlfn.CONCAT("        public string AffixAnomalous =&gt; """, K48, """;")</f>
        <v xml:space="preserve">        public string AffixAnomalous =&gt; "기묘한";</v>
      </c>
      <c r="M48" s="13" t="str">
        <f>'Anomalous Gem'!N7</f>
        <v>Anômalo</v>
      </c>
      <c r="N48" s="11" t="str">
        <f>_xlfn.CONCAT("        public string AffixAnomalous =&gt; """, M48, """;")</f>
        <v xml:space="preserve">        public string AffixAnomalous =&gt; "Anômalo";</v>
      </c>
      <c r="O48" s="13" t="str">
        <f>'Anomalous Gem'!P7</f>
        <v>Аномальный:</v>
      </c>
      <c r="P48" s="11" t="str">
        <f>_xlfn.CONCAT("        public string AffixAnomalous =&gt; """, O48, """;")</f>
        <v xml:space="preserve">        public string AffixAnomalous =&gt; "Аномальный:";</v>
      </c>
      <c r="Q48" s="13" t="str">
        <f>'Anomalous Gem'!R7</f>
        <v>Anomalous</v>
      </c>
      <c r="R48" s="11" t="str">
        <f>_xlfn.CONCAT("        public string AffixAnomalous =&gt; """, Q48, """;")</f>
        <v xml:space="preserve">        public string AffixAnomalous =&gt; "Anomalous";</v>
      </c>
      <c r="S48" s="13" t="e">
        <f>'Anomalous Gem'!T7</f>
        <v>#N/A</v>
      </c>
      <c r="T48" s="11" t="e">
        <f>_xlfn.CONCAT("        public string AffixAnomalous =&gt; """, S48, """;")</f>
        <v>#N/A</v>
      </c>
      <c r="V48" s="1" t="s">
        <v>85</v>
      </c>
    </row>
    <row r="49" spans="1:22" ht="15.95" customHeight="1" x14ac:dyDescent="0.25">
      <c r="A49" s="13" t="str">
        <f>'Divergent Support Gem'!B7</f>
        <v>Divergent</v>
      </c>
      <c r="B49" s="11" t="str">
        <f>_xlfn.CONCAT("        public string AffixDivergent =&gt; """, A49, """;")</f>
        <v xml:space="preserve">        public string AffixDivergent =&gt; "Divergent";</v>
      </c>
      <c r="C49" s="13" t="str">
        <f>'Divergent Support Gem'!D7</f>
        <v>(abweichend)</v>
      </c>
      <c r="D49" s="11" t="str">
        <f>_xlfn.CONCAT("        public string AffixDivergent =&gt; """, C49, """;")</f>
        <v xml:space="preserve">        public string AffixDivergent =&gt; "(abweichend)";</v>
      </c>
      <c r="E49" s="13" t="str">
        <f>'Divergent Support Gem'!F7</f>
        <v>divergente</v>
      </c>
      <c r="F49" s="11" t="str">
        <f>_xlfn.CONCAT("        public string AffixDivergent =&gt; """, E49, """;")</f>
        <v xml:space="preserve">        public string AffixDivergent =&gt; "divergente";</v>
      </c>
      <c r="G49" s="13" t="str">
        <f>'Divergent Support Gem'!H7</f>
        <v>/divergente?s?/</v>
      </c>
      <c r="H49" s="11" t="str">
        <f>_xlfn.CONCAT("        public string AffixDivergent =&gt; """, G49, """;")</f>
        <v xml:space="preserve">        public string AffixDivergent =&gt; "/divergente?s?/";</v>
      </c>
      <c r="I49" s="13" t="str">
        <f>'Divergent Support Gem'!J7</f>
        <v>相違の</v>
      </c>
      <c r="J49" s="11" t="str">
        <f>_xlfn.CONCAT("        public string AffixDivergent =&gt; """, I49, """;")</f>
        <v xml:space="preserve">        public string AffixDivergent =&gt; "相違の";</v>
      </c>
      <c r="K49" s="13" t="str">
        <f>'Divergent Support Gem'!L7</f>
        <v>분기하는</v>
      </c>
      <c r="L49" s="11" t="str">
        <f>_xlfn.CONCAT("        public string AffixDivergent =&gt; """, K49, """;")</f>
        <v xml:space="preserve">        public string AffixDivergent =&gt; "분기하는";</v>
      </c>
      <c r="M49" s="13" t="str">
        <f>'Divergent Support Gem'!N7</f>
        <v>Divergente</v>
      </c>
      <c r="N49" s="11" t="str">
        <f>_xlfn.CONCAT("        public string AffixDivergent =&gt; """, M49, """;")</f>
        <v xml:space="preserve">        public string AffixDivergent =&gt; "Divergente";</v>
      </c>
      <c r="O49" s="13" t="str">
        <f>'Divergent Support Gem'!P7</f>
        <v>Искривлённый:</v>
      </c>
      <c r="P49" s="11" t="str">
        <f>_xlfn.CONCAT("        public string AffixDivergent =&gt; """, O49, """;")</f>
        <v xml:space="preserve">        public string AffixDivergent =&gt; "Искривлённый:";</v>
      </c>
      <c r="Q49" s="13" t="str">
        <f>'Divergent Support Gem'!R7</f>
        <v>Divergent</v>
      </c>
      <c r="R49" s="11" t="str">
        <f>_xlfn.CONCAT("        public string AffixDivergent =&gt; """, Q49, """;")</f>
        <v xml:space="preserve">        public string AffixDivergent =&gt; "Divergent";</v>
      </c>
      <c r="S49" s="13" t="e">
        <f>'Divergent Support Gem'!T7</f>
        <v>#N/A</v>
      </c>
      <c r="T49" s="11" t="e">
        <f>_xlfn.CONCAT("        public string AffixDivergent =&gt; """, S49, """;")</f>
        <v>#N/A</v>
      </c>
      <c r="V49" s="1" t="s">
        <v>86</v>
      </c>
    </row>
    <row r="50" spans="1:22" ht="15.95" customHeight="1" x14ac:dyDescent="0.25">
      <c r="A50" s="13" t="str">
        <f>'Phantasmal Gem'!B7</f>
        <v>Phantasmal</v>
      </c>
      <c r="B50" s="11" t="str">
        <f>_xlfn.CONCAT("        public string AffixPhantasmal =&gt; """, A50, """;")</f>
        <v xml:space="preserve">        public string AffixPhantasmal =&gt; "Phantasmal";</v>
      </c>
      <c r="C50" s="13" t="str">
        <f>'Phantasmal Gem'!D7</f>
        <v>(illusorisch)</v>
      </c>
      <c r="D50" s="11" t="str">
        <f>_xlfn.CONCAT("        public string AffixPhantasmal =&gt; """, C50, """;")</f>
        <v xml:space="preserve">        public string AffixPhantasmal =&gt; "(illusorisch)";</v>
      </c>
      <c r="E50" s="13" t="str">
        <f>'Phantasmal Gem'!F7</f>
        <v>fantasmal</v>
      </c>
      <c r="F50" s="11" t="str">
        <f>_xlfn.CONCAT("        public string AffixPhantasmal =&gt; """, E50, """;")</f>
        <v xml:space="preserve">        public string AffixPhantasmal =&gt; "fantasmal";</v>
      </c>
      <c r="G50" s="13" t="str">
        <f>'Phantasmal Gem'!H7</f>
        <v>/fantasmatiques?/</v>
      </c>
      <c r="H50" s="11" t="str">
        <f>_xlfn.CONCAT("        public string AffixPhantasmal =&gt; """, G50, """;")</f>
        <v xml:space="preserve">        public string AffixPhantasmal =&gt; "/fantasmatiques?/";</v>
      </c>
      <c r="I50" s="13" t="str">
        <f>'Phantasmal Gem'!J7</f>
        <v>幻想の</v>
      </c>
      <c r="J50" s="11" t="str">
        <f>_xlfn.CONCAT("        public string AffixPhantasmal =&gt; """, I50, """;")</f>
        <v xml:space="preserve">        public string AffixPhantasmal =&gt; "幻想の";</v>
      </c>
      <c r="K50" s="13" t="str">
        <f>'Phantasmal Gem'!L7</f>
        <v>환영의</v>
      </c>
      <c r="L50" s="11" t="str">
        <f>_xlfn.CONCAT("        public string AffixPhantasmal =&gt; """, K50, """;")</f>
        <v xml:space="preserve">        public string AffixPhantasmal =&gt; "환영의";</v>
      </c>
      <c r="M50" s="13" t="str">
        <f>'Phantasmal Gem'!N7</f>
        <v>Fantasmal</v>
      </c>
      <c r="N50" s="11" t="str">
        <f>_xlfn.CONCAT("        public string AffixPhantasmal =&gt; """, M50, """;")</f>
        <v xml:space="preserve">        public string AffixPhantasmal =&gt; "Fantasmal";</v>
      </c>
      <c r="O50" s="13" t="str">
        <f>'Phantasmal Gem'!P7</f>
        <v>Фантомный:</v>
      </c>
      <c r="P50" s="11" t="str">
        <f>_xlfn.CONCAT("        public string AffixPhantasmal =&gt; """, O50, """;")</f>
        <v xml:space="preserve">        public string AffixPhantasmal =&gt; "Фантомный:";</v>
      </c>
      <c r="Q50" s="13" t="str">
        <f>'Phantasmal Gem'!R7</f>
        <v>Phantasmal</v>
      </c>
      <c r="R50" s="11" t="str">
        <f>_xlfn.CONCAT("        public string AffixPhantasmal =&gt; """, Q50, """;")</f>
        <v xml:space="preserve">        public string AffixPhantasmal =&gt; "Phantasmal";</v>
      </c>
      <c r="S50" s="13" t="e">
        <f>'Phantasmal Gem'!T7</f>
        <v>#N/A</v>
      </c>
      <c r="T50" s="11" t="e">
        <f>_xlfn.CONCAT("        public string AffixPhantasmal =&gt; """, S50, """;")</f>
        <v>#N/A</v>
      </c>
      <c r="V50" s="1" t="s">
        <v>100</v>
      </c>
    </row>
    <row r="51" spans="1:22" ht="15.95" customHeight="1" x14ac:dyDescent="0.25">
      <c r="A51" s="12" t="s">
        <v>28</v>
      </c>
      <c r="B51" s="11"/>
      <c r="C51" s="12" t="s">
        <v>28</v>
      </c>
      <c r="D51" s="11"/>
      <c r="E51" s="12" t="s">
        <v>28</v>
      </c>
      <c r="F51" s="11"/>
      <c r="G51" s="12" t="s">
        <v>28</v>
      </c>
      <c r="H51" s="11"/>
      <c r="I51" s="12" t="s">
        <v>28</v>
      </c>
      <c r="J51" s="11"/>
      <c r="K51" s="12" t="s">
        <v>28</v>
      </c>
      <c r="L51" s="11"/>
      <c r="M51" s="12" t="s">
        <v>28</v>
      </c>
      <c r="N51" s="11"/>
      <c r="O51" s="12" t="s">
        <v>28</v>
      </c>
      <c r="P51" s="11"/>
      <c r="Q51" s="12" t="s">
        <v>28</v>
      </c>
      <c r="R51" s="11"/>
      <c r="S51" s="12" t="s">
        <v>28</v>
      </c>
      <c r="T51" s="11"/>
      <c r="V51" s="1" t="s">
        <v>28</v>
      </c>
    </row>
    <row r="52" spans="1:22" ht="15.95" customHeight="1" x14ac:dyDescent="0.25">
      <c r="A52" s="13" t="str">
        <f>Shaper!B23</f>
        <v>Shaper Item</v>
      </c>
      <c r="B52" s="11" t="str">
        <f>_xlfn.CONCAT("        public string InfluenceShaper =&gt; """, A52, """;")</f>
        <v xml:space="preserve">        public string InfluenceShaper =&gt; "Shaper Item";</v>
      </c>
      <c r="C52" s="13" t="str">
        <f>Shaper!D23</f>
        <v>Schöpfer-Gegenstand</v>
      </c>
      <c r="D52" s="11" t="str">
        <f>_xlfn.CONCAT("        public string InfluenceShaper =&gt; """, C52, """;")</f>
        <v xml:space="preserve">        public string InfluenceShaper =&gt; "Schöpfer-Gegenstand";</v>
      </c>
      <c r="E52" s="13" t="str">
        <f>Shaper!F23</f>
        <v>Objeto del Creador</v>
      </c>
      <c r="F52" s="11" t="str">
        <f>_xlfn.CONCAT("        public string InfluenceShaper =&gt; """, E52, """;")</f>
        <v xml:space="preserve">        public string InfluenceShaper =&gt; "Objeto del Creador";</v>
      </c>
      <c r="G52" s="13" t="str">
        <f>Shaper!H23</f>
        <v>Objet du Façonneur</v>
      </c>
      <c r="H52" s="11" t="str">
        <f>_xlfn.CONCAT("        public string InfluenceShaper =&gt; """, G52, """;")</f>
        <v xml:space="preserve">        public string InfluenceShaper =&gt; "Objet du Façonneur";</v>
      </c>
      <c r="I52" s="13" t="str">
        <f>Shaper!J23</f>
        <v>シェイパーアイテム</v>
      </c>
      <c r="J52" s="11" t="str">
        <f>_xlfn.CONCAT("        public string InfluenceShaper =&gt; """, I52, """;")</f>
        <v xml:space="preserve">        public string InfluenceShaper =&gt; "シェイパーアイテム";</v>
      </c>
      <c r="K52" s="13" t="str">
        <f>Shaper!L23</f>
        <v>쉐이퍼 아이템</v>
      </c>
      <c r="L52" s="11" t="str">
        <f>_xlfn.CONCAT("        public string InfluenceShaper =&gt; """, K52, """;")</f>
        <v xml:space="preserve">        public string InfluenceShaper =&gt; "쉐이퍼 아이템";</v>
      </c>
      <c r="M52" s="13" t="str">
        <f>Shaper!N23</f>
        <v>Item do Criador</v>
      </c>
      <c r="N52" s="11" t="str">
        <f>_xlfn.CONCAT("        public string InfluenceShaper =&gt; """, M52, """;")</f>
        <v xml:space="preserve">        public string InfluenceShaper =&gt; "Item do Criador";</v>
      </c>
      <c r="O52" s="13" t="str">
        <f>Shaper!P23</f>
        <v>Предмет Создателя</v>
      </c>
      <c r="P52" s="11" t="str">
        <f>_xlfn.CONCAT("        public string InfluenceShaper =&gt; """, O52, """;")</f>
        <v xml:space="preserve">        public string InfluenceShaper =&gt; "Предмет Создателя";</v>
      </c>
      <c r="Q52" s="13" t="str">
        <f>Shaper!R23</f>
        <v>ไอเทมเชปเปอร์</v>
      </c>
      <c r="R52" s="11" t="str">
        <f>_xlfn.CONCAT("        public string InfluenceShaper =&gt; """, Q52, """;")</f>
        <v xml:space="preserve">        public string InfluenceShaper =&gt; "ไอเทมเชปเปอร์";</v>
      </c>
      <c r="S52" s="13">
        <f>Shaper!T23</f>
        <v>0</v>
      </c>
      <c r="T52" s="11" t="str">
        <f>_xlfn.CONCAT("        public string InfluenceShaper =&gt; """, S52, """;")</f>
        <v xml:space="preserve">        public string InfluenceShaper =&gt; "0";</v>
      </c>
      <c r="V52" s="1" t="s">
        <v>814</v>
      </c>
    </row>
    <row r="53" spans="1:22" ht="15.95" customHeight="1" x14ac:dyDescent="0.25">
      <c r="A53" s="13" t="str">
        <f>Elder!B27</f>
        <v>Elder Item</v>
      </c>
      <c r="B53" s="11" t="str">
        <f>_xlfn.CONCAT("        public string InfluenceElder =&gt; """, A53, """;")</f>
        <v xml:space="preserve">        public string InfluenceElder =&gt; "Elder Item";</v>
      </c>
      <c r="C53" s="13" t="str">
        <f>Elder!D27</f>
        <v>Ältesten-Gegenstand</v>
      </c>
      <c r="D53" s="11" t="str">
        <f>_xlfn.CONCAT("        public string InfluenceElder =&gt; """, C53, """;")</f>
        <v xml:space="preserve">        public string InfluenceElder =&gt; "Ältesten-Gegenstand";</v>
      </c>
      <c r="E53" s="13" t="str">
        <f>Elder!F27</f>
        <v>Objeto del Antiguo</v>
      </c>
      <c r="F53" s="11" t="str">
        <f>_xlfn.CONCAT("        public string InfluenceElder =&gt; """, E53, """;")</f>
        <v xml:space="preserve">        public string InfluenceElder =&gt; "Objeto del Antiguo";</v>
      </c>
      <c r="G53" s="13" t="str">
        <f>Elder!H27</f>
        <v>Objet de l'Ancien</v>
      </c>
      <c r="H53" s="11" t="str">
        <f>_xlfn.CONCAT("        public string InfluenceElder =&gt; """, G53, """;")</f>
        <v xml:space="preserve">        public string InfluenceElder =&gt; "Objet de l'Ancien";</v>
      </c>
      <c r="I53" s="13" t="str">
        <f>Elder!J27</f>
        <v>エルダーアイテム</v>
      </c>
      <c r="J53" s="11" t="str">
        <f>_xlfn.CONCAT("        public string InfluenceElder =&gt; """, I53, """;")</f>
        <v xml:space="preserve">        public string InfluenceElder =&gt; "エルダーアイテム";</v>
      </c>
      <c r="K53" s="13" t="str">
        <f>Elder!L27</f>
        <v>엘더 아이템</v>
      </c>
      <c r="L53" s="11" t="str">
        <f>_xlfn.CONCAT("        public string InfluenceElder =&gt; """, K53, """;")</f>
        <v xml:space="preserve">        public string InfluenceElder =&gt; "엘더 아이템";</v>
      </c>
      <c r="M53" s="13" t="str">
        <f>Elder!N27</f>
        <v>Item do Ancião</v>
      </c>
      <c r="N53" s="11" t="str">
        <f>_xlfn.CONCAT("        public string InfluenceElder =&gt; """, M53, """;")</f>
        <v xml:space="preserve">        public string InfluenceElder =&gt; "Item do Ancião";</v>
      </c>
      <c r="O53" s="13" t="str">
        <f>Elder!P27</f>
        <v>Древний предмет</v>
      </c>
      <c r="P53" s="11" t="str">
        <f>_xlfn.CONCAT("        public string InfluenceElder =&gt; """, O53, """;")</f>
        <v xml:space="preserve">        public string InfluenceElder =&gt; "Древний предмет";</v>
      </c>
      <c r="Q53" s="13" t="str">
        <f>Elder!R27</f>
        <v>ไอเทมเอลเดอร์</v>
      </c>
      <c r="R53" s="11" t="str">
        <f>_xlfn.CONCAT("        public string InfluenceElder =&gt; """, Q53, """;")</f>
        <v xml:space="preserve">        public string InfluenceElder =&gt; "ไอเทมเอลเดอร์";</v>
      </c>
      <c r="S53" s="13">
        <f>Elder!T27</f>
        <v>0</v>
      </c>
      <c r="T53" s="11" t="str">
        <f>_xlfn.CONCAT("        public string InfluenceElder =&gt; """, S53, """;")</f>
        <v xml:space="preserve">        public string InfluenceElder =&gt; "0";</v>
      </c>
      <c r="V53" s="1" t="s">
        <v>839</v>
      </c>
    </row>
    <row r="54" spans="1:22" ht="15.95" customHeight="1" x14ac:dyDescent="0.25">
      <c r="A54" s="13" t="str">
        <f>Crusader!B20</f>
        <v>Crusader Item</v>
      </c>
      <c r="B54" s="11" t="str">
        <f>_xlfn.CONCAT("        public string InfluenceCrusader =&gt; """, A54, """;")</f>
        <v xml:space="preserve">        public string InfluenceCrusader =&gt; "Crusader Item";</v>
      </c>
      <c r="C54" s="13" t="str">
        <f>Crusader!D20</f>
        <v>Kreuzritter-Gegenstand</v>
      </c>
      <c r="D54" s="11" t="str">
        <f>_xlfn.CONCAT("        public string InfluenceCrusader =&gt; """, C54, """;")</f>
        <v xml:space="preserve">        public string InfluenceCrusader =&gt; "Kreuzritter-Gegenstand";</v>
      </c>
      <c r="E54" s="13" t="str">
        <f>Crusader!F20</f>
        <v>Objeto del Cruzado</v>
      </c>
      <c r="F54" s="11" t="str">
        <f>_xlfn.CONCAT("        public string InfluenceCrusader =&gt; """, E54, """;")</f>
        <v xml:space="preserve">        public string InfluenceCrusader =&gt; "Objeto del Cruzado";</v>
      </c>
      <c r="G54" s="13" t="str">
        <f>Crusader!H20</f>
        <v>Objet du Croisé</v>
      </c>
      <c r="H54" s="11" t="str">
        <f>_xlfn.CONCAT("        public string InfluenceCrusader =&gt; """, G54, """;")</f>
        <v xml:space="preserve">        public string InfluenceCrusader =&gt; "Objet du Croisé";</v>
      </c>
      <c r="I54" s="13" t="str">
        <f>Crusader!J20</f>
        <v>クルセイダーアイテム</v>
      </c>
      <c r="J54" s="11" t="str">
        <f>_xlfn.CONCAT("        public string InfluenceCrusader =&gt; """, I54, """;")</f>
        <v xml:space="preserve">        public string InfluenceCrusader =&gt; "クルセイダーアイテム";</v>
      </c>
      <c r="K54" s="13" t="str">
        <f>Crusader!L20</f>
        <v>십자군 아이템</v>
      </c>
      <c r="L54" s="11" t="str">
        <f>_xlfn.CONCAT("        public string InfluenceCrusader =&gt; """, K54, """;")</f>
        <v xml:space="preserve">        public string InfluenceCrusader =&gt; "십자군 아이템";</v>
      </c>
      <c r="M54" s="13" t="str">
        <f>Crusader!N20</f>
        <v>Item do Cruzado</v>
      </c>
      <c r="N54" s="11" t="str">
        <f>_xlfn.CONCAT("        public string InfluenceCrusader =&gt; """, M54, """;")</f>
        <v xml:space="preserve">        public string InfluenceCrusader =&gt; "Item do Cruzado";</v>
      </c>
      <c r="O54" s="13" t="str">
        <f>Crusader!P20</f>
        <v>Предмет Крестоносца</v>
      </c>
      <c r="P54" s="11" t="str">
        <f>_xlfn.CONCAT("        public string InfluenceCrusader =&gt; """, O54, """;")</f>
        <v xml:space="preserve">        public string InfluenceCrusader =&gt; "Предмет Крестоносца";</v>
      </c>
      <c r="Q54" s="13" t="str">
        <f>Crusader!R20</f>
        <v>ไอเทมผู้พิชิตอธรรม</v>
      </c>
      <c r="R54" s="11" t="str">
        <f>_xlfn.CONCAT("        public string InfluenceCrusader =&gt; """, Q54, """;")</f>
        <v xml:space="preserve">        public string InfluenceCrusader =&gt; "ไอเทมผู้พิชิตอธรรม";</v>
      </c>
      <c r="S54" s="13">
        <f>Crusader!T20</f>
        <v>0</v>
      </c>
      <c r="T54" s="11" t="str">
        <f>_xlfn.CONCAT("        public string InfluenceCrusader =&gt; """, S54, """;")</f>
        <v xml:space="preserve">        public string InfluenceCrusader =&gt; "0";</v>
      </c>
      <c r="V54" s="1" t="s">
        <v>857</v>
      </c>
    </row>
    <row r="55" spans="1:22" ht="15.95" customHeight="1" x14ac:dyDescent="0.25">
      <c r="A55" s="13" t="str">
        <f>Hunter!B23</f>
        <v>Hunter Item</v>
      </c>
      <c r="B55" s="11" t="str">
        <f>_xlfn.CONCAT("        public string InfluenceHunter =&gt; """, A55, """;")</f>
        <v xml:space="preserve">        public string InfluenceHunter =&gt; "Hunter Item";</v>
      </c>
      <c r="C55" s="13" t="str">
        <f>Hunter!D23</f>
        <v>Jäger-Gegenstand</v>
      </c>
      <c r="D55" s="11" t="str">
        <f>_xlfn.CONCAT("        public string InfluenceHunter =&gt; """, C55, """;")</f>
        <v xml:space="preserve">        public string InfluenceHunter =&gt; "Jäger-Gegenstand";</v>
      </c>
      <c r="E55" s="13" t="str">
        <f>Hunter!F23</f>
        <v>Objeto del Cazador</v>
      </c>
      <c r="F55" s="11" t="str">
        <f>_xlfn.CONCAT("        public string InfluenceHunter =&gt; """, E55, """;")</f>
        <v xml:space="preserve">        public string InfluenceHunter =&gt; "Objeto del Cazador";</v>
      </c>
      <c r="G55" s="13" t="str">
        <f>Hunter!H23</f>
        <v>Objet du Chasseur</v>
      </c>
      <c r="H55" s="11" t="str">
        <f>_xlfn.CONCAT("        public string InfluenceHunter =&gt; """, G55, """;")</f>
        <v xml:space="preserve">        public string InfluenceHunter =&gt; "Objet du Chasseur";</v>
      </c>
      <c r="I55" s="13" t="str">
        <f>Hunter!J23</f>
        <v>ハンターアイテム</v>
      </c>
      <c r="J55" s="11" t="str">
        <f>_xlfn.CONCAT("        public string InfluenceHunter =&gt; """, I55, """;")</f>
        <v xml:space="preserve">        public string InfluenceHunter =&gt; "ハンターアイテム";</v>
      </c>
      <c r="K55" s="13" t="str">
        <f>Hunter!L23</f>
        <v>사냥꾼 아이템</v>
      </c>
      <c r="L55" s="11" t="str">
        <f>_xlfn.CONCAT("        public string InfluenceHunter =&gt; """, K55, """;")</f>
        <v xml:space="preserve">        public string InfluenceHunter =&gt; "사냥꾼 아이템";</v>
      </c>
      <c r="M55" s="13" t="str">
        <f>Hunter!N23</f>
        <v>Item do Caçador</v>
      </c>
      <c r="N55" s="11" t="str">
        <f>_xlfn.CONCAT("        public string InfluenceHunter =&gt; """, M55, """;")</f>
        <v xml:space="preserve">        public string InfluenceHunter =&gt; "Item do Caçador";</v>
      </c>
      <c r="O55" s="13" t="str">
        <f>Hunter!P23</f>
        <v>Предмет Охотника</v>
      </c>
      <c r="P55" s="11" t="str">
        <f>_xlfn.CONCAT("        public string InfluenceHunter =&gt; """, O55, """;")</f>
        <v xml:space="preserve">        public string InfluenceHunter =&gt; "Предмет Охотника";</v>
      </c>
      <c r="Q55" s="13" t="str">
        <f>Hunter!R23</f>
        <v>ไอเทมผู้พิชิตเหยื่อ</v>
      </c>
      <c r="R55" s="11" t="str">
        <f>_xlfn.CONCAT("        public string InfluenceHunter =&gt; """, Q55, """;")</f>
        <v xml:space="preserve">        public string InfluenceHunter =&gt; "ไอเทมผู้พิชิตเหยื่อ";</v>
      </c>
      <c r="S55" s="13">
        <f>Hunter!T23</f>
        <v>0</v>
      </c>
      <c r="T55" s="11" t="str">
        <f>_xlfn.CONCAT("        public string InfluenceHunter =&gt; """, S55, """;")</f>
        <v xml:space="preserve">        public string InfluenceHunter =&gt; "0";</v>
      </c>
      <c r="V55" s="1" t="s">
        <v>825</v>
      </c>
    </row>
    <row r="56" spans="1:22" ht="15.95" customHeight="1" x14ac:dyDescent="0.25">
      <c r="A56" s="13" t="str">
        <f>Redeemer!B21</f>
        <v>Redeemer Item</v>
      </c>
      <c r="B56" s="11" t="str">
        <f>_xlfn.CONCAT("        public string InfluenceRedeemer =&gt; """, A56, """;")</f>
        <v xml:space="preserve">        public string InfluenceRedeemer =&gt; "Redeemer Item";</v>
      </c>
      <c r="C56" s="13" t="str">
        <f>Redeemer!D21</f>
        <v>Erlöserin-Gegenstand</v>
      </c>
      <c r="D56" s="11" t="str">
        <f>_xlfn.CONCAT("        public string InfluenceRedeemer =&gt; """, C56, """;")</f>
        <v xml:space="preserve">        public string InfluenceRedeemer =&gt; "Erlöserin-Gegenstand";</v>
      </c>
      <c r="E56" s="13" t="str">
        <f>Redeemer!F21</f>
        <v>Objeto de la Redentora</v>
      </c>
      <c r="F56" s="11" t="str">
        <f>_xlfn.CONCAT("        public string InfluenceRedeemer =&gt; """, E56, """;")</f>
        <v xml:space="preserve">        public string InfluenceRedeemer =&gt; "Objeto de la Redentora";</v>
      </c>
      <c r="G56" s="13" t="str">
        <f>Redeemer!H21</f>
        <v>Objet de la Rédemptrice</v>
      </c>
      <c r="H56" s="11" t="str">
        <f>_xlfn.CONCAT("        public string InfluenceRedeemer =&gt; """, G56, """;")</f>
        <v xml:space="preserve">        public string InfluenceRedeemer =&gt; "Objet de la Rédemptrice";</v>
      </c>
      <c r="I56" s="13" t="str">
        <f>Redeemer!J21</f>
        <v>レディーマーアイテム</v>
      </c>
      <c r="J56" s="11" t="str">
        <f>_xlfn.CONCAT("        public string InfluenceRedeemer =&gt; """, I56, """;")</f>
        <v xml:space="preserve">        public string InfluenceRedeemer =&gt; "レディーマーアイテム";</v>
      </c>
      <c r="K56" s="13" t="str">
        <f>Redeemer!L21</f>
        <v>대속자 아이템</v>
      </c>
      <c r="L56" s="11" t="str">
        <f>_xlfn.CONCAT("        public string InfluenceRedeemer =&gt; """, K56, """;")</f>
        <v xml:space="preserve">        public string InfluenceRedeemer =&gt; "대속자 아이템";</v>
      </c>
      <c r="M56" s="13" t="str">
        <f>Redeemer!N21</f>
        <v>Item do Redentor</v>
      </c>
      <c r="N56" s="11" t="str">
        <f>_xlfn.CONCAT("        public string InfluenceRedeemer =&gt; """, M56, """;")</f>
        <v xml:space="preserve">        public string InfluenceRedeemer =&gt; "Item do Redentor";</v>
      </c>
      <c r="O56" s="13" t="str">
        <f>Redeemer!P21</f>
        <v>Предмет Избавительницы</v>
      </c>
      <c r="P56" s="11" t="str">
        <f>_xlfn.CONCAT("        public string InfluenceRedeemer =&gt; """, O56, """;")</f>
        <v xml:space="preserve">        public string InfluenceRedeemer =&gt; "Предмет Избавительницы";</v>
      </c>
      <c r="Q56" s="13" t="str">
        <f>Redeemer!R21</f>
        <v>ไอเทมผู้พิชิตบาป</v>
      </c>
      <c r="R56" s="11" t="str">
        <f>_xlfn.CONCAT("        public string InfluenceRedeemer =&gt; """, Q56, """;")</f>
        <v xml:space="preserve">        public string InfluenceRedeemer =&gt; "ไอเทมผู้พิชิตบาป";</v>
      </c>
      <c r="S56" s="13">
        <f>Redeemer!T21</f>
        <v>0</v>
      </c>
      <c r="T56" s="11" t="str">
        <f>_xlfn.CONCAT("        public string InfluenceRedeemer =&gt; """, S56, """;")</f>
        <v xml:space="preserve">        public string InfluenceRedeemer =&gt; "0";</v>
      </c>
      <c r="V56" s="1" t="s">
        <v>849</v>
      </c>
    </row>
    <row r="57" spans="1:22" ht="15.95" customHeight="1" x14ac:dyDescent="0.25">
      <c r="A57" s="13" t="str">
        <f>Warlord!B24</f>
        <v>Warlord Item</v>
      </c>
      <c r="B57" s="11" t="str">
        <f>_xlfn.CONCAT("        public string InfluenceWarlord =&gt; """, A57, """;")</f>
        <v xml:space="preserve">        public string InfluenceWarlord =&gt; "Warlord Item";</v>
      </c>
      <c r="C57" s="13" t="str">
        <f>Warlord!D24</f>
        <v>Kriegsfürst-Gegenstand</v>
      </c>
      <c r="D57" s="11" t="str">
        <f>_xlfn.CONCAT("        public string InfluenceWarlord =&gt; """, C57, """;")</f>
        <v xml:space="preserve">        public string InfluenceWarlord =&gt; "Kriegsfürst-Gegenstand";</v>
      </c>
      <c r="E57" s="13" t="str">
        <f>Warlord!F24</f>
        <v>Objeto del Jefe de guerra</v>
      </c>
      <c r="F57" s="11" t="str">
        <f>_xlfn.CONCAT("        public string InfluenceWarlord =&gt; """, E57, """;")</f>
        <v xml:space="preserve">        public string InfluenceWarlord =&gt; "Objeto del Jefe de guerra";</v>
      </c>
      <c r="G57" s="13" t="str">
        <f>Warlord!H24</f>
        <v>Objet du Seigneur de guerre</v>
      </c>
      <c r="H57" s="11" t="str">
        <f>_xlfn.CONCAT("        public string InfluenceWarlord =&gt; """, G57, """;")</f>
        <v xml:space="preserve">        public string InfluenceWarlord =&gt; "Objet du Seigneur de guerre";</v>
      </c>
      <c r="I57" s="13" t="str">
        <f>Warlord!J24</f>
        <v>ウォーロードアイテム</v>
      </c>
      <c r="J57" s="11" t="str">
        <f>_xlfn.CONCAT("        public string InfluenceWarlord =&gt; """, I57, """;")</f>
        <v xml:space="preserve">        public string InfluenceWarlord =&gt; "ウォーロードアイテム";</v>
      </c>
      <c r="K57" s="13" t="str">
        <f>Warlord!L24</f>
        <v>전쟁군주 아이템</v>
      </c>
      <c r="L57" s="11" t="str">
        <f>_xlfn.CONCAT("        public string InfluenceWarlord =&gt; """, K57, """;")</f>
        <v xml:space="preserve">        public string InfluenceWarlord =&gt; "전쟁군주 아이템";</v>
      </c>
      <c r="M57" s="13" t="str">
        <f>Warlord!N24</f>
        <v>Item do Senhor da Guerra</v>
      </c>
      <c r="N57" s="11" t="str">
        <f>_xlfn.CONCAT("        public string InfluenceWarlord =&gt; """, M57, """;")</f>
        <v xml:space="preserve">        public string InfluenceWarlord =&gt; "Item do Senhor da Guerra";</v>
      </c>
      <c r="O57" s="13" t="str">
        <f>Warlord!P24</f>
        <v>Предмет Вождя</v>
      </c>
      <c r="P57" s="11" t="str">
        <f>_xlfn.CONCAT("        public string InfluenceWarlord =&gt; """, O57, """;")</f>
        <v xml:space="preserve">        public string InfluenceWarlord =&gt; "Предмет Вождя";</v>
      </c>
      <c r="Q57" s="13" t="str">
        <f>Warlord!R24</f>
        <v>ไอเทมผู้พิชิตศึก</v>
      </c>
      <c r="R57" s="11" t="str">
        <f>_xlfn.CONCAT("        public string InfluenceWarlord =&gt; """, Q57, """;")</f>
        <v xml:space="preserve">        public string InfluenceWarlord =&gt; "ไอเทมผู้พิชิตศึก";</v>
      </c>
      <c r="S57" s="13">
        <f>Warlord!T24</f>
        <v>0</v>
      </c>
      <c r="T57" s="11" t="str">
        <f>_xlfn.CONCAT("        public string InfluenceWarlord =&gt; """, S57, """;")</f>
        <v xml:space="preserve">        public string InfluenceWarlord =&gt; "0";</v>
      </c>
      <c r="V57" s="1" t="s">
        <v>806</v>
      </c>
    </row>
    <row r="58" spans="1:22" ht="15.95" customHeight="1" x14ac:dyDescent="0.25">
      <c r="A58" s="12" t="s">
        <v>28</v>
      </c>
      <c r="B58" s="11"/>
      <c r="C58" s="12" t="s">
        <v>28</v>
      </c>
      <c r="D58" s="11"/>
      <c r="E58" s="12" t="s">
        <v>28</v>
      </c>
      <c r="F58" s="11"/>
      <c r="G58" s="12" t="s">
        <v>28</v>
      </c>
      <c r="H58" s="11"/>
      <c r="I58" s="12" t="s">
        <v>28</v>
      </c>
      <c r="J58" s="11"/>
      <c r="K58" s="12" t="s">
        <v>28</v>
      </c>
      <c r="L58" s="11"/>
      <c r="M58" s="12" t="s">
        <v>28</v>
      </c>
      <c r="N58" s="11"/>
      <c r="O58" s="12" t="s">
        <v>28</v>
      </c>
      <c r="P58" s="11"/>
      <c r="Q58" s="12" t="s">
        <v>28</v>
      </c>
      <c r="R58" s="11"/>
      <c r="S58" s="12" t="s">
        <v>28</v>
      </c>
      <c r="T58" s="11"/>
      <c r="V58" s="1" t="s">
        <v>28</v>
      </c>
    </row>
    <row r="59" spans="1:22" ht="15.95" customHeight="1" x14ac:dyDescent="0.25">
      <c r="A59" s="12" t="s">
        <v>28</v>
      </c>
      <c r="B59" s="11" t="s">
        <v>107</v>
      </c>
      <c r="C59" s="12" t="s">
        <v>28</v>
      </c>
      <c r="D59" s="11" t="s">
        <v>107</v>
      </c>
      <c r="E59" s="12" t="s">
        <v>28</v>
      </c>
      <c r="F59" s="11" t="s">
        <v>107</v>
      </c>
      <c r="G59" s="12" t="s">
        <v>28</v>
      </c>
      <c r="H59" s="11" t="s">
        <v>107</v>
      </c>
      <c r="I59" s="12" t="s">
        <v>28</v>
      </c>
      <c r="J59" s="11" t="s">
        <v>107</v>
      </c>
      <c r="K59" s="12" t="s">
        <v>28</v>
      </c>
      <c r="L59" s="11" t="s">
        <v>107</v>
      </c>
      <c r="M59" s="12" t="s">
        <v>28</v>
      </c>
      <c r="N59" s="11" t="s">
        <v>107</v>
      </c>
      <c r="O59" s="12" t="s">
        <v>28</v>
      </c>
      <c r="P59" s="11" t="s">
        <v>107</v>
      </c>
      <c r="Q59" s="12" t="s">
        <v>28</v>
      </c>
      <c r="R59" s="11" t="s">
        <v>107</v>
      </c>
      <c r="S59" s="12" t="s">
        <v>28</v>
      </c>
      <c r="T59" s="11" t="s">
        <v>107</v>
      </c>
      <c r="V59" s="1" t="s">
        <v>28</v>
      </c>
    </row>
    <row r="60" spans="1:22" ht="15.95" customHeight="1" x14ac:dyDescent="0.25">
      <c r="A60" s="12" t="s">
        <v>28</v>
      </c>
      <c r="B60" s="11" t="s">
        <v>16</v>
      </c>
      <c r="C60" s="12" t="s">
        <v>28</v>
      </c>
      <c r="D60" s="11" t="s">
        <v>16</v>
      </c>
      <c r="E60" s="12" t="s">
        <v>28</v>
      </c>
      <c r="F60" s="11" t="s">
        <v>16</v>
      </c>
      <c r="G60" s="12" t="s">
        <v>28</v>
      </c>
      <c r="H60" s="11" t="s">
        <v>16</v>
      </c>
      <c r="I60" s="12" t="s">
        <v>28</v>
      </c>
      <c r="J60" s="11" t="s">
        <v>16</v>
      </c>
      <c r="K60" s="12" t="s">
        <v>28</v>
      </c>
      <c r="L60" s="11" t="s">
        <v>16</v>
      </c>
      <c r="M60" s="12" t="s">
        <v>28</v>
      </c>
      <c r="N60" s="11" t="s">
        <v>16</v>
      </c>
      <c r="O60" s="12" t="s">
        <v>28</v>
      </c>
      <c r="P60" s="11" t="s">
        <v>16</v>
      </c>
      <c r="Q60" s="12" t="s">
        <v>28</v>
      </c>
      <c r="R60" s="11" t="s">
        <v>16</v>
      </c>
      <c r="S60" s="12" t="s">
        <v>28</v>
      </c>
      <c r="T60" s="11" t="s">
        <v>16</v>
      </c>
      <c r="V60" s="1" t="s">
        <v>28</v>
      </c>
    </row>
    <row r="61" spans="1:22" ht="15.95" customHeight="1" x14ac:dyDescent="0.25">
      <c r="A61" s="19" t="str">
        <f>Belt!B3</f>
        <v>Item Class</v>
      </c>
      <c r="B61" s="11" t="str">
        <f>_xlfn.CONCAT("            Prefix = """, A61, """,")</f>
        <v xml:space="preserve">            Prefix = "Item Class",</v>
      </c>
      <c r="C61" s="19" t="str">
        <f>Belt!D3</f>
        <v>Gegenstandsklasse</v>
      </c>
      <c r="D61" s="11" t="str">
        <f>_xlfn.CONCAT("            Prefix = """, C61, """,")</f>
        <v xml:space="preserve">            Prefix = "Gegenstandsklasse",</v>
      </c>
      <c r="E61" s="19" t="str">
        <f>Belt!F3</f>
        <v>Clase de objeto</v>
      </c>
      <c r="F61" s="11" t="str">
        <f>_xlfn.CONCAT("            Prefix = """, E61, """,")</f>
        <v xml:space="preserve">            Prefix = "Clase de objeto",</v>
      </c>
      <c r="G61" s="19" t="str">
        <f>Belt!H3</f>
        <v>Classe d'objet</v>
      </c>
      <c r="H61" s="11" t="str">
        <f>_xlfn.CONCAT("            Prefix = """, G61, """,")</f>
        <v xml:space="preserve">            Prefix = "Classe d'objet",</v>
      </c>
      <c r="I61" s="19" t="str">
        <f>Belt!J3</f>
        <v>アイテムクラス</v>
      </c>
      <c r="J61" s="11" t="str">
        <f>_xlfn.CONCAT("            Prefix = """, I61, """,")</f>
        <v xml:space="preserve">            Prefix = "アイテムクラス",</v>
      </c>
      <c r="K61" s="19" t="str">
        <f>Belt!L3</f>
        <v>아이템 종류</v>
      </c>
      <c r="L61" s="11" t="str">
        <f>_xlfn.CONCAT("            Prefix = """, K61, """,")</f>
        <v xml:space="preserve">            Prefix = "아이템 종류",</v>
      </c>
      <c r="M61" s="19" t="str">
        <f>Belt!N3</f>
        <v>Classe do Item</v>
      </c>
      <c r="N61" s="11" t="str">
        <f>_xlfn.CONCAT("            Prefix = """, M61, """,")</f>
        <v xml:space="preserve">            Prefix = "Classe do Item",</v>
      </c>
      <c r="O61" s="19" t="str">
        <f>Belt!P3</f>
        <v>Класс предмета</v>
      </c>
      <c r="P61" s="11" t="str">
        <f>_xlfn.CONCAT("            Prefix = """, O61, """,")</f>
        <v xml:space="preserve">            Prefix = "Класс предмета",</v>
      </c>
      <c r="Q61" s="19" t="str">
        <f>Belt!R3</f>
        <v>ชนิดไอเทม</v>
      </c>
      <c r="R61" s="11" t="str">
        <f>_xlfn.CONCAT("            Prefix = """, Q61, """,")</f>
        <v xml:space="preserve">            Prefix = "ชนิดไอเทม",</v>
      </c>
      <c r="S61" s="19" t="e">
        <f>Belt!T3</f>
        <v>#N/A</v>
      </c>
      <c r="T61" s="11" t="e">
        <f>_xlfn.CONCAT("            Prefix = """, S61, """,")</f>
        <v>#N/A</v>
      </c>
      <c r="V61" s="1" t="s">
        <v>549</v>
      </c>
    </row>
    <row r="62" spans="1:22" ht="15.95" customHeight="1" x14ac:dyDescent="0.25">
      <c r="A62" s="19" t="str">
        <f>Card!B4</f>
        <v>Divination Cards</v>
      </c>
      <c r="B62" s="11" t="str">
        <f>_xlfn.CONCAT("            DivinationCard = """, A62, """,")</f>
        <v xml:space="preserve">            DivinationCard = "Divination Cards",</v>
      </c>
      <c r="C62" s="19" t="str">
        <f>Card!D4</f>
        <v>Weissagungskarten</v>
      </c>
      <c r="D62" s="11" t="str">
        <f>_xlfn.CONCAT("            DivinationCard = """, C62, """,")</f>
        <v xml:space="preserve">            DivinationCard = "Weissagungskarten",</v>
      </c>
      <c r="E62" s="19" t="str">
        <f>Card!F4</f>
        <v>Cartas de adivinación</v>
      </c>
      <c r="F62" s="11" t="str">
        <f>_xlfn.CONCAT("            DivinationCard = """, E62, """,")</f>
        <v xml:space="preserve">            DivinationCard = "Cartas de adivinación",</v>
      </c>
      <c r="G62" s="19" t="str">
        <f>Card!H4</f>
        <v>Cartes divinatoires</v>
      </c>
      <c r="H62" s="11" t="str">
        <f>_xlfn.CONCAT("            DivinationCard = """, G62, """,")</f>
        <v xml:space="preserve">            DivinationCard = "Cartes divinatoires",</v>
      </c>
      <c r="I62" s="19" t="str">
        <f>Card!J4</f>
        <v>占いカード</v>
      </c>
      <c r="J62" s="11" t="str">
        <f>_xlfn.CONCAT("            DivinationCard = """, I62, """,")</f>
        <v xml:space="preserve">            DivinationCard = "占いカード",</v>
      </c>
      <c r="K62" s="19" t="str">
        <f>Card!L4</f>
        <v>점술 카드</v>
      </c>
      <c r="L62" s="11" t="str">
        <f>_xlfn.CONCAT("            DivinationCard = """, K62, """,")</f>
        <v xml:space="preserve">            DivinationCard = "점술 카드",</v>
      </c>
      <c r="M62" s="19" t="str">
        <f>Card!N4</f>
        <v>Cartas de Adivinhação</v>
      </c>
      <c r="N62" s="11" t="str">
        <f>_xlfn.CONCAT("            DivinationCard = """, M62, """,")</f>
        <v xml:space="preserve">            DivinationCard = "Cartas de Adivinhação",</v>
      </c>
      <c r="O62" s="19" t="str">
        <f>Card!P4</f>
        <v>Гадальные карты</v>
      </c>
      <c r="P62" s="11" t="str">
        <f>_xlfn.CONCAT("            DivinationCard = """, O62, """,")</f>
        <v xml:space="preserve">            DivinationCard = "Гадальные карты",</v>
      </c>
      <c r="Q62" s="19" t="str">
        <f>Card!R4</f>
        <v>ไพ่พยากรณ์</v>
      </c>
      <c r="R62" s="11" t="str">
        <f>_xlfn.CONCAT("            DivinationCard = """, Q62, """,")</f>
        <v xml:space="preserve">            DivinationCard = "ไพ่พยากรณ์",</v>
      </c>
      <c r="S62" s="19" t="e">
        <f>Card!T4</f>
        <v>#N/A</v>
      </c>
      <c r="T62" s="11" t="e">
        <f>_xlfn.CONCAT("            DivinationCard = """, S62, """,")</f>
        <v>#N/A</v>
      </c>
      <c r="V62" s="1" t="s">
        <v>550</v>
      </c>
    </row>
    <row r="63" spans="1:22" ht="15.95" customHeight="1" x14ac:dyDescent="0.25">
      <c r="A63" s="19" t="str">
        <f>'Chaos Orb'!B4</f>
        <v>Stackable Currency</v>
      </c>
      <c r="B63" s="11" t="str">
        <f>_xlfn.CONCAT("            StackableCurrency = """, A63, """,")</f>
        <v xml:space="preserve">            StackableCurrency = "Stackable Currency",</v>
      </c>
      <c r="C63" s="19" t="str">
        <f>'Chaos Orb'!D4</f>
        <v>Stapelbare Währung</v>
      </c>
      <c r="D63" s="11" t="str">
        <f>_xlfn.CONCAT("            StackableCurrency = """, C63, """,")</f>
        <v xml:space="preserve">            StackableCurrency = "Stapelbare Währung",</v>
      </c>
      <c r="E63" s="19" t="str">
        <f>'Chaos Orb'!F4</f>
        <v>Objetos monetarios apilables</v>
      </c>
      <c r="F63" s="11" t="str">
        <f>_xlfn.CONCAT("            StackableCurrency = """, E63, """,")</f>
        <v xml:space="preserve">            StackableCurrency = "Objetos monetarios apilables",</v>
      </c>
      <c r="G63" s="19" t="str">
        <f>'Chaos Orb'!H4</f>
        <v>Objets monétaires empilables</v>
      </c>
      <c r="H63" s="11" t="str">
        <f>_xlfn.CONCAT("            StackableCurrency = """, G63, """,")</f>
        <v xml:space="preserve">            StackableCurrency = "Objets monétaires empilables",</v>
      </c>
      <c r="I63" s="19" t="str">
        <f>'Chaos Orb'!J4</f>
        <v>スタック可能カレンシー</v>
      </c>
      <c r="J63" s="11" t="str">
        <f>_xlfn.CONCAT("            StackableCurrency = """, I63, """,")</f>
        <v xml:space="preserve">            StackableCurrency = "スタック可能カレンシー",</v>
      </c>
      <c r="K63" s="19" t="str">
        <f>'Chaos Orb'!L4</f>
        <v>중첩 가능 화폐</v>
      </c>
      <c r="L63" s="11" t="str">
        <f>_xlfn.CONCAT("            StackableCurrency = """, K63, """,")</f>
        <v xml:space="preserve">            StackableCurrency = "중첩 가능 화폐",</v>
      </c>
      <c r="M63" s="19" t="str">
        <f>'Chaos Orb'!N4</f>
        <v>Moedas Empilháveis</v>
      </c>
      <c r="N63" s="11" t="str">
        <f>_xlfn.CONCAT("            StackableCurrency = """, M63, """,")</f>
        <v xml:space="preserve">            StackableCurrency = "Moedas Empilháveis",</v>
      </c>
      <c r="O63" s="19" t="str">
        <f>'Chaos Orb'!P4</f>
        <v>Валюта</v>
      </c>
      <c r="P63" s="11" t="str">
        <f>_xlfn.CONCAT("            StackableCurrency = """, O63, """,")</f>
        <v xml:space="preserve">            StackableCurrency = "Валюта",</v>
      </c>
      <c r="Q63" s="19" t="str">
        <f>'Chaos Orb'!R4</f>
        <v>เงินตรารวมกองได้</v>
      </c>
      <c r="R63" s="11" t="str">
        <f>_xlfn.CONCAT("            StackableCurrency = """, Q63, """,")</f>
        <v xml:space="preserve">            StackableCurrency = "เงินตรารวมกองได้",</v>
      </c>
      <c r="S63" s="19" t="e">
        <f>'Chaos Orb'!T4</f>
        <v>#N/A</v>
      </c>
      <c r="T63" s="11" t="e">
        <f>_xlfn.CONCAT("            StackableCurrency = """, S63, """,")</f>
        <v>#N/A</v>
      </c>
      <c r="V63" s="1" t="s">
        <v>771</v>
      </c>
    </row>
    <row r="64" spans="1:22" ht="15.95" customHeight="1" x14ac:dyDescent="0.25">
      <c r="A64" s="19" t="str">
        <f>Jewel!B4</f>
        <v>Jewels</v>
      </c>
      <c r="B64" s="11" t="str">
        <f>_xlfn.CONCAT("            Jewel = """, A64, """,")</f>
        <v xml:space="preserve">            Jewel = "Jewels",</v>
      </c>
      <c r="C64" s="19" t="str">
        <f>Jewel!D4</f>
        <v>Juwelen</v>
      </c>
      <c r="D64" s="11" t="str">
        <f>_xlfn.CONCAT("            Jewel = """, C64, """,")</f>
        <v xml:space="preserve">            Jewel = "Juwelen",</v>
      </c>
      <c r="E64" s="19" t="str">
        <f>Jewel!F4</f>
        <v>Joyas</v>
      </c>
      <c r="F64" s="11" t="str">
        <f>_xlfn.CONCAT("            Jewel = """, E64, """,")</f>
        <v xml:space="preserve">            Jewel = "Joyas",</v>
      </c>
      <c r="G64" s="19" t="str">
        <f>Jewel!H4</f>
        <v>Joyaux</v>
      </c>
      <c r="H64" s="11" t="str">
        <f>_xlfn.CONCAT("            Jewel = """, G64, """,")</f>
        <v xml:space="preserve">            Jewel = "Joyaux",</v>
      </c>
      <c r="I64" s="19" t="str">
        <f>Jewel!J4</f>
        <v>ジュエル</v>
      </c>
      <c r="J64" s="11" t="str">
        <f>_xlfn.CONCAT("            Jewel = """, I64, """,")</f>
        <v xml:space="preserve">            Jewel = "ジュエル",</v>
      </c>
      <c r="K64" s="19" t="str">
        <f>Jewel!L4</f>
        <v>주얼</v>
      </c>
      <c r="L64" s="11" t="str">
        <f>_xlfn.CONCAT("            Jewel = """, K64, """,")</f>
        <v xml:space="preserve">            Jewel = "주얼",</v>
      </c>
      <c r="M64" s="19" t="str">
        <f>Jewel!N4</f>
        <v>Joias</v>
      </c>
      <c r="N64" s="11" t="str">
        <f>_xlfn.CONCAT("            Jewel = """, M64, """,")</f>
        <v xml:space="preserve">            Jewel = "Joias",</v>
      </c>
      <c r="O64" s="19" t="str">
        <f>Jewel!P4</f>
        <v>Самоцветы</v>
      </c>
      <c r="P64" s="11" t="str">
        <f>_xlfn.CONCAT("            Jewel = """, O64, """,")</f>
        <v xml:space="preserve">            Jewel = "Самоцветы",</v>
      </c>
      <c r="Q64" s="19" t="str">
        <f>Jewel!R4</f>
        <v>จิวเวล</v>
      </c>
      <c r="R64" s="11" t="str">
        <f>_xlfn.CONCAT("            Jewel = """, Q64, """,")</f>
        <v xml:space="preserve">            Jewel = "จิวเวล",</v>
      </c>
      <c r="S64" s="19" t="e">
        <f>Jewel!T4</f>
        <v>#N/A</v>
      </c>
      <c r="T64" s="11" t="e">
        <f>_xlfn.CONCAT("            Jewel = """, S64, """,")</f>
        <v>#N/A</v>
      </c>
      <c r="V64" s="1" t="s">
        <v>772</v>
      </c>
    </row>
    <row r="65" spans="1:22" ht="15.95" customHeight="1" x14ac:dyDescent="0.25">
      <c r="A65" s="19" t="str">
        <f>Resonator!B4</f>
        <v>Delve Stackable Socketable Currency</v>
      </c>
      <c r="B65" s="11" t="str">
        <f>_xlfn.CONCAT("            DelveStackableSocketableCurrency = """, A65, """,")</f>
        <v xml:space="preserve">            DelveStackableSocketableCurrency = "Delve Stackable Socketable Currency",</v>
      </c>
      <c r="C65" s="19" t="str">
        <f>Resonator!D4</f>
        <v>Delve: Stapelbare, einfassbare Währung</v>
      </c>
      <c r="D65" s="11" t="str">
        <f>_xlfn.CONCAT("            DelveStackableSocketableCurrency = """, C65, """,")</f>
        <v xml:space="preserve">            DelveStackableSocketableCurrency = "Delve: Stapelbare, einfassbare Währung",</v>
      </c>
      <c r="E65" s="19" t="str">
        <f>Resonator!F4</f>
        <v>Objetos monetarios apilables y engarzables de Delve</v>
      </c>
      <c r="F65" s="11" t="str">
        <f>_xlfn.CONCAT("            DelveStackableSocketableCurrency = """, E65, """,")</f>
        <v xml:space="preserve">            DelveStackableSocketableCurrency = "Objetos monetarios apilables y engarzables de Delve",</v>
      </c>
      <c r="G65" s="19" t="str">
        <f>Resonator!H4</f>
        <v>Objets enchâssables et empilables Delve</v>
      </c>
      <c r="H65" s="11" t="str">
        <f>_xlfn.CONCAT("            DelveStackableSocketableCurrency = """, G65, """,")</f>
        <v xml:space="preserve">            DelveStackableSocketableCurrency = "Objets enchâssables et empilables Delve",</v>
      </c>
      <c r="I65" s="19" t="str">
        <f>Resonator!J4</f>
        <v>デルヴスタック可能ソケット可能カレンシー</v>
      </c>
      <c r="J65" s="11" t="str">
        <f>_xlfn.CONCAT("            DelveStackableSocketableCurrency = """, I65, """,")</f>
        <v xml:space="preserve">            DelveStackableSocketableCurrency = "デルヴスタック可能ソケット可能カレンシー",</v>
      </c>
      <c r="K65" s="19" t="str">
        <f>Resonator!L4</f>
        <v>탐광 중첩 및 결합형 화폐</v>
      </c>
      <c r="L65" s="11" t="str">
        <f>_xlfn.CONCAT("            DelveStackableSocketableCurrency = """, K65, """,")</f>
        <v xml:space="preserve">            DelveStackableSocketableCurrency = "탐광 중첩 및 결합형 화폐",</v>
      </c>
      <c r="M65" s="19" t="str">
        <f>Resonator!N4</f>
        <v>Item Monetário Aglomerável e Encaixável Delve</v>
      </c>
      <c r="N65" s="11" t="str">
        <f>_xlfn.CONCAT("            DelveStackableSocketableCurrency = """, M65, """,")</f>
        <v xml:space="preserve">            DelveStackableSocketableCurrency = "Item Monetário Aglomerável e Encaixável Delve",</v>
      </c>
      <c r="O65" s="19" t="str">
        <f>Resonator!P4</f>
        <v>Валюта Спуска</v>
      </c>
      <c r="P65" s="11" t="str">
        <f>_xlfn.CONCAT("            DelveStackableSocketableCurrency = """, O65, """,")</f>
        <v xml:space="preserve">            DelveStackableSocketableCurrency = "Валюта Спуска",</v>
      </c>
      <c r="Q65" s="19" t="str">
        <f>Resonator!R4</f>
        <v>เงินตรามีรูของเหมืองแบบรวมกองได้</v>
      </c>
      <c r="R65" s="11" t="str">
        <f>_xlfn.CONCAT("            DelveStackableSocketableCurrency = """, Q65, """,")</f>
        <v xml:space="preserve">            DelveStackableSocketableCurrency = "เงินตรามีรูของเหมืองแบบรวมกองได้",</v>
      </c>
      <c r="S65" s="19" t="e">
        <f>Resonator!T4</f>
        <v>#N/A</v>
      </c>
      <c r="T65" s="11" t="e">
        <f>_xlfn.CONCAT("            DelveStackableSocketableCurrency = """, S65, """,")</f>
        <v>#N/A</v>
      </c>
      <c r="V65" s="1" t="s">
        <v>773</v>
      </c>
    </row>
    <row r="66" spans="1:22" ht="15.95" customHeight="1" x14ac:dyDescent="0.25">
      <c r="A66" s="19" t="str">
        <f>'Metamorph Sample'!B4</f>
        <v>Metamorph Samples</v>
      </c>
      <c r="B66" s="11" t="str">
        <f>_xlfn.CONCAT("            MetamorphSample = """, A66, """,")</f>
        <v xml:space="preserve">            MetamorphSample = "Metamorph Samples",</v>
      </c>
      <c r="C66" s="19" t="str">
        <f>'Metamorph Sample'!D4</f>
        <v>Metamorph-Proben</v>
      </c>
      <c r="D66" s="11" t="str">
        <f>_xlfn.CONCAT("            MetamorphSample = """, C66, """,")</f>
        <v xml:space="preserve">            MetamorphSample = "Metamorph-Proben",</v>
      </c>
      <c r="E66" s="19" t="str">
        <f>'Metamorph Sample'!F4</f>
        <v>Muestras de metamorfo</v>
      </c>
      <c r="F66" s="11" t="str">
        <f>_xlfn.CONCAT("            MetamorphSample = """, E66, """,")</f>
        <v xml:space="preserve">            MetamorphSample = "Muestras de metamorfo",</v>
      </c>
      <c r="G66" s="19" t="str">
        <f>'Metamorph Sample'!H4</f>
        <v>Organes de Métamorphe</v>
      </c>
      <c r="H66" s="11" t="str">
        <f>_xlfn.CONCAT("            MetamorphSample = """, G66, """,")</f>
        <v xml:space="preserve">            MetamorphSample = "Organes de Métamorphe",</v>
      </c>
      <c r="I66" s="19" t="str">
        <f>'Metamorph Sample'!J4</f>
        <v>メタモルフサンプル</v>
      </c>
      <c r="J66" s="11" t="str">
        <f>_xlfn.CONCAT("            MetamorphSample = """, I66, """,")</f>
        <v xml:space="preserve">            MetamorphSample = "メタモルフサンプル",</v>
      </c>
      <c r="K66" s="19" t="str">
        <f>'Metamorph Sample'!L4</f>
        <v>변형 샘플</v>
      </c>
      <c r="L66" s="11" t="str">
        <f>_xlfn.CONCAT("            MetamorphSample = """, K66, """,")</f>
        <v xml:space="preserve">            MetamorphSample = "변형 샘플",</v>
      </c>
      <c r="M66" s="19" t="str">
        <f>'Metamorph Sample'!N4</f>
        <v>Amostras Metamorfas</v>
      </c>
      <c r="N66" s="11" t="str">
        <f>_xlfn.CONCAT("            MetamorphSample = """, M66, """,")</f>
        <v xml:space="preserve">            MetamorphSample = "Amostras Metamorfas",</v>
      </c>
      <c r="O66" s="19" t="str">
        <f>'Metamorph Sample'!P4</f>
        <v>Образцы Метаморфа</v>
      </c>
      <c r="P66" s="11" t="str">
        <f>_xlfn.CONCAT("            MetamorphSample = """, O66, """,")</f>
        <v xml:space="preserve">            MetamorphSample = "Образцы Метаморфа",</v>
      </c>
      <c r="Q66" s="19" t="str">
        <f>'Metamorph Sample'!R4</f>
        <v>ชิ้นส่วนตัวอย่างเมตามอร์ฟ</v>
      </c>
      <c r="R66" s="11" t="str">
        <f>_xlfn.CONCAT("            MetamorphSample = """, Q66, """,")</f>
        <v xml:space="preserve">            MetamorphSample = "ชิ้นส่วนตัวอย่างเมตามอร์ฟ",</v>
      </c>
      <c r="S66" s="19" t="e">
        <f>'Metamorph Sample'!T4</f>
        <v>#N/A</v>
      </c>
      <c r="T66" s="11" t="e">
        <f>_xlfn.CONCAT("            MetamorphSample = """, S66, """,")</f>
        <v>#N/A</v>
      </c>
      <c r="V66" s="1" t="s">
        <v>774</v>
      </c>
    </row>
    <row r="67" spans="1:22" ht="15.95" customHeight="1" x14ac:dyDescent="0.25">
      <c r="A67" s="19" t="str">
        <f>'Heist Tool'!B4</f>
        <v>Heist Tools</v>
      </c>
      <c r="B67" s="11" t="str">
        <f>_xlfn.CONCAT("            HeistTool = """, A67, """,")</f>
        <v xml:space="preserve">            HeistTool = "Heist Tools",</v>
      </c>
      <c r="C67" s="19" t="str">
        <f>'Heist Tool'!D4</f>
        <v>Heist-Werkzeug</v>
      </c>
      <c r="D67" s="11" t="str">
        <f>_xlfn.CONCAT("            HeistTool = """, C67, """,")</f>
        <v xml:space="preserve">            HeistTool = "Heist-Werkzeug",</v>
      </c>
      <c r="E67" s="19" t="str">
        <f>'Heist Tool'!F4</f>
        <v>Herramientas de Heist</v>
      </c>
      <c r="F67" s="11" t="str">
        <f>_xlfn.CONCAT("            HeistTool = """, E67, """,")</f>
        <v xml:space="preserve">            HeistTool = "Herramientas de Heist",</v>
      </c>
      <c r="G67" s="19" t="str">
        <f>'Heist Tool'!H4</f>
        <v>Outils de Malfaiteur</v>
      </c>
      <c r="H67" s="11" t="str">
        <f>_xlfn.CONCAT("            HeistTool = """, G67, """,")</f>
        <v xml:space="preserve">            HeistTool = "Outils de Malfaiteur",</v>
      </c>
      <c r="I67" s="19" t="str">
        <f>'Heist Tool'!J4</f>
        <v>ハイストツール</v>
      </c>
      <c r="J67" s="11" t="str">
        <f>_xlfn.CONCAT("            HeistTool = """, I67, """,")</f>
        <v xml:space="preserve">            HeistTool = "ハイストツール",</v>
      </c>
      <c r="K67" s="19" t="str">
        <f>'Heist Tool'!L4</f>
        <v>강탈 도구</v>
      </c>
      <c r="L67" s="11" t="str">
        <f>_xlfn.CONCAT("            HeistTool = """, K67, """,")</f>
        <v xml:space="preserve">            HeistTool = "강탈 도구",</v>
      </c>
      <c r="M67" s="19" t="str">
        <f>'Heist Tool'!N4</f>
        <v>Ferramentas Heist</v>
      </c>
      <c r="N67" s="11" t="str">
        <f>_xlfn.CONCAT("            HeistTool = """, M67, """,")</f>
        <v xml:space="preserve">            HeistTool = "Ferramentas Heist",</v>
      </c>
      <c r="O67" s="19" t="str">
        <f>'Heist Tool'!P4</f>
        <v>Разбойничий инструмент</v>
      </c>
      <c r="P67" s="11" t="str">
        <f>_xlfn.CONCAT("            HeistTool = """, O67, """,")</f>
        <v xml:space="preserve">            HeistTool = "Разбойничий инструмент",</v>
      </c>
      <c r="Q67" s="19" t="str">
        <f>'Heist Tool'!R4</f>
        <v>เครื่องมือกองโจร</v>
      </c>
      <c r="R67" s="11" t="str">
        <f>_xlfn.CONCAT("            HeistTool = """, Q67, """,")</f>
        <v xml:space="preserve">            HeistTool = "เครื่องมือกองโจร",</v>
      </c>
      <c r="S67" s="19" t="e">
        <f>'Heist Tool'!T4</f>
        <v>#N/A</v>
      </c>
      <c r="T67" s="11" t="e">
        <f>_xlfn.CONCAT("            HeistTool = """, S67, """,")</f>
        <v>#N/A</v>
      </c>
      <c r="V67" s="1" t="s">
        <v>775</v>
      </c>
    </row>
    <row r="68" spans="1:22" ht="15.95" customHeight="1" x14ac:dyDescent="0.25">
      <c r="A68" s="19" t="str">
        <f>'Foiled Amulet'!B4</f>
        <v>Amulets</v>
      </c>
      <c r="B68" s="11" t="str">
        <f>_xlfn.CONCAT("            Amulet = """, A68, """,")</f>
        <v xml:space="preserve">            Amulet = "Amulets",</v>
      </c>
      <c r="C68" s="19" t="str">
        <f>'Foiled Amulet'!D4</f>
        <v>Amulette</v>
      </c>
      <c r="D68" s="11" t="str">
        <f>_xlfn.CONCAT("            Amulet = """, C68, """,")</f>
        <v xml:space="preserve">            Amulet = "Amulette",</v>
      </c>
      <c r="E68" s="19" t="str">
        <f>'Foiled Amulet'!F4</f>
        <v>Amuletos</v>
      </c>
      <c r="F68" s="11" t="str">
        <f>_xlfn.CONCAT("            Amulet = """, E68, """,")</f>
        <v xml:space="preserve">            Amulet = "Amuletos",</v>
      </c>
      <c r="G68" s="19" t="str">
        <f>'Foiled Amulet'!H4</f>
        <v>Amulettes</v>
      </c>
      <c r="H68" s="11" t="str">
        <f>_xlfn.CONCAT("            Amulet = """, G68, """,")</f>
        <v xml:space="preserve">            Amulet = "Amulettes",</v>
      </c>
      <c r="I68" s="19" t="str">
        <f>'Foiled Amulet'!J4</f>
        <v>アミュレット</v>
      </c>
      <c r="J68" s="11" t="str">
        <f>_xlfn.CONCAT("            Amulet = """, I68, """,")</f>
        <v xml:space="preserve">            Amulet = "アミュレット",</v>
      </c>
      <c r="K68" s="19" t="str">
        <f>'Foiled Amulet'!L4</f>
        <v>목걸이</v>
      </c>
      <c r="L68" s="11" t="str">
        <f>_xlfn.CONCAT("            Amulet = """, K68, """,")</f>
        <v xml:space="preserve">            Amulet = "목걸이",</v>
      </c>
      <c r="M68" s="19" t="str">
        <f>'Foiled Amulet'!N4</f>
        <v>Amuletos</v>
      </c>
      <c r="N68" s="11" t="str">
        <f>_xlfn.CONCAT("            Amulet = """, M68, """,")</f>
        <v xml:space="preserve">            Amulet = "Amuletos",</v>
      </c>
      <c r="O68" s="19" t="str">
        <f>'Foiled Amulet'!P4</f>
        <v>Амулеты</v>
      </c>
      <c r="P68" s="11" t="str">
        <f>_xlfn.CONCAT("            Amulet = """, O68, """,")</f>
        <v xml:space="preserve">            Amulet = "Амулеты",</v>
      </c>
      <c r="Q68" s="19" t="str">
        <f>'Foiled Amulet'!R4</f>
        <v>สร้อย</v>
      </c>
      <c r="R68" s="11" t="str">
        <f>_xlfn.CONCAT("            Amulet = """, Q68, """,")</f>
        <v xml:space="preserve">            Amulet = "สร้อย",</v>
      </c>
      <c r="S68" s="19" t="e">
        <f>'Foiled Amulet'!T4</f>
        <v>#N/A</v>
      </c>
      <c r="T68" s="11" t="e">
        <f>_xlfn.CONCAT("            Amulet = """, S68, """,")</f>
        <v>#N/A</v>
      </c>
      <c r="V68" s="1" t="s">
        <v>776</v>
      </c>
    </row>
    <row r="69" spans="1:22" ht="15.95" customHeight="1" x14ac:dyDescent="0.25">
      <c r="A69" s="19" t="str">
        <f>'Unidentified ring'!B4</f>
        <v>Rings</v>
      </c>
      <c r="B69" s="11" t="str">
        <f>_xlfn.CONCAT("            Ring = """, A69, """,")</f>
        <v xml:space="preserve">            Ring = "Rings",</v>
      </c>
      <c r="C69" s="19" t="str">
        <f>'Unidentified ring'!D4</f>
        <v>Ringe</v>
      </c>
      <c r="D69" s="11" t="str">
        <f>_xlfn.CONCAT("            Ring = """, C69, """,")</f>
        <v xml:space="preserve">            Ring = "Ringe",</v>
      </c>
      <c r="E69" s="19" t="str">
        <f>'Unidentified ring'!F4</f>
        <v>Anillos</v>
      </c>
      <c r="F69" s="11" t="str">
        <f>_xlfn.CONCAT("            Ring = """, E69, """,")</f>
        <v xml:space="preserve">            Ring = "Anillos",</v>
      </c>
      <c r="G69" s="19" t="str">
        <f>'Unidentified ring'!H4</f>
        <v>Bagues</v>
      </c>
      <c r="H69" s="11" t="str">
        <f>_xlfn.CONCAT("            Ring = """, G69, """,")</f>
        <v xml:space="preserve">            Ring = "Bagues",</v>
      </c>
      <c r="I69" s="19" t="str">
        <f>'Unidentified ring'!J4</f>
        <v>指輪</v>
      </c>
      <c r="J69" s="11" t="str">
        <f>_xlfn.CONCAT("            Ring = """, I69, """,")</f>
        <v xml:space="preserve">            Ring = "指輪",</v>
      </c>
      <c r="K69" s="19" t="str">
        <f>'Unidentified ring'!L4</f>
        <v>반지</v>
      </c>
      <c r="L69" s="11" t="str">
        <f>_xlfn.CONCAT("            Ring = """, K69, """,")</f>
        <v xml:space="preserve">            Ring = "반지",</v>
      </c>
      <c r="M69" s="19" t="str">
        <f>'Unidentified ring'!N4</f>
        <v>Anéis</v>
      </c>
      <c r="N69" s="11" t="str">
        <f>_xlfn.CONCAT("            Ring = """, M69, """,")</f>
        <v xml:space="preserve">            Ring = "Anéis",</v>
      </c>
      <c r="O69" s="19" t="str">
        <f>'Unidentified ring'!P4</f>
        <v>Кольца</v>
      </c>
      <c r="P69" s="11" t="str">
        <f>_xlfn.CONCAT("            Ring = """, O69, """,")</f>
        <v xml:space="preserve">            Ring = "Кольца",</v>
      </c>
      <c r="Q69" s="19" t="str">
        <f>'Unidentified ring'!R4</f>
        <v>แหวน</v>
      </c>
      <c r="R69" s="11" t="str">
        <f>_xlfn.CONCAT("            Ring = """, Q69, """,")</f>
        <v xml:space="preserve">            Ring = "แหวน",</v>
      </c>
      <c r="S69" s="19" t="e">
        <f>'Unidentified ring'!T4</f>
        <v>#N/A</v>
      </c>
      <c r="T69" s="11" t="e">
        <f>_xlfn.CONCAT("            Ring = """, S69, """,")</f>
        <v>#N/A</v>
      </c>
      <c r="V69" s="1" t="s">
        <v>551</v>
      </c>
    </row>
    <row r="70" spans="1:22" ht="15.95" customHeight="1" x14ac:dyDescent="0.25">
      <c r="A70" s="19" t="str">
        <f>Belt!B4</f>
        <v>Belts</v>
      </c>
      <c r="B70" s="11" t="str">
        <f>_xlfn.CONCAT("            Belt = """, A70, """,")</f>
        <v xml:space="preserve">            Belt = "Belts",</v>
      </c>
      <c r="C70" s="19" t="str">
        <f>Belt!D4</f>
        <v>Gürtel</v>
      </c>
      <c r="D70" s="11" t="str">
        <f>_xlfn.CONCAT("            Belt = """, C70, """,")</f>
        <v xml:space="preserve">            Belt = "Gürtel",</v>
      </c>
      <c r="E70" s="19" t="str">
        <f>Belt!F4</f>
        <v>Cinturones</v>
      </c>
      <c r="F70" s="11" t="str">
        <f>_xlfn.CONCAT("            Belt = """, E70, """,")</f>
        <v xml:space="preserve">            Belt = "Cinturones",</v>
      </c>
      <c r="G70" s="19" t="str">
        <f>Belt!H4</f>
        <v>Ceintures</v>
      </c>
      <c r="H70" s="11" t="str">
        <f>_xlfn.CONCAT("            Belt = """, G70, """,")</f>
        <v xml:space="preserve">            Belt = "Ceintures",</v>
      </c>
      <c r="I70" s="19" t="str">
        <f>Belt!J4</f>
        <v>ベルト</v>
      </c>
      <c r="J70" s="11" t="str">
        <f>_xlfn.CONCAT("            Belt = """, I70, """,")</f>
        <v xml:space="preserve">            Belt = "ベルト",</v>
      </c>
      <c r="K70" s="19" t="str">
        <f>Belt!L4</f>
        <v>허리띠</v>
      </c>
      <c r="L70" s="11" t="str">
        <f>_xlfn.CONCAT("            Belt = """, K70, """,")</f>
        <v xml:space="preserve">            Belt = "허리띠",</v>
      </c>
      <c r="M70" s="19" t="str">
        <f>Belt!N4</f>
        <v>Cintos</v>
      </c>
      <c r="N70" s="11" t="str">
        <f>_xlfn.CONCAT("            Belt = """, M70, """,")</f>
        <v xml:space="preserve">            Belt = "Cintos",</v>
      </c>
      <c r="O70" s="19" t="str">
        <f>Belt!P4</f>
        <v>Пояса</v>
      </c>
      <c r="P70" s="11" t="str">
        <f>_xlfn.CONCAT("            Belt = """, O70, """,")</f>
        <v xml:space="preserve">            Belt = "Пояса",</v>
      </c>
      <c r="Q70" s="19" t="str">
        <f>Belt!R4</f>
        <v>เข็มขัด</v>
      </c>
      <c r="R70" s="11" t="str">
        <f>_xlfn.CONCAT("            Belt = """, Q70, """,")</f>
        <v xml:space="preserve">            Belt = "เข็มขัด",</v>
      </c>
      <c r="S70" s="19" t="e">
        <f>Belt!T4</f>
        <v>#N/A</v>
      </c>
      <c r="T70" s="11" t="e">
        <f>_xlfn.CONCAT("            Belt = """, S70, """,")</f>
        <v>#N/A</v>
      </c>
      <c r="V70" s="1" t="s">
        <v>552</v>
      </c>
    </row>
    <row r="71" spans="1:22" ht="15.95" customHeight="1" x14ac:dyDescent="0.25">
      <c r="A71" s="19" t="str">
        <f>Gloves!B4</f>
        <v>Gloves</v>
      </c>
      <c r="B71" s="11" t="str">
        <f>_xlfn.CONCAT("            Gloves = """, A71, """,")</f>
        <v xml:space="preserve">            Gloves = "Gloves",</v>
      </c>
      <c r="C71" s="19" t="str">
        <f>Gloves!D4</f>
        <v>Handschuhe</v>
      </c>
      <c r="D71" s="11" t="str">
        <f>_xlfn.CONCAT("            Gloves = """, C71, """,")</f>
        <v xml:space="preserve">            Gloves = "Handschuhe",</v>
      </c>
      <c r="E71" s="19" t="str">
        <f>Gloves!F4</f>
        <v>Guantes</v>
      </c>
      <c r="F71" s="11" t="str">
        <f>_xlfn.CONCAT("            Gloves = """, E71, """,")</f>
        <v xml:space="preserve">            Gloves = "Guantes",</v>
      </c>
      <c r="G71" s="19" t="str">
        <f>Gloves!H4</f>
        <v>Gants</v>
      </c>
      <c r="H71" s="11" t="str">
        <f>_xlfn.CONCAT("            Gloves = """, G71, """,")</f>
        <v xml:space="preserve">            Gloves = "Gants",</v>
      </c>
      <c r="I71" s="19" t="str">
        <f>Gloves!J4</f>
        <v>手袋</v>
      </c>
      <c r="J71" s="11" t="str">
        <f>_xlfn.CONCAT("            Gloves = """, I71, """,")</f>
        <v xml:space="preserve">            Gloves = "手袋",</v>
      </c>
      <c r="K71" s="19" t="str">
        <f>Gloves!L4</f>
        <v>장갑</v>
      </c>
      <c r="L71" s="11" t="str">
        <f>_xlfn.CONCAT("            Gloves = """, K71, """,")</f>
        <v xml:space="preserve">            Gloves = "장갑",</v>
      </c>
      <c r="M71" s="19" t="str">
        <f>Gloves!N4</f>
        <v>Luvas</v>
      </c>
      <c r="N71" s="11" t="str">
        <f>_xlfn.CONCAT("            Gloves = """, M71, """,")</f>
        <v xml:space="preserve">            Gloves = "Luvas",</v>
      </c>
      <c r="O71" s="19" t="str">
        <f>Gloves!P4</f>
        <v>Перчатки</v>
      </c>
      <c r="P71" s="11" t="str">
        <f>_xlfn.CONCAT("            Gloves = """, O71, """,")</f>
        <v xml:space="preserve">            Gloves = "Перчатки",</v>
      </c>
      <c r="Q71" s="19" t="str">
        <f>Gloves!R4</f>
        <v>ถุงมือ</v>
      </c>
      <c r="R71" s="11" t="str">
        <f>_xlfn.CONCAT("            Gloves = """, Q71, """,")</f>
        <v xml:space="preserve">            Gloves = "ถุงมือ",</v>
      </c>
      <c r="S71" s="19" t="e">
        <f>Gloves!T4</f>
        <v>#N/A</v>
      </c>
      <c r="T71" s="11" t="e">
        <f>_xlfn.CONCAT("            Gloves = """, S71, """,")</f>
        <v>#N/A</v>
      </c>
      <c r="V71" s="1" t="s">
        <v>102</v>
      </c>
    </row>
    <row r="72" spans="1:22" ht="15.95" customHeight="1" x14ac:dyDescent="0.25">
      <c r="A72" s="19" t="str">
        <f>Boots!B4</f>
        <v>Boots</v>
      </c>
      <c r="B72" s="11" t="str">
        <f>_xlfn.CONCAT("            Boots = """, A72, """,")</f>
        <v xml:space="preserve">            Boots = "Boots",</v>
      </c>
      <c r="C72" s="19" t="str">
        <f>Boots!D4</f>
        <v>Stiefel</v>
      </c>
      <c r="D72" s="11" t="str">
        <f>_xlfn.CONCAT("            Boots = """, C72, """,")</f>
        <v xml:space="preserve">            Boots = "Stiefel",</v>
      </c>
      <c r="E72" s="19" t="str">
        <f>Boots!F4</f>
        <v>Botas</v>
      </c>
      <c r="F72" s="11" t="str">
        <f>_xlfn.CONCAT("            Boots = """, E72, """,")</f>
        <v xml:space="preserve">            Boots = "Botas",</v>
      </c>
      <c r="G72" s="19" t="str">
        <f>Boots!H4</f>
        <v>Bottes</v>
      </c>
      <c r="H72" s="11" t="str">
        <f>_xlfn.CONCAT("            Boots = """, G72, """,")</f>
        <v xml:space="preserve">            Boots = "Bottes",</v>
      </c>
      <c r="I72" s="19" t="str">
        <f>Boots!J4</f>
        <v>靴</v>
      </c>
      <c r="J72" s="11" t="str">
        <f>_xlfn.CONCAT("            Boots = """, I72, """,")</f>
        <v xml:space="preserve">            Boots = "靴",</v>
      </c>
      <c r="K72" s="19" t="str">
        <f>Boots!L4</f>
        <v>장화</v>
      </c>
      <c r="L72" s="11" t="str">
        <f>_xlfn.CONCAT("            Boots = """, K72, """,")</f>
        <v xml:space="preserve">            Boots = "장화",</v>
      </c>
      <c r="M72" s="19" t="str">
        <f>Boots!N4</f>
        <v>Botas</v>
      </c>
      <c r="N72" s="11" t="str">
        <f>_xlfn.CONCAT("            Boots = """, M72, """,")</f>
        <v xml:space="preserve">            Boots = "Botas",</v>
      </c>
      <c r="O72" s="19" t="str">
        <f>Boots!P4</f>
        <v>Обувь</v>
      </c>
      <c r="P72" s="11" t="str">
        <f>_xlfn.CONCAT("            Boots = """, O72, """,")</f>
        <v xml:space="preserve">            Boots = "Обувь",</v>
      </c>
      <c r="Q72" s="19" t="str">
        <f>Boots!R4</f>
        <v>รองเท้า</v>
      </c>
      <c r="R72" s="11" t="str">
        <f>_xlfn.CONCAT("            Boots = """, Q72, """,")</f>
        <v xml:space="preserve">            Boots = "รองเท้า",</v>
      </c>
      <c r="S72" s="19" t="e">
        <f>Boots!T4</f>
        <v>#N/A</v>
      </c>
      <c r="T72" s="11" t="e">
        <f>_xlfn.CONCAT("            Boots = """, S72, """,")</f>
        <v>#N/A</v>
      </c>
      <c r="V72" s="1" t="s">
        <v>103</v>
      </c>
    </row>
    <row r="73" spans="1:22" ht="15.95" customHeight="1" x14ac:dyDescent="0.25">
      <c r="A73" s="19" t="str">
        <f>'Carcass Jack'!B4</f>
        <v>Body Armours</v>
      </c>
      <c r="B73" s="11" t="str">
        <f>_xlfn.CONCAT("            BodyArmours = """, A73, """,")</f>
        <v xml:space="preserve">            BodyArmours = "Body Armours",</v>
      </c>
      <c r="C73" s="19" t="str">
        <f>'Carcass Jack'!D4</f>
        <v>Körperrüstungen</v>
      </c>
      <c r="D73" s="11" t="str">
        <f>_xlfn.CONCAT("            BodyArmours = """, C73, """,")</f>
        <v xml:space="preserve">            BodyArmours = "Körperrüstungen",</v>
      </c>
      <c r="E73" s="19" t="str">
        <f>'Carcass Jack'!F4</f>
        <v>Armaduras corporales</v>
      </c>
      <c r="F73" s="11" t="str">
        <f>_xlfn.CONCAT("            BodyArmours = """, E73, """,")</f>
        <v xml:space="preserve">            BodyArmours = "Armaduras corporales",</v>
      </c>
      <c r="G73" s="19" t="str">
        <f>'Carcass Jack'!H4</f>
        <v>Armures</v>
      </c>
      <c r="H73" s="11" t="str">
        <f>_xlfn.CONCAT("            BodyArmours = """, G73, """,")</f>
        <v xml:space="preserve">            BodyArmours = "Armures",</v>
      </c>
      <c r="I73" s="19" t="str">
        <f>'Carcass Jack'!J4</f>
        <v>鎧</v>
      </c>
      <c r="J73" s="11" t="str">
        <f>_xlfn.CONCAT("            BodyArmours = """, I73, """,")</f>
        <v xml:space="preserve">            BodyArmours = "鎧",</v>
      </c>
      <c r="K73" s="19" t="str">
        <f>'Carcass Jack'!L4</f>
        <v>갑옷</v>
      </c>
      <c r="L73" s="11" t="str">
        <f>_xlfn.CONCAT("            BodyArmours = """, K73, """,")</f>
        <v xml:space="preserve">            BodyArmours = "갑옷",</v>
      </c>
      <c r="M73" s="19" t="str">
        <f>'Carcass Jack'!N4</f>
        <v>Peitorais</v>
      </c>
      <c r="N73" s="11" t="str">
        <f>_xlfn.CONCAT("            BodyArmours = """, M73, """,")</f>
        <v xml:space="preserve">            BodyArmours = "Peitorais",</v>
      </c>
      <c r="O73" s="19" t="str">
        <f>'Carcass Jack'!P4</f>
        <v>Доспехи</v>
      </c>
      <c r="P73" s="11" t="str">
        <f>_xlfn.CONCAT("            BodyArmours = """, O73, """,")</f>
        <v xml:space="preserve">            BodyArmours = "Доспехи",</v>
      </c>
      <c r="Q73" s="19" t="str">
        <f>'Carcass Jack'!R4</f>
        <v>เสื้อเกราะ</v>
      </c>
      <c r="R73" s="11" t="str">
        <f>_xlfn.CONCAT("            BodyArmours = """, Q73, """,")</f>
        <v xml:space="preserve">            BodyArmours = "เสื้อเกราะ",</v>
      </c>
      <c r="S73" s="19" t="e">
        <f>'Carcass Jack'!T4</f>
        <v>#N/A</v>
      </c>
      <c r="T73" s="11" t="e">
        <f>_xlfn.CONCAT("            BodyArmours = """, S73, """,")</f>
        <v>#N/A</v>
      </c>
      <c r="V73" s="1" t="s">
        <v>553</v>
      </c>
    </row>
    <row r="74" spans="1:22" ht="15.95" customHeight="1" x14ac:dyDescent="0.25">
      <c r="A74" s="19" t="str">
        <f>Abyssus!B4</f>
        <v>Helmets</v>
      </c>
      <c r="B74" s="11" t="str">
        <f>_xlfn.CONCAT("            Helmets = """, A74, """,")</f>
        <v xml:space="preserve">            Helmets = "Helmets",</v>
      </c>
      <c r="C74" s="19" t="str">
        <f>Abyssus!D4</f>
        <v>Helme</v>
      </c>
      <c r="D74" s="11" t="str">
        <f>_xlfn.CONCAT("            Helmets = """, C74, """,")</f>
        <v xml:space="preserve">            Helmets = "Helme",</v>
      </c>
      <c r="E74" s="19" t="str">
        <f>Abyssus!F4</f>
        <v>Cascos</v>
      </c>
      <c r="F74" s="11" t="str">
        <f>_xlfn.CONCAT("            Helmets = """, E74, """,")</f>
        <v xml:space="preserve">            Helmets = "Cascos",</v>
      </c>
      <c r="G74" s="19" t="str">
        <f>Abyssus!H4</f>
        <v>Casques</v>
      </c>
      <c r="H74" s="11" t="str">
        <f>_xlfn.CONCAT("            Helmets = """, G74, """,")</f>
        <v xml:space="preserve">            Helmets = "Casques",</v>
      </c>
      <c r="I74" s="19" t="str">
        <f>Abyssus!J4</f>
        <v>兜</v>
      </c>
      <c r="J74" s="11" t="str">
        <f>_xlfn.CONCAT("            Helmets = """, I74, """,")</f>
        <v xml:space="preserve">            Helmets = "兜",</v>
      </c>
      <c r="K74" s="19" t="str">
        <f>Abyssus!L4</f>
        <v>투구</v>
      </c>
      <c r="L74" s="11" t="str">
        <f>_xlfn.CONCAT("            Helmets = """, K74, """,")</f>
        <v xml:space="preserve">            Helmets = "투구",</v>
      </c>
      <c r="M74" s="19" t="str">
        <f>Abyssus!N4</f>
        <v>Elmos</v>
      </c>
      <c r="N74" s="11" t="str">
        <f>_xlfn.CONCAT("            Helmets = """, M74, """,")</f>
        <v xml:space="preserve">            Helmets = "Elmos",</v>
      </c>
      <c r="O74" s="19" t="str">
        <f>Abyssus!P4</f>
        <v>Шлемы</v>
      </c>
      <c r="P74" s="11" t="str">
        <f>_xlfn.CONCAT("            Helmets = """, O74, """,")</f>
        <v xml:space="preserve">            Helmets = "Шлемы",</v>
      </c>
      <c r="Q74" s="19" t="str">
        <f>Abyssus!R4</f>
        <v>หมวก</v>
      </c>
      <c r="R74" s="11" t="str">
        <f>_xlfn.CONCAT("            Helmets = """, Q74, """,")</f>
        <v xml:space="preserve">            Helmets = "หมวก",</v>
      </c>
      <c r="S74" s="19" t="e">
        <f>Abyssus!T4</f>
        <v>#N/A</v>
      </c>
      <c r="T74" s="11" t="e">
        <f>_xlfn.CONCAT("            Helmets = """, S74, """,")</f>
        <v>#N/A</v>
      </c>
      <c r="V74" s="1" t="s">
        <v>104</v>
      </c>
    </row>
    <row r="75" spans="1:22" ht="15.95" customHeight="1" x14ac:dyDescent="0.25">
      <c r="A75" s="19" t="str">
        <f>Mistwall!B4</f>
        <v>Shields</v>
      </c>
      <c r="B75" s="11" t="str">
        <f>_xlfn.CONCAT("            Shields = """, A75, """,")</f>
        <v xml:space="preserve">            Shields = "Shields",</v>
      </c>
      <c r="C75" s="19" t="str">
        <f>Mistwall!D4</f>
        <v>Schilde</v>
      </c>
      <c r="D75" s="11" t="str">
        <f>_xlfn.CONCAT("            Shields = """, C75, """,")</f>
        <v xml:space="preserve">            Shields = "Schilde",</v>
      </c>
      <c r="E75" s="19" t="str">
        <f>Mistwall!F4</f>
        <v>Escudos</v>
      </c>
      <c r="F75" s="11" t="str">
        <f>_xlfn.CONCAT("            Shields = """, E75, """,")</f>
        <v xml:space="preserve">            Shields = "Escudos",</v>
      </c>
      <c r="G75" s="19" t="str">
        <f>Mistwall!H4</f>
        <v>Boucliers</v>
      </c>
      <c r="H75" s="11" t="str">
        <f>_xlfn.CONCAT("            Shields = """, G75, """,")</f>
        <v xml:space="preserve">            Shields = "Boucliers",</v>
      </c>
      <c r="I75" s="19" t="str">
        <f>Mistwall!J4</f>
        <v>盾</v>
      </c>
      <c r="J75" s="11" t="str">
        <f>_xlfn.CONCAT("            Shields = """, I75, """,")</f>
        <v xml:space="preserve">            Shields = "盾",</v>
      </c>
      <c r="K75" s="19" t="str">
        <f>Mistwall!L4</f>
        <v>방패</v>
      </c>
      <c r="L75" s="11" t="str">
        <f>_xlfn.CONCAT("            Shields = """, K75, """,")</f>
        <v xml:space="preserve">            Shields = "방패",</v>
      </c>
      <c r="M75" s="19" t="str">
        <f>Mistwall!N4</f>
        <v>Escudos</v>
      </c>
      <c r="N75" s="11" t="str">
        <f>_xlfn.CONCAT("            Shields = """, M75, """,")</f>
        <v xml:space="preserve">            Shields = "Escudos",</v>
      </c>
      <c r="O75" s="19" t="str">
        <f>Mistwall!P4</f>
        <v>Щиты</v>
      </c>
      <c r="P75" s="11" t="str">
        <f>_xlfn.CONCAT("            Shields = """, O75, """,")</f>
        <v xml:space="preserve">            Shields = "Щиты",</v>
      </c>
      <c r="Q75" s="19" t="str">
        <f>Mistwall!R4</f>
        <v>โล่</v>
      </c>
      <c r="R75" s="11" t="str">
        <f>_xlfn.CONCAT("            Shields = """, Q75, """,")</f>
        <v xml:space="preserve">            Shields = "โล่",</v>
      </c>
      <c r="S75" s="19" t="e">
        <f>Mistwall!T4</f>
        <v>#N/A</v>
      </c>
      <c r="T75" s="11" t="e">
        <f>_xlfn.CONCAT("            Shields = """, S75, """,")</f>
        <v>#N/A</v>
      </c>
      <c r="V75" s="1" t="s">
        <v>105</v>
      </c>
    </row>
    <row r="76" spans="1:22" ht="15.95" customHeight="1" x14ac:dyDescent="0.25">
      <c r="A76" s="19" t="str">
        <f>Quiver!B4</f>
        <v>Quivers</v>
      </c>
      <c r="B76" s="11" t="str">
        <f>_xlfn.CONCAT("            Quivers = """, A76, """,")</f>
        <v xml:space="preserve">            Quivers = "Quivers",</v>
      </c>
      <c r="C76" s="19" t="str">
        <f>Quiver!D4</f>
        <v>Köcher</v>
      </c>
      <c r="D76" s="11" t="str">
        <f>_xlfn.CONCAT("            Quivers = """, C76, """,")</f>
        <v xml:space="preserve">            Quivers = "Köcher",</v>
      </c>
      <c r="E76" s="19" t="str">
        <f>Quiver!F4</f>
        <v>Carcajes</v>
      </c>
      <c r="F76" s="11" t="str">
        <f>_xlfn.CONCAT("            Quivers = """, E76, """,")</f>
        <v xml:space="preserve">            Quivers = "Carcajes",</v>
      </c>
      <c r="G76" s="19" t="str">
        <f>Quiver!H4</f>
        <v>Carquois</v>
      </c>
      <c r="H76" s="11" t="str">
        <f>_xlfn.CONCAT("            Quivers = """, G76, """,")</f>
        <v xml:space="preserve">            Quivers = "Carquois",</v>
      </c>
      <c r="I76" s="19" t="str">
        <f>Quiver!J4</f>
        <v>矢筒</v>
      </c>
      <c r="J76" s="11" t="str">
        <f>_xlfn.CONCAT("            Quivers = """, I76, """,")</f>
        <v xml:space="preserve">            Quivers = "矢筒",</v>
      </c>
      <c r="K76" s="19" t="str">
        <f>Quiver!L4</f>
        <v>화살통</v>
      </c>
      <c r="L76" s="11" t="str">
        <f>_xlfn.CONCAT("            Quivers = """, K76, """,")</f>
        <v xml:space="preserve">            Quivers = "화살통",</v>
      </c>
      <c r="M76" s="19" t="str">
        <f>Quiver!N4</f>
        <v>Aljavas</v>
      </c>
      <c r="N76" s="11" t="str">
        <f>_xlfn.CONCAT("            Quivers = """, M76, """,")</f>
        <v xml:space="preserve">            Quivers = "Aljavas",</v>
      </c>
      <c r="O76" s="19" t="str">
        <f>Quiver!P4</f>
        <v>Колчаны</v>
      </c>
      <c r="P76" s="11" t="str">
        <f>_xlfn.CONCAT("            Quivers = """, O76, """,")</f>
        <v xml:space="preserve">            Quivers = "Колчаны",</v>
      </c>
      <c r="Q76" s="19" t="str">
        <f>Quiver!R4</f>
        <v>ซองธนู</v>
      </c>
      <c r="R76" s="11" t="str">
        <f>_xlfn.CONCAT("            Quivers = """, Q76, """,")</f>
        <v xml:space="preserve">            Quivers = "ซองธนู",</v>
      </c>
      <c r="S76" s="19" t="e">
        <f>Quiver!T4</f>
        <v>#N/A</v>
      </c>
      <c r="T76" s="11" t="e">
        <f>_xlfn.CONCAT("            Quivers = """, S76, """,")</f>
        <v>#N/A</v>
      </c>
      <c r="V76" s="1" t="s">
        <v>106</v>
      </c>
    </row>
    <row r="77" spans="1:22" ht="15.95" customHeight="1" x14ac:dyDescent="0.25">
      <c r="A77" s="19" t="str">
        <f>'Life Flask'!B4</f>
        <v>Life Flasks</v>
      </c>
      <c r="B77" s="11" t="str">
        <f>_xlfn.CONCAT("            LifeFlasks = """, A77, """,")</f>
        <v xml:space="preserve">            LifeFlasks = "Life Flasks",</v>
      </c>
      <c r="C77" s="19" t="str">
        <f>'Life Flask'!D4</f>
        <v>Lebensfläschchen</v>
      </c>
      <c r="D77" s="11" t="str">
        <f>_xlfn.CONCAT("            LifeFlasks = """, C77, """,")</f>
        <v xml:space="preserve">            LifeFlasks = "Lebensfläschchen",</v>
      </c>
      <c r="E77" s="19" t="str">
        <f>'Life Flask'!F4</f>
        <v>Frascos de vida</v>
      </c>
      <c r="F77" s="11" t="str">
        <f>_xlfn.CONCAT("            LifeFlasks = """, E77, """,")</f>
        <v xml:space="preserve">            LifeFlasks = "Frascos de vida",</v>
      </c>
      <c r="G77" s="19" t="str">
        <f>'Life Flask'!H4</f>
        <v>Flacons de Vie</v>
      </c>
      <c r="H77" s="11" t="str">
        <f>_xlfn.CONCAT("            LifeFlasks = """, G77, """,")</f>
        <v xml:space="preserve">            LifeFlasks = "Flacons de Vie",</v>
      </c>
      <c r="I77" s="19" t="str">
        <f>'Life Flask'!J4</f>
        <v>ライフフラスコ</v>
      </c>
      <c r="J77" s="11" t="str">
        <f>_xlfn.CONCAT("            LifeFlasks = """, I77, """,")</f>
        <v xml:space="preserve">            LifeFlasks = "ライフフラスコ",</v>
      </c>
      <c r="K77" s="19" t="str">
        <f>'Life Flask'!L4</f>
        <v>생명력 플라스크</v>
      </c>
      <c r="L77" s="11" t="str">
        <f>_xlfn.CONCAT("            LifeFlasks = """, K77, """,")</f>
        <v xml:space="preserve">            LifeFlasks = "생명력 플라스크",</v>
      </c>
      <c r="M77" s="19" t="str">
        <f>'Life Flask'!N4</f>
        <v>Frascos de Vida</v>
      </c>
      <c r="N77" s="11" t="str">
        <f>_xlfn.CONCAT("            LifeFlasks = """, M77, """,")</f>
        <v xml:space="preserve">            LifeFlasks = "Frascos de Vida",</v>
      </c>
      <c r="O77" s="19" t="str">
        <f>'Life Flask'!P4</f>
        <v>Флаконы жизни</v>
      </c>
      <c r="P77" s="11" t="str">
        <f>_xlfn.CONCAT("            LifeFlasks = """, O77, """,")</f>
        <v xml:space="preserve">            LifeFlasks = "Флаконы жизни",</v>
      </c>
      <c r="Q77" s="19" t="str">
        <f>'Life Flask'!R4</f>
        <v>ขวดยาพลังชีวิต</v>
      </c>
      <c r="R77" s="11" t="str">
        <f>_xlfn.CONCAT("            LifeFlasks = """, Q77, """,")</f>
        <v xml:space="preserve">            LifeFlasks = "ขวดยาพลังชีวิต",</v>
      </c>
      <c r="S77" s="19" t="e">
        <f>'Life Flask'!T4</f>
        <v>#N/A</v>
      </c>
      <c r="T77" s="11" t="e">
        <f>_xlfn.CONCAT("            LifeFlasks = """, S77, """,")</f>
        <v>#N/A</v>
      </c>
      <c r="V77" s="1" t="s">
        <v>777</v>
      </c>
    </row>
    <row r="78" spans="1:22" ht="15.95" customHeight="1" x14ac:dyDescent="0.25">
      <c r="A78" s="19" t="str">
        <f>'Mana Flask'!B4</f>
        <v>Mana Flasks</v>
      </c>
      <c r="B78" s="11" t="str">
        <f>_xlfn.CONCAT("            ManaFlasks = """, A78, """,")</f>
        <v xml:space="preserve">            ManaFlasks = "Mana Flasks",</v>
      </c>
      <c r="C78" s="19" t="str">
        <f>'Mana Flask'!D4</f>
        <v>Manafläschchen</v>
      </c>
      <c r="D78" s="11" t="str">
        <f>_xlfn.CONCAT("            ManaFlasks = """, C78, """,")</f>
        <v xml:space="preserve">            ManaFlasks = "Manafläschchen",</v>
      </c>
      <c r="E78" s="19" t="str">
        <f>'Mana Flask'!F4</f>
        <v>Frascos de maná</v>
      </c>
      <c r="F78" s="11" t="str">
        <f>_xlfn.CONCAT("            ManaFlasks = """, E78, """,")</f>
        <v xml:space="preserve">            ManaFlasks = "Frascos de maná",</v>
      </c>
      <c r="G78" s="19" t="str">
        <f>'Mana Flask'!H4</f>
        <v>Flacons de Mana</v>
      </c>
      <c r="H78" s="11" t="str">
        <f>_xlfn.CONCAT("            ManaFlasks = """, G78, """,")</f>
        <v xml:space="preserve">            ManaFlasks = "Flacons de Mana",</v>
      </c>
      <c r="I78" s="19" t="str">
        <f>'Mana Flask'!J4</f>
        <v>マナフラスコ</v>
      </c>
      <c r="J78" s="11" t="str">
        <f>_xlfn.CONCAT("            ManaFlasks = """, I78, """,")</f>
        <v xml:space="preserve">            ManaFlasks = "マナフラスコ",</v>
      </c>
      <c r="K78" s="19" t="str">
        <f>'Mana Flask'!L4</f>
        <v>마나 플라스크</v>
      </c>
      <c r="L78" s="11" t="str">
        <f>_xlfn.CONCAT("            ManaFlasks = """, K78, """,")</f>
        <v xml:space="preserve">            ManaFlasks = "마나 플라스크",</v>
      </c>
      <c r="M78" s="19" t="str">
        <f>'Mana Flask'!N4</f>
        <v>Frascos de Mana</v>
      </c>
      <c r="N78" s="11" t="str">
        <f>_xlfn.CONCAT("            ManaFlasks = """, M78, """,")</f>
        <v xml:space="preserve">            ManaFlasks = "Frascos de Mana",</v>
      </c>
      <c r="O78" s="19" t="str">
        <f>'Mana Flask'!P4</f>
        <v>Флаконы маны</v>
      </c>
      <c r="P78" s="11" t="str">
        <f>_xlfn.CONCAT("            ManaFlasks = """, O78, """,")</f>
        <v xml:space="preserve">            ManaFlasks = "Флаконы маны",</v>
      </c>
      <c r="Q78" s="19" t="str">
        <f>'Mana Flask'!R4</f>
        <v>ขวดยามานา</v>
      </c>
      <c r="R78" s="11" t="str">
        <f>_xlfn.CONCAT("            ManaFlasks = """, Q78, """,")</f>
        <v xml:space="preserve">            ManaFlasks = "ขวดยามานา",</v>
      </c>
      <c r="S78" s="19" t="e">
        <f>'Mana Flask'!T4</f>
        <v>#N/A</v>
      </c>
      <c r="T78" s="11" t="e">
        <f>_xlfn.CONCAT("            ManaFlasks = """, S78, """,")</f>
        <v>#N/A</v>
      </c>
      <c r="V78" s="1" t="s">
        <v>778</v>
      </c>
    </row>
    <row r="79" spans="1:22" ht="15.95" customHeight="1" x14ac:dyDescent="0.25">
      <c r="A79" s="19" t="str">
        <f>'Hybrid Flask'!B4</f>
        <v>Hybrid Flasks</v>
      </c>
      <c r="B79" s="11" t="str">
        <f>_xlfn.CONCAT("            HybridFlasks = """, A79, """,")</f>
        <v xml:space="preserve">            HybridFlasks = "Hybrid Flasks",</v>
      </c>
      <c r="C79" s="19" t="str">
        <f>'Hybrid Flask'!D4</f>
        <v>Hybridfläschchen</v>
      </c>
      <c r="D79" s="11" t="str">
        <f>_xlfn.CONCAT("            HybridFlasks = """, C79, """,")</f>
        <v xml:space="preserve">            HybridFlasks = "Hybridfläschchen",</v>
      </c>
      <c r="E79" s="19" t="str">
        <f>'Hybrid Flask'!F4</f>
        <v>Frascos híbridos</v>
      </c>
      <c r="F79" s="11" t="str">
        <f>_xlfn.CONCAT("            HybridFlasks = """, E79, """,")</f>
        <v xml:space="preserve">            HybridFlasks = "Frascos híbridos",</v>
      </c>
      <c r="G79" s="19" t="str">
        <f>'Hybrid Flask'!H4</f>
        <v>Flacons hybrides</v>
      </c>
      <c r="H79" s="11" t="str">
        <f>_xlfn.CONCAT("            HybridFlasks = """, G79, """,")</f>
        <v xml:space="preserve">            HybridFlasks = "Flacons hybrides",</v>
      </c>
      <c r="I79" s="19" t="str">
        <f>'Hybrid Flask'!J4</f>
        <v>ハイブリッドフラスコ</v>
      </c>
      <c r="J79" s="11" t="str">
        <f>_xlfn.CONCAT("            HybridFlasks = """, I79, """,")</f>
        <v xml:space="preserve">            HybridFlasks = "ハイブリッドフラスコ",</v>
      </c>
      <c r="K79" s="19" t="str">
        <f>'Hybrid Flask'!L4</f>
        <v>하이브리드 플라스크</v>
      </c>
      <c r="L79" s="11" t="str">
        <f>_xlfn.CONCAT("            HybridFlasks = """, K79, """,")</f>
        <v xml:space="preserve">            HybridFlasks = "하이브리드 플라스크",</v>
      </c>
      <c r="M79" s="19" t="str">
        <f>'Hybrid Flask'!N4</f>
        <v>Frascos Híbridos</v>
      </c>
      <c r="N79" s="11" t="str">
        <f>_xlfn.CONCAT("            HybridFlasks = """, M79, """,")</f>
        <v xml:space="preserve">            HybridFlasks = "Frascos Híbridos",</v>
      </c>
      <c r="O79" s="19" t="str">
        <f>'Hybrid Flask'!P4</f>
        <v>Флаконы равновесия</v>
      </c>
      <c r="P79" s="11" t="str">
        <f>_xlfn.CONCAT("            HybridFlasks = """, O79, """,")</f>
        <v xml:space="preserve">            HybridFlasks = "Флаконы равновесия",</v>
      </c>
      <c r="Q79" s="19" t="str">
        <f>'Hybrid Flask'!R4</f>
        <v>ขวดยาผสม</v>
      </c>
      <c r="R79" s="11" t="str">
        <f>_xlfn.CONCAT("            HybridFlasks = """, Q79, """,")</f>
        <v xml:space="preserve">            HybridFlasks = "ขวดยาผสม",</v>
      </c>
      <c r="S79" s="19" t="e">
        <f>'Hybrid Flask'!T4</f>
        <v>#N/A</v>
      </c>
      <c r="T79" s="11" t="e">
        <f>_xlfn.CONCAT("            HybridFlasks = """, S79, """,")</f>
        <v>#N/A</v>
      </c>
      <c r="V79" s="1" t="s">
        <v>779</v>
      </c>
    </row>
    <row r="80" spans="1:22" ht="15.95" customHeight="1" x14ac:dyDescent="0.25">
      <c r="A80" s="19" t="str">
        <f>'Magic Utility Flask'!B4</f>
        <v>Utility Flasks</v>
      </c>
      <c r="B80" s="11" t="str">
        <f>_xlfn.CONCAT("            UtilityFlasks = """, A80, """,")</f>
        <v xml:space="preserve">            UtilityFlasks = "Utility Flasks",</v>
      </c>
      <c r="C80" s="19" t="str">
        <f>'Magic Utility Flask'!D4</f>
        <v>Hilfsfläschchen</v>
      </c>
      <c r="D80" s="11" t="str">
        <f>_xlfn.CONCAT("            UtilityFlasks = """, C80, """,")</f>
        <v xml:space="preserve">            UtilityFlasks = "Hilfsfläschchen",</v>
      </c>
      <c r="E80" s="19" t="str">
        <f>'Magic Utility Flask'!F4</f>
        <v>Frascos de utilidad</v>
      </c>
      <c r="F80" s="11" t="str">
        <f>_xlfn.CONCAT("            UtilityFlasks = """, E80, """,")</f>
        <v xml:space="preserve">            UtilityFlasks = "Frascos de utilidad",</v>
      </c>
      <c r="G80" s="19" t="str">
        <f>'Magic Utility Flask'!H4</f>
        <v>Flacons utilitaires</v>
      </c>
      <c r="H80" s="11" t="str">
        <f>_xlfn.CONCAT("            UtilityFlasks = """, G80, """,")</f>
        <v xml:space="preserve">            UtilityFlasks = "Flacons utilitaires",</v>
      </c>
      <c r="I80" s="19" t="str">
        <f>'Magic Utility Flask'!J4</f>
        <v>ユーティリティフラスコ</v>
      </c>
      <c r="J80" s="11" t="str">
        <f>_xlfn.CONCAT("            UtilityFlasks = """, I80, """,")</f>
        <v xml:space="preserve">            UtilityFlasks = "ユーティリティフラスコ",</v>
      </c>
      <c r="K80" s="19" t="str">
        <f>'Magic Utility Flask'!L4</f>
        <v>특수 플라스크</v>
      </c>
      <c r="L80" s="11" t="str">
        <f>_xlfn.CONCAT("            UtilityFlasks = """, K80, """,")</f>
        <v xml:space="preserve">            UtilityFlasks = "특수 플라스크",</v>
      </c>
      <c r="M80" s="19" t="str">
        <f>'Magic Utility Flask'!N4</f>
        <v>Frascos de Utilidade</v>
      </c>
      <c r="N80" s="11" t="str">
        <f>_xlfn.CONCAT("            UtilityFlasks = """, M80, """,")</f>
        <v xml:space="preserve">            UtilityFlasks = "Frascos de Utilidade",</v>
      </c>
      <c r="O80" s="19" t="str">
        <f>'Magic Utility Flask'!P4</f>
        <v>Особые флаконы</v>
      </c>
      <c r="P80" s="11" t="str">
        <f>_xlfn.CONCAT("            UtilityFlasks = """, O80, """,")</f>
        <v xml:space="preserve">            UtilityFlasks = "Особые флаконы",</v>
      </c>
      <c r="Q80" s="19" t="str">
        <f>'Magic Utility Flask'!R4</f>
        <v>ขวดยาช่วยเหลือ</v>
      </c>
      <c r="R80" s="11" t="str">
        <f>_xlfn.CONCAT("            UtilityFlasks = """, Q80, """,")</f>
        <v xml:space="preserve">            UtilityFlasks = "ขวดยาช่วยเหลือ",</v>
      </c>
      <c r="S80" s="19" t="e">
        <f>'Magic Utility Flask'!T4</f>
        <v>#N/A</v>
      </c>
      <c r="T80" s="11" t="e">
        <f>_xlfn.CONCAT("            UtilityFlasks = """, S80, """,")</f>
        <v>#N/A</v>
      </c>
      <c r="V80" s="1" t="s">
        <v>554</v>
      </c>
    </row>
    <row r="81" spans="1:22" ht="15.95" customHeight="1" x14ac:dyDescent="0.25">
      <c r="A81" s="19" t="str">
        <f>'Phantasmal Gem'!B4</f>
        <v>Skill Gems</v>
      </c>
      <c r="B81" s="11" t="str">
        <f>_xlfn.CONCAT("            ActiveSkillGems = """, A81, """,")</f>
        <v xml:space="preserve">            ActiveSkillGems = "Skill Gems",</v>
      </c>
      <c r="C81" s="19" t="str">
        <f>'Phantasmal Gem'!D4</f>
        <v>Fertigkeitengemmen</v>
      </c>
      <c r="D81" s="11" t="str">
        <f>_xlfn.CONCAT("            ActiveSkillGems = """, C81, """,")</f>
        <v xml:space="preserve">            ActiveSkillGems = "Fertigkeitengemmen",</v>
      </c>
      <c r="E81" s="19" t="str">
        <f>'Phantasmal Gem'!F4</f>
        <v>Gemas de habilidad</v>
      </c>
      <c r="F81" s="11" t="str">
        <f>_xlfn.CONCAT("            ActiveSkillGems = """, E81, """,")</f>
        <v xml:space="preserve">            ActiveSkillGems = "Gemas de habilidad",</v>
      </c>
      <c r="G81" s="19" t="str">
        <f>'Phantasmal Gem'!H4</f>
        <v>Gemmes d'aptitude</v>
      </c>
      <c r="H81" s="11" t="str">
        <f>_xlfn.CONCAT("            ActiveSkillGems = """, G81, """,")</f>
        <v xml:space="preserve">            ActiveSkillGems = "Gemmes d'aptitude",</v>
      </c>
      <c r="I81" s="19" t="str">
        <f>'Phantasmal Gem'!J4</f>
        <v>スキルジェム</v>
      </c>
      <c r="J81" s="11" t="str">
        <f>_xlfn.CONCAT("            ActiveSkillGems = """, I81, """,")</f>
        <v xml:space="preserve">            ActiveSkillGems = "スキルジェム",</v>
      </c>
      <c r="K81" s="19" t="str">
        <f>'Phantasmal Gem'!L4</f>
        <v>스킬 젬</v>
      </c>
      <c r="L81" s="11" t="str">
        <f>_xlfn.CONCAT("            ActiveSkillGems = """, K81, """,")</f>
        <v xml:space="preserve">            ActiveSkillGems = "스킬 젬",</v>
      </c>
      <c r="M81" s="19" t="str">
        <f>'Phantasmal Gem'!N4</f>
        <v>Gemas de Habilidades</v>
      </c>
      <c r="N81" s="11" t="str">
        <f>_xlfn.CONCAT("            ActiveSkillGems = """, M81, """,")</f>
        <v xml:space="preserve">            ActiveSkillGems = "Gemas de Habilidades",</v>
      </c>
      <c r="O81" s="19" t="str">
        <f>'Phantasmal Gem'!P4</f>
        <v>Камни умений</v>
      </c>
      <c r="P81" s="11" t="str">
        <f>_xlfn.CONCAT("            ActiveSkillGems = """, O81, """,")</f>
        <v xml:space="preserve">            ActiveSkillGems = "Камни умений",</v>
      </c>
      <c r="Q81" s="19" t="str">
        <f>'Phantasmal Gem'!R4</f>
        <v>หินสกิล</v>
      </c>
      <c r="R81" s="11" t="str">
        <f>_xlfn.CONCAT("            ActiveSkillGems = """, Q81, """,")</f>
        <v xml:space="preserve">            ActiveSkillGems = "หินสกิล",</v>
      </c>
      <c r="S81" s="19" t="e">
        <f>'Phantasmal Gem'!T4</f>
        <v>#N/A</v>
      </c>
      <c r="T81" s="11" t="e">
        <f>_xlfn.CONCAT("            ActiveSkillGems = """, S81, """,")</f>
        <v>#N/A</v>
      </c>
      <c r="V81" s="1" t="s">
        <v>555</v>
      </c>
    </row>
    <row r="82" spans="1:22" ht="15.95" customHeight="1" x14ac:dyDescent="0.25">
      <c r="A82" s="19" t="str">
        <f>'Divergent Support Gem'!B4</f>
        <v>Support Gems</v>
      </c>
      <c r="B82" s="11" t="str">
        <f>_xlfn.CONCAT("            SupportSkillGems = """, A82, """,")</f>
        <v xml:space="preserve">            SupportSkillGems = "Support Gems",</v>
      </c>
      <c r="C82" s="19" t="str">
        <f>'Divergent Support Gem'!D4</f>
        <v>Unterstützungsgemmen</v>
      </c>
      <c r="D82" s="11" t="str">
        <f>_xlfn.CONCAT("            SupportSkillGems = """, C82, """,")</f>
        <v xml:space="preserve">            SupportSkillGems = "Unterstützungsgemmen",</v>
      </c>
      <c r="E82" s="19" t="str">
        <f>'Divergent Support Gem'!F4</f>
        <v>Gemas de asistencia</v>
      </c>
      <c r="F82" s="11" t="str">
        <f>_xlfn.CONCAT("            SupportSkillGems = """, E82, """,")</f>
        <v xml:space="preserve">            SupportSkillGems = "Gemas de asistencia",</v>
      </c>
      <c r="G82" s="19" t="str">
        <f>'Divergent Support Gem'!H4</f>
        <v>Gemmes de soutien</v>
      </c>
      <c r="H82" s="11" t="str">
        <f>_xlfn.CONCAT("            SupportSkillGems = """, G82, """,")</f>
        <v xml:space="preserve">            SupportSkillGems = "Gemmes de soutien",</v>
      </c>
      <c r="I82" s="19" t="str">
        <f>'Divergent Support Gem'!J4</f>
        <v>サポートジェム</v>
      </c>
      <c r="J82" s="11" t="str">
        <f>_xlfn.CONCAT("            SupportSkillGems = """, I82, """,")</f>
        <v xml:space="preserve">            SupportSkillGems = "サポートジェム",</v>
      </c>
      <c r="K82" s="19" t="str">
        <f>'Divergent Support Gem'!L4</f>
        <v>보조 젬</v>
      </c>
      <c r="L82" s="11" t="str">
        <f>_xlfn.CONCAT("            SupportSkillGems = """, K82, """,")</f>
        <v xml:space="preserve">            SupportSkillGems = "보조 젬",</v>
      </c>
      <c r="M82" s="19" t="str">
        <f>'Divergent Support Gem'!N4</f>
        <v>Gemas de Suporte</v>
      </c>
      <c r="N82" s="11" t="str">
        <f>_xlfn.CONCAT("            SupportSkillGems = """, M82, """,")</f>
        <v xml:space="preserve">            SupportSkillGems = "Gemas de Suporte",</v>
      </c>
      <c r="O82" s="19" t="str">
        <f>'Divergent Support Gem'!P4</f>
        <v>Камни поддержки</v>
      </c>
      <c r="P82" s="11" t="str">
        <f>_xlfn.CONCAT("            SupportSkillGems = """, O82, """,")</f>
        <v xml:space="preserve">            SupportSkillGems = "Камни поддержки",</v>
      </c>
      <c r="Q82" s="19" t="str">
        <f>'Divergent Support Gem'!R4</f>
        <v>หินเสริม</v>
      </c>
      <c r="R82" s="11" t="str">
        <f>_xlfn.CONCAT("            SupportSkillGems = """, Q82, """,")</f>
        <v xml:space="preserve">            SupportSkillGems = "หินเสริม",</v>
      </c>
      <c r="S82" s="19" t="e">
        <f>'Divergent Support Gem'!T4</f>
        <v>#N/A</v>
      </c>
      <c r="T82" s="11" t="e">
        <f>_xlfn.CONCAT("            SupportSkillGems = """, S82, """,")</f>
        <v>#N/A</v>
      </c>
      <c r="V82" s="1" t="s">
        <v>556</v>
      </c>
    </row>
    <row r="83" spans="1:22" ht="15.95" customHeight="1" x14ac:dyDescent="0.25">
      <c r="A83" s="19" t="str">
        <f>Map!B4</f>
        <v>Maps</v>
      </c>
      <c r="B83" s="11" t="str">
        <f>_xlfn.CONCAT("            Maps = """, A83, """,")</f>
        <v xml:space="preserve">            Maps = "Maps",</v>
      </c>
      <c r="C83" s="19" t="str">
        <f>Map!D4</f>
        <v>Karten</v>
      </c>
      <c r="D83" s="11" t="str">
        <f>_xlfn.CONCAT("            Maps = """, C83, """,")</f>
        <v xml:space="preserve">            Maps = "Karten",</v>
      </c>
      <c r="E83" s="19" t="str">
        <f>Map!F4</f>
        <v>Mapas</v>
      </c>
      <c r="F83" s="11" t="str">
        <f>_xlfn.CONCAT("            Maps = """, E83, """,")</f>
        <v xml:space="preserve">            Maps = "Mapas",</v>
      </c>
      <c r="G83" s="19" t="str">
        <f>Map!H4</f>
        <v>Cartes</v>
      </c>
      <c r="H83" s="11" t="str">
        <f>_xlfn.CONCAT("            Maps = """, G83, """,")</f>
        <v xml:space="preserve">            Maps = "Cartes",</v>
      </c>
      <c r="I83" s="19" t="str">
        <f>Map!J4</f>
        <v>マップ</v>
      </c>
      <c r="J83" s="11" t="str">
        <f>_xlfn.CONCAT("            Maps = """, I83, """,")</f>
        <v xml:space="preserve">            Maps = "マップ",</v>
      </c>
      <c r="K83" s="19" t="str">
        <f>Map!L4</f>
        <v>지도</v>
      </c>
      <c r="L83" s="11" t="str">
        <f>_xlfn.CONCAT("            Maps = """, K83, """,")</f>
        <v xml:space="preserve">            Maps = "지도",</v>
      </c>
      <c r="M83" s="19" t="str">
        <f>Map!N4</f>
        <v>Mapas</v>
      </c>
      <c r="N83" s="11" t="str">
        <f>_xlfn.CONCAT("            Maps = """, M83, """,")</f>
        <v xml:space="preserve">            Maps = "Mapas",</v>
      </c>
      <c r="O83" s="19" t="str">
        <f>Map!P4</f>
        <v>Карты</v>
      </c>
      <c r="P83" s="11" t="str">
        <f>_xlfn.CONCAT("            Maps = """, O83, """,")</f>
        <v xml:space="preserve">            Maps = "Карты",</v>
      </c>
      <c r="Q83" s="19" t="str">
        <f>Map!R4</f>
        <v>แผนที่</v>
      </c>
      <c r="R83" s="11" t="str">
        <f>_xlfn.CONCAT("            Maps = """, Q83, """,")</f>
        <v xml:space="preserve">            Maps = "แผนที่",</v>
      </c>
      <c r="S83" s="19" t="e">
        <f>Map!T4</f>
        <v>#N/A</v>
      </c>
      <c r="T83" s="11" t="e">
        <f>_xlfn.CONCAT("            Maps = """, S83, """,")</f>
        <v>#N/A</v>
      </c>
      <c r="V83" s="1" t="s">
        <v>780</v>
      </c>
    </row>
    <row r="84" spans="1:22" ht="15.95" customHeight="1" x14ac:dyDescent="0.25">
      <c r="A84" s="19" t="str">
        <f>'Map Fragment'!B4</f>
        <v>Map Fragments</v>
      </c>
      <c r="B84" s="11" t="str">
        <f>_xlfn.CONCAT("            MapFragments = """, A84, """,")</f>
        <v xml:space="preserve">            MapFragments = "Map Fragments",</v>
      </c>
      <c r="C84" s="19" t="str">
        <f>'Map Fragment'!D4</f>
        <v>Kartenfragmente</v>
      </c>
      <c r="D84" s="11" t="str">
        <f>_xlfn.CONCAT("            MapFragments = """, C84, """,")</f>
        <v xml:space="preserve">            MapFragments = "Kartenfragmente",</v>
      </c>
      <c r="E84" s="19" t="str">
        <f>'Map Fragment'!F4</f>
        <v>Fragmentos de mapa</v>
      </c>
      <c r="F84" s="11" t="str">
        <f>_xlfn.CONCAT("            MapFragments = """, E84, """,")</f>
        <v xml:space="preserve">            MapFragments = "Fragmentos de mapa",</v>
      </c>
      <c r="G84" s="19" t="str">
        <f>'Map Fragment'!H4</f>
        <v>Fragments de carte</v>
      </c>
      <c r="H84" s="11" t="str">
        <f>_xlfn.CONCAT("            MapFragments = """, G84, """,")</f>
        <v xml:space="preserve">            MapFragments = "Fragments de carte",</v>
      </c>
      <c r="I84" s="19" t="str">
        <f>'Map Fragment'!J4</f>
        <v>マップの断片</v>
      </c>
      <c r="J84" s="11" t="str">
        <f>_xlfn.CONCAT("            MapFragments = """, I84, """,")</f>
        <v xml:space="preserve">            MapFragments = "マップの断片",</v>
      </c>
      <c r="K84" s="19" t="str">
        <f>'Map Fragment'!L4</f>
        <v>지도 조각</v>
      </c>
      <c r="L84" s="11" t="str">
        <f>_xlfn.CONCAT("            MapFragments = """, K84, """,")</f>
        <v xml:space="preserve">            MapFragments = "지도 조각",</v>
      </c>
      <c r="M84" s="19" t="str">
        <f>'Map Fragment'!N4</f>
        <v>Fragmentos de Mapas</v>
      </c>
      <c r="N84" s="11" t="str">
        <f>_xlfn.CONCAT("            MapFragments = """, M84, """,")</f>
        <v xml:space="preserve">            MapFragments = "Fragmentos de Mapas",</v>
      </c>
      <c r="O84" s="19" t="str">
        <f>'Map Fragment'!P4</f>
        <v>Обрывки карт</v>
      </c>
      <c r="P84" s="11" t="str">
        <f>_xlfn.CONCAT("            MapFragments = """, O84, """,")</f>
        <v xml:space="preserve">            MapFragments = "Обрывки карт",</v>
      </c>
      <c r="Q84" s="19" t="str">
        <f>'Map Fragment'!R4</f>
        <v>ชิ้นส่วนแผนที่</v>
      </c>
      <c r="R84" s="11" t="str">
        <f>_xlfn.CONCAT("            MapFragments = """, Q84, """,")</f>
        <v xml:space="preserve">            MapFragments = "ชิ้นส่วนแผนที่",</v>
      </c>
      <c r="S84" s="19" t="e">
        <f>'Map Fragment'!T4</f>
        <v>#N/A</v>
      </c>
      <c r="T84" s="11" t="e">
        <f>_xlfn.CONCAT("            MapFragments = """, S84, """,")</f>
        <v>#N/A</v>
      </c>
      <c r="V84" s="1" t="s">
        <v>781</v>
      </c>
    </row>
    <row r="85" spans="1:22" ht="15.95" customHeight="1" x14ac:dyDescent="0.25">
      <c r="A85" s="19" t="str">
        <f>Contract!B4</f>
        <v>Contracts</v>
      </c>
      <c r="B85" s="11" t="str">
        <f>_xlfn.CONCAT("            Contract = """, A85, """,")</f>
        <v xml:space="preserve">            Contract = "Contracts",</v>
      </c>
      <c r="C85" s="19" t="str">
        <f>Contract!D4</f>
        <v>Aufträge</v>
      </c>
      <c r="D85" s="11" t="str">
        <f>_xlfn.CONCAT("            Contract = """, C85, """,")</f>
        <v xml:space="preserve">            Contract = "Aufträge",</v>
      </c>
      <c r="E85" s="19" t="str">
        <f>Contract!F4</f>
        <v>Contratos</v>
      </c>
      <c r="F85" s="11" t="str">
        <f>_xlfn.CONCAT("            Contract = """, E85, """,")</f>
        <v xml:space="preserve">            Contract = "Contratos",</v>
      </c>
      <c r="G85" s="19" t="str">
        <f>Contract!H4</f>
        <v>Contrats</v>
      </c>
      <c r="H85" s="11" t="str">
        <f>_xlfn.CONCAT("            Contract = """, G85, """,")</f>
        <v xml:space="preserve">            Contract = "Contrats",</v>
      </c>
      <c r="I85" s="19" t="str">
        <f>Contract!J4</f>
        <v>依頼書</v>
      </c>
      <c r="J85" s="11" t="str">
        <f>_xlfn.CONCAT("            Contract = """, I85, """,")</f>
        <v xml:space="preserve">            Contract = "依頼書",</v>
      </c>
      <c r="K85" s="19" t="str">
        <f>Contract!L4</f>
        <v>계약</v>
      </c>
      <c r="L85" s="11" t="str">
        <f>_xlfn.CONCAT("            Contract = """, K85, """,")</f>
        <v xml:space="preserve">            Contract = "계약",</v>
      </c>
      <c r="M85" s="19" t="str">
        <f>Contract!N4</f>
        <v>Contratos</v>
      </c>
      <c r="N85" s="11" t="str">
        <f>_xlfn.CONCAT("            Contract = """, M85, """,")</f>
        <v xml:space="preserve">            Contract = "Contratos",</v>
      </c>
      <c r="O85" s="19" t="str">
        <f>Contract!P4</f>
        <v>Контракты</v>
      </c>
      <c r="P85" s="11" t="str">
        <f>_xlfn.CONCAT("            Contract = """, O85, """,")</f>
        <v xml:space="preserve">            Contract = "Контракты",</v>
      </c>
      <c r="Q85" s="19" t="str">
        <f>Contract!R4</f>
        <v>สัญญาจ้าง</v>
      </c>
      <c r="R85" s="11" t="str">
        <f>_xlfn.CONCAT("            Contract = """, Q85, """,")</f>
        <v xml:space="preserve">            Contract = "สัญญาจ้าง",</v>
      </c>
      <c r="S85" s="19" t="e">
        <f>Contract!T4</f>
        <v>#N/A</v>
      </c>
      <c r="T85" s="11" t="e">
        <f>_xlfn.CONCAT("            Contract = """, S85, """,")</f>
        <v>#N/A</v>
      </c>
      <c r="V85" s="1" t="s">
        <v>782</v>
      </c>
    </row>
    <row r="86" spans="1:22" ht="15.95" customHeight="1" x14ac:dyDescent="0.25">
      <c r="A86" s="19" t="str">
        <f>Blueprint!B4</f>
        <v>Blueprints</v>
      </c>
      <c r="B86" s="11" t="str">
        <f>_xlfn.CONCAT("            Blueprint = """, A86, """,")</f>
        <v xml:space="preserve">            Blueprint = "Blueprints",</v>
      </c>
      <c r="C86" s="19" t="str">
        <f>Blueprint!D4</f>
        <v>Grundrisse</v>
      </c>
      <c r="D86" s="11" t="str">
        <f>_xlfn.CONCAT("            Blueprint = """, C86, """,")</f>
        <v xml:space="preserve">            Blueprint = "Grundrisse",</v>
      </c>
      <c r="E86" s="19" t="str">
        <f>Blueprint!F4</f>
        <v>Planos</v>
      </c>
      <c r="F86" s="11" t="str">
        <f>_xlfn.CONCAT("            Blueprint = """, E86, """,")</f>
        <v xml:space="preserve">            Blueprint = "Planos",</v>
      </c>
      <c r="G86" s="19" t="str">
        <f>Blueprint!H4</f>
        <v>Plans</v>
      </c>
      <c r="H86" s="11" t="str">
        <f>_xlfn.CONCAT("            Blueprint = """, G86, """,")</f>
        <v xml:space="preserve">            Blueprint = "Plans",</v>
      </c>
      <c r="I86" s="19" t="str">
        <f>Blueprint!J4</f>
        <v>計画書</v>
      </c>
      <c r="J86" s="11" t="str">
        <f>_xlfn.CONCAT("            Blueprint = """, I86, """,")</f>
        <v xml:space="preserve">            Blueprint = "計画書",</v>
      </c>
      <c r="K86" s="19" t="str">
        <f>Blueprint!L4</f>
        <v>도면</v>
      </c>
      <c r="L86" s="11" t="str">
        <f>_xlfn.CONCAT("            Blueprint = """, K86, """,")</f>
        <v xml:space="preserve">            Blueprint = "도면",</v>
      </c>
      <c r="M86" s="19" t="str">
        <f>Blueprint!N4</f>
        <v>Plantas</v>
      </c>
      <c r="N86" s="11" t="str">
        <f>_xlfn.CONCAT("            Blueprint = """, M86, """,")</f>
        <v xml:space="preserve">            Blueprint = "Plantas",</v>
      </c>
      <c r="O86" s="19" t="str">
        <f>Blueprint!P4</f>
        <v>Чертежи</v>
      </c>
      <c r="P86" s="11" t="str">
        <f>_xlfn.CONCAT("            Blueprint = """, O86, """,")</f>
        <v xml:space="preserve">            Blueprint = "Чертежи",</v>
      </c>
      <c r="Q86" s="19" t="str">
        <f>Blueprint!R4</f>
        <v>พิมพ์เขียว</v>
      </c>
      <c r="R86" s="11" t="str">
        <f>_xlfn.CONCAT("            Blueprint = """, Q86, """,")</f>
        <v xml:space="preserve">            Blueprint = "พิมพ์เขียว",</v>
      </c>
      <c r="S86" s="19" t="e">
        <f>Blueprint!T4</f>
        <v>#N/A</v>
      </c>
      <c r="T86" s="11" t="e">
        <f>_xlfn.CONCAT("            Blueprint = """, S86, """,")</f>
        <v>#N/A</v>
      </c>
      <c r="V86" s="1" t="s">
        <v>783</v>
      </c>
    </row>
    <row r="87" spans="1:22" ht="15.95" customHeight="1" x14ac:dyDescent="0.25">
      <c r="A87" s="19" t="str">
        <f>'Misc Map Item'!B4</f>
        <v>Misc Map Items</v>
      </c>
      <c r="B87" s="11" t="str">
        <f>_xlfn.CONCAT("            MiscMapItems = """, A87, """,")</f>
        <v xml:space="preserve">            MiscMapItems = "Misc Map Items",</v>
      </c>
      <c r="C87" s="19" t="str">
        <f>'Misc Map Item'!D4</f>
        <v>Sonstige Kartengegenstände</v>
      </c>
      <c r="D87" s="11" t="str">
        <f>_xlfn.CONCAT("            MiscMapItems = """, C87, """,")</f>
        <v xml:space="preserve">            MiscMapItems = "Sonstige Kartengegenstände",</v>
      </c>
      <c r="E87" s="19" t="str">
        <f>'Misc Map Item'!F4</f>
        <v>Objetos misceláneos de mapa</v>
      </c>
      <c r="F87" s="11" t="str">
        <f>_xlfn.CONCAT("            MiscMapItems = """, E87, """,")</f>
        <v xml:space="preserve">            MiscMapItems = "Objetos misceláneos de mapa",</v>
      </c>
      <c r="G87" s="19" t="str">
        <f>'Misc Map Item'!H4</f>
        <v>Objets de Carte divers</v>
      </c>
      <c r="H87" s="11" t="str">
        <f>_xlfn.CONCAT("            MiscMapItems = """, G87, """,")</f>
        <v xml:space="preserve">            MiscMapItems = "Objets de Carte divers",</v>
      </c>
      <c r="I87" s="19" t="str">
        <f>'Misc Map Item'!J4</f>
        <v>その他マップアイテム</v>
      </c>
      <c r="J87" s="11" t="str">
        <f>_xlfn.CONCAT("            MiscMapItems = """, I87, """,")</f>
        <v xml:space="preserve">            MiscMapItems = "その他マップアイテム",</v>
      </c>
      <c r="K87" s="19" t="str">
        <f>'Misc Map Item'!L4</f>
        <v>기타 지도 아이템</v>
      </c>
      <c r="L87" s="11" t="str">
        <f>_xlfn.CONCAT("            MiscMapItems = """, K87, """,")</f>
        <v xml:space="preserve">            MiscMapItems = "기타 지도 아이템",</v>
      </c>
      <c r="M87" s="19" t="str">
        <f>'Misc Map Item'!N4</f>
        <v>Itens Mapas Variados</v>
      </c>
      <c r="N87" s="11" t="str">
        <f>_xlfn.CONCAT("            MiscMapItems = """, M87, """,")</f>
        <v xml:space="preserve">            MiscMapItems = "Itens Mapas Variados",</v>
      </c>
      <c r="O87" s="19" t="str">
        <f>'Misc Map Item'!P4</f>
        <v>Прочие предметы карт</v>
      </c>
      <c r="P87" s="11" t="str">
        <f>_xlfn.CONCAT("            MiscMapItems = """, O87, """,")</f>
        <v xml:space="preserve">            MiscMapItems = "Прочие предметы карт",</v>
      </c>
      <c r="Q87" s="19" t="str">
        <f>'Misc Map Item'!R4</f>
        <v>ไอเทมแผนที่อื่นๆ</v>
      </c>
      <c r="R87" s="11" t="str">
        <f>_xlfn.CONCAT("            MiscMapItems = """, Q87, """,")</f>
        <v xml:space="preserve">            MiscMapItems = "ไอเทมแผนที่อื่นๆ",</v>
      </c>
      <c r="S87" s="19" t="e">
        <f>'Misc Map Item'!T4</f>
        <v>#N/A</v>
      </c>
      <c r="T87" s="11" t="e">
        <f>_xlfn.CONCAT("            MiscMapItems = """, S87, """,")</f>
        <v>#N/A</v>
      </c>
      <c r="V87" s="1" t="s">
        <v>784</v>
      </c>
    </row>
    <row r="88" spans="1:22" ht="15.95" customHeight="1" x14ac:dyDescent="0.25">
      <c r="A88" s="19" t="str">
        <f>Claw!B4</f>
        <v>Claws</v>
      </c>
      <c r="B88" s="11" t="str">
        <f>_xlfn.CONCAT("            Claws = """, A88, """,")</f>
        <v xml:space="preserve">            Claws = "Claws",</v>
      </c>
      <c r="C88" s="19" t="str">
        <f>Claw!D4</f>
        <v>Klauen</v>
      </c>
      <c r="D88" s="11" t="str">
        <f>_xlfn.CONCAT("            Claws = """, C88, """,")</f>
        <v xml:space="preserve">            Claws = "Klauen",</v>
      </c>
      <c r="E88" s="19" t="str">
        <f>Claw!F4</f>
        <v>Garras</v>
      </c>
      <c r="F88" s="11" t="str">
        <f>_xlfn.CONCAT("            Claws = """, E88, """,")</f>
        <v xml:space="preserve">            Claws = "Garras",</v>
      </c>
      <c r="G88" s="19" t="str">
        <f>Claw!H4</f>
        <v>Griffes</v>
      </c>
      <c r="H88" s="11" t="str">
        <f>_xlfn.CONCAT("            Claws = """, G88, """,")</f>
        <v xml:space="preserve">            Claws = "Griffes",</v>
      </c>
      <c r="I88" s="19" t="str">
        <f>Claw!J4</f>
        <v>鉤爪</v>
      </c>
      <c r="J88" s="11" t="str">
        <f>_xlfn.CONCAT("            Claws = """, I88, """,")</f>
        <v xml:space="preserve">            Claws = "鉤爪",</v>
      </c>
      <c r="K88" s="19" t="str">
        <f>Claw!L4</f>
        <v>클로</v>
      </c>
      <c r="L88" s="11" t="str">
        <f>_xlfn.CONCAT("            Claws = """, K88, """,")</f>
        <v xml:space="preserve">            Claws = "클로",</v>
      </c>
      <c r="M88" s="19" t="str">
        <f>Claw!N4</f>
        <v>Garras</v>
      </c>
      <c r="N88" s="11" t="str">
        <f>_xlfn.CONCAT("            Claws = """, M88, """,")</f>
        <v xml:space="preserve">            Claws = "Garras",</v>
      </c>
      <c r="O88" s="19" t="str">
        <f>Claw!P4</f>
        <v>Когти</v>
      </c>
      <c r="P88" s="11" t="str">
        <f>_xlfn.CONCAT("            Claws = """, O88, """,")</f>
        <v xml:space="preserve">            Claws = "Когти",</v>
      </c>
      <c r="Q88" s="19" t="str">
        <f>Claw!R4</f>
        <v>กรงเล็บ</v>
      </c>
      <c r="R88" s="11" t="str">
        <f>_xlfn.CONCAT("            Claws = """, Q88, """,")</f>
        <v xml:space="preserve">            Claws = "กรงเล็บ",</v>
      </c>
      <c r="S88" s="19" t="e">
        <f>Claw!T4</f>
        <v>#N/A</v>
      </c>
      <c r="T88" s="11" t="e">
        <f>_xlfn.CONCAT("            Claws = """, S88, """,")</f>
        <v>#N/A</v>
      </c>
      <c r="V88" s="1" t="s">
        <v>557</v>
      </c>
    </row>
    <row r="89" spans="1:22" ht="15.95" customHeight="1" x14ac:dyDescent="0.25">
      <c r="A89" s="19" t="str">
        <f>Dagger!B4</f>
        <v>Daggers</v>
      </c>
      <c r="B89" s="11" t="str">
        <f>_xlfn.CONCAT("            Daggers = """, A89, """,")</f>
        <v xml:space="preserve">            Daggers = "Daggers",</v>
      </c>
      <c r="C89" s="19" t="str">
        <f>Dagger!D4</f>
        <v>Dolche</v>
      </c>
      <c r="D89" s="11" t="str">
        <f>_xlfn.CONCAT("            Daggers = """, C89, """,")</f>
        <v xml:space="preserve">            Daggers = "Dolche",</v>
      </c>
      <c r="E89" s="19" t="str">
        <f>Dagger!F4</f>
        <v>Dagas</v>
      </c>
      <c r="F89" s="11" t="str">
        <f>_xlfn.CONCAT("            Daggers = """, E89, """,")</f>
        <v xml:space="preserve">            Daggers = "Dagas",</v>
      </c>
      <c r="G89" s="19" t="str">
        <f>Dagger!H4</f>
        <v>Dagues</v>
      </c>
      <c r="H89" s="11" t="str">
        <f>_xlfn.CONCAT("            Daggers = """, G89, """,")</f>
        <v xml:space="preserve">            Daggers = "Dagues",</v>
      </c>
      <c r="I89" s="19" t="str">
        <f>Dagger!J4</f>
        <v>短剣</v>
      </c>
      <c r="J89" s="11" t="str">
        <f>_xlfn.CONCAT("            Daggers = """, I89, """,")</f>
        <v xml:space="preserve">            Daggers = "短剣",</v>
      </c>
      <c r="K89" s="19" t="str">
        <f>Dagger!L4</f>
        <v>단검</v>
      </c>
      <c r="L89" s="11" t="str">
        <f>_xlfn.CONCAT("            Daggers = """, K89, """,")</f>
        <v xml:space="preserve">            Daggers = "단검",</v>
      </c>
      <c r="M89" s="19" t="str">
        <f>Dagger!N4</f>
        <v>Adagas</v>
      </c>
      <c r="N89" s="11" t="str">
        <f>_xlfn.CONCAT("            Daggers = """, M89, """,")</f>
        <v xml:space="preserve">            Daggers = "Adagas",</v>
      </c>
      <c r="O89" s="19" t="str">
        <f>Dagger!P4</f>
        <v>Кинжалы</v>
      </c>
      <c r="P89" s="11" t="str">
        <f>_xlfn.CONCAT("            Daggers = """, O89, """,")</f>
        <v xml:space="preserve">            Daggers = "Кинжалы",</v>
      </c>
      <c r="Q89" s="19" t="str">
        <f>Dagger!R4</f>
        <v>มีด</v>
      </c>
      <c r="R89" s="11" t="str">
        <f>_xlfn.CONCAT("            Daggers = """, Q89, """,")</f>
        <v xml:space="preserve">            Daggers = "มีด",</v>
      </c>
      <c r="S89" s="19" t="e">
        <f>Dagger!T4</f>
        <v>#N/A</v>
      </c>
      <c r="T89" s="11" t="e">
        <f>_xlfn.CONCAT("            Daggers = """, S89, """,")</f>
        <v>#N/A</v>
      </c>
      <c r="V89" s="1" t="s">
        <v>558</v>
      </c>
    </row>
    <row r="90" spans="1:22" ht="15.95" customHeight="1" x14ac:dyDescent="0.25">
      <c r="A90" s="19" t="str">
        <f>Wand!B4</f>
        <v>Wands</v>
      </c>
      <c r="B90" s="11" t="str">
        <f>_xlfn.CONCAT("            Wands = """, A90, """,")</f>
        <v xml:space="preserve">            Wands = "Wands",</v>
      </c>
      <c r="C90" s="19" t="str">
        <f>Wand!D4</f>
        <v>Zauberstäbe</v>
      </c>
      <c r="D90" s="11" t="str">
        <f>_xlfn.CONCAT("            Wands = """, C90, """,")</f>
        <v xml:space="preserve">            Wands = "Zauberstäbe",</v>
      </c>
      <c r="E90" s="19" t="str">
        <f>Wand!F4</f>
        <v>Varitas</v>
      </c>
      <c r="F90" s="11" t="str">
        <f>_xlfn.CONCAT("            Wands = """, E90, """,")</f>
        <v xml:space="preserve">            Wands = "Varitas",</v>
      </c>
      <c r="G90" s="19" t="str">
        <f>Wand!H4</f>
        <v>Baguettes</v>
      </c>
      <c r="H90" s="11" t="str">
        <f>_xlfn.CONCAT("            Wands = """, G90, """,")</f>
        <v xml:space="preserve">            Wands = "Baguettes",</v>
      </c>
      <c r="I90" s="19" t="str">
        <f>Wand!J4</f>
        <v>ワンド</v>
      </c>
      <c r="J90" s="11" t="str">
        <f>_xlfn.CONCAT("            Wands = """, I90, """,")</f>
        <v xml:space="preserve">            Wands = "ワンド",</v>
      </c>
      <c r="K90" s="19" t="str">
        <f>Wand!L4</f>
        <v>마법봉</v>
      </c>
      <c r="L90" s="11" t="str">
        <f>_xlfn.CONCAT("            Wands = """, K90, """,")</f>
        <v xml:space="preserve">            Wands = "마법봉",</v>
      </c>
      <c r="M90" s="19" t="str">
        <f>Wand!N4</f>
        <v>Varinhas</v>
      </c>
      <c r="N90" s="11" t="str">
        <f>_xlfn.CONCAT("            Wands = """, M90, """,")</f>
        <v xml:space="preserve">            Wands = "Varinhas",</v>
      </c>
      <c r="O90" s="19" t="str">
        <f>Wand!P4</f>
        <v>Жезлы</v>
      </c>
      <c r="P90" s="11" t="str">
        <f>_xlfn.CONCAT("            Wands = """, O90, """,")</f>
        <v xml:space="preserve">            Wands = "Жезлы",</v>
      </c>
      <c r="Q90" s="19" t="str">
        <f>Wand!R4</f>
        <v>ไม้กายสิทธิ์</v>
      </c>
      <c r="R90" s="11" t="str">
        <f>_xlfn.CONCAT("            Wands = """, Q90, """,")</f>
        <v xml:space="preserve">            Wands = "ไม้กายสิทธิ์",</v>
      </c>
      <c r="S90" s="19" t="e">
        <f>Wand!T4</f>
        <v>#N/A</v>
      </c>
      <c r="T90" s="11" t="e">
        <f>_xlfn.CONCAT("            Wands = """, S90, """,")</f>
        <v>#N/A</v>
      </c>
      <c r="V90" s="1" t="s">
        <v>559</v>
      </c>
    </row>
    <row r="91" spans="1:22" ht="15.95" customHeight="1" x14ac:dyDescent="0.25">
      <c r="A91" s="19" t="str">
        <f>'1H Sword'!B4</f>
        <v>One Hand Swords</v>
      </c>
      <c r="B91" s="11" t="str">
        <f>_xlfn.CONCAT("            OneHandSwords = """, A91, """,")</f>
        <v xml:space="preserve">            OneHandSwords = "One Hand Swords",</v>
      </c>
      <c r="C91" s="19" t="str">
        <f>'1H Sword'!D4</f>
        <v>Einhandschwerter</v>
      </c>
      <c r="D91" s="11" t="str">
        <f>_xlfn.CONCAT("            OneHandSwords = """, C91, """,")</f>
        <v xml:space="preserve">            OneHandSwords = "Einhandschwerter",</v>
      </c>
      <c r="E91" s="19" t="str">
        <f>'1H Sword'!F4</f>
        <v>Espadas a una mano</v>
      </c>
      <c r="F91" s="11" t="str">
        <f>_xlfn.CONCAT("            OneHandSwords = """, E91, """,")</f>
        <v xml:space="preserve">            OneHandSwords = "Espadas a una mano",</v>
      </c>
      <c r="G91" s="19" t="str">
        <f>'1H Sword'!H4</f>
        <v>Épées à une main</v>
      </c>
      <c r="H91" s="11" t="str">
        <f>_xlfn.CONCAT("            OneHandSwords = """, G91, """,")</f>
        <v xml:space="preserve">            OneHandSwords = "Épées à une main",</v>
      </c>
      <c r="I91" s="19" t="str">
        <f>'1H Sword'!J4</f>
        <v>片手剣</v>
      </c>
      <c r="J91" s="11" t="str">
        <f>_xlfn.CONCAT("            OneHandSwords = """, I91, """,")</f>
        <v xml:space="preserve">            OneHandSwords = "片手剣",</v>
      </c>
      <c r="K91" s="19" t="str">
        <f>'1H Sword'!L4</f>
        <v>한손 검</v>
      </c>
      <c r="L91" s="11" t="str">
        <f>_xlfn.CONCAT("            OneHandSwords = """, K91, """,")</f>
        <v xml:space="preserve">            OneHandSwords = "한손 검",</v>
      </c>
      <c r="M91" s="19" t="str">
        <f>'1H Sword'!N4</f>
        <v>Espadas de Uma Mão</v>
      </c>
      <c r="N91" s="11" t="str">
        <f>_xlfn.CONCAT("            OneHandSwords = """, M91, """,")</f>
        <v xml:space="preserve">            OneHandSwords = "Espadas de Uma Mão",</v>
      </c>
      <c r="O91" s="19" t="str">
        <f>'1H Sword'!P4</f>
        <v>Одноручные мечи</v>
      </c>
      <c r="P91" s="11" t="str">
        <f>_xlfn.CONCAT("            OneHandSwords = """, O91, """,")</f>
        <v xml:space="preserve">            OneHandSwords = "Одноручные мечи",</v>
      </c>
      <c r="Q91" s="19" t="str">
        <f>'1H Sword'!R4</f>
        <v>ดาบมือเดียว</v>
      </c>
      <c r="R91" s="11" t="str">
        <f>_xlfn.CONCAT("            OneHandSwords = """, Q91, """,")</f>
        <v xml:space="preserve">            OneHandSwords = "ดาบมือเดียว",</v>
      </c>
      <c r="S91" s="19" t="e">
        <f>'1H Sword'!T4</f>
        <v>#N/A</v>
      </c>
      <c r="T91" s="11" t="e">
        <f>_xlfn.CONCAT("            OneHandSwords = """, S91, """,")</f>
        <v>#N/A</v>
      </c>
      <c r="V91" s="1" t="s">
        <v>560</v>
      </c>
    </row>
    <row r="92" spans="1:22" ht="15.95" customHeight="1" x14ac:dyDescent="0.25">
      <c r="A92" s="19" t="str">
        <f>'1H Thrusting Sword'!B4</f>
        <v>Thrusting One Hand Swords</v>
      </c>
      <c r="B92" s="11" t="str">
        <f>_xlfn.CONCAT("            ThrustingOneHandSwords = """, A92, """,")</f>
        <v xml:space="preserve">            ThrustingOneHandSwords = "Thrusting One Hand Swords",</v>
      </c>
      <c r="C92" s="19" t="str">
        <f>'1H Thrusting Sword'!D4</f>
        <v>Einhandstichschwerter</v>
      </c>
      <c r="D92" s="11" t="str">
        <f>_xlfn.CONCAT("            ThrustingOneHandSwords = """, C92, """,")</f>
        <v xml:space="preserve">            ThrustingOneHandSwords = "Einhandstichschwerter",</v>
      </c>
      <c r="E92" s="19" t="str">
        <f>'1H Thrusting Sword'!F4</f>
        <v>Espadas agresivas a una mano</v>
      </c>
      <c r="F92" s="11" t="str">
        <f>_xlfn.CONCAT("            ThrustingOneHandSwords = """, E92, """,")</f>
        <v xml:space="preserve">            ThrustingOneHandSwords = "Espadas agresivas a una mano",</v>
      </c>
      <c r="G92" s="19" t="str">
        <f>'1H Thrusting Sword'!H4</f>
        <v>Épées d'estoc à une main</v>
      </c>
      <c r="H92" s="11" t="str">
        <f>_xlfn.CONCAT("            ThrustingOneHandSwords = """, G92, """,")</f>
        <v xml:space="preserve">            ThrustingOneHandSwords = "Épées d'estoc à une main",</v>
      </c>
      <c r="I92" s="19" t="str">
        <f>'1H Thrusting Sword'!J4</f>
        <v>刺突剣</v>
      </c>
      <c r="J92" s="11" t="str">
        <f>_xlfn.CONCAT("            ThrustingOneHandSwords = """, I92, """,")</f>
        <v xml:space="preserve">            ThrustingOneHandSwords = "刺突剣",</v>
      </c>
      <c r="K92" s="19" t="str">
        <f>'1H Thrusting Sword'!L4</f>
        <v>날카로운 한손 검</v>
      </c>
      <c r="L92" s="11" t="str">
        <f>_xlfn.CONCAT("            ThrustingOneHandSwords = """, K92, """,")</f>
        <v xml:space="preserve">            ThrustingOneHandSwords = "날카로운 한손 검",</v>
      </c>
      <c r="M92" s="19" t="str">
        <f>'1H Thrusting Sword'!N4</f>
        <v>Espadas de Estocada de Uma Mão</v>
      </c>
      <c r="N92" s="11" t="str">
        <f>_xlfn.CONCAT("            ThrustingOneHandSwords = """, M92, """,")</f>
        <v xml:space="preserve">            ThrustingOneHandSwords = "Espadas de Estocada de Uma Mão",</v>
      </c>
      <c r="O92" s="19" t="str">
        <f>'1H Thrusting Sword'!P4</f>
        <v>Шпаги</v>
      </c>
      <c r="P92" s="11" t="str">
        <f>_xlfn.CONCAT("            ThrustingOneHandSwords = """, O92, """,")</f>
        <v xml:space="preserve">            ThrustingOneHandSwords = "Шпаги",</v>
      </c>
      <c r="Q92" s="19" t="str">
        <f>'1H Thrusting Sword'!R4</f>
        <v>ดาบแทง</v>
      </c>
      <c r="R92" s="11" t="str">
        <f>_xlfn.CONCAT("            ThrustingOneHandSwords = """, Q92, """,")</f>
        <v xml:space="preserve">            ThrustingOneHandSwords = "ดาบแทง",</v>
      </c>
      <c r="S92" s="19" t="e">
        <f>'1H Thrusting Sword'!T4</f>
        <v>#N/A</v>
      </c>
      <c r="T92" s="11" t="e">
        <f>_xlfn.CONCAT("            ThrustingOneHandSwords = """, S92, """,")</f>
        <v>#N/A</v>
      </c>
      <c r="V92" s="1" t="s">
        <v>561</v>
      </c>
    </row>
    <row r="93" spans="1:22" ht="15.95" customHeight="1" x14ac:dyDescent="0.25">
      <c r="A93" s="19" t="str">
        <f>'1H Axe'!B4</f>
        <v>One Hand Axes</v>
      </c>
      <c r="B93" s="11" t="str">
        <f>_xlfn.CONCAT("            OneHandAxes = """, A93, """,")</f>
        <v xml:space="preserve">            OneHandAxes = "One Hand Axes",</v>
      </c>
      <c r="C93" s="19" t="str">
        <f>'1H Axe'!D4</f>
        <v>Einhandäxte</v>
      </c>
      <c r="D93" s="11" t="str">
        <f>_xlfn.CONCAT("            OneHandAxes = """, C93, """,")</f>
        <v xml:space="preserve">            OneHandAxes = "Einhandäxte",</v>
      </c>
      <c r="E93" s="19" t="str">
        <f>'1H Axe'!F4</f>
        <v>Hachas a una mano</v>
      </c>
      <c r="F93" s="11" t="str">
        <f>_xlfn.CONCAT("            OneHandAxes = """, E93, """,")</f>
        <v xml:space="preserve">            OneHandAxes = "Hachas a una mano",</v>
      </c>
      <c r="G93" s="19" t="str">
        <f>'1H Axe'!H4</f>
        <v>Haches à une main</v>
      </c>
      <c r="H93" s="11" t="str">
        <f>_xlfn.CONCAT("            OneHandAxes = """, G93, """,")</f>
        <v xml:space="preserve">            OneHandAxes = "Haches à une main",</v>
      </c>
      <c r="I93" s="19" t="str">
        <f>'1H Axe'!J4</f>
        <v>片手斧</v>
      </c>
      <c r="J93" s="11" t="str">
        <f>_xlfn.CONCAT("            OneHandAxes = """, I93, """,")</f>
        <v xml:space="preserve">            OneHandAxes = "片手斧",</v>
      </c>
      <c r="K93" s="19" t="str">
        <f>'1H Axe'!L4</f>
        <v>한손 도끼</v>
      </c>
      <c r="L93" s="11" t="str">
        <f>_xlfn.CONCAT("            OneHandAxes = """, K93, """,")</f>
        <v xml:space="preserve">            OneHandAxes = "한손 도끼",</v>
      </c>
      <c r="M93" s="19" t="str">
        <f>'1H Axe'!N4</f>
        <v>Machados de Uma Mão</v>
      </c>
      <c r="N93" s="11" t="str">
        <f>_xlfn.CONCAT("            OneHandAxes = """, M93, """,")</f>
        <v xml:space="preserve">            OneHandAxes = "Machados de Uma Mão",</v>
      </c>
      <c r="O93" s="19" t="str">
        <f>'1H Axe'!P4</f>
        <v>Одноручные топоры</v>
      </c>
      <c r="P93" s="11" t="str">
        <f>_xlfn.CONCAT("            OneHandAxes = """, O93, """,")</f>
        <v xml:space="preserve">            OneHandAxes = "Одноручные топоры",</v>
      </c>
      <c r="Q93" s="19" t="str">
        <f>'1H Axe'!R4</f>
        <v>ขวานมือเดียว</v>
      </c>
      <c r="R93" s="11" t="str">
        <f>_xlfn.CONCAT("            OneHandAxes = """, Q93, """,")</f>
        <v xml:space="preserve">            OneHandAxes = "ขวานมือเดียว",</v>
      </c>
      <c r="S93" s="19" t="e">
        <f>'1H Axe'!T4</f>
        <v>#N/A</v>
      </c>
      <c r="T93" s="11" t="e">
        <f>_xlfn.CONCAT("            OneHandAxes = """, S93, """,")</f>
        <v>#N/A</v>
      </c>
      <c r="V93" s="1" t="s">
        <v>562</v>
      </c>
    </row>
    <row r="94" spans="1:22" ht="15.95" customHeight="1" x14ac:dyDescent="0.25">
      <c r="A94" s="19" t="str">
        <f>'1H Mace'!B4</f>
        <v>One Hand Maces</v>
      </c>
      <c r="B94" s="11" t="str">
        <f>_xlfn.CONCAT("            OneHandMaces = """, A94, """,")</f>
        <v xml:space="preserve">            OneHandMaces = "One Hand Maces",</v>
      </c>
      <c r="C94" s="19" t="str">
        <f>'1H Mace'!D4</f>
        <v>Einhandstreitkolben</v>
      </c>
      <c r="D94" s="11" t="str">
        <f>_xlfn.CONCAT("            OneHandMaces = """, C94, """,")</f>
        <v xml:space="preserve">            OneHandMaces = "Einhandstreitkolben",</v>
      </c>
      <c r="E94" s="19" t="str">
        <f>'1H Mace'!F4</f>
        <v>Mazas a una mano</v>
      </c>
      <c r="F94" s="11" t="str">
        <f>_xlfn.CONCAT("            OneHandMaces = """, E94, """,")</f>
        <v xml:space="preserve">            OneHandMaces = "Mazas a una mano",</v>
      </c>
      <c r="G94" s="19" t="str">
        <f>'1H Mace'!H4</f>
        <v>Masses à une main</v>
      </c>
      <c r="H94" s="11" t="str">
        <f>_xlfn.CONCAT("            OneHandMaces = """, G94, """,")</f>
        <v xml:space="preserve">            OneHandMaces = "Masses à une main",</v>
      </c>
      <c r="I94" s="19" t="str">
        <f>'1H Mace'!J4</f>
        <v>片手メイス</v>
      </c>
      <c r="J94" s="11" t="str">
        <f>_xlfn.CONCAT("            OneHandMaces = """, I94, """,")</f>
        <v xml:space="preserve">            OneHandMaces = "片手メイス",</v>
      </c>
      <c r="K94" s="19" t="str">
        <f>'1H Mace'!L4</f>
        <v>한손 철퇴</v>
      </c>
      <c r="L94" s="11" t="str">
        <f>_xlfn.CONCAT("            OneHandMaces = """, K94, """,")</f>
        <v xml:space="preserve">            OneHandMaces = "한손 철퇴",</v>
      </c>
      <c r="M94" s="19" t="str">
        <f>'1H Mace'!N4</f>
        <v>Maças de Uma Mão</v>
      </c>
      <c r="N94" s="11" t="str">
        <f>_xlfn.CONCAT("            OneHandMaces = """, M94, """,")</f>
        <v xml:space="preserve">            OneHandMaces = "Maças de Uma Mão",</v>
      </c>
      <c r="O94" s="19" t="str">
        <f>'1H Mace'!P4</f>
        <v>Одноручные булавы</v>
      </c>
      <c r="P94" s="11" t="str">
        <f>_xlfn.CONCAT("            OneHandMaces = """, O94, """,")</f>
        <v xml:space="preserve">            OneHandMaces = "Одноручные булавы",</v>
      </c>
      <c r="Q94" s="19" t="str">
        <f>'1H Mace'!R4</f>
        <v>กระบองมือเดียว</v>
      </c>
      <c r="R94" s="11" t="str">
        <f>_xlfn.CONCAT("            OneHandMaces = """, Q94, """,")</f>
        <v xml:space="preserve">            OneHandMaces = "กระบองมือเดียว",</v>
      </c>
      <c r="S94" s="19" t="e">
        <f>'1H Mace'!T4</f>
        <v>#N/A</v>
      </c>
      <c r="T94" s="11" t="e">
        <f>_xlfn.CONCAT("            OneHandMaces = """, S94, """,")</f>
        <v>#N/A</v>
      </c>
      <c r="V94" s="1" t="s">
        <v>563</v>
      </c>
    </row>
    <row r="95" spans="1:22" ht="15.95" customHeight="1" x14ac:dyDescent="0.25">
      <c r="A95" s="19" t="str">
        <f>Bow!B4</f>
        <v>Bows</v>
      </c>
      <c r="B95" s="11" t="str">
        <f>_xlfn.CONCAT("            Bows = """, A95, """,")</f>
        <v xml:space="preserve">            Bows = "Bows",</v>
      </c>
      <c r="C95" s="19" t="str">
        <f>Bow!D4</f>
        <v>Bögen</v>
      </c>
      <c r="D95" s="11" t="str">
        <f>_xlfn.CONCAT("            Bows = """, C95, """,")</f>
        <v xml:space="preserve">            Bows = "Bögen",</v>
      </c>
      <c r="E95" s="19" t="str">
        <f>Bow!F4</f>
        <v>Arcos</v>
      </c>
      <c r="F95" s="11" t="str">
        <f>_xlfn.CONCAT("            Bows = """, E95, """,")</f>
        <v xml:space="preserve">            Bows = "Arcos",</v>
      </c>
      <c r="G95" s="19" t="str">
        <f>Bow!H4</f>
        <v>Arcs</v>
      </c>
      <c r="H95" s="11" t="str">
        <f>_xlfn.CONCAT("            Bows = """, G95, """,")</f>
        <v xml:space="preserve">            Bows = "Arcs",</v>
      </c>
      <c r="I95" s="19" t="str">
        <f>Bow!J4</f>
        <v>弓</v>
      </c>
      <c r="J95" s="11" t="str">
        <f>_xlfn.CONCAT("            Bows = """, I95, """,")</f>
        <v xml:space="preserve">            Bows = "弓",</v>
      </c>
      <c r="K95" s="19" t="str">
        <f>Bow!L4</f>
        <v>활</v>
      </c>
      <c r="L95" s="11" t="str">
        <f>_xlfn.CONCAT("            Bows = """, K95, """,")</f>
        <v xml:space="preserve">            Bows = "활",</v>
      </c>
      <c r="M95" s="19" t="str">
        <f>Bow!N4</f>
        <v>Arcos</v>
      </c>
      <c r="N95" s="11" t="str">
        <f>_xlfn.CONCAT("            Bows = """, M95, """,")</f>
        <v xml:space="preserve">            Bows = "Arcos",</v>
      </c>
      <c r="O95" s="19" t="str">
        <f>Bow!P4</f>
        <v>Луки</v>
      </c>
      <c r="P95" s="11" t="str">
        <f>_xlfn.CONCAT("            Bows = """, O95, """,")</f>
        <v xml:space="preserve">            Bows = "Луки",</v>
      </c>
      <c r="Q95" s="19" t="str">
        <f>Bow!R4</f>
        <v>ธนู</v>
      </c>
      <c r="R95" s="11" t="str">
        <f>_xlfn.CONCAT("            Bows = """, Q95, """,")</f>
        <v xml:space="preserve">            Bows = "ธนู",</v>
      </c>
      <c r="S95" s="19" t="e">
        <f>Bow!T4</f>
        <v>#N/A</v>
      </c>
      <c r="T95" s="11" t="e">
        <f>_xlfn.CONCAT("            Bows = """, S95, """,")</f>
        <v>#N/A</v>
      </c>
      <c r="V95" s="1" t="s">
        <v>564</v>
      </c>
    </row>
    <row r="96" spans="1:22" ht="15.95" customHeight="1" x14ac:dyDescent="0.25">
      <c r="A96" s="19" t="str">
        <f>Staff!B4</f>
        <v>Staves</v>
      </c>
      <c r="B96" s="11" t="str">
        <f>_xlfn.CONCAT("            Staves = """, A96, """,")</f>
        <v xml:space="preserve">            Staves = "Staves",</v>
      </c>
      <c r="C96" s="19" t="str">
        <f>Staff!D4</f>
        <v>Stäbe</v>
      </c>
      <c r="D96" s="11" t="str">
        <f>_xlfn.CONCAT("            Staves = """, C96, """,")</f>
        <v xml:space="preserve">            Staves = "Stäbe",</v>
      </c>
      <c r="E96" s="19" t="str">
        <f>Staff!F4</f>
        <v>Báculos</v>
      </c>
      <c r="F96" s="11" t="str">
        <f>_xlfn.CONCAT("            Staves = """, E96, """,")</f>
        <v xml:space="preserve">            Staves = "Báculos",</v>
      </c>
      <c r="G96" s="19" t="str">
        <f>Staff!H4</f>
        <v>Bâtons</v>
      </c>
      <c r="H96" s="11" t="str">
        <f>_xlfn.CONCAT("            Staves = """, G96, """,")</f>
        <v xml:space="preserve">            Staves = "Bâtons",</v>
      </c>
      <c r="I96" s="19" t="str">
        <f>Staff!J4</f>
        <v>スタッフ</v>
      </c>
      <c r="J96" s="11" t="str">
        <f>_xlfn.CONCAT("            Staves = """, I96, """,")</f>
        <v xml:space="preserve">            Staves = "スタッフ",</v>
      </c>
      <c r="K96" s="19" t="str">
        <f>Staff!L4</f>
        <v>지팡이</v>
      </c>
      <c r="L96" s="11" t="str">
        <f>_xlfn.CONCAT("            Staves = """, K96, """,")</f>
        <v xml:space="preserve">            Staves = "지팡이",</v>
      </c>
      <c r="M96" s="19" t="str">
        <f>Staff!N4</f>
        <v>Cajados</v>
      </c>
      <c r="N96" s="11" t="str">
        <f>_xlfn.CONCAT("            Staves = """, M96, """,")</f>
        <v xml:space="preserve">            Staves = "Cajados",</v>
      </c>
      <c r="O96" s="19" t="str">
        <f>Staff!P4</f>
        <v>Посохи</v>
      </c>
      <c r="P96" s="11" t="str">
        <f>_xlfn.CONCAT("            Staves = """, O96, """,")</f>
        <v xml:space="preserve">            Staves = "Посохи",</v>
      </c>
      <c r="Q96" s="19" t="str">
        <f>Staff!R4</f>
        <v>ไม้พลอง</v>
      </c>
      <c r="R96" s="11" t="str">
        <f>_xlfn.CONCAT("            Staves = """, Q96, """,")</f>
        <v xml:space="preserve">            Staves = "ไม้พลอง",</v>
      </c>
      <c r="S96" s="19" t="e">
        <f>Staff!T4</f>
        <v>#N/A</v>
      </c>
      <c r="T96" s="11" t="e">
        <f>_xlfn.CONCAT("            Staves = """, S96, """,")</f>
        <v>#N/A</v>
      </c>
      <c r="V96" s="1" t="s">
        <v>565</v>
      </c>
    </row>
    <row r="97" spans="1:22" ht="15.95" customHeight="1" x14ac:dyDescent="0.25">
      <c r="A97" s="19" t="str">
        <f>'2H Sword'!B4</f>
        <v>Two Hand Swords</v>
      </c>
      <c r="B97" s="11" t="str">
        <f>_xlfn.CONCAT("            TwoHandSwords = """, A97, """,")</f>
        <v xml:space="preserve">            TwoHandSwords = "Two Hand Swords",</v>
      </c>
      <c r="C97" s="19" t="str">
        <f>'2H Sword'!D4</f>
        <v>Zweihandschwerter</v>
      </c>
      <c r="D97" s="11" t="str">
        <f>_xlfn.CONCAT("            TwoHandSwords = """, C97, """,")</f>
        <v xml:space="preserve">            TwoHandSwords = "Zweihandschwerter",</v>
      </c>
      <c r="E97" s="19" t="str">
        <f>'2H Sword'!F4</f>
        <v>Espadas a dos manos</v>
      </c>
      <c r="F97" s="11" t="str">
        <f>_xlfn.CONCAT("            TwoHandSwords = """, E97, """,")</f>
        <v xml:space="preserve">            TwoHandSwords = "Espadas a dos manos",</v>
      </c>
      <c r="G97" s="19" t="str">
        <f>'2H Sword'!H4</f>
        <v>Épées à deux mains</v>
      </c>
      <c r="H97" s="11" t="str">
        <f>_xlfn.CONCAT("            TwoHandSwords = """, G97, """,")</f>
        <v xml:space="preserve">            TwoHandSwords = "Épées à deux mains",</v>
      </c>
      <c r="I97" s="19" t="str">
        <f>'2H Sword'!J4</f>
        <v>両手剣</v>
      </c>
      <c r="J97" s="11" t="str">
        <f>_xlfn.CONCAT("            TwoHandSwords = """, I97, """,")</f>
        <v xml:space="preserve">            TwoHandSwords = "両手剣",</v>
      </c>
      <c r="K97" s="19" t="str">
        <f>'2H Sword'!L4</f>
        <v>양손 검</v>
      </c>
      <c r="L97" s="11" t="str">
        <f>_xlfn.CONCAT("            TwoHandSwords = """, K97, """,")</f>
        <v xml:space="preserve">            TwoHandSwords = "양손 검",</v>
      </c>
      <c r="M97" s="19" t="str">
        <f>'2H Sword'!N4</f>
        <v>Espadas de Duas Mãos</v>
      </c>
      <c r="N97" s="11" t="str">
        <f>_xlfn.CONCAT("            TwoHandSwords = """, M97, """,")</f>
        <v xml:space="preserve">            TwoHandSwords = "Espadas de Duas Mãos",</v>
      </c>
      <c r="O97" s="19" t="str">
        <f>'2H Sword'!P4</f>
        <v>Двуручные мечи</v>
      </c>
      <c r="P97" s="11" t="str">
        <f>_xlfn.CONCAT("            TwoHandSwords = """, O97, """,")</f>
        <v xml:space="preserve">            TwoHandSwords = "Двуручные мечи",</v>
      </c>
      <c r="Q97" s="19" t="str">
        <f>'2H Sword'!R4</f>
        <v>ดาบสองมือ</v>
      </c>
      <c r="R97" s="11" t="str">
        <f>_xlfn.CONCAT("            TwoHandSwords = """, Q97, """,")</f>
        <v xml:space="preserve">            TwoHandSwords = "ดาบสองมือ",</v>
      </c>
      <c r="S97" s="19" t="e">
        <f>'2H Sword'!T4</f>
        <v>#N/A</v>
      </c>
      <c r="T97" s="11" t="e">
        <f>_xlfn.CONCAT("            TwoHandSwords = """, S97, """,")</f>
        <v>#N/A</v>
      </c>
      <c r="V97" s="1" t="s">
        <v>566</v>
      </c>
    </row>
    <row r="98" spans="1:22" ht="15.95" customHeight="1" x14ac:dyDescent="0.25">
      <c r="A98" s="19" t="str">
        <f>'2H Axe'!B4</f>
        <v>Two Hand Axes</v>
      </c>
      <c r="B98" s="11" t="str">
        <f>_xlfn.CONCAT("            TwoHandAxes = """, A98, """,")</f>
        <v xml:space="preserve">            TwoHandAxes = "Two Hand Axes",</v>
      </c>
      <c r="C98" s="19" t="str">
        <f>'2H Axe'!D4</f>
        <v>Zweihandäxte</v>
      </c>
      <c r="D98" s="11" t="str">
        <f>_xlfn.CONCAT("            TwoHandAxes = """, C98, """,")</f>
        <v xml:space="preserve">            TwoHandAxes = "Zweihandäxte",</v>
      </c>
      <c r="E98" s="19" t="str">
        <f>'2H Axe'!F4</f>
        <v>Hachas a dos manos</v>
      </c>
      <c r="F98" s="11" t="str">
        <f>_xlfn.CONCAT("            TwoHandAxes = """, E98, """,")</f>
        <v xml:space="preserve">            TwoHandAxes = "Hachas a dos manos",</v>
      </c>
      <c r="G98" s="19" t="str">
        <f>'2H Axe'!H4</f>
        <v>Haches à deux mains</v>
      </c>
      <c r="H98" s="11" t="str">
        <f>_xlfn.CONCAT("            TwoHandAxes = """, G98, """,")</f>
        <v xml:space="preserve">            TwoHandAxes = "Haches à deux mains",</v>
      </c>
      <c r="I98" s="19" t="str">
        <f>'2H Axe'!J4</f>
        <v>両手斧</v>
      </c>
      <c r="J98" s="11" t="str">
        <f>_xlfn.CONCAT("            TwoHandAxes = """, I98, """,")</f>
        <v xml:space="preserve">            TwoHandAxes = "両手斧",</v>
      </c>
      <c r="K98" s="19" t="str">
        <f>'2H Axe'!L4</f>
        <v>양손 도끼</v>
      </c>
      <c r="L98" s="11" t="str">
        <f>_xlfn.CONCAT("            TwoHandAxes = """, K98, """,")</f>
        <v xml:space="preserve">            TwoHandAxes = "양손 도끼",</v>
      </c>
      <c r="M98" s="19" t="str">
        <f>'2H Axe'!N4</f>
        <v>Machados de Duas Mãos</v>
      </c>
      <c r="N98" s="11" t="str">
        <f>_xlfn.CONCAT("            TwoHandAxes = """, M98, """,")</f>
        <v xml:space="preserve">            TwoHandAxes = "Machados de Duas Mãos",</v>
      </c>
      <c r="O98" s="19" t="str">
        <f>'2H Axe'!P4</f>
        <v>Двуручные топоры</v>
      </c>
      <c r="P98" s="11" t="str">
        <f>_xlfn.CONCAT("            TwoHandAxes = """, O98, """,")</f>
        <v xml:space="preserve">            TwoHandAxes = "Двуручные топоры",</v>
      </c>
      <c r="Q98" s="19" t="str">
        <f>'2H Axe'!R4</f>
        <v>ขวานสองมือ</v>
      </c>
      <c r="R98" s="11" t="str">
        <f>_xlfn.CONCAT("            TwoHandAxes = """, Q98, """,")</f>
        <v xml:space="preserve">            TwoHandAxes = "ขวานสองมือ",</v>
      </c>
      <c r="S98" s="19" t="e">
        <f>'2H Axe'!T4</f>
        <v>#N/A</v>
      </c>
      <c r="T98" s="11" t="e">
        <f>_xlfn.CONCAT("            TwoHandAxes = """, S98, """,")</f>
        <v>#N/A</v>
      </c>
      <c r="V98" s="1" t="s">
        <v>567</v>
      </c>
    </row>
    <row r="99" spans="1:22" ht="15.95" customHeight="1" x14ac:dyDescent="0.25">
      <c r="A99" s="19" t="str">
        <f>'2H Mace'!B4</f>
        <v>Two Hand Maces</v>
      </c>
      <c r="B99" s="11" t="str">
        <f>_xlfn.CONCAT("            TwoHandMaces = """, A99, """,")</f>
        <v xml:space="preserve">            TwoHandMaces = "Two Hand Maces",</v>
      </c>
      <c r="C99" s="19" t="str">
        <f>'2H Mace'!D4</f>
        <v>Zweihandstreitkolben</v>
      </c>
      <c r="D99" s="11" t="str">
        <f>_xlfn.CONCAT("            TwoHandMaces = """, C99, """,")</f>
        <v xml:space="preserve">            TwoHandMaces = "Zweihandstreitkolben",</v>
      </c>
      <c r="E99" s="19" t="str">
        <f>'2H Mace'!F4</f>
        <v>Mazas a dos manos</v>
      </c>
      <c r="F99" s="11" t="str">
        <f>_xlfn.CONCAT("            TwoHandMaces = """, E99, """,")</f>
        <v xml:space="preserve">            TwoHandMaces = "Mazas a dos manos",</v>
      </c>
      <c r="G99" s="19" t="str">
        <f>'2H Mace'!H4</f>
        <v>Masses à deux mains</v>
      </c>
      <c r="H99" s="11" t="str">
        <f>_xlfn.CONCAT("            TwoHandMaces = """, G99, """,")</f>
        <v xml:space="preserve">            TwoHandMaces = "Masses à deux mains",</v>
      </c>
      <c r="I99" s="19" t="str">
        <f>'2H Mace'!J4</f>
        <v>両手メイス</v>
      </c>
      <c r="J99" s="11" t="str">
        <f>_xlfn.CONCAT("            TwoHandMaces = """, I99, """,")</f>
        <v xml:space="preserve">            TwoHandMaces = "両手メイス",</v>
      </c>
      <c r="K99" s="19" t="str">
        <f>'2H Mace'!L4</f>
        <v>양손 철퇴</v>
      </c>
      <c r="L99" s="11" t="str">
        <f>_xlfn.CONCAT("            TwoHandMaces = """, K99, """,")</f>
        <v xml:space="preserve">            TwoHandMaces = "양손 철퇴",</v>
      </c>
      <c r="M99" s="19" t="str">
        <f>'2H Mace'!N4</f>
        <v>Maças de Duas Mãos</v>
      </c>
      <c r="N99" s="11" t="str">
        <f>_xlfn.CONCAT("            TwoHandMaces = """, M99, """,")</f>
        <v xml:space="preserve">            TwoHandMaces = "Maças de Duas Mãos",</v>
      </c>
      <c r="O99" s="19" t="str">
        <f>'2H Mace'!P4</f>
        <v>Двуручные булавы</v>
      </c>
      <c r="P99" s="11" t="str">
        <f>_xlfn.CONCAT("            TwoHandMaces = """, O99, """,")</f>
        <v xml:space="preserve">            TwoHandMaces = "Двуручные булавы",</v>
      </c>
      <c r="Q99" s="19" t="str">
        <f>'2H Mace'!R4</f>
        <v>กระบองสองมือ</v>
      </c>
      <c r="R99" s="11" t="str">
        <f>_xlfn.CONCAT("            TwoHandMaces = """, Q99, """,")</f>
        <v xml:space="preserve">            TwoHandMaces = "กระบองสองมือ",</v>
      </c>
      <c r="S99" s="19" t="e">
        <f>'2H Mace'!T4</f>
        <v>#N/A</v>
      </c>
      <c r="T99" s="11" t="e">
        <f>_xlfn.CONCAT("            TwoHandMaces = """, S99, """,")</f>
        <v>#N/A</v>
      </c>
      <c r="V99" s="1" t="s">
        <v>568</v>
      </c>
    </row>
    <row r="100" spans="1:22" ht="15.95" customHeight="1" x14ac:dyDescent="0.25">
      <c r="A100" s="19" t="str">
        <f>Sceptre!B4</f>
        <v>Sceptres</v>
      </c>
      <c r="B100" s="11" t="str">
        <f>_xlfn.CONCAT("            Sceptres = """, A100, """,")</f>
        <v xml:space="preserve">            Sceptres = "Sceptres",</v>
      </c>
      <c r="C100" s="19" t="str">
        <f>Sceptre!D4</f>
        <v>Zepter</v>
      </c>
      <c r="D100" s="11" t="str">
        <f>_xlfn.CONCAT("            Sceptres = """, C100, """,")</f>
        <v xml:space="preserve">            Sceptres = "Zepter",</v>
      </c>
      <c r="E100" s="19" t="str">
        <f>Sceptre!F4</f>
        <v>Cetros</v>
      </c>
      <c r="F100" s="11" t="str">
        <f>_xlfn.CONCAT("            Sceptres = """, E100, """,")</f>
        <v xml:space="preserve">            Sceptres = "Cetros",</v>
      </c>
      <c r="G100" s="19" t="str">
        <f>Sceptre!H4</f>
        <v>Sceptres</v>
      </c>
      <c r="H100" s="11" t="str">
        <f>_xlfn.CONCAT("            Sceptres = """, G100, """,")</f>
        <v xml:space="preserve">            Sceptres = "Sceptres",</v>
      </c>
      <c r="I100" s="19" t="str">
        <f>Sceptre!J4</f>
        <v>セプター</v>
      </c>
      <c r="J100" s="11" t="str">
        <f>_xlfn.CONCAT("            Sceptres = """, I100, """,")</f>
        <v xml:space="preserve">            Sceptres = "セプター",</v>
      </c>
      <c r="K100" s="19" t="str">
        <f>Sceptre!L4</f>
        <v>셉터</v>
      </c>
      <c r="L100" s="11" t="str">
        <f>_xlfn.CONCAT("            Sceptres = """, K100, """,")</f>
        <v xml:space="preserve">            Sceptres = "셉터",</v>
      </c>
      <c r="M100" s="19" t="str">
        <f>Sceptre!N4</f>
        <v>Cetros</v>
      </c>
      <c r="N100" s="11" t="str">
        <f>_xlfn.CONCAT("            Sceptres = """, M100, """,")</f>
        <v xml:space="preserve">            Sceptres = "Cetros",</v>
      </c>
      <c r="O100" s="19" t="str">
        <f>Sceptre!P4</f>
        <v>Скипетры</v>
      </c>
      <c r="P100" s="11" t="str">
        <f>_xlfn.CONCAT("            Sceptres = """, O100, """,")</f>
        <v xml:space="preserve">            Sceptres = "Скипетры",</v>
      </c>
      <c r="Q100" s="19" t="str">
        <f>Sceptre!R4</f>
        <v>คทา</v>
      </c>
      <c r="R100" s="11" t="str">
        <f>_xlfn.CONCAT("            Sceptres = """, Q100, """,")</f>
        <v xml:space="preserve">            Sceptres = "คทา",</v>
      </c>
      <c r="S100" s="19" t="e">
        <f>Sceptre!T4</f>
        <v>#N/A</v>
      </c>
      <c r="T100" s="11" t="e">
        <f>_xlfn.CONCAT("            Sceptres = """, S100, """,")</f>
        <v>#N/A</v>
      </c>
      <c r="V100" s="1" t="s">
        <v>569</v>
      </c>
    </row>
    <row r="101" spans="1:22" ht="15.95" customHeight="1" x14ac:dyDescent="0.25">
      <c r="A101" s="19" t="str">
        <f>'White Wind'!B4</f>
        <v>Rune Daggers</v>
      </c>
      <c r="B101" s="11" t="str">
        <f>_xlfn.CONCAT("            RuneDaggers = """, A101, """,")</f>
        <v xml:space="preserve">            RuneDaggers = "Rune Daggers",</v>
      </c>
      <c r="C101" s="19" t="str">
        <f>'White Wind'!D4</f>
        <v>Runendolche</v>
      </c>
      <c r="D101" s="11" t="str">
        <f>_xlfn.CONCAT("            RuneDaggers = """, C101, """,")</f>
        <v xml:space="preserve">            RuneDaggers = "Runendolche",</v>
      </c>
      <c r="E101" s="19" t="str">
        <f>'White Wind'!F4</f>
        <v>Dagas rúnicas</v>
      </c>
      <c r="F101" s="11" t="str">
        <f>_xlfn.CONCAT("            RuneDaggers = """, E101, """,")</f>
        <v xml:space="preserve">            RuneDaggers = "Dagas rúnicas",</v>
      </c>
      <c r="G101" s="19" t="str">
        <f>'White Wind'!H4</f>
        <v>Dagues runiques</v>
      </c>
      <c r="H101" s="11" t="str">
        <f>_xlfn.CONCAT("            RuneDaggers = """, G101, """,")</f>
        <v xml:space="preserve">            RuneDaggers = "Dagues runiques",</v>
      </c>
      <c r="I101" s="19" t="str">
        <f>'White Wind'!J4</f>
        <v>ルーンの短剣</v>
      </c>
      <c r="J101" s="11" t="str">
        <f>_xlfn.CONCAT("            RuneDaggers = """, I101, """,")</f>
        <v xml:space="preserve">            RuneDaggers = "ルーンの短剣",</v>
      </c>
      <c r="K101" s="19" t="str">
        <f>'White Wind'!L4</f>
        <v>룬 단검</v>
      </c>
      <c r="L101" s="11" t="str">
        <f>_xlfn.CONCAT("            RuneDaggers = """, K101, """,")</f>
        <v xml:space="preserve">            RuneDaggers = "룬 단검",</v>
      </c>
      <c r="M101" s="19" t="str">
        <f>'White Wind'!N4</f>
        <v>Adagas Rúnicas</v>
      </c>
      <c r="N101" s="11" t="str">
        <f>_xlfn.CONCAT("            RuneDaggers = """, M101, """,")</f>
        <v xml:space="preserve">            RuneDaggers = "Adagas Rúnicas",</v>
      </c>
      <c r="O101" s="19" t="str">
        <f>'White Wind'!P4</f>
        <v>Рунические кинжалы</v>
      </c>
      <c r="P101" s="11" t="str">
        <f>_xlfn.CONCAT("            RuneDaggers = """, O101, """,")</f>
        <v xml:space="preserve">            RuneDaggers = "Рунические кинжалы",</v>
      </c>
      <c r="Q101" s="19" t="str">
        <f>'White Wind'!R4</f>
        <v>มีดอาคม</v>
      </c>
      <c r="R101" s="11" t="str">
        <f>_xlfn.CONCAT("            RuneDaggers = """, Q101, """,")</f>
        <v xml:space="preserve">            RuneDaggers = "มีดอาคม",</v>
      </c>
      <c r="S101" s="19" t="e">
        <f>'White Wind'!T4</f>
        <v>#N/A</v>
      </c>
      <c r="T101" s="11" t="e">
        <f>_xlfn.CONCAT("            RuneDaggers = """, S101, """,")</f>
        <v>#N/A</v>
      </c>
      <c r="V101" s="1" t="s">
        <v>570</v>
      </c>
    </row>
    <row r="102" spans="1:22" ht="15.95" customHeight="1" x14ac:dyDescent="0.25">
      <c r="A102" s="19" t="str">
        <f>Warstaff!B4</f>
        <v>Warstaves</v>
      </c>
      <c r="B102" s="11" t="str">
        <f>_xlfn.CONCAT("            Warstaves = """, A102, """,")</f>
        <v xml:space="preserve">            Warstaves = "Warstaves",</v>
      </c>
      <c r="C102" s="19" t="str">
        <f>Warstaff!D4</f>
        <v>Kriegsstäbe</v>
      </c>
      <c r="D102" s="11" t="str">
        <f>_xlfn.CONCAT("            Warstaves = """, C102, """,")</f>
        <v xml:space="preserve">            Warstaves = "Kriegsstäbe",</v>
      </c>
      <c r="E102" s="19" t="str">
        <f>Warstaff!F4</f>
        <v>Báculos de guerra</v>
      </c>
      <c r="F102" s="11" t="str">
        <f>_xlfn.CONCAT("            Warstaves = """, E102, """,")</f>
        <v xml:space="preserve">            Warstaves = "Báculos de guerra",</v>
      </c>
      <c r="G102" s="19" t="str">
        <f>Warstaff!H4</f>
        <v>Bâtons de guerre</v>
      </c>
      <c r="H102" s="11" t="str">
        <f>_xlfn.CONCAT("            Warstaves = """, G102, """,")</f>
        <v xml:space="preserve">            Warstaves = "Bâtons de guerre",</v>
      </c>
      <c r="I102" s="19" t="str">
        <f>Warstaff!J4</f>
        <v>ウォースタッフ</v>
      </c>
      <c r="J102" s="11" t="str">
        <f>_xlfn.CONCAT("            Warstaves = """, I102, """,")</f>
        <v xml:space="preserve">            Warstaves = "ウォースタッフ",</v>
      </c>
      <c r="K102" s="19" t="str">
        <f>Warstaff!L4</f>
        <v>전쟁지팡이</v>
      </c>
      <c r="L102" s="11" t="str">
        <f>_xlfn.CONCAT("            Warstaves = """, K102, """,")</f>
        <v xml:space="preserve">            Warstaves = "전쟁지팡이",</v>
      </c>
      <c r="M102" s="19" t="str">
        <f>Warstaff!N4</f>
        <v>Cajados de Guerra</v>
      </c>
      <c r="N102" s="11" t="str">
        <f>_xlfn.CONCAT("            Warstaves = """, M102, """,")</f>
        <v xml:space="preserve">            Warstaves = "Cajados de Guerra",</v>
      </c>
      <c r="O102" s="19" t="str">
        <f>Warstaff!P4</f>
        <v>Воинские посохи</v>
      </c>
      <c r="P102" s="11" t="str">
        <f>_xlfn.CONCAT("            Warstaves = """, O102, """,")</f>
        <v xml:space="preserve">            Warstaves = "Воинские посохи",</v>
      </c>
      <c r="Q102" s="19" t="str">
        <f>Warstaff!R4</f>
        <v>ไม้พลองสงคราม</v>
      </c>
      <c r="R102" s="11" t="str">
        <f>_xlfn.CONCAT("            Warstaves = """, Q102, """,")</f>
        <v xml:space="preserve">            Warstaves = "ไม้พลองสงคราม",</v>
      </c>
      <c r="S102" s="19" t="e">
        <f>Warstaff!T4</f>
        <v>#N/A</v>
      </c>
      <c r="T102" s="11" t="e">
        <f>_xlfn.CONCAT("            Warstaves = """, S102, """,")</f>
        <v>#N/A</v>
      </c>
      <c r="V102" s="1" t="s">
        <v>571</v>
      </c>
    </row>
    <row r="103" spans="1:22" ht="15.95" customHeight="1" x14ac:dyDescent="0.25">
      <c r="A103" s="19" t="str">
        <f>'Fishing Rod'!B4</f>
        <v>Fishing Rods</v>
      </c>
      <c r="B103" s="11" t="str">
        <f>_xlfn.CONCAT("            FishingRods = """, A103, """,")</f>
        <v xml:space="preserve">            FishingRods = "Fishing Rods",</v>
      </c>
      <c r="C103" s="19" t="str">
        <f>'Fishing Rod'!D4</f>
        <v>Angelruten</v>
      </c>
      <c r="D103" s="11" t="str">
        <f>_xlfn.CONCAT("            FishingRods = """, C103, """,")</f>
        <v xml:space="preserve">            FishingRods = "Angelruten",</v>
      </c>
      <c r="E103" s="19" t="str">
        <f>'Fishing Rod'!F4</f>
        <v>Cañas de pescar</v>
      </c>
      <c r="F103" s="11" t="str">
        <f>_xlfn.CONCAT("            FishingRods = """, E103, """,")</f>
        <v xml:space="preserve">            FishingRods = "Cañas de pescar",</v>
      </c>
      <c r="G103" s="19" t="str">
        <f>'Fishing Rod'!H4</f>
        <v>Cannes à pêche</v>
      </c>
      <c r="H103" s="11" t="str">
        <f>_xlfn.CONCAT("            FishingRods = """, G103, """,")</f>
        <v xml:space="preserve">            FishingRods = "Cannes à pêche",</v>
      </c>
      <c r="I103" s="19" t="str">
        <f>'Fishing Rod'!J4</f>
        <v>釣り竿</v>
      </c>
      <c r="J103" s="11" t="str">
        <f>_xlfn.CONCAT("            FishingRods = """, I103, """,")</f>
        <v xml:space="preserve">            FishingRods = "釣り竿",</v>
      </c>
      <c r="K103" s="19" t="str">
        <f>'Fishing Rod'!L4</f>
        <v>낚싯대</v>
      </c>
      <c r="L103" s="11" t="str">
        <f>_xlfn.CONCAT("            FishingRods = """, K103, """,")</f>
        <v xml:space="preserve">            FishingRods = "낚싯대",</v>
      </c>
      <c r="M103" s="19" t="str">
        <f>'Fishing Rod'!N4</f>
        <v>Varas de Pescar</v>
      </c>
      <c r="N103" s="11" t="str">
        <f>_xlfn.CONCAT("            FishingRods = """, M103, """,")</f>
        <v xml:space="preserve">            FishingRods = "Varas de Pescar",</v>
      </c>
      <c r="O103" s="19" t="str">
        <f>'Fishing Rod'!P4</f>
        <v>Удочки</v>
      </c>
      <c r="P103" s="11" t="str">
        <f>_xlfn.CONCAT("            FishingRods = """, O103, """,")</f>
        <v xml:space="preserve">            FishingRods = "Удочки",</v>
      </c>
      <c r="Q103" s="19" t="str">
        <f>'Fishing Rod'!R4</f>
        <v>เบ็ดตกปลา</v>
      </c>
      <c r="R103" s="11" t="str">
        <f>_xlfn.CONCAT("            FishingRods = """, Q103, """,")</f>
        <v xml:space="preserve">            FishingRods = "เบ็ดตกปลา",</v>
      </c>
      <c r="S103" s="19" t="e">
        <f>'Fishing Rod'!T4</f>
        <v>#N/A</v>
      </c>
      <c r="T103" s="11" t="e">
        <f>_xlfn.CONCAT("            FishingRods = """, S103, """,")</f>
        <v>#N/A</v>
      </c>
      <c r="V103" s="1" t="s">
        <v>1554</v>
      </c>
    </row>
    <row r="104" spans="1:22" ht="15.95" customHeight="1" x14ac:dyDescent="0.25">
      <c r="A104" s="19" t="str">
        <f>'Heist Gear'!B4</f>
        <v>Heist Gear</v>
      </c>
      <c r="B104" s="11" t="str">
        <f>_xlfn.CONCAT("            HeistGear = """, A104, """,")</f>
        <v xml:space="preserve">            HeistGear = "Heist Gear",</v>
      </c>
      <c r="C104" s="19" t="str">
        <f>'Heist Gear'!D4</f>
        <v>Heist-Ausrüstung</v>
      </c>
      <c r="D104" s="11" t="str">
        <f>_xlfn.CONCAT("            HeistGear = """, C104, """,")</f>
        <v xml:space="preserve">            HeistGear = "Heist-Ausrüstung",</v>
      </c>
      <c r="E104" s="19" t="str">
        <f>'Heist Gear'!F4</f>
        <v>Accesorio de Heist</v>
      </c>
      <c r="F104" s="11" t="str">
        <f>_xlfn.CONCAT("            HeistGear = """, E104, """,")</f>
        <v xml:space="preserve">            HeistGear = "Accesorio de Heist",</v>
      </c>
      <c r="G104" s="19" t="str">
        <f>'Heist Gear'!H4</f>
        <v>Équipements de Malfaiteur</v>
      </c>
      <c r="H104" s="11" t="str">
        <f>_xlfn.CONCAT("            HeistGear = """, G104, """,")</f>
        <v xml:space="preserve">            HeistGear = "Équipements de Malfaiteur",</v>
      </c>
      <c r="I104" s="19" t="str">
        <f>'Heist Gear'!J4</f>
        <v>ハイストギア</v>
      </c>
      <c r="J104" s="11" t="str">
        <f>_xlfn.CONCAT("            HeistGear = """, I104, """,")</f>
        <v xml:space="preserve">            HeistGear = "ハイストギア",</v>
      </c>
      <c r="K104" s="19" t="str">
        <f>'Heist Gear'!L4</f>
        <v>강탈 장비</v>
      </c>
      <c r="L104" s="11" t="str">
        <f>_xlfn.CONCAT("            HeistGear = """, K104, """,")</f>
        <v xml:space="preserve">            HeistGear = "강탈 장비",</v>
      </c>
      <c r="M104" s="19" t="str">
        <f>'Heist Gear'!N4</f>
        <v>Equipamento Heist</v>
      </c>
      <c r="N104" s="11" t="str">
        <f>_xlfn.CONCAT("            HeistGear = """, M104, """,")</f>
        <v xml:space="preserve">            HeistGear = "Equipamento Heist",</v>
      </c>
      <c r="O104" s="19" t="str">
        <f>'Heist Gear'!P4</f>
        <v>Разбойничьи принадлежности</v>
      </c>
      <c r="P104" s="11" t="str">
        <f>_xlfn.CONCAT("            HeistGear = """, O104, """,")</f>
        <v xml:space="preserve">            HeistGear = "Разбойничьи принадлежности",</v>
      </c>
      <c r="Q104" s="19" t="str">
        <f>'Heist Gear'!R4</f>
        <v>อุปกรณ์สวมใส่กองโจร</v>
      </c>
      <c r="R104" s="11" t="str">
        <f>_xlfn.CONCAT("            HeistGear = """, Q104, """,")</f>
        <v xml:space="preserve">            HeistGear = "อุปกรณ์สวมใส่กองโจร",</v>
      </c>
      <c r="S104" s="19" t="e">
        <f>'Heist Gear'!T4</f>
        <v>#N/A</v>
      </c>
      <c r="T104" s="11" t="e">
        <f>_xlfn.CONCAT("            HeistGear = """, S104, """,")</f>
        <v>#N/A</v>
      </c>
      <c r="V104" s="1" t="s">
        <v>785</v>
      </c>
    </row>
    <row r="105" spans="1:22" ht="15.95" customHeight="1" x14ac:dyDescent="0.25">
      <c r="A105" s="19" t="str">
        <f>'Heist Brooch'!B4</f>
        <v>Heist Brooches</v>
      </c>
      <c r="B105" s="11" t="str">
        <f>_xlfn.CONCAT("            HeistBrooch = """, A105, """,")</f>
        <v xml:space="preserve">            HeistBrooch = "Heist Brooches",</v>
      </c>
      <c r="C105" s="19" t="str">
        <f>'Heist Brooch'!D4</f>
        <v>Heist-Broschen</v>
      </c>
      <c r="D105" s="11" t="str">
        <f>_xlfn.CONCAT("            HeistBrooch = """, C105, """,")</f>
        <v xml:space="preserve">            HeistBrooch = "Heist-Broschen",</v>
      </c>
      <c r="E105" s="19" t="str">
        <f>'Heist Brooch'!F4</f>
        <v>Broches de Heist</v>
      </c>
      <c r="F105" s="11" t="str">
        <f>_xlfn.CONCAT("            HeistBrooch = """, E105, """,")</f>
        <v xml:space="preserve">            HeistBrooch = "Broches de Heist",</v>
      </c>
      <c r="G105" s="19" t="str">
        <f>'Heist Brooch'!H4</f>
        <v>Broches de Malfaiteur</v>
      </c>
      <c r="H105" s="11" t="str">
        <f>_xlfn.CONCAT("            HeistBrooch = """, G105, """,")</f>
        <v xml:space="preserve">            HeistBrooch = "Broches de Malfaiteur",</v>
      </c>
      <c r="I105" s="19" t="str">
        <f>'Heist Brooch'!J4</f>
        <v>ハイストブローチ</v>
      </c>
      <c r="J105" s="11" t="str">
        <f>_xlfn.CONCAT("            HeistBrooch = """, I105, """,")</f>
        <v xml:space="preserve">            HeistBrooch = "ハイストブローチ",</v>
      </c>
      <c r="K105" s="19" t="str">
        <f>'Heist Brooch'!L4</f>
        <v>강탈 브로치</v>
      </c>
      <c r="L105" s="11" t="str">
        <f>_xlfn.CONCAT("            HeistBrooch = """, K105, """,")</f>
        <v xml:space="preserve">            HeistBrooch = "강탈 브로치",</v>
      </c>
      <c r="M105" s="19" t="str">
        <f>'Heist Brooch'!N4</f>
        <v>Broches Heist</v>
      </c>
      <c r="N105" s="11" t="str">
        <f>_xlfn.CONCAT("            HeistBrooch = """, M105, """,")</f>
        <v xml:space="preserve">            HeistBrooch = "Broches Heist",</v>
      </c>
      <c r="O105" s="19" t="str">
        <f>'Heist Brooch'!P4</f>
        <v>Разбойничьи броши</v>
      </c>
      <c r="P105" s="11" t="str">
        <f>_xlfn.CONCAT("            HeistBrooch = """, O105, """,")</f>
        <v xml:space="preserve">            HeistBrooch = "Разбойничьи броши",</v>
      </c>
      <c r="Q105" s="19" t="str">
        <f>'Heist Brooch'!R4</f>
        <v>เข็มกลัดกองโจร</v>
      </c>
      <c r="R105" s="11" t="str">
        <f>_xlfn.CONCAT("            HeistBrooch = """, Q105, """,")</f>
        <v xml:space="preserve">            HeistBrooch = "เข็มกลัดกองโจร",</v>
      </c>
      <c r="S105" s="19" t="e">
        <f>'Heist Brooch'!T4</f>
        <v>#N/A</v>
      </c>
      <c r="T105" s="11" t="e">
        <f>_xlfn.CONCAT("            HeistBrooch = """, S105, """,")</f>
        <v>#N/A</v>
      </c>
      <c r="V105" s="1" t="s">
        <v>572</v>
      </c>
    </row>
    <row r="106" spans="1:22" ht="15.95" customHeight="1" x14ac:dyDescent="0.25">
      <c r="A106" s="19" t="str">
        <f>'Heist Target'!B4</f>
        <v>Heist Targets</v>
      </c>
      <c r="B106" s="11" t="str">
        <f>_xlfn.CONCAT("            HeistTarget = """, A106, """,")</f>
        <v xml:space="preserve">            HeistTarget = "Heist Targets",</v>
      </c>
      <c r="C106" s="19" t="str">
        <f>'Heist Target'!D4</f>
        <v>Auftragsziele</v>
      </c>
      <c r="D106" s="11" t="str">
        <f>_xlfn.CONCAT("            HeistTarget = """, C106, """,")</f>
        <v xml:space="preserve">            HeistTarget = "Auftragsziele",</v>
      </c>
      <c r="E106" s="19" t="str">
        <f>'Heist Target'!F4</f>
        <v>Objetivos de Heist</v>
      </c>
      <c r="F106" s="11" t="str">
        <f>_xlfn.CONCAT("            HeistTarget = """, E106, """,")</f>
        <v xml:space="preserve">            HeistTarget = "Objetivos de Heist",</v>
      </c>
      <c r="G106" s="19" t="str">
        <f>'Heist Target'!H4</f>
        <v>Objectifs de Casse</v>
      </c>
      <c r="H106" s="11" t="str">
        <f>_xlfn.CONCAT("            HeistTarget = """, G106, """,")</f>
        <v xml:space="preserve">            HeistTarget = "Objectifs de Casse",</v>
      </c>
      <c r="I106" s="19" t="str">
        <f>'Heist Target'!J4</f>
        <v>ハイストターゲット</v>
      </c>
      <c r="J106" s="11" t="str">
        <f>_xlfn.CONCAT("            HeistTarget = """, I106, """,")</f>
        <v xml:space="preserve">            HeistTarget = "ハイストターゲット",</v>
      </c>
      <c r="K106" s="19" t="str">
        <f>'Heist Target'!L4</f>
        <v>강탈 대상</v>
      </c>
      <c r="L106" s="11" t="str">
        <f>_xlfn.CONCAT("            HeistTarget = """, K106, """,")</f>
        <v xml:space="preserve">            HeistTarget = "강탈 대상",</v>
      </c>
      <c r="M106" s="19" t="str">
        <f>'Heist Target'!N4</f>
        <v>Alvos Heist</v>
      </c>
      <c r="N106" s="11" t="str">
        <f>_xlfn.CONCAT("            HeistTarget = """, M106, """,")</f>
        <v xml:space="preserve">            HeistTarget = "Alvos Heist",</v>
      </c>
      <c r="O106" s="19" t="str">
        <f>'Heist Target'!P4</f>
        <v>Предметы кражи</v>
      </c>
      <c r="P106" s="11" t="str">
        <f>_xlfn.CONCAT("            HeistTarget = """, O106, """,")</f>
        <v xml:space="preserve">            HeistTarget = "Предметы кражи",</v>
      </c>
      <c r="Q106" s="19" t="str">
        <f>'Heist Target'!R4</f>
        <v>เป้าหมายโจรกรรม</v>
      </c>
      <c r="R106" s="11" t="str">
        <f>_xlfn.CONCAT("            HeistTarget = """, Q106, """,")</f>
        <v xml:space="preserve">            HeistTarget = "เป้าหมายโจรกรรม",</v>
      </c>
      <c r="S106" s="19" t="e">
        <f>'Heist Target'!T4</f>
        <v>#N/A</v>
      </c>
      <c r="T106" s="11" t="e">
        <f>_xlfn.CONCAT("            HeistTarget = """, S106, """,")</f>
        <v>#N/A</v>
      </c>
      <c r="V106" s="1" t="s">
        <v>786</v>
      </c>
    </row>
    <row r="107" spans="1:22" ht="15.95" customHeight="1" x14ac:dyDescent="0.25">
      <c r="A107" s="19" t="str">
        <f>'Heist Cloak'!B4</f>
        <v>Heist Cloaks</v>
      </c>
      <c r="B107" s="11" t="str">
        <f>_xlfn.CONCAT("            HeistCloak = """, A107, """,")</f>
        <v xml:space="preserve">            HeistCloak = "Heist Cloaks",</v>
      </c>
      <c r="C107" s="19" t="str">
        <f>'Heist Cloak'!D4</f>
        <v>Heist-Umhänge</v>
      </c>
      <c r="D107" s="11" t="str">
        <f>_xlfn.CONCAT("            HeistCloak = """, C107, """,")</f>
        <v xml:space="preserve">            HeistCloak = "Heist-Umhänge",</v>
      </c>
      <c r="E107" s="19" t="str">
        <f>'Heist Cloak'!F4</f>
        <v>Capas de Heist</v>
      </c>
      <c r="F107" s="11" t="str">
        <f>_xlfn.CONCAT("            HeistCloak = """, E107, """,")</f>
        <v xml:space="preserve">            HeistCloak = "Capas de Heist",</v>
      </c>
      <c r="G107" s="19" t="str">
        <f>'Heist Cloak'!H4</f>
        <v>Capes de Malfaiteur</v>
      </c>
      <c r="H107" s="11" t="str">
        <f>_xlfn.CONCAT("            HeistCloak = """, G107, """,")</f>
        <v xml:space="preserve">            HeistCloak = "Capes de Malfaiteur",</v>
      </c>
      <c r="I107" s="19" t="str">
        <f>'Heist Cloak'!J4</f>
        <v>ハイストクローク</v>
      </c>
      <c r="J107" s="11" t="str">
        <f>_xlfn.CONCAT("            HeistCloak = """, I107, """,")</f>
        <v xml:space="preserve">            HeistCloak = "ハイストクローク",</v>
      </c>
      <c r="K107" s="19" t="str">
        <f>'Heist Cloak'!L4</f>
        <v>강탈 망토</v>
      </c>
      <c r="L107" s="11" t="str">
        <f>_xlfn.CONCAT("            HeistCloak = """, K107, """,")</f>
        <v xml:space="preserve">            HeistCloak = "강탈 망토",</v>
      </c>
      <c r="M107" s="19" t="str">
        <f>'Heist Cloak'!N4</f>
        <v>Capas Heist</v>
      </c>
      <c r="N107" s="11" t="str">
        <f>_xlfn.CONCAT("            HeistCloak = """, M107, """,")</f>
        <v xml:space="preserve">            HeistCloak = "Capas Heist",</v>
      </c>
      <c r="O107" s="19" t="str">
        <f>'Heist Cloak'!P4</f>
        <v>Разбойничьи накидки</v>
      </c>
      <c r="P107" s="11" t="str">
        <f>_xlfn.CONCAT("            HeistCloak = """, O107, """,")</f>
        <v xml:space="preserve">            HeistCloak = "Разбойничьи накидки",</v>
      </c>
      <c r="Q107" s="19" t="str">
        <f>'Heist Cloak'!R4</f>
        <v>ผ้าคลุมกองโจร</v>
      </c>
      <c r="R107" s="11" t="str">
        <f>_xlfn.CONCAT("            HeistCloak = """, Q107, """,")</f>
        <v xml:space="preserve">            HeistCloak = "ผ้าคลุมกองโจร",</v>
      </c>
      <c r="S107" s="19" t="e">
        <f>'Heist Cloak'!T4</f>
        <v>#N/A</v>
      </c>
      <c r="T107" s="11" t="e">
        <f>_xlfn.CONCAT("            HeistCloak = """, S107, """,")</f>
        <v>#N/A</v>
      </c>
      <c r="V107" s="1" t="s">
        <v>787</v>
      </c>
    </row>
    <row r="108" spans="1:22" ht="15.95" customHeight="1" x14ac:dyDescent="0.25">
      <c r="A108" s="19" t="str">
        <f>'Abyssal Jewel'!B4</f>
        <v>Abyss Jewels</v>
      </c>
      <c r="B108" s="11" t="str">
        <f>_xlfn.CONCAT("            AbyssJewel = """, A108, """,")</f>
        <v xml:space="preserve">            AbyssJewel = "Abyss Jewels",</v>
      </c>
      <c r="C108" s="19" t="str">
        <f>'Abyssal Jewel'!D4</f>
        <v>Abgrund-Juwelen</v>
      </c>
      <c r="D108" s="11" t="str">
        <f>_xlfn.CONCAT("            AbyssJewel = """, C108, """,")</f>
        <v xml:space="preserve">            AbyssJewel = "Abgrund-Juwelen",</v>
      </c>
      <c r="E108" s="19" t="str">
        <f>'Abyssal Jewel'!F4</f>
        <v>Joyas de abismo</v>
      </c>
      <c r="F108" s="11" t="str">
        <f>_xlfn.CONCAT("            AbyssJewel = """, E108, """,")</f>
        <v xml:space="preserve">            AbyssJewel = "Joyas de abismo",</v>
      </c>
      <c r="G108" s="19" t="str">
        <f>'Abyssal Jewel'!H4</f>
        <v>Joyaux abyssaux</v>
      </c>
      <c r="H108" s="11" t="str">
        <f>_xlfn.CONCAT("            AbyssJewel = """, G108, """,")</f>
        <v xml:space="preserve">            AbyssJewel = "Joyaux abyssaux",</v>
      </c>
      <c r="I108" s="19" t="str">
        <f>'Abyssal Jewel'!J4</f>
        <v>アビスジュエル</v>
      </c>
      <c r="J108" s="11" t="str">
        <f>_xlfn.CONCAT("            AbyssJewel = """, I108, """,")</f>
        <v xml:space="preserve">            AbyssJewel = "アビスジュエル",</v>
      </c>
      <c r="K108" s="19" t="str">
        <f>'Abyssal Jewel'!L4</f>
        <v>심연 주얼</v>
      </c>
      <c r="L108" s="11" t="str">
        <f>_xlfn.CONCAT("            AbyssJewel = """, K108, """,")</f>
        <v xml:space="preserve">            AbyssJewel = "심연 주얼",</v>
      </c>
      <c r="M108" s="19" t="str">
        <f>'Abyssal Jewel'!N4</f>
        <v>Joias Abissais</v>
      </c>
      <c r="N108" s="11" t="str">
        <f>_xlfn.CONCAT("            AbyssJewel = """, M108, """,")</f>
        <v xml:space="preserve">            AbyssJewel = "Joias Abissais",</v>
      </c>
      <c r="O108" s="19" t="str">
        <f>'Abyssal Jewel'!P4</f>
        <v>Самоцветы Бездны</v>
      </c>
      <c r="P108" s="11" t="str">
        <f>_xlfn.CONCAT("            AbyssJewel = """, O108, """,")</f>
        <v xml:space="preserve">            AbyssJewel = "Самоцветы Бездны",</v>
      </c>
      <c r="Q108" s="19" t="str">
        <f>'Abyssal Jewel'!R4</f>
        <v>จิวเวลอะบิส</v>
      </c>
      <c r="R108" s="11" t="str">
        <f>_xlfn.CONCAT("            AbyssJewel = """, Q108, """,")</f>
        <v xml:space="preserve">            AbyssJewel = "จิวเวลอะบิส",</v>
      </c>
      <c r="S108" s="19" t="e">
        <f>'Abyssal Jewel'!T4</f>
        <v>#N/A</v>
      </c>
      <c r="T108" s="11" t="e">
        <f>_xlfn.CONCAT("            AbyssJewel = """, S108, """,")</f>
        <v>#N/A</v>
      </c>
      <c r="V108" s="1" t="s">
        <v>873</v>
      </c>
    </row>
    <row r="109" spans="1:22" ht="15.95" customHeight="1" x14ac:dyDescent="0.25">
      <c r="A109" s="19" t="str">
        <f>'Heist Trinket'!B4</f>
        <v>Trinkets</v>
      </c>
      <c r="B109" s="11" t="str">
        <f>_xlfn.CONCAT("            Trinkets = """, A109, """,")</f>
        <v xml:space="preserve">            Trinkets = "Trinkets",</v>
      </c>
      <c r="C109" s="19" t="str">
        <f>'Heist Trinket'!D4</f>
        <v>Schmuckstücke</v>
      </c>
      <c r="D109" s="11" t="str">
        <f>_xlfn.CONCAT("            Trinkets = """, C109, """,")</f>
        <v xml:space="preserve">            Trinkets = "Schmuckstücke",</v>
      </c>
      <c r="E109" s="19" t="str">
        <f>'Heist Trinket'!F4</f>
        <v>Abalorios</v>
      </c>
      <c r="F109" s="11" t="str">
        <f>_xlfn.CONCAT("            Trinkets = """, E109, """,")</f>
        <v xml:space="preserve">            Trinkets = "Abalorios",</v>
      </c>
      <c r="G109" s="19" t="str">
        <f>'Heist Trinket'!H4</f>
        <v>Babioles</v>
      </c>
      <c r="H109" s="11" t="str">
        <f>_xlfn.CONCAT("            Trinkets = """, G109, """,")</f>
        <v xml:space="preserve">            Trinkets = "Babioles",</v>
      </c>
      <c r="I109" s="19" t="str">
        <f>'Heist Trinket'!J4</f>
        <v>トリンケット</v>
      </c>
      <c r="J109" s="11" t="str">
        <f>_xlfn.CONCAT("            Trinkets = """, I109, """,")</f>
        <v xml:space="preserve">            Trinkets = "トリンケット",</v>
      </c>
      <c r="K109" s="19" t="str">
        <f>'Heist Trinket'!L4</f>
        <v>장신구</v>
      </c>
      <c r="L109" s="11" t="str">
        <f>_xlfn.CONCAT("            Trinkets = """, K109, """,")</f>
        <v xml:space="preserve">            Trinkets = "장신구",</v>
      </c>
      <c r="M109" s="19" t="str">
        <f>'Heist Trinket'!N4</f>
        <v>Adornos</v>
      </c>
      <c r="N109" s="11" t="str">
        <f>_xlfn.CONCAT("            Trinkets = """, M109, """,")</f>
        <v xml:space="preserve">            Trinkets = "Adornos",</v>
      </c>
      <c r="O109" s="19" t="str">
        <f>'Heist Trinket'!P4</f>
        <v>Украшения</v>
      </c>
      <c r="P109" s="11" t="str">
        <f>_xlfn.CONCAT("            Trinkets = """, O109, """,")</f>
        <v xml:space="preserve">            Trinkets = "Украшения",</v>
      </c>
      <c r="Q109" s="19" t="str">
        <f>'Heist Trinket'!R4</f>
        <v>เครื่องประดับโจร</v>
      </c>
      <c r="R109" s="11" t="str">
        <f>_xlfn.CONCAT("            Trinkets = """, Q109, """,")</f>
        <v xml:space="preserve">            Trinkets = "เครื่องประดับโจร",</v>
      </c>
      <c r="S109" s="19" t="e">
        <f>'Heist Trinket'!T4</f>
        <v>#N/A</v>
      </c>
      <c r="T109" s="11" t="e">
        <f>_xlfn.CONCAT("            Trinkets = """, S109, """,")</f>
        <v>#N/A</v>
      </c>
      <c r="V109" s="1" t="s">
        <v>1553</v>
      </c>
    </row>
    <row r="110" spans="1:22" ht="15.95" customHeight="1" x14ac:dyDescent="0.25">
      <c r="A110" s="19" t="str">
        <f>Logbook!B4</f>
        <v>Expedition Logbooks</v>
      </c>
      <c r="B110" s="11" t="str">
        <f>_xlfn.CONCAT("            Logbooks = """, A110, """,")</f>
        <v xml:space="preserve">            Logbooks = "Expedition Logbooks",</v>
      </c>
      <c r="C110" s="19" t="str">
        <f>Logbook!D4</f>
        <v>Expeditions-Logbücher</v>
      </c>
      <c r="D110" s="11" t="str">
        <f>_xlfn.CONCAT("            Logbooks = """, C110, """,")</f>
        <v xml:space="preserve">            Logbooks = "Expeditions-Logbücher",</v>
      </c>
      <c r="E110" s="19" t="str">
        <f>Logbook!F4</f>
        <v>Registros de expedición</v>
      </c>
      <c r="F110" s="11" t="str">
        <f>_xlfn.CONCAT("            Logbooks = """, E110, """,")</f>
        <v xml:space="preserve">            Logbooks = "Registros de expedición",</v>
      </c>
      <c r="G110" s="19" t="str">
        <f>Logbook!H4</f>
        <v>Journaux de bord d'Expédition</v>
      </c>
      <c r="H110" s="11" t="str">
        <f>_xlfn.CONCAT("            Logbooks = """, G110, """,")</f>
        <v xml:space="preserve">            Logbooks = "Journaux de bord d'Expédition",</v>
      </c>
      <c r="I110" s="19" t="str">
        <f>Logbook!J4</f>
        <v>エクスペディションログブック</v>
      </c>
      <c r="J110" s="11" t="str">
        <f>_xlfn.CONCAT("            Logbooks = """, I110, """,")</f>
        <v xml:space="preserve">            Logbooks = "エクスペディションログブック",</v>
      </c>
      <c r="K110" s="19" t="str">
        <f>Logbook!L4</f>
        <v>탐험 일지</v>
      </c>
      <c r="L110" s="11" t="str">
        <f>_xlfn.CONCAT("            Logbooks = """, K110, """,")</f>
        <v xml:space="preserve">            Logbooks = "탐험 일지",</v>
      </c>
      <c r="M110" s="19" t="str">
        <f>Logbook!N4</f>
        <v>Diários de Bordo Expedition</v>
      </c>
      <c r="N110" s="11" t="str">
        <f>_xlfn.CONCAT("            Logbooks = """, M110, """,")</f>
        <v xml:space="preserve">            Logbooks = "Diários de Bordo Expedition",</v>
      </c>
      <c r="O110" s="19" t="str">
        <f>Logbook!P4</f>
        <v>Журналы экспедиции</v>
      </c>
      <c r="P110" s="11" t="str">
        <f>_xlfn.CONCAT("            Logbooks = """, O110, """,")</f>
        <v xml:space="preserve">            Logbooks = "Журналы экспедиции",</v>
      </c>
      <c r="Q110" s="19" t="str">
        <f>Logbook!R4</f>
        <v>สมุดปูมเดินทางกองสำรวจ</v>
      </c>
      <c r="R110" s="11" t="str">
        <f>_xlfn.CONCAT("            Logbooks = """, Q110, """,")</f>
        <v xml:space="preserve">            Logbooks = "สมุดปูมเดินทางกองสำรวจ",</v>
      </c>
      <c r="S110" s="19" t="e">
        <f>Logbook!T4</f>
        <v>#N/A</v>
      </c>
      <c r="T110" s="11" t="e">
        <f>_xlfn.CONCAT("            Logbooks = """, S110, """,")</f>
        <v>#N/A</v>
      </c>
      <c r="V110" s="1" t="s">
        <v>788</v>
      </c>
    </row>
    <row r="111" spans="1:22" ht="15.95" customHeight="1" x14ac:dyDescent="0.25">
      <c r="A111" s="19" t="str">
        <f>Memory!B4</f>
        <v>Memories</v>
      </c>
      <c r="B111" s="11" t="str">
        <f>_xlfn.CONCAT("            MemoryLine = """, A111, """,")</f>
        <v xml:space="preserve">            MemoryLine = "Memories",</v>
      </c>
      <c r="C111" s="19" t="str">
        <f>Memory!D4</f>
        <v>Erinnerungen</v>
      </c>
      <c r="D111" s="11" t="str">
        <f>_xlfn.CONCAT("            MemoryLine = """, C111, """,")</f>
        <v xml:space="preserve">            MemoryLine = "Erinnerungen",</v>
      </c>
      <c r="E111" s="19" t="str">
        <f>Memory!F4</f>
        <v>Recuerdos</v>
      </c>
      <c r="F111" s="11" t="str">
        <f>_xlfn.CONCAT("            MemoryLine = """, E111, """,")</f>
        <v xml:space="preserve">            MemoryLine = "Recuerdos",</v>
      </c>
      <c r="G111" s="19" t="str">
        <f>Memory!H4</f>
        <v>Souvenirs</v>
      </c>
      <c r="H111" s="11" t="str">
        <f>_xlfn.CONCAT("            MemoryLine = """, G111, """,")</f>
        <v xml:space="preserve">            MemoryLine = "Souvenirs",</v>
      </c>
      <c r="I111" s="19" t="str">
        <f>Memory!J4</f>
        <v>記憶</v>
      </c>
      <c r="J111" s="11" t="str">
        <f>_xlfn.CONCAT("            MemoryLine = """, I111, """,")</f>
        <v xml:space="preserve">            MemoryLine = "記憶",</v>
      </c>
      <c r="K111" s="19" t="str">
        <f>Memory!L4</f>
        <v>기억</v>
      </c>
      <c r="L111" s="11" t="str">
        <f>_xlfn.CONCAT("            MemoryLine = """, K111, """,")</f>
        <v xml:space="preserve">            MemoryLine = "기억",</v>
      </c>
      <c r="M111" s="19" t="str">
        <f>Memory!N4</f>
        <v>Memórias</v>
      </c>
      <c r="N111" s="11" t="str">
        <f>_xlfn.CONCAT("            MemoryLine = """, M111, """,")</f>
        <v xml:space="preserve">            MemoryLine = "Memórias",</v>
      </c>
      <c r="O111" s="19" t="str">
        <f>Memory!P4</f>
        <v>Воспоминания</v>
      </c>
      <c r="P111" s="11" t="str">
        <f>_xlfn.CONCAT("            MemoryLine = """, O111, """,")</f>
        <v xml:space="preserve">            MemoryLine = "Воспоминания",</v>
      </c>
      <c r="Q111" s="19" t="str">
        <f>Memory!R4</f>
        <v>ความทรงจำ</v>
      </c>
      <c r="R111" s="11" t="str">
        <f>_xlfn.CONCAT("            MemoryLine = """, Q111, """,")</f>
        <v xml:space="preserve">            MemoryLine = "ความทรงจำ",</v>
      </c>
      <c r="S111" s="19" t="e">
        <f>Memory!T4</f>
        <v>#N/A</v>
      </c>
      <c r="T111" s="11" t="e">
        <f>_xlfn.CONCAT("            MemoryLine = """, S111, """,")</f>
        <v>#N/A</v>
      </c>
      <c r="V111" s="1" t="s">
        <v>874</v>
      </c>
    </row>
    <row r="112" spans="1:22" ht="15.95" customHeight="1" x14ac:dyDescent="0.25">
      <c r="A112" s="19" t="str">
        <f>Charms!B4</f>
        <v>Charms</v>
      </c>
      <c r="B112" s="11" t="str">
        <f>_xlfn.CONCAT("            AfflictionCharms = """, A112, """,")</f>
        <v xml:space="preserve">            AfflictionCharms = "Charms",</v>
      </c>
      <c r="C112" s="19" t="str">
        <f>Charms!D4</f>
        <v/>
      </c>
      <c r="D112" s="11" t="str">
        <f>_xlfn.CONCAT("            Charms = """, C112, """,")</f>
        <v xml:space="preserve">            Charms = "",</v>
      </c>
      <c r="E112" s="19" t="str">
        <f>Charms!F4</f>
        <v/>
      </c>
      <c r="F112" s="11" t="str">
        <f>_xlfn.CONCAT("            Charms = """, E112, """,")</f>
        <v xml:space="preserve">            Charms = "",</v>
      </c>
      <c r="G112" s="19" t="str">
        <f>Charms!H4</f>
        <v/>
      </c>
      <c r="H112" s="11" t="str">
        <f>_xlfn.CONCAT("            Charms = """, G112, """,")</f>
        <v xml:space="preserve">            Charms = "",</v>
      </c>
      <c r="I112" s="19" t="str">
        <f>Charms!J4</f>
        <v/>
      </c>
      <c r="J112" s="11" t="str">
        <f>_xlfn.CONCAT("            Charms = """, I112, """,")</f>
        <v xml:space="preserve">            Charms = "",</v>
      </c>
      <c r="K112" s="19" t="str">
        <f>Charms!L4</f>
        <v/>
      </c>
      <c r="L112" s="11" t="str">
        <f>_xlfn.CONCAT("            Charms = """, K112, """,")</f>
        <v xml:space="preserve">            Charms = "",</v>
      </c>
      <c r="M112" s="19" t="str">
        <f>Charms!N4</f>
        <v/>
      </c>
      <c r="N112" s="11" t="str">
        <f>_xlfn.CONCAT("            Charms = """, M112, """,")</f>
        <v xml:space="preserve">            Charms = "",</v>
      </c>
      <c r="O112" s="19" t="str">
        <f>Charms!P4</f>
        <v/>
      </c>
      <c r="P112" s="11" t="str">
        <f>_xlfn.CONCAT("            Charms = """, O112, """,")</f>
        <v xml:space="preserve">            Charms = "",</v>
      </c>
      <c r="Q112" s="19" t="str">
        <f>Charms!R4</f>
        <v/>
      </c>
      <c r="R112" s="11" t="str">
        <f>_xlfn.CONCAT("            Charms = """, Q112, """,")</f>
        <v xml:space="preserve">            Charms = "",</v>
      </c>
      <c r="S112" s="19" t="str">
        <f>Charms!T4</f>
        <v/>
      </c>
      <c r="T112" s="11" t="str">
        <f>_xlfn.CONCAT("            Charms = """, S112, """,")</f>
        <v xml:space="preserve">            Charms = "",</v>
      </c>
      <c r="V112" s="1"/>
    </row>
    <row r="113" spans="1:22" ht="15.95" customHeight="1" x14ac:dyDescent="0.25">
      <c r="A113" s="19" t="str">
        <f>Tinctures!B4</f>
        <v>Tinctures</v>
      </c>
      <c r="B113" s="11" t="str">
        <f>_xlfn.CONCAT("            AfflictionTinctures = """, A113, """,")</f>
        <v xml:space="preserve">            AfflictionTinctures = "Tinctures",</v>
      </c>
      <c r="C113" s="19" t="str">
        <f>Tinctures!D4</f>
        <v/>
      </c>
      <c r="D113" s="11" t="str">
        <f>_xlfn.CONCAT("            AfflictionTinctures = """, C113, """,")</f>
        <v xml:space="preserve">            AfflictionTinctures = "",</v>
      </c>
      <c r="E113" s="19" t="str">
        <f>Tinctures!F4</f>
        <v/>
      </c>
      <c r="F113" s="11" t="str">
        <f>_xlfn.CONCAT("            AfflictionTinctures = """, E113, """,")</f>
        <v xml:space="preserve">            AfflictionTinctures = "",</v>
      </c>
      <c r="G113" s="19" t="str">
        <f>Tinctures!H4</f>
        <v/>
      </c>
      <c r="H113" s="11" t="str">
        <f>_xlfn.CONCAT("            AfflictionTinctures = """, G113, """,")</f>
        <v xml:space="preserve">            AfflictionTinctures = "",</v>
      </c>
      <c r="I113" s="19" t="str">
        <f>Tinctures!J4</f>
        <v/>
      </c>
      <c r="J113" s="11" t="str">
        <f>_xlfn.CONCAT("            AfflictionTinctures = """, I113, """,")</f>
        <v xml:space="preserve">            AfflictionTinctures = "",</v>
      </c>
      <c r="K113" s="19" t="str">
        <f>Tinctures!L4</f>
        <v/>
      </c>
      <c r="L113" s="11" t="str">
        <f>_xlfn.CONCAT("            AfflictionTinctures = """, K113, """,")</f>
        <v xml:space="preserve">            AfflictionTinctures = "",</v>
      </c>
      <c r="M113" s="19" t="str">
        <f>Tinctures!N4</f>
        <v/>
      </c>
      <c r="N113" s="11" t="str">
        <f>_xlfn.CONCAT("            AfflictionTinctures = """, M113, """,")</f>
        <v xml:space="preserve">            AfflictionTinctures = "",</v>
      </c>
      <c r="O113" s="19" t="str">
        <f>Tinctures!P4</f>
        <v/>
      </c>
      <c r="P113" s="11" t="str">
        <f>_xlfn.CONCAT("            AfflictionTinctures = """, O113, """,")</f>
        <v xml:space="preserve">            AfflictionTinctures = "",</v>
      </c>
      <c r="Q113" s="19" t="str">
        <f>Tinctures!R4</f>
        <v/>
      </c>
      <c r="R113" s="11" t="str">
        <f>_xlfn.CONCAT("            AfflictionTinctures = """, Q113, """,")</f>
        <v xml:space="preserve">            AfflictionTinctures = "",</v>
      </c>
      <c r="S113" s="19" t="str">
        <f>Tinctures!T4</f>
        <v/>
      </c>
      <c r="T113" s="11" t="str">
        <f>_xlfn.CONCAT("            AfflictionTinctures = """, S113, """,")</f>
        <v xml:space="preserve">            AfflictionTinctures = "",</v>
      </c>
      <c r="V113" s="1"/>
    </row>
    <row r="114" spans="1:22" ht="15.95" customHeight="1" x14ac:dyDescent="0.25">
      <c r="A114" s="19" t="str">
        <f>Corspes!B4</f>
        <v>Corpses</v>
      </c>
      <c r="B114" s="11" t="str">
        <f>_xlfn.CONCAT("            AfflictionCorpses = """, A114, """,")</f>
        <v xml:space="preserve">            AfflictionCorpses = "Corpses",</v>
      </c>
      <c r="C114" s="19" t="str">
        <f>Corspes!D4</f>
        <v/>
      </c>
      <c r="D114" s="11" t="str">
        <f>_xlfn.CONCAT("            AfflictionCorpses = """, C114, """,")</f>
        <v xml:space="preserve">            AfflictionCorpses = "",</v>
      </c>
      <c r="E114" s="19" t="str">
        <f>Corspes!F4</f>
        <v/>
      </c>
      <c r="F114" s="11" t="str">
        <f>_xlfn.CONCAT("            AfflictionCorpses = """, E114, """,")</f>
        <v xml:space="preserve">            AfflictionCorpses = "",</v>
      </c>
      <c r="G114" s="19" t="str">
        <f>Corspes!H4</f>
        <v/>
      </c>
      <c r="H114" s="11" t="str">
        <f>_xlfn.CONCAT("            AfflictionCorpses = """, G114, """,")</f>
        <v xml:space="preserve">            AfflictionCorpses = "",</v>
      </c>
      <c r="I114" s="19" t="str">
        <f>Corspes!J4</f>
        <v/>
      </c>
      <c r="J114" s="11" t="str">
        <f>_xlfn.CONCAT("            AfflictionCorpses = """, I114, """,")</f>
        <v xml:space="preserve">            AfflictionCorpses = "",</v>
      </c>
      <c r="K114" s="19" t="str">
        <f>Corspes!L4</f>
        <v/>
      </c>
      <c r="L114" s="11" t="str">
        <f>_xlfn.CONCAT("            AfflictionCorpses = """, K114, """,")</f>
        <v xml:space="preserve">            AfflictionCorpses = "",</v>
      </c>
      <c r="M114" s="19" t="str">
        <f>Corspes!N4</f>
        <v/>
      </c>
      <c r="N114" s="11" t="str">
        <f>_xlfn.CONCAT("            AfflictionCorpses = """, M114, """,")</f>
        <v xml:space="preserve">            AfflictionCorpses = "",</v>
      </c>
      <c r="O114" s="19" t="str">
        <f>Corspes!P4</f>
        <v/>
      </c>
      <c r="P114" s="11" t="str">
        <f>_xlfn.CONCAT("            AfflictionCorpses = """, O114, """,")</f>
        <v xml:space="preserve">            AfflictionCorpses = "",</v>
      </c>
      <c r="Q114" s="19" t="str">
        <f>Corspes!R4</f>
        <v/>
      </c>
      <c r="R114" s="11" t="str">
        <f>_xlfn.CONCAT("            AfflictionCorpses = """, Q114, """,")</f>
        <v xml:space="preserve">            AfflictionCorpses = "",</v>
      </c>
      <c r="S114" s="19" t="str">
        <f>Corspes!T4</f>
        <v/>
      </c>
      <c r="T114" s="11" t="str">
        <f>_xlfn.CONCAT("            AfflictionCorpses = """, S114, """,")</f>
        <v xml:space="preserve">            AfflictionCorpses = "",</v>
      </c>
      <c r="V114" s="1"/>
    </row>
    <row r="115" spans="1:22" ht="15.95" customHeight="1" x14ac:dyDescent="0.25">
      <c r="A115" s="19" t="str">
        <f>Tome!B4</f>
        <v>Sanctum Research</v>
      </c>
      <c r="B115" s="11" t="str">
        <f>_xlfn.CONCAT("            SanctumResearch = """, A115, """,")</f>
        <v xml:space="preserve">            SanctumResearch = "Sanctum Research",</v>
      </c>
      <c r="C115" s="19" t="str">
        <f>Tome!D4</f>
        <v>Sanktum-Forschungsauftrag</v>
      </c>
      <c r="D115" s="11" t="str">
        <f>_xlfn.CONCAT("            SanctumResearch = """, C115, """,")</f>
        <v xml:space="preserve">            SanctumResearch = "Sanktum-Forschungsauftrag",</v>
      </c>
      <c r="E115" s="19" t="str">
        <f>Tome!F4</f>
        <v>Investigación del santuario</v>
      </c>
      <c r="F115" s="11" t="str">
        <f>_xlfn.CONCAT("            SanctumResearch = """, E115, """,")</f>
        <v xml:space="preserve">            SanctumResearch = "Investigación del santuario",</v>
      </c>
      <c r="G115" s="19" t="str">
        <f>Tome!H4</f>
        <v>Recherche du Sanctuaire</v>
      </c>
      <c r="H115" s="11" t="str">
        <f>_xlfn.CONCAT("            SanctumResearch = """, G115, """,")</f>
        <v xml:space="preserve">            SanctumResearch = "Recherche du Sanctuaire",</v>
      </c>
      <c r="I115" s="19" t="str">
        <f>Tome!J4</f>
        <v>サンクタム調査書</v>
      </c>
      <c r="J115" s="11" t="str">
        <f>_xlfn.CONCAT("            SanctumResearch = """, I115, """,")</f>
        <v xml:space="preserve">            SanctumResearch = "サンクタム調査書",</v>
      </c>
      <c r="K115" s="19" t="str">
        <f>Tome!L4</f>
        <v>성역 연구</v>
      </c>
      <c r="L115" s="11" t="str">
        <f>_xlfn.CONCAT("            SanctumResearch = """, K115, """,")</f>
        <v xml:space="preserve">            SanctumResearch = "성역 연구",</v>
      </c>
      <c r="M115" s="19" t="str">
        <f>Tome!N4</f>
        <v>Pesquisa Sanctum</v>
      </c>
      <c r="N115" s="11" t="str">
        <f>_xlfn.CONCAT("            SanctumResearch = """, M115, """,")</f>
        <v xml:space="preserve">            SanctumResearch = "Pesquisa Sanctum",</v>
      </c>
      <c r="O115" s="19" t="str">
        <f>Tome!P4</f>
        <v>Исследования Святилища</v>
      </c>
      <c r="P115" s="11" t="str">
        <f>_xlfn.CONCAT("            SanctumResearch = """, O115, """,")</f>
        <v xml:space="preserve">            SanctumResearch = "Исследования Святилища",</v>
      </c>
      <c r="Q115" s="19" t="str">
        <f>Tome!R4</f>
        <v>บทวิจัยเทวสถาน</v>
      </c>
      <c r="R115" s="11" t="str">
        <f>_xlfn.CONCAT("            SanctumResearch = """, Q115, """,")</f>
        <v xml:space="preserve">            SanctumResearch = "บทวิจัยเทวสถาน",</v>
      </c>
      <c r="S115" s="19" t="e">
        <f>Tome!T4</f>
        <v>#N/A</v>
      </c>
      <c r="T115" s="11" t="e">
        <f>_xlfn.CONCAT("            SanctumResearch = """, S115, """,")</f>
        <v>#N/A</v>
      </c>
      <c r="V115" s="1" t="s">
        <v>875</v>
      </c>
    </row>
    <row r="116" spans="1:22" ht="15.95" customHeight="1" x14ac:dyDescent="0.25">
      <c r="A116" s="12" t="s">
        <v>28</v>
      </c>
      <c r="B116" s="11" t="s">
        <v>17</v>
      </c>
      <c r="C116" s="12" t="s">
        <v>28</v>
      </c>
      <c r="D116" s="11" t="s">
        <v>17</v>
      </c>
      <c r="E116" s="12" t="s">
        <v>28</v>
      </c>
      <c r="F116" s="11" t="s">
        <v>17</v>
      </c>
      <c r="G116" s="12" t="s">
        <v>28</v>
      </c>
      <c r="H116" s="11" t="s">
        <v>17</v>
      </c>
      <c r="I116" s="12" t="s">
        <v>28</v>
      </c>
      <c r="J116" s="11" t="s">
        <v>17</v>
      </c>
      <c r="K116" s="12" t="s">
        <v>28</v>
      </c>
      <c r="L116" s="11" t="s">
        <v>17</v>
      </c>
      <c r="M116" s="12" t="s">
        <v>28</v>
      </c>
      <c r="N116" s="11" t="s">
        <v>17</v>
      </c>
      <c r="O116" s="12" t="s">
        <v>28</v>
      </c>
      <c r="P116" s="11" t="s">
        <v>17</v>
      </c>
      <c r="Q116" s="12" t="s">
        <v>28</v>
      </c>
      <c r="R116" s="11" t="s">
        <v>17</v>
      </c>
      <c r="S116" s="12" t="s">
        <v>28</v>
      </c>
      <c r="T116" s="11" t="s">
        <v>17</v>
      </c>
      <c r="V116" s="1" t="s">
        <v>28</v>
      </c>
    </row>
    <row r="117" spans="1:22" ht="15.95" customHeight="1" x14ac:dyDescent="0.25">
      <c r="A117" s="12" t="s">
        <v>28</v>
      </c>
      <c r="B117" s="11" t="s">
        <v>18</v>
      </c>
      <c r="C117" s="12" t="s">
        <v>28</v>
      </c>
      <c r="D117" s="11" t="s">
        <v>18</v>
      </c>
      <c r="E117" s="12" t="s">
        <v>28</v>
      </c>
      <c r="F117" s="11" t="s">
        <v>18</v>
      </c>
      <c r="G117" s="12" t="s">
        <v>28</v>
      </c>
      <c r="H117" s="11" t="s">
        <v>18</v>
      </c>
      <c r="I117" s="12" t="s">
        <v>28</v>
      </c>
      <c r="J117" s="11" t="s">
        <v>18</v>
      </c>
      <c r="K117" s="12" t="s">
        <v>28</v>
      </c>
      <c r="L117" s="11" t="s">
        <v>18</v>
      </c>
      <c r="M117" s="12" t="s">
        <v>28</v>
      </c>
      <c r="N117" s="11" t="s">
        <v>18</v>
      </c>
      <c r="O117" s="12" t="s">
        <v>28</v>
      </c>
      <c r="P117" s="11" t="s">
        <v>18</v>
      </c>
      <c r="Q117" s="12" t="s">
        <v>28</v>
      </c>
      <c r="R117" s="11" t="s">
        <v>18</v>
      </c>
      <c r="S117" s="12" t="s">
        <v>28</v>
      </c>
      <c r="T117" s="11" t="s">
        <v>18</v>
      </c>
      <c r="V117" s="1" t="s">
        <v>28</v>
      </c>
    </row>
    <row r="118" spans="1:22" ht="15.95" customHeight="1" x14ac:dyDescent="0.25">
      <c r="A118" s="12" t="s">
        <v>28</v>
      </c>
      <c r="B118" s="14" t="s">
        <v>19</v>
      </c>
      <c r="C118" s="12" t="s">
        <v>28</v>
      </c>
      <c r="D118" s="14" t="s">
        <v>19</v>
      </c>
      <c r="E118" s="12" t="s">
        <v>28</v>
      </c>
      <c r="F118" s="14" t="s">
        <v>19</v>
      </c>
      <c r="G118" s="12" t="s">
        <v>28</v>
      </c>
      <c r="H118" s="14" t="s">
        <v>19</v>
      </c>
      <c r="I118" s="12" t="s">
        <v>28</v>
      </c>
      <c r="J118" s="14" t="s">
        <v>19</v>
      </c>
      <c r="K118" s="12" t="s">
        <v>28</v>
      </c>
      <c r="L118" s="14" t="s">
        <v>19</v>
      </c>
      <c r="M118" s="12" t="s">
        <v>28</v>
      </c>
      <c r="N118" s="14" t="s">
        <v>19</v>
      </c>
      <c r="O118" s="12" t="s">
        <v>28</v>
      </c>
      <c r="P118" s="14" t="s">
        <v>19</v>
      </c>
      <c r="Q118" s="12" t="s">
        <v>28</v>
      </c>
      <c r="R118" s="14" t="s">
        <v>19</v>
      </c>
      <c r="S118" s="12" t="s">
        <v>28</v>
      </c>
      <c r="T118" s="14" t="s">
        <v>19</v>
      </c>
      <c r="V118" s="1" t="s">
        <v>28</v>
      </c>
    </row>
  </sheetData>
  <conditionalFormatting sqref="A2:T118">
    <cfRule type="containsErrors" dxfId="403" priority="4" stopIfTrue="1">
      <formula>ISERROR(A2)</formula>
    </cfRule>
    <cfRule type="containsBlanks" dxfId="402" priority="5" stopIfTrue="1">
      <formula>LEN(TRIM(A2))=0</formula>
    </cfRule>
    <cfRule type="cellIs" dxfId="401" priority="9" stopIfTrue="1" operator="equal">
      <formula>"-"</formula>
    </cfRule>
    <cfRule type="cellIs" dxfId="400" priority="10" operator="between">
      <formula>"(Lowest value)"</formula>
      <formula>0</formula>
    </cfRule>
    <cfRule type="notContainsBlanks" dxfId="399" priority="16">
      <formula>LEN(TRIM(A2))&gt;0</formula>
    </cfRule>
  </conditionalFormatting>
  <conditionalFormatting sqref="B2:B118 D2:D118 F2:F118 H2:H118 J2:J118 L2:L118 N2:N118 P2:P118 R2:R118 T2:T118">
    <cfRule type="notContainsErrors" dxfId="398" priority="1" stopIfTrue="1">
      <formula>NOT(ISERROR(B2))</formula>
    </cfRule>
  </conditionalFormatting>
  <conditionalFormatting sqref="V2:V118">
    <cfRule type="cellIs" dxfId="397" priority="6" operator="equal">
      <formula>A2</formula>
    </cfRule>
    <cfRule type="cellIs" dxfId="396" priority="7" operator="notEqual">
      <formula>A2</formula>
    </cfRule>
  </conditionalFormatting>
  <hyperlinks>
    <hyperlink ref="A10" r:id="rId1" xr:uid="{28F494D0-F57F-4BBF-8C0A-C82AB3299A9E}"/>
    <hyperlink ref="A12" r:id="rId2" xr:uid="{855ECDD4-C93A-4F1F-8713-0829BF813B5A}"/>
  </hyperlinks>
  <pageMargins left="0.7" right="0.7" top="0.75" bottom="0.75" header="0.3" footer="0.3"/>
  <pageSetup orientation="portrait" horizontalDpi="4294967293" verticalDpi="0"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dimension ref="A1:T51"/>
  <sheetViews>
    <sheetView workbookViewId="0">
      <selection activeCell="L22" sqref="L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5" priority="2" stopIfTrue="1">
      <formula>NOT(ISERROR(A3))</formula>
    </cfRule>
  </conditionalFormatting>
  <conditionalFormatting sqref="A3:T51">
    <cfRule type="containsErrors" dxfId="394" priority="1" stopIfTrue="1">
      <formula>ISERROR(A3)</formula>
    </cfRule>
    <cfRule type="notContainsBlanks" dxfId="393"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EC6E-6C85-435B-ACAB-073E458B20F4}">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531</v>
      </c>
      <c r="B3" s="16" t="str">
        <f>TRIM(_xlfn.TEXTBEFORE(A3, ":"))</f>
        <v>Item Class</v>
      </c>
      <c r="C3" s="17" t="s">
        <v>1607</v>
      </c>
      <c r="D3" s="16" t="str">
        <f>TRIM(_xlfn.TEXTBEFORE(C3, ":"))</f>
        <v>Gegenstandsklasse</v>
      </c>
      <c r="E3" s="17" t="s">
        <v>2327</v>
      </c>
      <c r="F3" s="16" t="str">
        <f>TRIM(_xlfn.TEXTBEFORE(E3, ":"))</f>
        <v>Clase de objeto</v>
      </c>
      <c r="G3" s="17" t="s">
        <v>882</v>
      </c>
      <c r="H3" s="16" t="str">
        <f>TRIM(_xlfn.TEXTBEFORE(G3, ":"))</f>
        <v>Classe d'objet</v>
      </c>
      <c r="I3" s="17" t="s">
        <v>3037</v>
      </c>
      <c r="J3" s="16" t="str">
        <f>TRIM(_xlfn.TEXTBEFORE(I3, ":"))</f>
        <v>アイテムクラス</v>
      </c>
      <c r="K3" s="17" t="s">
        <v>3791</v>
      </c>
      <c r="L3" s="16" t="str">
        <f>TRIM(_xlfn.TEXTBEFORE(K3, ":"))</f>
        <v>아이템 종류</v>
      </c>
      <c r="M3" s="17" t="s">
        <v>4523</v>
      </c>
      <c r="N3" s="16" t="str">
        <f>TRIM(_xlfn.TEXTBEFORE(M3, ":"))</f>
        <v>Classe do Item</v>
      </c>
      <c r="O3" s="17" t="s">
        <v>5202</v>
      </c>
      <c r="P3" s="16" t="str">
        <f>TRIM(_xlfn.TEXTBEFORE(O3, ":"))</f>
        <v>Класс предмета</v>
      </c>
      <c r="Q3" s="17" t="s">
        <v>5947</v>
      </c>
      <c r="R3" s="16" t="str">
        <f>TRIM(_xlfn.TEXTBEFORE(Q3, ":"))</f>
        <v>ชนิดไอเทม</v>
      </c>
      <c r="S3" s="17"/>
      <c r="T3" s="20" t="e">
        <f>TRIM(_xlfn.TEXTBEFORE(S3, ":"))</f>
        <v>#N/A</v>
      </c>
    </row>
    <row r="4" spans="1:20" ht="15.95" customHeight="1" x14ac:dyDescent="0.25">
      <c r="A4" s="18" t="s">
        <v>532</v>
      </c>
      <c r="B4" s="16" t="str">
        <f>TRIM(_xlfn.TEXTAFTER(A3, ":"))</f>
        <v>Skill Gems</v>
      </c>
      <c r="C4" s="18" t="s">
        <v>1608</v>
      </c>
      <c r="D4" s="16" t="str">
        <f>TRIM(_xlfn.TEXTAFTER(C3, ":"))</f>
        <v>Fertigkeitengemmen</v>
      </c>
      <c r="E4" s="18" t="s">
        <v>2328</v>
      </c>
      <c r="F4" s="16" t="str">
        <f>TRIM(_xlfn.TEXTAFTER(E3, ":"))</f>
        <v>Gemas de habilidad</v>
      </c>
      <c r="G4" s="18" t="s">
        <v>883</v>
      </c>
      <c r="H4" s="16" t="str">
        <f>TRIM(_xlfn.TEXTAFTER(G3, ":"))</f>
        <v>Gemmes d'aptitude</v>
      </c>
      <c r="I4" s="18" t="s">
        <v>3038</v>
      </c>
      <c r="J4" s="16" t="str">
        <f>TRIM(_xlfn.TEXTAFTER(I3, ":"))</f>
        <v>スキルジェム</v>
      </c>
      <c r="K4" s="18" t="s">
        <v>3792</v>
      </c>
      <c r="L4" s="16" t="str">
        <f>TRIM(_xlfn.TEXTAFTER(K3, ":"))</f>
        <v>스킬 젬</v>
      </c>
      <c r="M4" s="18" t="s">
        <v>4524</v>
      </c>
      <c r="N4" s="16" t="str">
        <f>TRIM(_xlfn.TEXTAFTER(M3, ":"))</f>
        <v>Gemas de Habilidades</v>
      </c>
      <c r="O4" s="18" t="s">
        <v>5203</v>
      </c>
      <c r="P4" s="16" t="str">
        <f>TRIM(_xlfn.TEXTAFTER(O3, ":"))</f>
        <v>Камни умений</v>
      </c>
      <c r="Q4" s="18" t="s">
        <v>5948</v>
      </c>
      <c r="R4" s="16" t="str">
        <f>TRIM(_xlfn.TEXTAFTER(Q3, ":"))</f>
        <v>หินสกิล</v>
      </c>
      <c r="S4" s="18"/>
      <c r="T4" s="20" t="e">
        <f>TRIM(_xlfn.TEXTAFTER(S3, ":"))</f>
        <v>#N/A</v>
      </c>
    </row>
    <row r="5" spans="1:20" ht="15.95" customHeight="1" x14ac:dyDescent="0.25">
      <c r="A5" s="18" t="s">
        <v>625</v>
      </c>
      <c r="B5" s="16" t="str">
        <f>TRIM(_xlfn.TEXTBEFORE(A4, ":"))</f>
        <v>Rarity</v>
      </c>
      <c r="C5" s="18" t="s">
        <v>1628</v>
      </c>
      <c r="D5" s="16" t="str">
        <f>TRIM(_xlfn.TEXTBEFORE(C4, ":"))</f>
        <v>Seltenheit</v>
      </c>
      <c r="E5" s="18" t="s">
        <v>2329</v>
      </c>
      <c r="F5" s="16" t="str">
        <f>TRIM(_xlfn.TEXTBEFORE(E4, ":"))</f>
        <v>Rareza</v>
      </c>
      <c r="G5" s="18" t="s">
        <v>903</v>
      </c>
      <c r="H5" s="16" t="str">
        <f>TRIM(_xlfn.TEXTBEFORE(G4, ":"))</f>
        <v>Rareté</v>
      </c>
      <c r="I5" s="18" t="s">
        <v>3039</v>
      </c>
      <c r="J5" s="16" t="str">
        <f>TRIM(_xlfn.TEXTBEFORE(I4, ":"))</f>
        <v>レアリティ</v>
      </c>
      <c r="K5" s="18" t="s">
        <v>3793</v>
      </c>
      <c r="L5" s="16" t="str">
        <f>TRIM(_xlfn.TEXTBEFORE(K4, ":"))</f>
        <v>아이템 희귀도</v>
      </c>
      <c r="M5" s="18" t="s">
        <v>4525</v>
      </c>
      <c r="N5" s="16" t="str">
        <f>TRIM(_xlfn.TEXTBEFORE(M4, ":"))</f>
        <v>Raridade</v>
      </c>
      <c r="O5" s="18" t="s">
        <v>5204</v>
      </c>
      <c r="P5" s="16" t="str">
        <f>TRIM(_xlfn.TEXTBEFORE(O4, ":"))</f>
        <v>Редкость</v>
      </c>
      <c r="Q5" s="18" t="s">
        <v>5949</v>
      </c>
      <c r="R5" s="16" t="str">
        <f>TRIM(_xlfn.TEXTBEFORE(Q4, ":"))</f>
        <v>ความหายาก</v>
      </c>
      <c r="S5" s="18"/>
      <c r="T5" s="20"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20" t="e">
        <f>TRIM(_xlfn.TEXTAFTER(S4,":"))</f>
        <v>#N/A</v>
      </c>
    </row>
    <row r="7" spans="1:20" ht="15.95" customHeight="1" x14ac:dyDescent="0.25">
      <c r="A7" s="18" t="s">
        <v>626</v>
      </c>
      <c r="B7" s="16" t="str">
        <f>TRIM(_xlfn.TEXTBEFORE(A5, " "))</f>
        <v>Anomalous</v>
      </c>
      <c r="C7" s="18" t="s">
        <v>1629</v>
      </c>
      <c r="D7" s="16" t="str">
        <f>TRIM(_xlfn.TEXTAFTER(C5, " ",-1 ))</f>
        <v>(anormal)</v>
      </c>
      <c r="E7" s="18" t="s">
        <v>2330</v>
      </c>
      <c r="F7" s="16" t="str">
        <f>TRIM(_xlfn.TEXTAFTER(E5, " ", -1))</f>
        <v>anómala</v>
      </c>
      <c r="G7" s="18" t="s">
        <v>904</v>
      </c>
      <c r="H7" s="16" t="s">
        <v>1605</v>
      </c>
      <c r="I7" s="18" t="s">
        <v>3040</v>
      </c>
      <c r="J7" s="16" t="s">
        <v>3056</v>
      </c>
      <c r="K7" s="18" t="s">
        <v>3794</v>
      </c>
      <c r="L7" s="16" t="s">
        <v>4520</v>
      </c>
      <c r="M7" s="18" t="s">
        <v>4526</v>
      </c>
      <c r="N7" s="16" t="str">
        <f>TRIM(_xlfn.TEXTBEFORE(M5, " "))</f>
        <v>Anômalo</v>
      </c>
      <c r="O7" s="18" t="s">
        <v>5205</v>
      </c>
      <c r="P7" s="16" t="str">
        <f>TRIM(_xlfn.TEXTBEFORE(O5, " "))</f>
        <v>Аномальный:</v>
      </c>
      <c r="Q7" s="18" t="s">
        <v>5950</v>
      </c>
      <c r="R7" s="16" t="str">
        <f>TRIM(_xlfn.TEXTBEFORE(Q5, " "))</f>
        <v>Anomalous</v>
      </c>
      <c r="S7" s="18"/>
      <c r="T7" s="20" t="e">
        <f>TRIM(_xlfn.TEXTBEFORE(S5, " "))</f>
        <v>#N/A</v>
      </c>
    </row>
    <row r="8" spans="1:20" ht="15.95" customHeight="1" x14ac:dyDescent="0.25">
      <c r="A8" s="18" t="s">
        <v>600</v>
      </c>
      <c r="B8" s="16"/>
      <c r="C8" s="18" t="s">
        <v>1630</v>
      </c>
      <c r="D8" s="16"/>
      <c r="E8" s="18" t="s">
        <v>2331</v>
      </c>
      <c r="F8" s="16"/>
      <c r="G8" s="18" t="s">
        <v>905</v>
      </c>
      <c r="H8" s="16"/>
      <c r="I8" s="18" t="s">
        <v>3041</v>
      </c>
      <c r="J8" s="16"/>
      <c r="K8" s="18" t="s">
        <v>3795</v>
      </c>
      <c r="L8" s="16"/>
      <c r="M8" s="18" t="s">
        <v>4527</v>
      </c>
      <c r="N8" s="16"/>
      <c r="O8" s="18" t="s">
        <v>5206</v>
      </c>
      <c r="P8" s="16"/>
      <c r="Q8" s="18" t="s">
        <v>5951</v>
      </c>
      <c r="R8" s="16"/>
      <c r="S8" s="18"/>
      <c r="T8" s="20"/>
    </row>
    <row r="9" spans="1:20" ht="15.95" customHeight="1" x14ac:dyDescent="0.25">
      <c r="A9" s="18" t="s">
        <v>627</v>
      </c>
      <c r="B9" s="16"/>
      <c r="C9" s="18" t="s">
        <v>1631</v>
      </c>
      <c r="D9" s="16"/>
      <c r="E9" s="18" t="s">
        <v>2332</v>
      </c>
      <c r="F9" s="16"/>
      <c r="G9" s="18" t="s">
        <v>906</v>
      </c>
      <c r="H9" s="16"/>
      <c r="I9" s="18" t="s">
        <v>3042</v>
      </c>
      <c r="J9" s="16"/>
      <c r="K9" s="18" t="s">
        <v>3796</v>
      </c>
      <c r="L9" s="16"/>
      <c r="M9" s="18" t="s">
        <v>4528</v>
      </c>
      <c r="N9" s="16"/>
      <c r="O9" s="18" t="s">
        <v>5207</v>
      </c>
      <c r="P9" s="16"/>
      <c r="Q9" s="18" t="s">
        <v>5952</v>
      </c>
      <c r="R9" s="16"/>
      <c r="S9" s="18"/>
      <c r="T9" s="20"/>
    </row>
    <row r="10" spans="1:20" ht="15.95" customHeight="1" x14ac:dyDescent="0.25">
      <c r="A10" s="18" t="s">
        <v>628</v>
      </c>
      <c r="B10" s="16"/>
      <c r="C10" s="18" t="s">
        <v>1632</v>
      </c>
      <c r="D10" s="16"/>
      <c r="E10" s="18" t="s">
        <v>2333</v>
      </c>
      <c r="F10" s="16"/>
      <c r="G10" s="18" t="s">
        <v>907</v>
      </c>
      <c r="H10" s="16"/>
      <c r="I10" s="18" t="s">
        <v>3043</v>
      </c>
      <c r="J10" s="16"/>
      <c r="K10" s="18" t="s">
        <v>3797</v>
      </c>
      <c r="L10" s="16"/>
      <c r="M10" s="18" t="s">
        <v>4529</v>
      </c>
      <c r="N10" s="16"/>
      <c r="O10" s="18" t="s">
        <v>5208</v>
      </c>
      <c r="P10" s="16"/>
      <c r="Q10" s="18" t="s">
        <v>5953</v>
      </c>
      <c r="R10" s="16"/>
      <c r="S10" s="18"/>
      <c r="T10" s="20"/>
    </row>
    <row r="11" spans="1:20" ht="15.95" customHeight="1" x14ac:dyDescent="0.25">
      <c r="A11" s="18" t="s">
        <v>629</v>
      </c>
      <c r="B11" s="16"/>
      <c r="C11" s="18" t="s">
        <v>1633</v>
      </c>
      <c r="D11" s="16"/>
      <c r="E11" s="18" t="s">
        <v>2334</v>
      </c>
      <c r="F11" s="16"/>
      <c r="G11" s="18" t="s">
        <v>908</v>
      </c>
      <c r="H11" s="16"/>
      <c r="I11" s="18" t="s">
        <v>3044</v>
      </c>
      <c r="J11" s="16"/>
      <c r="K11" s="18" t="s">
        <v>3798</v>
      </c>
      <c r="L11" s="16"/>
      <c r="M11" s="18" t="s">
        <v>4530</v>
      </c>
      <c r="N11" s="16"/>
      <c r="O11" s="18" t="s">
        <v>5209</v>
      </c>
      <c r="P11" s="16"/>
      <c r="Q11" s="18" t="s">
        <v>5954</v>
      </c>
      <c r="R11" s="16"/>
      <c r="S11" s="18"/>
      <c r="T11" s="20"/>
    </row>
    <row r="12" spans="1:20" ht="15.95" customHeight="1" x14ac:dyDescent="0.25">
      <c r="A12" s="18" t="s">
        <v>630</v>
      </c>
      <c r="B12" s="16"/>
      <c r="C12" s="18" t="s">
        <v>1616</v>
      </c>
      <c r="D12" s="16"/>
      <c r="E12" s="18" t="s">
        <v>2335</v>
      </c>
      <c r="F12" s="16"/>
      <c r="G12" s="18" t="s">
        <v>891</v>
      </c>
      <c r="H12" s="16"/>
      <c r="I12" s="18" t="s">
        <v>3045</v>
      </c>
      <c r="J12" s="16"/>
      <c r="K12" s="18" t="s">
        <v>3799</v>
      </c>
      <c r="L12" s="16"/>
      <c r="M12" s="18" t="s">
        <v>4531</v>
      </c>
      <c r="N12" s="16"/>
      <c r="O12" s="18" t="s">
        <v>5210</v>
      </c>
      <c r="P12" s="16"/>
      <c r="Q12" s="18" t="s">
        <v>5955</v>
      </c>
      <c r="R12" s="16"/>
      <c r="S12" s="18"/>
      <c r="T12" s="20"/>
    </row>
    <row r="13" spans="1:20" ht="15.95" customHeight="1" x14ac:dyDescent="0.25">
      <c r="A13" s="18" t="s">
        <v>601</v>
      </c>
      <c r="B13" s="16"/>
      <c r="C13" s="18" t="s">
        <v>1617</v>
      </c>
      <c r="D13" s="16"/>
      <c r="E13" s="18" t="s">
        <v>2336</v>
      </c>
      <c r="F13" s="16"/>
      <c r="G13" s="18" t="s">
        <v>892</v>
      </c>
      <c r="H13" s="16"/>
      <c r="I13" s="18" t="s">
        <v>3046</v>
      </c>
      <c r="J13" s="16"/>
      <c r="K13" s="18" t="s">
        <v>3800</v>
      </c>
      <c r="L13" s="16"/>
      <c r="M13" s="18" t="s">
        <v>4532</v>
      </c>
      <c r="N13" s="16"/>
      <c r="O13" s="18" t="s">
        <v>5211</v>
      </c>
      <c r="P13" s="16"/>
      <c r="Q13" s="18" t="s">
        <v>5956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110</v>
      </c>
      <c r="B15" s="16"/>
      <c r="C15" s="18" t="s">
        <v>1618</v>
      </c>
      <c r="D15" s="16"/>
      <c r="E15" s="18" t="s">
        <v>2337</v>
      </c>
      <c r="F15" s="16"/>
      <c r="G15" s="18" t="s">
        <v>5</v>
      </c>
      <c r="H15" s="16"/>
      <c r="I15" s="18" t="s">
        <v>3047</v>
      </c>
      <c r="J15" s="16"/>
      <c r="K15" s="18" t="s">
        <v>3801</v>
      </c>
      <c r="L15" s="16"/>
      <c r="M15" s="18" t="s">
        <v>2337</v>
      </c>
      <c r="N15" s="16"/>
      <c r="O15" s="18" t="s">
        <v>5212</v>
      </c>
      <c r="P15" s="16"/>
      <c r="Q15" s="18" t="s">
        <v>5957</v>
      </c>
      <c r="R15" s="16"/>
      <c r="S15" s="18"/>
      <c r="T15" s="20"/>
    </row>
    <row r="16" spans="1:20" ht="15.95" customHeight="1" x14ac:dyDescent="0.25">
      <c r="A16" s="18" t="s">
        <v>602</v>
      </c>
      <c r="B16" s="16"/>
      <c r="C16" s="18" t="s">
        <v>1634</v>
      </c>
      <c r="D16" s="16"/>
      <c r="E16" s="18" t="s">
        <v>2338</v>
      </c>
      <c r="F16" s="16"/>
      <c r="G16" s="18" t="s">
        <v>909</v>
      </c>
      <c r="H16" s="16"/>
      <c r="I16" s="18" t="s">
        <v>3048</v>
      </c>
      <c r="J16" s="16"/>
      <c r="K16" s="18" t="s">
        <v>3802</v>
      </c>
      <c r="L16" s="16"/>
      <c r="M16" s="18" t="s">
        <v>4533</v>
      </c>
      <c r="N16" s="16"/>
      <c r="O16" s="18" t="s">
        <v>5213</v>
      </c>
      <c r="P16" s="16"/>
      <c r="Q16" s="18" t="s">
        <v>5958</v>
      </c>
      <c r="R16" s="16"/>
      <c r="S16" s="18"/>
      <c r="T16" s="20"/>
    </row>
    <row r="17" spans="1:20" ht="15.95" customHeight="1" x14ac:dyDescent="0.25">
      <c r="A17" s="18" t="s">
        <v>631</v>
      </c>
      <c r="B17" s="16"/>
      <c r="C17" s="18" t="s">
        <v>1635</v>
      </c>
      <c r="D17" s="16"/>
      <c r="E17" s="18" t="s">
        <v>2339</v>
      </c>
      <c r="F17" s="16"/>
      <c r="G17" s="18" t="s">
        <v>631</v>
      </c>
      <c r="H17" s="16"/>
      <c r="I17" s="18" t="s">
        <v>3049</v>
      </c>
      <c r="J17" s="16"/>
      <c r="K17" s="18" t="s">
        <v>3803</v>
      </c>
      <c r="L17" s="16"/>
      <c r="M17" s="18" t="s">
        <v>2339</v>
      </c>
      <c r="N17" s="16"/>
      <c r="O17" s="18" t="s">
        <v>5214</v>
      </c>
      <c r="P17" s="16"/>
      <c r="Q17" s="18" t="s">
        <v>631</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632</v>
      </c>
      <c r="B19" s="16"/>
      <c r="C19" s="18" t="s">
        <v>1636</v>
      </c>
      <c r="D19" s="16"/>
      <c r="E19" s="18" t="s">
        <v>2340</v>
      </c>
      <c r="F19" s="16"/>
      <c r="G19" s="18" t="s">
        <v>910</v>
      </c>
      <c r="H19" s="16"/>
      <c r="I19" s="18" t="s">
        <v>3050</v>
      </c>
      <c r="J19" s="16"/>
      <c r="K19" s="18" t="s">
        <v>3804</v>
      </c>
      <c r="L19" s="16"/>
      <c r="M19" s="18" t="s">
        <v>4534</v>
      </c>
      <c r="N19" s="16"/>
      <c r="O19" s="18" t="s">
        <v>5215</v>
      </c>
      <c r="P19" s="16"/>
      <c r="Q19" s="18" t="s">
        <v>5959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633</v>
      </c>
      <c r="B21" s="16"/>
      <c r="C21" s="18" t="s">
        <v>1637</v>
      </c>
      <c r="D21" s="16"/>
      <c r="E21" s="18" t="s">
        <v>2341</v>
      </c>
      <c r="F21" s="16"/>
      <c r="G21" s="18" t="s">
        <v>911</v>
      </c>
      <c r="H21" s="16"/>
      <c r="I21" s="18" t="s">
        <v>3051</v>
      </c>
      <c r="J21" s="16"/>
      <c r="K21" s="18" t="s">
        <v>3805</v>
      </c>
      <c r="L21" s="16"/>
      <c r="M21" s="18" t="s">
        <v>4535</v>
      </c>
      <c r="N21" s="16"/>
      <c r="O21" s="18" t="s">
        <v>5216</v>
      </c>
      <c r="P21" s="16"/>
      <c r="Q21" s="18" t="s">
        <v>5960</v>
      </c>
      <c r="R21" s="16"/>
      <c r="S21" s="18"/>
      <c r="T21" s="20"/>
    </row>
    <row r="22" spans="1:20" ht="15.95" customHeight="1" x14ac:dyDescent="0.25">
      <c r="A22" s="18" t="s">
        <v>634</v>
      </c>
      <c r="B22" s="16"/>
      <c r="C22" s="18" t="s">
        <v>1638</v>
      </c>
      <c r="D22" s="16"/>
      <c r="E22" s="18" t="s">
        <v>2342</v>
      </c>
      <c r="F22" s="16"/>
      <c r="G22" s="18" t="s">
        <v>912</v>
      </c>
      <c r="H22" s="16"/>
      <c r="I22" s="18" t="s">
        <v>3052</v>
      </c>
      <c r="J22" s="16"/>
      <c r="K22" s="18" t="s">
        <v>3806</v>
      </c>
      <c r="L22" s="16"/>
      <c r="M22" s="18" t="s">
        <v>4536</v>
      </c>
      <c r="N22" s="16"/>
      <c r="O22" s="18" t="s">
        <v>5217</v>
      </c>
      <c r="P22" s="16"/>
      <c r="Q22" s="18" t="s">
        <v>5961</v>
      </c>
      <c r="R22" s="16"/>
      <c r="S22" s="18"/>
      <c r="T22" s="20"/>
    </row>
    <row r="23" spans="1:20" ht="15.95" customHeight="1" x14ac:dyDescent="0.25">
      <c r="A23" s="18" t="s">
        <v>635</v>
      </c>
      <c r="B23" s="16"/>
      <c r="C23" s="18" t="s">
        <v>1639</v>
      </c>
      <c r="D23" s="16"/>
      <c r="E23" s="18" t="s">
        <v>2343</v>
      </c>
      <c r="F23" s="16"/>
      <c r="G23" s="18" t="s">
        <v>913</v>
      </c>
      <c r="H23" s="16"/>
      <c r="I23" s="18" t="s">
        <v>3053</v>
      </c>
      <c r="J23" s="16"/>
      <c r="K23" s="18" t="s">
        <v>3807</v>
      </c>
      <c r="L23" s="16"/>
      <c r="M23" s="18" t="s">
        <v>4537</v>
      </c>
      <c r="N23" s="16"/>
      <c r="O23" s="18" t="s">
        <v>5218</v>
      </c>
      <c r="P23" s="16"/>
      <c r="Q23" s="18" t="s">
        <v>5962</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533</v>
      </c>
      <c r="B25" s="16"/>
      <c r="C25" s="18" t="s">
        <v>1627</v>
      </c>
      <c r="D25" s="16"/>
      <c r="E25" s="18" t="s">
        <v>2344</v>
      </c>
      <c r="F25" s="16"/>
      <c r="G25" s="18" t="s">
        <v>902</v>
      </c>
      <c r="H25" s="16"/>
      <c r="I25" s="18" t="s">
        <v>3054</v>
      </c>
      <c r="J25" s="16"/>
      <c r="K25" s="18" t="s">
        <v>3808</v>
      </c>
      <c r="L25" s="16"/>
      <c r="M25" s="18" t="s">
        <v>4538</v>
      </c>
      <c r="N25" s="16"/>
      <c r="O25" s="18" t="s">
        <v>5219</v>
      </c>
      <c r="P25" s="16"/>
      <c r="Q25" s="18" t="s">
        <v>5963</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78</v>
      </c>
      <c r="B27" s="16" t="str">
        <f>A27</f>
        <v>Corrupted</v>
      </c>
      <c r="C27" s="18" t="s">
        <v>1640</v>
      </c>
      <c r="D27" s="16" t="str">
        <f>C27</f>
        <v>Verderbt</v>
      </c>
      <c r="E27" s="18" t="s">
        <v>2345</v>
      </c>
      <c r="F27" s="16" t="str">
        <f>E27</f>
        <v>Corrupto</v>
      </c>
      <c r="G27" s="18" t="s">
        <v>914</v>
      </c>
      <c r="H27" s="16" t="str">
        <f>G27</f>
        <v>Corrompu</v>
      </c>
      <c r="I27" s="18" t="s">
        <v>3055</v>
      </c>
      <c r="J27" s="16" t="str">
        <f t="shared" ref="J27" si="0">I27</f>
        <v>コラプト状態</v>
      </c>
      <c r="K27" s="18" t="s">
        <v>3809</v>
      </c>
      <c r="L27" s="16" t="str">
        <f>K27</f>
        <v>타락</v>
      </c>
      <c r="M27" s="18" t="s">
        <v>4539</v>
      </c>
      <c r="N27" s="16" t="str">
        <f>M27</f>
        <v>Corrompido</v>
      </c>
      <c r="O27" s="18" t="s">
        <v>5220</v>
      </c>
      <c r="P27" s="16" t="str">
        <f>O27</f>
        <v>Осквернено</v>
      </c>
      <c r="Q27" s="18" t="s">
        <v>5964</v>
      </c>
      <c r="R27" s="16" t="str">
        <f>Q27</f>
        <v>มีมลทิน</v>
      </c>
      <c r="S27" s="18"/>
      <c r="T27" s="20">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2" priority="64" stopIfTrue="1">
      <formula>NOT(ISERROR(A3))</formula>
    </cfRule>
  </conditionalFormatting>
  <conditionalFormatting sqref="A3:T6 A7 C7 E7 G7 I7 K7 M7 O7 Q7 S7 A8:T25 A26:I26 K26:T26 A27 C27 E27 G27 I27 K27 M27 O27 Q27 S27 A28:T51">
    <cfRule type="notContainsBlanks" dxfId="391" priority="65">
      <formula>LEN(TRIM(A3))&gt;0</formula>
    </cfRule>
  </conditionalFormatting>
  <conditionalFormatting sqref="A3:T51">
    <cfRule type="containsErrors" dxfId="390" priority="1" stopIfTrue="1">
      <formula>ISERROR(A3)</formula>
    </cfRule>
  </conditionalFormatting>
  <conditionalFormatting sqref="B7">
    <cfRule type="notContainsBlanks" dxfId="389" priority="62">
      <formula>LEN(TRIM(B7))&gt;0</formula>
    </cfRule>
  </conditionalFormatting>
  <conditionalFormatting sqref="B27">
    <cfRule type="notContainsBlanks" dxfId="388" priority="60">
      <formula>LEN(TRIM(B27))&gt;0</formula>
    </cfRule>
  </conditionalFormatting>
  <conditionalFormatting sqref="D7">
    <cfRule type="notContainsBlanks" dxfId="387" priority="40">
      <formula>LEN(TRIM(D7))&gt;0</formula>
    </cfRule>
  </conditionalFormatting>
  <conditionalFormatting sqref="D27">
    <cfRule type="notContainsBlanks" dxfId="386" priority="20">
      <formula>LEN(TRIM(D27))&gt;0</formula>
    </cfRule>
  </conditionalFormatting>
  <conditionalFormatting sqref="F7">
    <cfRule type="notContainsBlanks" dxfId="385" priority="38">
      <formula>LEN(TRIM(F7))&gt;0</formula>
    </cfRule>
  </conditionalFormatting>
  <conditionalFormatting sqref="F27">
    <cfRule type="notContainsBlanks" dxfId="384" priority="18">
      <formula>LEN(TRIM(F27))&gt;0</formula>
    </cfRule>
  </conditionalFormatting>
  <conditionalFormatting sqref="H7">
    <cfRule type="notContainsBlanks" dxfId="383" priority="2">
      <formula>LEN(TRIM(H7))&gt;0</formula>
    </cfRule>
  </conditionalFormatting>
  <conditionalFormatting sqref="H27">
    <cfRule type="notContainsBlanks" dxfId="382" priority="16">
      <formula>LEN(TRIM(H27))&gt;0</formula>
    </cfRule>
  </conditionalFormatting>
  <conditionalFormatting sqref="J7">
    <cfRule type="notContainsBlanks" dxfId="381" priority="34">
      <formula>LEN(TRIM(J7))&gt;0</formula>
    </cfRule>
  </conditionalFormatting>
  <conditionalFormatting sqref="J26:J27">
    <cfRule type="notContainsBlanks" dxfId="380" priority="14">
      <formula>LEN(TRIM(J26))&gt;0</formula>
    </cfRule>
  </conditionalFormatting>
  <conditionalFormatting sqref="L7">
    <cfRule type="notContainsBlanks" dxfId="379" priority="32">
      <formula>LEN(TRIM(L7))&gt;0</formula>
    </cfRule>
  </conditionalFormatting>
  <conditionalFormatting sqref="L27">
    <cfRule type="notContainsBlanks" dxfId="378" priority="12">
      <formula>LEN(TRIM(L27))&gt;0</formula>
    </cfRule>
  </conditionalFormatting>
  <conditionalFormatting sqref="N7">
    <cfRule type="notContainsBlanks" dxfId="377" priority="30">
      <formula>LEN(TRIM(N7))&gt;0</formula>
    </cfRule>
  </conditionalFormatting>
  <conditionalFormatting sqref="N27">
    <cfRule type="notContainsBlanks" dxfId="376" priority="10">
      <formula>LEN(TRIM(N27))&gt;0</formula>
    </cfRule>
  </conditionalFormatting>
  <conditionalFormatting sqref="P7">
    <cfRule type="notContainsBlanks" dxfId="375" priority="28">
      <formula>LEN(TRIM(P7))&gt;0</formula>
    </cfRule>
  </conditionalFormatting>
  <conditionalFormatting sqref="P27">
    <cfRule type="notContainsBlanks" dxfId="374" priority="8">
      <formula>LEN(TRIM(P27))&gt;0</formula>
    </cfRule>
  </conditionalFormatting>
  <conditionalFormatting sqref="R7">
    <cfRule type="notContainsBlanks" dxfId="373" priority="26">
      <formula>LEN(TRIM(R7))&gt;0</formula>
    </cfRule>
  </conditionalFormatting>
  <conditionalFormatting sqref="R27">
    <cfRule type="notContainsBlanks" dxfId="372" priority="6">
      <formula>LEN(TRIM(R27))&gt;0</formula>
    </cfRule>
  </conditionalFormatting>
  <conditionalFormatting sqref="T7">
    <cfRule type="notContainsBlanks" dxfId="371" priority="22">
      <formula>LEN(TRIM(T7))&gt;0</formula>
    </cfRule>
  </conditionalFormatting>
  <conditionalFormatting sqref="T27">
    <cfRule type="notContainsBlanks" dxfId="370" priority="4">
      <formula>LEN(TRIM(T27))&gt;0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8012D-6808-40ED-823C-6FEB4AAFF296}">
  <dimension ref="A1:T51"/>
  <sheetViews>
    <sheetView workbookViewId="0">
      <selection activeCell="R7" sqref="R7"/>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534</v>
      </c>
      <c r="B3" s="16" t="str">
        <f>TRIM(_xlfn.TEXTBEFORE(A3, ":"))</f>
        <v>Item Class</v>
      </c>
      <c r="C3" s="17" t="s">
        <v>1641</v>
      </c>
      <c r="D3" s="16" t="str">
        <f>TRIM(_xlfn.TEXTBEFORE(C3, ":"))</f>
        <v>Gegenstandsklasse</v>
      </c>
      <c r="E3" s="17" t="s">
        <v>2346</v>
      </c>
      <c r="F3" s="16" t="str">
        <f>TRIM(_xlfn.TEXTBEFORE(E3, ":"))</f>
        <v>Clase de objeto</v>
      </c>
      <c r="G3" s="17" t="s">
        <v>915</v>
      </c>
      <c r="H3" s="16" t="str">
        <f>TRIM(_xlfn.TEXTBEFORE(G3, ":"))</f>
        <v>Classe d'objet</v>
      </c>
      <c r="I3" s="17" t="s">
        <v>3057</v>
      </c>
      <c r="J3" s="16" t="str">
        <f>TRIM(_xlfn.TEXTBEFORE(I3, ":"))</f>
        <v>アイテムクラス</v>
      </c>
      <c r="K3" s="17" t="s">
        <v>3810</v>
      </c>
      <c r="L3" s="16" t="str">
        <f>TRIM(_xlfn.TEXTBEFORE(K3, ":"))</f>
        <v>아이템 종류</v>
      </c>
      <c r="M3" s="17" t="s">
        <v>4540</v>
      </c>
      <c r="N3" s="16" t="str">
        <f>TRIM(_xlfn.TEXTBEFORE(M3, ":"))</f>
        <v>Classe do Item</v>
      </c>
      <c r="O3" s="17" t="s">
        <v>5221</v>
      </c>
      <c r="P3" s="16" t="str">
        <f>TRIM(_xlfn.TEXTBEFORE(O3, ":"))</f>
        <v>Класс предмета</v>
      </c>
      <c r="Q3" s="17" t="s">
        <v>5965</v>
      </c>
      <c r="R3" s="16" t="str">
        <f>TRIM(_xlfn.TEXTBEFORE(Q3, ":"))</f>
        <v>ชนิดไอเทม</v>
      </c>
      <c r="S3" s="17"/>
      <c r="T3" s="16" t="e">
        <f>TRIM(_xlfn.TEXTBEFORE(S3, ":"))</f>
        <v>#N/A</v>
      </c>
    </row>
    <row r="4" spans="1:20" ht="15.95" customHeight="1" x14ac:dyDescent="0.25">
      <c r="A4" s="18" t="s">
        <v>532</v>
      </c>
      <c r="B4" s="16" t="str">
        <f>TRIM(_xlfn.TEXTAFTER(A3, ":"))</f>
        <v>Support Gems</v>
      </c>
      <c r="C4" s="18" t="s">
        <v>1608</v>
      </c>
      <c r="D4" s="16" t="str">
        <f>TRIM(_xlfn.TEXTAFTER(C3, ":"))</f>
        <v>Unterstützungsgemmen</v>
      </c>
      <c r="E4" s="18" t="s">
        <v>2328</v>
      </c>
      <c r="F4" s="16" t="str">
        <f>TRIM(_xlfn.TEXTAFTER(E3, ":"))</f>
        <v>Gemas de asistencia</v>
      </c>
      <c r="G4" s="18" t="s">
        <v>883</v>
      </c>
      <c r="H4" s="16" t="str">
        <f>TRIM(_xlfn.TEXTAFTER(G3, ":"))</f>
        <v>Gemmes de soutien</v>
      </c>
      <c r="I4" s="18" t="s">
        <v>3038</v>
      </c>
      <c r="J4" s="16" t="str">
        <f>TRIM(_xlfn.TEXTAFTER(I3, ":"))</f>
        <v>サポートジェム</v>
      </c>
      <c r="K4" s="18" t="s">
        <v>3792</v>
      </c>
      <c r="L4" s="16" t="str">
        <f>TRIM(_xlfn.TEXTAFTER(K3, ":"))</f>
        <v>보조 젬</v>
      </c>
      <c r="M4" s="18" t="s">
        <v>4524</v>
      </c>
      <c r="N4" s="16" t="str">
        <f>TRIM(_xlfn.TEXTAFTER(M3, ":"))</f>
        <v>Gemas de Suporte</v>
      </c>
      <c r="O4" s="18" t="s">
        <v>5203</v>
      </c>
      <c r="P4" s="16" t="str">
        <f>TRIM(_xlfn.TEXTAFTER(O3, ":"))</f>
        <v>Камни поддержки</v>
      </c>
      <c r="Q4" s="18" t="s">
        <v>5948</v>
      </c>
      <c r="R4" s="16" t="str">
        <f>TRIM(_xlfn.TEXTAFTER(Q3, ":"))</f>
        <v>หินเสริม</v>
      </c>
      <c r="S4" s="18"/>
      <c r="T4" s="16" t="e">
        <f>TRIM(_xlfn.TEXTAFTER(S3, ":"))</f>
        <v>#N/A</v>
      </c>
    </row>
    <row r="5" spans="1:20" ht="15.95" customHeight="1" x14ac:dyDescent="0.25">
      <c r="A5" s="18" t="s">
        <v>598</v>
      </c>
      <c r="B5" s="16" t="str">
        <f>TRIM(_xlfn.TEXTBEFORE(A4, ":"))</f>
        <v>Rarity</v>
      </c>
      <c r="C5" s="18" t="s">
        <v>1642</v>
      </c>
      <c r="D5" s="16" t="str">
        <f>TRIM(_xlfn.TEXTBEFORE(C4, ":"))</f>
        <v>Seltenheit</v>
      </c>
      <c r="E5" s="18" t="s">
        <v>2347</v>
      </c>
      <c r="F5" s="16" t="str">
        <f>TRIM(_xlfn.TEXTBEFORE(E4, ":"))</f>
        <v>Rareza</v>
      </c>
      <c r="G5" s="18" t="s">
        <v>916</v>
      </c>
      <c r="H5" s="16" t="str">
        <f>TRIM(_xlfn.TEXTBEFORE(G4, ":"))</f>
        <v>Rareté</v>
      </c>
      <c r="I5" s="18" t="s">
        <v>3058</v>
      </c>
      <c r="J5" s="16" t="str">
        <f>TRIM(_xlfn.TEXTBEFORE(I4, ":"))</f>
        <v>レアリティ</v>
      </c>
      <c r="K5" s="18" t="s">
        <v>3811</v>
      </c>
      <c r="L5" s="16" t="str">
        <f>TRIM(_xlfn.TEXTBEFORE(K4, ":"))</f>
        <v>아이템 희귀도</v>
      </c>
      <c r="M5" s="18" t="s">
        <v>4541</v>
      </c>
      <c r="N5" s="16" t="str">
        <f>TRIM(_xlfn.TEXTBEFORE(M4, ":"))</f>
        <v>Raridade</v>
      </c>
      <c r="O5" s="18" t="s">
        <v>5222</v>
      </c>
      <c r="P5" s="16" t="str">
        <f>TRIM(_xlfn.TEXTBEFORE(O4, ":"))</f>
        <v>Редкость</v>
      </c>
      <c r="Q5" s="18" t="s">
        <v>5966</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599</v>
      </c>
      <c r="B7" s="16" t="str">
        <f>TRIM(_xlfn.TEXTBEFORE(A5, " "))</f>
        <v>Divergent</v>
      </c>
      <c r="C7" s="18" t="s">
        <v>1643</v>
      </c>
      <c r="D7" s="16" t="str">
        <f>TRIM(_xlfn.TEXTAFTER(C5, " ",-1 ))</f>
        <v>(abweichend)</v>
      </c>
      <c r="E7" s="18" t="s">
        <v>2348</v>
      </c>
      <c r="F7" s="16" t="str">
        <f>TRIM(_xlfn.TEXTAFTER(E5, " ", -1))</f>
        <v>divergente</v>
      </c>
      <c r="G7" s="18" t="s">
        <v>917</v>
      </c>
      <c r="H7" s="16" t="s">
        <v>1604</v>
      </c>
      <c r="I7" s="18" t="s">
        <v>3059</v>
      </c>
      <c r="J7" s="16" t="s">
        <v>3071</v>
      </c>
      <c r="K7" s="18" t="s">
        <v>3812</v>
      </c>
      <c r="L7" s="16" t="s">
        <v>4521</v>
      </c>
      <c r="M7" s="18" t="s">
        <v>4542</v>
      </c>
      <c r="N7" s="16" t="str">
        <f>TRIM(_xlfn.TEXTBEFORE(M5, " "))</f>
        <v>Divergente</v>
      </c>
      <c r="O7" s="18" t="s">
        <v>5223</v>
      </c>
      <c r="P7" s="16" t="str">
        <f>TRIM(_xlfn.TEXTBEFORE(O5, " "))</f>
        <v>Искривлённый:</v>
      </c>
      <c r="Q7" s="18" t="s">
        <v>5967</v>
      </c>
      <c r="R7" s="16" t="str">
        <f>TRIM(_xlfn.TEXTBEFORE(Q5, " "))</f>
        <v>Divergent</v>
      </c>
      <c r="S7" s="18"/>
      <c r="T7" s="16" t="e">
        <f>TRIM(_xlfn.TEXTBEFORE(S5, " "))</f>
        <v>#N/A</v>
      </c>
    </row>
    <row r="8" spans="1:20" ht="15.95" customHeight="1" x14ac:dyDescent="0.25">
      <c r="A8" s="18" t="s">
        <v>600</v>
      </c>
      <c r="B8" s="16"/>
      <c r="C8" s="18" t="s">
        <v>1630</v>
      </c>
      <c r="D8" s="16"/>
      <c r="E8" s="18" t="s">
        <v>2331</v>
      </c>
      <c r="F8" s="16"/>
      <c r="G8" s="18" t="s">
        <v>905</v>
      </c>
      <c r="H8" s="16"/>
      <c r="I8" s="18" t="s">
        <v>3041</v>
      </c>
      <c r="J8" s="16"/>
      <c r="K8" s="18" t="s">
        <v>3795</v>
      </c>
      <c r="L8" s="16"/>
      <c r="M8" s="18" t="s">
        <v>4527</v>
      </c>
      <c r="N8" s="16"/>
      <c r="O8" s="18" t="s">
        <v>5206</v>
      </c>
      <c r="P8" s="16"/>
      <c r="Q8" s="18" t="s">
        <v>5951</v>
      </c>
      <c r="R8" s="16"/>
      <c r="S8" s="18"/>
      <c r="T8" s="16"/>
    </row>
    <row r="9" spans="1:20" ht="15.95" customHeight="1" x14ac:dyDescent="0.25">
      <c r="A9" s="18" t="s">
        <v>500</v>
      </c>
      <c r="B9" s="16"/>
      <c r="C9" s="18" t="s">
        <v>1644</v>
      </c>
      <c r="D9" s="16"/>
      <c r="E9" s="18" t="s">
        <v>2349</v>
      </c>
      <c r="F9" s="16"/>
      <c r="G9" s="18" t="s">
        <v>918</v>
      </c>
      <c r="H9" s="16"/>
      <c r="I9" s="18" t="s">
        <v>3060</v>
      </c>
      <c r="J9" s="16"/>
      <c r="K9" s="18" t="s">
        <v>3813</v>
      </c>
      <c r="L9" s="16"/>
      <c r="M9" s="18" t="s">
        <v>4543</v>
      </c>
      <c r="N9" s="16"/>
      <c r="O9" s="18" t="s">
        <v>5224</v>
      </c>
      <c r="P9" s="16"/>
      <c r="Q9" s="18" t="s">
        <v>5968</v>
      </c>
      <c r="R9" s="16"/>
      <c r="S9" s="18"/>
      <c r="T9" s="16"/>
    </row>
    <row r="10" spans="1:20" ht="15.95" customHeight="1" x14ac:dyDescent="0.25">
      <c r="A10" s="18" t="s">
        <v>601</v>
      </c>
      <c r="B10" s="16" t="str">
        <f>A10</f>
        <v>Alternate Quality</v>
      </c>
      <c r="C10" s="18" t="s">
        <v>1617</v>
      </c>
      <c r="D10" s="16" t="str">
        <f>C10</f>
        <v>Alternative Qualität</v>
      </c>
      <c r="E10" s="18" t="s">
        <v>2336</v>
      </c>
      <c r="F10" s="16" t="str">
        <f>E10</f>
        <v>Calidad alternativa</v>
      </c>
      <c r="G10" s="18" t="s">
        <v>892</v>
      </c>
      <c r="H10" s="16" t="str">
        <f>G10</f>
        <v>Qualité alternative</v>
      </c>
      <c r="I10" s="18" t="s">
        <v>3046</v>
      </c>
      <c r="J10" s="16" t="str">
        <f>I10</f>
        <v>代替品質</v>
      </c>
      <c r="K10" s="18" t="s">
        <v>3800</v>
      </c>
      <c r="L10" s="16" t="str">
        <f>K10</f>
        <v>대체 퀄리티</v>
      </c>
      <c r="M10" s="18" t="s">
        <v>4532</v>
      </c>
      <c r="N10" s="16" t="str">
        <f>M10</f>
        <v>Qualidade Alternativa</v>
      </c>
      <c r="O10" s="18" t="s">
        <v>5211</v>
      </c>
      <c r="P10" s="16" t="str">
        <f>O10</f>
        <v>Изменённый эффект качества</v>
      </c>
      <c r="Q10" s="18" t="s">
        <v>5956</v>
      </c>
      <c r="R10" s="16" t="str">
        <f>Q10</f>
        <v>ค่าคุณภาพแบบพิเศษ</v>
      </c>
      <c r="S10" s="18"/>
      <c r="T10" s="16">
        <f>S10</f>
        <v>0</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110</v>
      </c>
      <c r="B12" s="16"/>
      <c r="C12" s="18" t="s">
        <v>1618</v>
      </c>
      <c r="D12" s="16"/>
      <c r="E12" s="18" t="s">
        <v>2337</v>
      </c>
      <c r="F12" s="16"/>
      <c r="G12" s="18" t="s">
        <v>5</v>
      </c>
      <c r="H12" s="16"/>
      <c r="I12" s="18" t="s">
        <v>3047</v>
      </c>
      <c r="J12" s="16"/>
      <c r="K12" s="18" t="s">
        <v>3801</v>
      </c>
      <c r="L12" s="16"/>
      <c r="M12" s="18" t="s">
        <v>2337</v>
      </c>
      <c r="N12" s="16"/>
      <c r="O12" s="18" t="s">
        <v>5212</v>
      </c>
      <c r="P12" s="16"/>
      <c r="Q12" s="18" t="s">
        <v>5957</v>
      </c>
      <c r="R12" s="16"/>
      <c r="S12" s="18"/>
      <c r="T12" s="21"/>
    </row>
    <row r="13" spans="1:20" ht="15.95" customHeight="1" x14ac:dyDescent="0.25">
      <c r="A13" s="18" t="s">
        <v>602</v>
      </c>
      <c r="B13" s="16"/>
      <c r="C13" s="18" t="s">
        <v>1634</v>
      </c>
      <c r="D13" s="16"/>
      <c r="E13" s="18" t="s">
        <v>2338</v>
      </c>
      <c r="F13" s="16"/>
      <c r="G13" s="18" t="s">
        <v>909</v>
      </c>
      <c r="H13" s="16"/>
      <c r="I13" s="18" t="s">
        <v>3048</v>
      </c>
      <c r="J13" s="16"/>
      <c r="K13" s="18" t="s">
        <v>3802</v>
      </c>
      <c r="L13" s="16"/>
      <c r="M13" s="18" t="s">
        <v>4533</v>
      </c>
      <c r="N13" s="16"/>
      <c r="O13" s="18" t="s">
        <v>5213</v>
      </c>
      <c r="P13" s="16"/>
      <c r="Q13" s="18" t="s">
        <v>5958</v>
      </c>
      <c r="R13" s="16"/>
      <c r="S13" s="18"/>
      <c r="T13" s="21"/>
    </row>
    <row r="14" spans="1:20" ht="15.95" customHeight="1" x14ac:dyDescent="0.25">
      <c r="A14" s="18" t="s">
        <v>603</v>
      </c>
      <c r="B14" s="16"/>
      <c r="C14" s="18" t="s">
        <v>603</v>
      </c>
      <c r="D14" s="16"/>
      <c r="E14" s="18" t="s">
        <v>2350</v>
      </c>
      <c r="F14" s="16"/>
      <c r="G14" s="18" t="s">
        <v>919</v>
      </c>
      <c r="H14" s="16"/>
      <c r="I14" s="18" t="s">
        <v>3061</v>
      </c>
      <c r="J14" s="16"/>
      <c r="K14" s="18" t="s">
        <v>3814</v>
      </c>
      <c r="L14" s="16"/>
      <c r="M14" s="18" t="s">
        <v>919</v>
      </c>
      <c r="N14" s="16"/>
      <c r="O14" s="18" t="s">
        <v>5225</v>
      </c>
      <c r="P14" s="16"/>
      <c r="Q14" s="18" t="s">
        <v>603</v>
      </c>
      <c r="R14" s="16"/>
      <c r="S14" s="18"/>
      <c r="T14" s="21"/>
    </row>
    <row r="15" spans="1:20" ht="15.95" customHeight="1" x14ac:dyDescent="0.25">
      <c r="A15" s="18" t="s">
        <v>604</v>
      </c>
      <c r="B15" s="16"/>
      <c r="C15" s="18" t="s">
        <v>604</v>
      </c>
      <c r="D15" s="16"/>
      <c r="E15" s="18" t="s">
        <v>604</v>
      </c>
      <c r="F15" s="16"/>
      <c r="G15" s="18" t="s">
        <v>604</v>
      </c>
      <c r="H15" s="16"/>
      <c r="I15" s="18" t="s">
        <v>3062</v>
      </c>
      <c r="J15" s="16"/>
      <c r="K15" s="18" t="s">
        <v>3815</v>
      </c>
      <c r="L15" s="16"/>
      <c r="M15" s="18" t="s">
        <v>604</v>
      </c>
      <c r="N15" s="16"/>
      <c r="O15" s="18" t="s">
        <v>5226</v>
      </c>
      <c r="P15" s="16"/>
      <c r="Q15" s="18" t="s">
        <v>604</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605</v>
      </c>
      <c r="B17" s="16"/>
      <c r="C17" s="18" t="s">
        <v>1645</v>
      </c>
      <c r="D17" s="16"/>
      <c r="E17" s="18" t="s">
        <v>2351</v>
      </c>
      <c r="F17" s="16"/>
      <c r="G17" s="18" t="s">
        <v>920</v>
      </c>
      <c r="H17" s="16"/>
      <c r="I17" s="18" t="s">
        <v>3063</v>
      </c>
      <c r="J17" s="16"/>
      <c r="K17" s="18" t="s">
        <v>3816</v>
      </c>
      <c r="L17" s="16"/>
      <c r="M17" s="18" t="s">
        <v>4544</v>
      </c>
      <c r="N17" s="16"/>
      <c r="O17" s="18" t="s">
        <v>5227</v>
      </c>
      <c r="P17" s="16"/>
      <c r="Q17" s="18" t="s">
        <v>5969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606</v>
      </c>
      <c r="B19" s="16"/>
      <c r="C19" s="18" t="s">
        <v>1646</v>
      </c>
      <c r="D19" s="16"/>
      <c r="E19" s="18" t="s">
        <v>2352</v>
      </c>
      <c r="F19" s="16"/>
      <c r="G19" s="18" t="s">
        <v>921</v>
      </c>
      <c r="H19" s="16"/>
      <c r="I19" s="18" t="s">
        <v>3064</v>
      </c>
      <c r="J19" s="16"/>
      <c r="K19" s="18" t="s">
        <v>3817</v>
      </c>
      <c r="L19" s="16"/>
      <c r="M19" s="18" t="s">
        <v>4545</v>
      </c>
      <c r="N19" s="16"/>
      <c r="O19" s="18" t="s">
        <v>5228</v>
      </c>
      <c r="P19" s="16"/>
      <c r="Q19" s="18" t="s">
        <v>5970</v>
      </c>
      <c r="R19" s="16"/>
      <c r="S19" s="18"/>
      <c r="T19" s="21"/>
    </row>
    <row r="20" spans="1:20" ht="15.95" customHeight="1" x14ac:dyDescent="0.25">
      <c r="A20" s="18" t="s">
        <v>607</v>
      </c>
      <c r="B20" s="16"/>
      <c r="C20" s="18" t="s">
        <v>1647</v>
      </c>
      <c r="D20" s="16"/>
      <c r="E20" s="18" t="s">
        <v>2353</v>
      </c>
      <c r="F20" s="16"/>
      <c r="G20" s="18" t="s">
        <v>922</v>
      </c>
      <c r="H20" s="16"/>
      <c r="I20" s="18" t="s">
        <v>3065</v>
      </c>
      <c r="J20" s="16"/>
      <c r="K20" s="18" t="s">
        <v>3818</v>
      </c>
      <c r="L20" s="16"/>
      <c r="M20" s="18" t="s">
        <v>4546</v>
      </c>
      <c r="N20" s="16"/>
      <c r="O20" s="18" t="s">
        <v>5229</v>
      </c>
      <c r="P20" s="16"/>
      <c r="Q20" s="18" t="s">
        <v>5971</v>
      </c>
      <c r="R20" s="16"/>
      <c r="S20" s="18"/>
      <c r="T20" s="21"/>
    </row>
    <row r="21" spans="1:20" ht="15.95" customHeight="1" x14ac:dyDescent="0.25">
      <c r="A21" s="18" t="s">
        <v>608</v>
      </c>
      <c r="B21" s="16"/>
      <c r="C21" s="18" t="s">
        <v>1648</v>
      </c>
      <c r="D21" s="16"/>
      <c r="E21" s="18" t="s">
        <v>2354</v>
      </c>
      <c r="F21" s="16"/>
      <c r="G21" s="18" t="s">
        <v>923</v>
      </c>
      <c r="H21" s="16"/>
      <c r="I21" s="18" t="s">
        <v>3066</v>
      </c>
      <c r="J21" s="16"/>
      <c r="K21" s="18" t="s">
        <v>3819</v>
      </c>
      <c r="L21" s="16"/>
      <c r="M21" s="18" t="s">
        <v>4547</v>
      </c>
      <c r="N21" s="16"/>
      <c r="O21" s="18" t="s">
        <v>5230</v>
      </c>
      <c r="P21" s="16"/>
      <c r="Q21" s="18" t="s">
        <v>5972</v>
      </c>
      <c r="R21" s="16"/>
      <c r="S21" s="18"/>
      <c r="T21" s="21"/>
    </row>
    <row r="22" spans="1:20" ht="15.95" customHeight="1" x14ac:dyDescent="0.25">
      <c r="A22" s="18" t="s">
        <v>609</v>
      </c>
      <c r="B22" s="16"/>
      <c r="C22" s="18" t="s">
        <v>1649</v>
      </c>
      <c r="D22" s="16"/>
      <c r="E22" s="18" t="s">
        <v>2355</v>
      </c>
      <c r="F22" s="16"/>
      <c r="G22" s="18" t="s">
        <v>924</v>
      </c>
      <c r="H22" s="16"/>
      <c r="I22" s="18" t="s">
        <v>3067</v>
      </c>
      <c r="J22" s="16"/>
      <c r="K22" s="18" t="s">
        <v>3820</v>
      </c>
      <c r="L22" s="16"/>
      <c r="M22" s="18" t="s">
        <v>4548</v>
      </c>
      <c r="N22" s="16"/>
      <c r="O22" s="18" t="s">
        <v>5231</v>
      </c>
      <c r="P22" s="16"/>
      <c r="Q22" s="18" t="s">
        <v>5973</v>
      </c>
      <c r="R22" s="16"/>
      <c r="S22" s="18"/>
      <c r="T22" s="21"/>
    </row>
    <row r="23" spans="1:20" ht="15.95" customHeight="1" x14ac:dyDescent="0.25">
      <c r="A23" s="18" t="s">
        <v>610</v>
      </c>
      <c r="B23" s="16"/>
      <c r="C23" s="18" t="s">
        <v>1650</v>
      </c>
      <c r="D23" s="16"/>
      <c r="E23" s="18" t="s">
        <v>2356</v>
      </c>
      <c r="F23" s="16"/>
      <c r="G23" s="18" t="s">
        <v>925</v>
      </c>
      <c r="H23" s="16"/>
      <c r="I23" s="18" t="s">
        <v>3068</v>
      </c>
      <c r="J23" s="16"/>
      <c r="K23" s="18" t="s">
        <v>3821</v>
      </c>
      <c r="L23" s="16"/>
      <c r="M23" s="18" t="s">
        <v>4549</v>
      </c>
      <c r="N23" s="16"/>
      <c r="O23" s="18" t="s">
        <v>5232</v>
      </c>
      <c r="P23" s="16"/>
      <c r="Q23" s="18" t="s">
        <v>5974</v>
      </c>
      <c r="R23" s="16"/>
      <c r="S23" s="18"/>
      <c r="T23" s="21"/>
    </row>
    <row r="24" spans="1:20" ht="15.95" customHeight="1" x14ac:dyDescent="0.25">
      <c r="A24" s="18" t="s">
        <v>611</v>
      </c>
      <c r="B24" s="16"/>
      <c r="C24" s="18" t="s">
        <v>1651</v>
      </c>
      <c r="D24" s="16"/>
      <c r="E24" s="18" t="s">
        <v>2357</v>
      </c>
      <c r="F24" s="16"/>
      <c r="G24" s="18" t="s">
        <v>926</v>
      </c>
      <c r="H24" s="16"/>
      <c r="I24" s="18" t="s">
        <v>3069</v>
      </c>
      <c r="J24" s="16"/>
      <c r="K24" s="18" t="s">
        <v>3822</v>
      </c>
      <c r="L24" s="16"/>
      <c r="M24" s="18" t="s">
        <v>4550</v>
      </c>
      <c r="N24" s="16"/>
      <c r="O24" s="18" t="s">
        <v>5233</v>
      </c>
      <c r="P24" s="16"/>
      <c r="Q24" s="18" t="s">
        <v>5975</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16"/>
    </row>
    <row r="26" spans="1:20" ht="15.95" customHeight="1" x14ac:dyDescent="0.25">
      <c r="A26" s="18" t="s">
        <v>536</v>
      </c>
      <c r="B26" s="16"/>
      <c r="C26" s="18" t="s">
        <v>1652</v>
      </c>
      <c r="D26" s="16"/>
      <c r="E26" s="18" t="s">
        <v>2358</v>
      </c>
      <c r="F26" s="16"/>
      <c r="G26" s="18" t="s">
        <v>927</v>
      </c>
      <c r="H26" s="16"/>
      <c r="I26" s="18" t="s">
        <v>3070</v>
      </c>
      <c r="J26" s="16"/>
      <c r="K26" s="18" t="s">
        <v>3823</v>
      </c>
      <c r="L26" s="16"/>
      <c r="M26" s="18" t="s">
        <v>4551</v>
      </c>
      <c r="N26" s="16"/>
      <c r="O26" s="18" t="s">
        <v>5234</v>
      </c>
      <c r="P26" s="16"/>
      <c r="Q26" s="18" t="s">
        <v>5976</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9" priority="28" stopIfTrue="1">
      <formula>NOT(ISERROR(A3))</formula>
    </cfRule>
  </conditionalFormatting>
  <conditionalFormatting sqref="A3:T6 A7 C7 E7 G7 I7 K7 M7 O7 Q7 S7 A8:T51">
    <cfRule type="notContainsBlanks" dxfId="368" priority="29">
      <formula>LEN(TRIM(A3))&gt;0</formula>
    </cfRule>
  </conditionalFormatting>
  <conditionalFormatting sqref="A3:T51">
    <cfRule type="containsErrors" dxfId="367" priority="1" stopIfTrue="1">
      <formula>ISERROR(A3)</formula>
    </cfRule>
  </conditionalFormatting>
  <conditionalFormatting sqref="B7">
    <cfRule type="notContainsBlanks" dxfId="366" priority="26">
      <formula>LEN(TRIM(B7))&gt;0</formula>
    </cfRule>
  </conditionalFormatting>
  <conditionalFormatting sqref="D7">
    <cfRule type="notContainsBlanks" dxfId="365" priority="2">
      <formula>LEN(TRIM(D7))&gt;0</formula>
    </cfRule>
  </conditionalFormatting>
  <conditionalFormatting sqref="F7">
    <cfRule type="notContainsBlanks" dxfId="364" priority="22">
      <formula>LEN(TRIM(F7))&gt;0</formula>
    </cfRule>
  </conditionalFormatting>
  <conditionalFormatting sqref="H7">
    <cfRule type="notContainsBlanks" dxfId="363" priority="6">
      <formula>LEN(TRIM(H7))&gt;0</formula>
    </cfRule>
  </conditionalFormatting>
  <conditionalFormatting sqref="J7">
    <cfRule type="notContainsBlanks" dxfId="362" priority="18">
      <formula>LEN(TRIM(J7))&gt;0</formula>
    </cfRule>
  </conditionalFormatting>
  <conditionalFormatting sqref="L7">
    <cfRule type="notContainsBlanks" dxfId="361" priority="16">
      <formula>LEN(TRIM(L7))&gt;0</formula>
    </cfRule>
  </conditionalFormatting>
  <conditionalFormatting sqref="N7">
    <cfRule type="notContainsBlanks" dxfId="360" priority="14">
      <formula>LEN(TRIM(N7))&gt;0</formula>
    </cfRule>
  </conditionalFormatting>
  <conditionalFormatting sqref="P7">
    <cfRule type="notContainsBlanks" dxfId="359" priority="12">
      <formula>LEN(TRIM(P7))&gt;0</formula>
    </cfRule>
  </conditionalFormatting>
  <conditionalFormatting sqref="R7">
    <cfRule type="notContainsBlanks" dxfId="358" priority="10">
      <formula>LEN(TRIM(R7))&gt;0</formula>
    </cfRule>
  </conditionalFormatting>
  <conditionalFormatting sqref="T7">
    <cfRule type="notContainsBlanks" dxfId="357" priority="8">
      <formula>LEN(TRIM(T7))&gt;0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dimension ref="A1:T51"/>
  <sheetViews>
    <sheetView workbookViewId="0">
      <selection activeCell="Q3" sqref="Q3:Q30"/>
    </sheetView>
  </sheetViews>
  <sheetFormatPr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531</v>
      </c>
      <c r="B3" s="16" t="str">
        <f>TRIM(_xlfn.TEXTBEFORE(A3, ":"))</f>
        <v>Item Class</v>
      </c>
      <c r="C3" s="17" t="s">
        <v>1607</v>
      </c>
      <c r="D3" s="16" t="str">
        <f>TRIM(_xlfn.TEXTBEFORE(C3, ":"))</f>
        <v>Gegenstandsklasse</v>
      </c>
      <c r="E3" s="17" t="s">
        <v>2327</v>
      </c>
      <c r="F3" s="16" t="str">
        <f>TRIM(_xlfn.TEXTBEFORE(E3, ":"))</f>
        <v>Clase de objeto</v>
      </c>
      <c r="G3" s="17" t="s">
        <v>882</v>
      </c>
      <c r="H3" s="16" t="str">
        <f>TRIM(_xlfn.TEXTBEFORE(G3, ":"))</f>
        <v>Classe d'objet</v>
      </c>
      <c r="I3" s="17" t="s">
        <v>3037</v>
      </c>
      <c r="J3" s="16" t="str">
        <f>TRIM(_xlfn.TEXTBEFORE(I3, ":"))</f>
        <v>アイテムクラス</v>
      </c>
      <c r="K3" s="17" t="s">
        <v>3791</v>
      </c>
      <c r="L3" s="16" t="str">
        <f>TRIM(_xlfn.TEXTBEFORE(K3, ":"))</f>
        <v>아이템 종류</v>
      </c>
      <c r="M3" s="17" t="s">
        <v>4523</v>
      </c>
      <c r="N3" s="16" t="str">
        <f>TRIM(_xlfn.TEXTBEFORE(M3, ":"))</f>
        <v>Classe do Item</v>
      </c>
      <c r="O3" s="17" t="s">
        <v>5202</v>
      </c>
      <c r="P3" s="16" t="str">
        <f>TRIM(_xlfn.TEXTBEFORE(O3, ":"))</f>
        <v>Класс предмета</v>
      </c>
      <c r="Q3" s="17" t="s">
        <v>5947</v>
      </c>
      <c r="R3" s="16" t="str">
        <f>TRIM(_xlfn.TEXTBEFORE(Q3, ":"))</f>
        <v>ชนิดไอเทม</v>
      </c>
      <c r="S3" s="17"/>
      <c r="T3" s="16" t="e">
        <f>TRIM(_xlfn.TEXTBEFORE(S3, ":"))</f>
        <v>#N/A</v>
      </c>
    </row>
    <row r="4" spans="1:20" ht="15.95" customHeight="1" x14ac:dyDescent="0.25">
      <c r="A4" s="18" t="s">
        <v>532</v>
      </c>
      <c r="B4" s="16" t="str">
        <f>TRIM(_xlfn.TEXTAFTER(A3, ":"))</f>
        <v>Skill Gems</v>
      </c>
      <c r="C4" s="18" t="s">
        <v>1608</v>
      </c>
      <c r="D4" s="16" t="str">
        <f>TRIM(_xlfn.TEXTAFTER(C3, ":"))</f>
        <v>Fertigkeitengemmen</v>
      </c>
      <c r="E4" s="18" t="s">
        <v>2328</v>
      </c>
      <c r="F4" s="16" t="str">
        <f>TRIM(_xlfn.TEXTAFTER(E3, ":"))</f>
        <v>Gemas de habilidad</v>
      </c>
      <c r="G4" s="18" t="s">
        <v>883</v>
      </c>
      <c r="H4" s="16" t="str">
        <f>TRIM(_xlfn.TEXTAFTER(G3, ":"))</f>
        <v>Gemmes d'aptitude</v>
      </c>
      <c r="I4" s="18" t="s">
        <v>3038</v>
      </c>
      <c r="J4" s="16" t="str">
        <f>TRIM(_xlfn.TEXTAFTER(I3, ":"))</f>
        <v>スキルジェム</v>
      </c>
      <c r="K4" s="18" t="s">
        <v>3792</v>
      </c>
      <c r="L4" s="16" t="str">
        <f>TRIM(_xlfn.TEXTAFTER(K3, ":"))</f>
        <v>스킬 젬</v>
      </c>
      <c r="M4" s="18" t="s">
        <v>4524</v>
      </c>
      <c r="N4" s="16" t="str">
        <f>TRIM(_xlfn.TEXTAFTER(M3, ":"))</f>
        <v>Gemas de Habilidades</v>
      </c>
      <c r="O4" s="18" t="s">
        <v>5203</v>
      </c>
      <c r="P4" s="16" t="str">
        <f>TRIM(_xlfn.TEXTAFTER(O3, ":"))</f>
        <v>Камни умений</v>
      </c>
      <c r="Q4" s="18" t="s">
        <v>5948</v>
      </c>
      <c r="R4" s="16" t="str">
        <f>TRIM(_xlfn.TEXTAFTER(Q3, ":"))</f>
        <v>หินสกิล</v>
      </c>
      <c r="S4" s="18"/>
      <c r="T4" s="16" t="e">
        <f>TRIM(_xlfn.TEXTAFTER(S3, ":"))</f>
        <v>#N/A</v>
      </c>
    </row>
    <row r="5" spans="1:20" ht="15.95" customHeight="1" x14ac:dyDescent="0.25">
      <c r="A5" s="18" t="s">
        <v>636</v>
      </c>
      <c r="B5" s="16" t="str">
        <f>TRIM(_xlfn.TEXTBEFORE(A4, ":"))</f>
        <v>Rarity</v>
      </c>
      <c r="C5" s="18" t="s">
        <v>1609</v>
      </c>
      <c r="D5" s="16" t="str">
        <f>TRIM(_xlfn.TEXTBEFORE(C4, ":"))</f>
        <v>Seltenheit</v>
      </c>
      <c r="E5" s="18" t="s">
        <v>2359</v>
      </c>
      <c r="F5" s="16" t="str">
        <f>TRIM(_xlfn.TEXTBEFORE(E4, ":"))</f>
        <v>Rareza</v>
      </c>
      <c r="G5" s="18" t="s">
        <v>884</v>
      </c>
      <c r="H5" s="16" t="str">
        <f>TRIM(_xlfn.TEXTBEFORE(G4, ":"))</f>
        <v>Rareté</v>
      </c>
      <c r="I5" s="18" t="s">
        <v>3073</v>
      </c>
      <c r="J5" s="16" t="str">
        <f>TRIM(_xlfn.TEXTBEFORE(I4, ":"))</f>
        <v>レアリティ</v>
      </c>
      <c r="K5" s="18" t="s">
        <v>3824</v>
      </c>
      <c r="L5" s="16" t="str">
        <f>TRIM(_xlfn.TEXTBEFORE(K4, ":"))</f>
        <v>아이템 희귀도</v>
      </c>
      <c r="M5" s="18" t="s">
        <v>4552</v>
      </c>
      <c r="N5" s="16" t="str">
        <f>TRIM(_xlfn.TEXTBEFORE(M4, ":"))</f>
        <v>Raridade</v>
      </c>
      <c r="O5" s="18" t="s">
        <v>5235</v>
      </c>
      <c r="P5" s="16" t="str">
        <f>TRIM(_xlfn.TEXTBEFORE(O4, ":"))</f>
        <v>Редкость</v>
      </c>
      <c r="Q5" s="18" t="s">
        <v>5977</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637</v>
      </c>
      <c r="B7" s="16" t="str">
        <f>TRIM(_xlfn.TEXTBEFORE(A5, " "))</f>
        <v>Phantasmal</v>
      </c>
      <c r="C7" s="18" t="s">
        <v>1610</v>
      </c>
      <c r="D7" s="16" t="str">
        <f>TRIM(_xlfn.TEXTAFTER(C5, " ",-1 ))</f>
        <v>(illusorisch)</v>
      </c>
      <c r="E7" s="18" t="s">
        <v>2360</v>
      </c>
      <c r="F7" s="16" t="str">
        <f>TRIM(_xlfn.TEXTAFTER(E5, " ", -1))</f>
        <v>fantasmal</v>
      </c>
      <c r="G7" s="18" t="s">
        <v>885</v>
      </c>
      <c r="H7" s="16" t="s">
        <v>1606</v>
      </c>
      <c r="I7" s="18" t="s">
        <v>3074</v>
      </c>
      <c r="J7" s="16" t="s">
        <v>3072</v>
      </c>
      <c r="K7" s="18" t="s">
        <v>3825</v>
      </c>
      <c r="L7" s="16" t="s">
        <v>4522</v>
      </c>
      <c r="M7" s="18" t="s">
        <v>4553</v>
      </c>
      <c r="N7" s="16" t="str">
        <f>TRIM(_xlfn.TEXTBEFORE(M5, " "))</f>
        <v>Fantasmal</v>
      </c>
      <c r="O7" s="18" t="s">
        <v>5236</v>
      </c>
      <c r="P7" s="16" t="str">
        <f>TRIM(_xlfn.TEXTBEFORE(O5, " "))</f>
        <v>Фантомный:</v>
      </c>
      <c r="Q7" s="18" t="s">
        <v>5978</v>
      </c>
      <c r="R7" s="16" t="str">
        <f>TRIM(_xlfn.TEXTBEFORE(Q5, " "))</f>
        <v>Phantasmal</v>
      </c>
      <c r="S7" s="18"/>
      <c r="T7" s="16" t="e">
        <f>TRIM(_xlfn.TEXTBEFORE(S5, " "))</f>
        <v>#N/A</v>
      </c>
    </row>
    <row r="8" spans="1:20" ht="15.95" customHeight="1" x14ac:dyDescent="0.25">
      <c r="A8" s="18" t="s">
        <v>535</v>
      </c>
      <c r="B8" s="16" t="str">
        <f>TRIM(_xlfn.TEXTBEFORE(A8,":"))</f>
        <v>Level</v>
      </c>
      <c r="C8" s="18" t="s">
        <v>1611</v>
      </c>
      <c r="D8" s="16" t="str">
        <f>TRIM(_xlfn.TEXTBEFORE(C8,":"))</f>
        <v>Stufe</v>
      </c>
      <c r="E8" s="18" t="s">
        <v>2361</v>
      </c>
      <c r="F8" s="16" t="str">
        <f>TRIM(_xlfn.TEXTAFTER(E8,":", -1))</f>
        <v>16</v>
      </c>
      <c r="G8" s="18" t="s">
        <v>886</v>
      </c>
      <c r="H8" s="16" t="str">
        <f>TRIM(_xlfn.TEXTBEFORE(G8,":"))</f>
        <v>Niveau</v>
      </c>
      <c r="I8" s="18" t="s">
        <v>3075</v>
      </c>
      <c r="J8" s="16" t="str">
        <f>TRIM(_xlfn.TEXTBEFORE(I8,":"))</f>
        <v>レベル</v>
      </c>
      <c r="K8" s="18" t="s">
        <v>3826</v>
      </c>
      <c r="L8" s="16" t="str">
        <f>TRIM(_xlfn.TEXTBEFORE(K8,":"))</f>
        <v>레벨</v>
      </c>
      <c r="M8" s="18" t="s">
        <v>4554</v>
      </c>
      <c r="N8" s="16" t="str">
        <f>TRIM(_xlfn.TEXTBEFORE(M8,":"))</f>
        <v>Nível</v>
      </c>
      <c r="O8" s="18" t="s">
        <v>5237</v>
      </c>
      <c r="P8" s="16" t="str">
        <f>TRIM(_xlfn.TEXTBEFORE(O8,":"))</f>
        <v>Уровень</v>
      </c>
      <c r="Q8" s="18" t="s">
        <v>5979</v>
      </c>
      <c r="R8" s="16" t="str">
        <f>TRIM(_xlfn.TEXTBEFORE(Q8,":"))</f>
        <v>เลเวล</v>
      </c>
      <c r="S8" s="18"/>
      <c r="T8" s="16" t="e">
        <f>TRIM(_xlfn.TEXTBEFORE(S8,":"))</f>
        <v>#N/A</v>
      </c>
    </row>
    <row r="9" spans="1:20" ht="15.95" customHeight="1" x14ac:dyDescent="0.25">
      <c r="A9" s="18" t="s">
        <v>638</v>
      </c>
      <c r="B9" s="16"/>
      <c r="C9" s="18" t="s">
        <v>1612</v>
      </c>
      <c r="D9" s="16"/>
      <c r="E9" s="18" t="s">
        <v>2362</v>
      </c>
      <c r="F9" s="16"/>
      <c r="G9" s="18" t="s">
        <v>887</v>
      </c>
      <c r="H9" s="16"/>
      <c r="I9" s="18" t="s">
        <v>3076</v>
      </c>
      <c r="J9" s="16"/>
      <c r="K9" s="18" t="s">
        <v>3827</v>
      </c>
      <c r="L9" s="16"/>
      <c r="M9" s="18" t="s">
        <v>4555</v>
      </c>
      <c r="N9" s="16"/>
      <c r="O9" s="18" t="s">
        <v>5238</v>
      </c>
      <c r="P9" s="16"/>
      <c r="Q9" s="18" t="s">
        <v>5980</v>
      </c>
      <c r="R9" s="16"/>
      <c r="S9" s="18"/>
      <c r="T9" s="16"/>
    </row>
    <row r="10" spans="1:20" ht="15.95" customHeight="1" x14ac:dyDescent="0.25">
      <c r="A10" s="18" t="s">
        <v>639</v>
      </c>
      <c r="B10" s="16"/>
      <c r="C10" s="18" t="s">
        <v>1613</v>
      </c>
      <c r="D10" s="16"/>
      <c r="E10" s="18" t="s">
        <v>2363</v>
      </c>
      <c r="F10" s="16"/>
      <c r="G10" s="18" t="s">
        <v>888</v>
      </c>
      <c r="H10" s="16"/>
      <c r="I10" s="18" t="s">
        <v>3077</v>
      </c>
      <c r="J10" s="16"/>
      <c r="K10" s="18" t="s">
        <v>3828</v>
      </c>
      <c r="L10" s="16"/>
      <c r="M10" s="18" t="s">
        <v>4556</v>
      </c>
      <c r="N10" s="16"/>
      <c r="O10" s="18" t="s">
        <v>5239</v>
      </c>
      <c r="P10" s="16"/>
      <c r="Q10" s="18" t="s">
        <v>5981</v>
      </c>
      <c r="R10" s="16"/>
      <c r="S10" s="18"/>
      <c r="T10" s="16"/>
    </row>
    <row r="11" spans="1:20" ht="15.95" customHeight="1" x14ac:dyDescent="0.25">
      <c r="A11" s="18" t="s">
        <v>640</v>
      </c>
      <c r="B11" s="16"/>
      <c r="C11" s="18" t="s">
        <v>1614</v>
      </c>
      <c r="D11" s="16"/>
      <c r="E11" s="18" t="s">
        <v>2364</v>
      </c>
      <c r="F11" s="16"/>
      <c r="G11" s="18" t="s">
        <v>889</v>
      </c>
      <c r="H11" s="16"/>
      <c r="I11" s="18" t="s">
        <v>3078</v>
      </c>
      <c r="J11" s="16"/>
      <c r="K11" s="18" t="s">
        <v>3829</v>
      </c>
      <c r="L11" s="16"/>
      <c r="M11" s="18" t="s">
        <v>4557</v>
      </c>
      <c r="N11" s="16"/>
      <c r="O11" s="18" t="s">
        <v>5240</v>
      </c>
      <c r="P11" s="16"/>
      <c r="Q11" s="18" t="s">
        <v>5982</v>
      </c>
      <c r="R11" s="16"/>
      <c r="S11" s="18"/>
      <c r="T11" s="16"/>
    </row>
    <row r="12" spans="1:20" ht="15.95" customHeight="1" x14ac:dyDescent="0.25">
      <c r="A12" s="18" t="s">
        <v>641</v>
      </c>
      <c r="B12" s="16"/>
      <c r="C12" s="18" t="s">
        <v>1615</v>
      </c>
      <c r="D12" s="16"/>
      <c r="E12" s="18" t="s">
        <v>2365</v>
      </c>
      <c r="F12" s="16"/>
      <c r="G12" s="18" t="s">
        <v>890</v>
      </c>
      <c r="H12" s="16"/>
      <c r="I12" s="18" t="s">
        <v>3079</v>
      </c>
      <c r="J12" s="16"/>
      <c r="K12" s="18" t="s">
        <v>3830</v>
      </c>
      <c r="L12" s="16"/>
      <c r="M12" s="18" t="s">
        <v>4558</v>
      </c>
      <c r="N12" s="16"/>
      <c r="O12" s="18" t="s">
        <v>5241</v>
      </c>
      <c r="P12" s="16"/>
      <c r="Q12" s="18" t="s">
        <v>5983</v>
      </c>
      <c r="R12" s="16"/>
      <c r="S12" s="18"/>
      <c r="T12" s="16"/>
    </row>
    <row r="13" spans="1:20" ht="15.95" customHeight="1" x14ac:dyDescent="0.25">
      <c r="A13" s="18" t="s">
        <v>630</v>
      </c>
      <c r="B13" s="16"/>
      <c r="C13" s="18" t="s">
        <v>1616</v>
      </c>
      <c r="D13" s="16"/>
      <c r="E13" s="18" t="s">
        <v>2335</v>
      </c>
      <c r="F13" s="16"/>
      <c r="G13" s="18" t="s">
        <v>891</v>
      </c>
      <c r="H13" s="16"/>
      <c r="I13" s="18" t="s">
        <v>3045</v>
      </c>
      <c r="J13" s="16"/>
      <c r="K13" s="18" t="s">
        <v>3799</v>
      </c>
      <c r="L13" s="16"/>
      <c r="M13" s="18" t="s">
        <v>4531</v>
      </c>
      <c r="N13" s="16"/>
      <c r="O13" s="18" t="s">
        <v>5210</v>
      </c>
      <c r="P13" s="16"/>
      <c r="Q13" s="18" t="s">
        <v>5955</v>
      </c>
      <c r="R13" s="16"/>
      <c r="S13" s="18"/>
      <c r="T13" s="16"/>
    </row>
    <row r="14" spans="1:20" ht="15.95" customHeight="1" x14ac:dyDescent="0.25">
      <c r="A14" s="18" t="s">
        <v>601</v>
      </c>
      <c r="B14" s="16"/>
      <c r="C14" s="18" t="s">
        <v>1617</v>
      </c>
      <c r="D14" s="16"/>
      <c r="E14" s="18" t="s">
        <v>2336</v>
      </c>
      <c r="F14" s="16"/>
      <c r="G14" s="18" t="s">
        <v>892</v>
      </c>
      <c r="H14" s="16"/>
      <c r="I14" s="18" t="s">
        <v>3046</v>
      </c>
      <c r="J14" s="16"/>
      <c r="K14" s="18" t="s">
        <v>3800</v>
      </c>
      <c r="L14" s="16"/>
      <c r="M14" s="18" t="s">
        <v>4532</v>
      </c>
      <c r="N14" s="16"/>
      <c r="O14" s="18" t="s">
        <v>5211</v>
      </c>
      <c r="P14" s="16"/>
      <c r="Q14" s="18" t="s">
        <v>5956</v>
      </c>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5.95" customHeight="1" x14ac:dyDescent="0.25">
      <c r="A16" s="18" t="s">
        <v>110</v>
      </c>
      <c r="B16" s="16"/>
      <c r="C16" s="18" t="s">
        <v>1618</v>
      </c>
      <c r="D16" s="16"/>
      <c r="E16" s="18" t="s">
        <v>2337</v>
      </c>
      <c r="F16" s="16"/>
      <c r="G16" s="18" t="s">
        <v>5</v>
      </c>
      <c r="H16" s="16"/>
      <c r="I16" s="18" t="s">
        <v>3047</v>
      </c>
      <c r="J16" s="16"/>
      <c r="K16" s="18" t="s">
        <v>3801</v>
      </c>
      <c r="L16" s="16"/>
      <c r="M16" s="18" t="s">
        <v>2337</v>
      </c>
      <c r="N16" s="16"/>
      <c r="O16" s="18" t="s">
        <v>5212</v>
      </c>
      <c r="P16" s="16"/>
      <c r="Q16" s="18" t="s">
        <v>5957</v>
      </c>
      <c r="R16" s="16"/>
      <c r="S16" s="18"/>
      <c r="T16" s="16"/>
    </row>
    <row r="17" spans="1:20" ht="15.95" customHeight="1" x14ac:dyDescent="0.25">
      <c r="A17" s="18" t="s">
        <v>136</v>
      </c>
      <c r="B17" s="16"/>
      <c r="C17" s="18" t="s">
        <v>1619</v>
      </c>
      <c r="D17" s="16"/>
      <c r="E17" s="18" t="s">
        <v>2366</v>
      </c>
      <c r="F17" s="16"/>
      <c r="G17" s="18" t="s">
        <v>893</v>
      </c>
      <c r="H17" s="16"/>
      <c r="I17" s="18" t="s">
        <v>3080</v>
      </c>
      <c r="J17" s="16"/>
      <c r="K17" s="18" t="s">
        <v>3831</v>
      </c>
      <c r="L17" s="16"/>
      <c r="M17" s="18" t="s">
        <v>4559</v>
      </c>
      <c r="N17" s="16"/>
      <c r="O17" s="18" t="s">
        <v>5242</v>
      </c>
      <c r="P17" s="16"/>
      <c r="Q17" s="18" t="s">
        <v>5984</v>
      </c>
      <c r="R17" s="16"/>
      <c r="S17" s="18"/>
      <c r="T17" s="16"/>
    </row>
    <row r="18" spans="1:20" ht="15.95" customHeight="1" x14ac:dyDescent="0.25">
      <c r="A18" s="18" t="s">
        <v>476</v>
      </c>
      <c r="B18" s="16"/>
      <c r="C18" s="18" t="s">
        <v>476</v>
      </c>
      <c r="D18" s="16"/>
      <c r="E18" s="18" t="s">
        <v>2367</v>
      </c>
      <c r="F18" s="16"/>
      <c r="G18" s="18" t="s">
        <v>894</v>
      </c>
      <c r="H18" s="16"/>
      <c r="I18" s="18" t="s">
        <v>3081</v>
      </c>
      <c r="J18" s="16"/>
      <c r="K18" s="18" t="s">
        <v>3832</v>
      </c>
      <c r="L18" s="16"/>
      <c r="M18" s="18" t="s">
        <v>894</v>
      </c>
      <c r="N18" s="16"/>
      <c r="O18" s="18" t="s">
        <v>5243</v>
      </c>
      <c r="P18" s="16"/>
      <c r="Q18" s="18" t="s">
        <v>476</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642</v>
      </c>
      <c r="B20" s="16"/>
      <c r="C20" s="18" t="s">
        <v>1620</v>
      </c>
      <c r="D20" s="16"/>
      <c r="E20" s="18" t="s">
        <v>2368</v>
      </c>
      <c r="F20" s="16"/>
      <c r="G20" s="18" t="s">
        <v>895</v>
      </c>
      <c r="H20" s="16"/>
      <c r="I20" s="18" t="s">
        <v>3082</v>
      </c>
      <c r="J20" s="16"/>
      <c r="K20" s="18" t="s">
        <v>3833</v>
      </c>
      <c r="L20" s="16"/>
      <c r="M20" s="18" t="s">
        <v>4560</v>
      </c>
      <c r="N20" s="16"/>
      <c r="O20" s="18" t="s">
        <v>5244</v>
      </c>
      <c r="P20" s="16"/>
      <c r="Q20" s="18" t="s">
        <v>5985</v>
      </c>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643</v>
      </c>
      <c r="B22" s="16"/>
      <c r="C22" s="18" t="s">
        <v>1621</v>
      </c>
      <c r="D22" s="16"/>
      <c r="E22" s="18" t="s">
        <v>2369</v>
      </c>
      <c r="F22" s="16"/>
      <c r="G22" s="18" t="s">
        <v>896</v>
      </c>
      <c r="H22" s="16"/>
      <c r="I22" s="18" t="s">
        <v>3083</v>
      </c>
      <c r="J22" s="16"/>
      <c r="K22" s="18" t="s">
        <v>3834</v>
      </c>
      <c r="L22" s="16"/>
      <c r="M22" s="18" t="s">
        <v>4561</v>
      </c>
      <c r="N22" s="16"/>
      <c r="O22" s="18" t="s">
        <v>5245</v>
      </c>
      <c r="P22" s="16"/>
      <c r="Q22" s="18" t="s">
        <v>5986</v>
      </c>
      <c r="R22" s="16"/>
      <c r="S22" s="18"/>
      <c r="T22" s="16"/>
    </row>
    <row r="23" spans="1:20" ht="15.95" customHeight="1" x14ac:dyDescent="0.25">
      <c r="A23" s="18" t="s">
        <v>644</v>
      </c>
      <c r="B23" s="16"/>
      <c r="C23" s="18" t="s">
        <v>1622</v>
      </c>
      <c r="D23" s="16"/>
      <c r="E23" s="18" t="s">
        <v>2370</v>
      </c>
      <c r="F23" s="16"/>
      <c r="G23" s="18" t="s">
        <v>897</v>
      </c>
      <c r="H23" s="16"/>
      <c r="I23" s="18" t="s">
        <v>3084</v>
      </c>
      <c r="J23" s="16"/>
      <c r="K23" s="18" t="s">
        <v>3835</v>
      </c>
      <c r="L23" s="16"/>
      <c r="M23" s="18" t="s">
        <v>4562</v>
      </c>
      <c r="N23" s="16"/>
      <c r="O23" s="18" t="s">
        <v>5246</v>
      </c>
      <c r="P23" s="16"/>
      <c r="Q23" s="18" t="s">
        <v>5987</v>
      </c>
      <c r="R23" s="16"/>
      <c r="S23" s="18"/>
      <c r="T23" s="16"/>
    </row>
    <row r="24" spans="1:20" ht="15.95" customHeight="1" x14ac:dyDescent="0.25">
      <c r="A24" s="18" t="s">
        <v>645</v>
      </c>
      <c r="B24" s="16"/>
      <c r="C24" s="18" t="s">
        <v>1623</v>
      </c>
      <c r="D24" s="16"/>
      <c r="E24" s="18" t="s">
        <v>2371</v>
      </c>
      <c r="F24" s="16"/>
      <c r="G24" s="18" t="s">
        <v>898</v>
      </c>
      <c r="H24" s="16"/>
      <c r="I24" s="18" t="s">
        <v>3085</v>
      </c>
      <c r="J24" s="16"/>
      <c r="K24" s="18" t="s">
        <v>3836</v>
      </c>
      <c r="L24" s="16"/>
      <c r="M24" s="18" t="s">
        <v>4563</v>
      </c>
      <c r="N24" s="16"/>
      <c r="O24" s="18" t="s">
        <v>5247</v>
      </c>
      <c r="P24" s="16"/>
      <c r="Q24" s="18" t="s">
        <v>5988</v>
      </c>
      <c r="R24" s="16"/>
      <c r="S24" s="18"/>
      <c r="T24" s="16"/>
    </row>
    <row r="25" spans="1:20" ht="15.95" customHeight="1" x14ac:dyDescent="0.25">
      <c r="A25" s="18" t="s">
        <v>646</v>
      </c>
      <c r="B25" s="16"/>
      <c r="C25" s="18" t="s">
        <v>1624</v>
      </c>
      <c r="D25" s="16"/>
      <c r="E25" s="18" t="s">
        <v>2372</v>
      </c>
      <c r="F25" s="16"/>
      <c r="G25" s="18" t="s">
        <v>899</v>
      </c>
      <c r="H25" s="16"/>
      <c r="I25" s="18" t="s">
        <v>3086</v>
      </c>
      <c r="J25" s="16"/>
      <c r="K25" s="18" t="s">
        <v>3837</v>
      </c>
      <c r="L25" s="16"/>
      <c r="M25" s="18" t="s">
        <v>4564</v>
      </c>
      <c r="N25" s="16"/>
      <c r="O25" s="18" t="s">
        <v>5248</v>
      </c>
      <c r="P25" s="16"/>
      <c r="Q25" s="18" t="s">
        <v>5989</v>
      </c>
      <c r="R25" s="16"/>
      <c r="S25" s="18"/>
      <c r="T25" s="16"/>
    </row>
    <row r="26" spans="1:20" ht="15.95" customHeight="1" x14ac:dyDescent="0.25">
      <c r="A26" s="18" t="s">
        <v>647</v>
      </c>
      <c r="B26" s="16"/>
      <c r="C26" s="18" t="s">
        <v>1625</v>
      </c>
      <c r="D26" s="16"/>
      <c r="E26" s="18" t="s">
        <v>2373</v>
      </c>
      <c r="F26" s="16"/>
      <c r="G26" s="18" t="s">
        <v>900</v>
      </c>
      <c r="H26" s="16"/>
      <c r="I26" s="18" t="s">
        <v>3087</v>
      </c>
      <c r="J26" s="16"/>
      <c r="K26" s="18" t="s">
        <v>3838</v>
      </c>
      <c r="L26" s="16"/>
      <c r="M26" s="18" t="s">
        <v>4565</v>
      </c>
      <c r="N26" s="16"/>
      <c r="O26" s="18" t="s">
        <v>5249</v>
      </c>
      <c r="P26" s="16"/>
      <c r="Q26" s="18" t="s">
        <v>5990</v>
      </c>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648</v>
      </c>
      <c r="B28" s="16" t="str">
        <f>TRIM(_xlfn.TEXTBEFORE(A28,":"))</f>
        <v>Experience</v>
      </c>
      <c r="C28" s="18" t="s">
        <v>1626</v>
      </c>
      <c r="D28" s="16" t="str">
        <f>TRIM(_xlfn.TEXTBEFORE(C28,":"))</f>
        <v>Erfahrung</v>
      </c>
      <c r="E28" s="18" t="s">
        <v>2374</v>
      </c>
      <c r="F28" s="16" t="str">
        <f>TRIM(_xlfn.TEXTBEFORE(E28,":"))</f>
        <v>Experiencia</v>
      </c>
      <c r="G28" s="18" t="s">
        <v>901</v>
      </c>
      <c r="H28" s="16" t="str">
        <f>TRIM(_xlfn.TEXTBEFORE(G28,":"))</f>
        <v>Expérience</v>
      </c>
      <c r="I28" s="18" t="s">
        <v>3088</v>
      </c>
      <c r="J28" s="16" t="str">
        <f>TRIM(_xlfn.TEXTBEFORE(I28,":"))</f>
        <v>経験値</v>
      </c>
      <c r="K28" s="18" t="s">
        <v>3839</v>
      </c>
      <c r="L28" s="16" t="str">
        <f>TRIM(_xlfn.TEXTBEFORE(K28,":"))</f>
        <v>경험치</v>
      </c>
      <c r="M28" s="18" t="s">
        <v>4566</v>
      </c>
      <c r="N28" s="16" t="str">
        <f>TRIM(_xlfn.TEXTBEFORE(M28,":"))</f>
        <v>Experiência</v>
      </c>
      <c r="O28" s="18" t="s">
        <v>5250</v>
      </c>
      <c r="P28" s="16" t="str">
        <f>TRIM(_xlfn.TEXTBEFORE(O28,":"))</f>
        <v>Опыт</v>
      </c>
      <c r="Q28" s="18" t="s">
        <v>5991</v>
      </c>
      <c r="R28" s="16" t="str">
        <f>TRIM(_xlfn.TEXTBEFORE(Q28,":"))</f>
        <v>ค่าประสบการณ์</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5.95" customHeight="1" x14ac:dyDescent="0.25">
      <c r="A30" s="18" t="s">
        <v>533</v>
      </c>
      <c r="B30" s="16"/>
      <c r="C30" s="18" t="s">
        <v>1627</v>
      </c>
      <c r="D30" s="16"/>
      <c r="E30" s="18" t="s">
        <v>2344</v>
      </c>
      <c r="F30" s="16"/>
      <c r="G30" s="18" t="s">
        <v>902</v>
      </c>
      <c r="H30" s="16"/>
      <c r="I30" s="18" t="s">
        <v>3054</v>
      </c>
      <c r="J30" s="16"/>
      <c r="K30" s="18" t="s">
        <v>3808</v>
      </c>
      <c r="L30" s="16"/>
      <c r="M30" s="18" t="s">
        <v>4538</v>
      </c>
      <c r="N30" s="16"/>
      <c r="O30" s="18" t="s">
        <v>5219</v>
      </c>
      <c r="P30" s="16"/>
      <c r="Q30" s="18" t="s">
        <v>5963</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6" priority="84" stopIfTrue="1">
      <formula>NOT(ISERROR(A3))</formula>
    </cfRule>
  </conditionalFormatting>
  <conditionalFormatting sqref="A3:T6 A7:A8 C7:C8 E7:E29 G7:G29 I7:I29 K7:K29 M7:M29 O7:O29 Q7:Q29 S7:S29 A9:D27 A28:A29 C28:C29 A30:T51">
    <cfRule type="notContainsBlanks" dxfId="355" priority="85">
      <formula>LEN(TRIM(A3))&gt;0</formula>
    </cfRule>
  </conditionalFormatting>
  <conditionalFormatting sqref="A3:T51">
    <cfRule type="containsErrors" dxfId="354" priority="1" stopIfTrue="1">
      <formula>ISERROR(A3)</formula>
    </cfRule>
  </conditionalFormatting>
  <conditionalFormatting sqref="B7:B8">
    <cfRule type="notContainsBlanks" dxfId="353" priority="24">
      <formula>LEN(TRIM(B7))&gt;0</formula>
    </cfRule>
  </conditionalFormatting>
  <conditionalFormatting sqref="B28:B29">
    <cfRule type="notContainsBlanks" dxfId="352" priority="82">
      <formula>LEN(TRIM(B28))&gt;0</formula>
    </cfRule>
  </conditionalFormatting>
  <conditionalFormatting sqref="D7:D8">
    <cfRule type="notContainsBlanks" dxfId="351" priority="22">
      <formula>LEN(TRIM(D7))&gt;0</formula>
    </cfRule>
  </conditionalFormatting>
  <conditionalFormatting sqref="D28:D29">
    <cfRule type="notContainsBlanks" dxfId="350" priority="42">
      <formula>LEN(TRIM(D28))&gt;0</formula>
    </cfRule>
  </conditionalFormatting>
  <conditionalFormatting sqref="F7:F29">
    <cfRule type="notContainsBlanks" dxfId="349" priority="20">
      <formula>LEN(TRIM(F7))&gt;0</formula>
    </cfRule>
  </conditionalFormatting>
  <conditionalFormatting sqref="H7:H29">
    <cfRule type="notContainsBlanks" dxfId="348" priority="4">
      <formula>LEN(TRIM(H7))&gt;0</formula>
    </cfRule>
  </conditionalFormatting>
  <conditionalFormatting sqref="J7:J29">
    <cfRule type="notContainsBlanks" dxfId="347" priority="2">
      <formula>LEN(TRIM(J7))&gt;0</formula>
    </cfRule>
  </conditionalFormatting>
  <conditionalFormatting sqref="L7:L29">
    <cfRule type="notContainsBlanks" dxfId="346" priority="14">
      <formula>LEN(TRIM(L7))&gt;0</formula>
    </cfRule>
  </conditionalFormatting>
  <conditionalFormatting sqref="N7:N29">
    <cfRule type="notContainsBlanks" dxfId="345" priority="12">
      <formula>LEN(TRIM(N7))&gt;0</formula>
    </cfRule>
  </conditionalFormatting>
  <conditionalFormatting sqref="P7:P29">
    <cfRule type="notContainsBlanks" dxfId="344" priority="10">
      <formula>LEN(TRIM(P7))&gt;0</formula>
    </cfRule>
  </conditionalFormatting>
  <conditionalFormatting sqref="R7:R29">
    <cfRule type="notContainsBlanks" dxfId="343" priority="8">
      <formula>LEN(TRIM(R7))&gt;0</formula>
    </cfRule>
  </conditionalFormatting>
  <conditionalFormatting sqref="T7:T29">
    <cfRule type="notContainsBlanks" dxfId="342" priority="6">
      <formula>LEN(TRIM(T7))&gt;0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581</v>
      </c>
      <c r="B3" s="16" t="str">
        <f>TRIM(_xlfn.TEXTBEFORE(A3, ":"))</f>
        <v>Item Class</v>
      </c>
      <c r="C3" s="17" t="s">
        <v>1653</v>
      </c>
      <c r="D3" s="16" t="str">
        <f>TRIM(_xlfn.TEXTBEFORE(C3, ":"))</f>
        <v>Gegenstandsklasse</v>
      </c>
      <c r="E3" s="17" t="s">
        <v>2375</v>
      </c>
      <c r="F3" s="16" t="str">
        <f>TRIM(_xlfn.TEXTBEFORE(E3, ":"))</f>
        <v>Clase de objeto</v>
      </c>
      <c r="G3" s="17" t="s">
        <v>876</v>
      </c>
      <c r="H3" s="16" t="str">
        <f>TRIM(_xlfn.TEXTBEFORE(G3, ":"))</f>
        <v>Classe d'objet</v>
      </c>
      <c r="I3" s="17" t="s">
        <v>3089</v>
      </c>
      <c r="J3" s="16" t="str">
        <f>TRIM(_xlfn.TEXTBEFORE(I3, ":"))</f>
        <v>アイテムクラス</v>
      </c>
      <c r="K3" s="17" t="s">
        <v>3840</v>
      </c>
      <c r="L3" s="16" t="str">
        <f>TRIM(_xlfn.TEXTBEFORE(K3, ":"))</f>
        <v>아이템 종류</v>
      </c>
      <c r="M3" s="17" t="s">
        <v>4567</v>
      </c>
      <c r="N3" s="16" t="str">
        <f>TRIM(_xlfn.TEXTBEFORE(M3, ":"))</f>
        <v>Classe do Item</v>
      </c>
      <c r="O3" s="17" t="s">
        <v>5251</v>
      </c>
      <c r="P3" s="16" t="str">
        <f>TRIM(_xlfn.TEXTBEFORE(O3, ":"))</f>
        <v>Класс предмета</v>
      </c>
      <c r="Q3" s="17" t="s">
        <v>5992</v>
      </c>
      <c r="R3" s="16" t="str">
        <f>TRIM(_xlfn.TEXTBEFORE(Q3, ":"))</f>
        <v>ชนิดไอเทม</v>
      </c>
      <c r="S3" s="17"/>
      <c r="T3" s="16" t="e">
        <f>TRIM(_xlfn.TEXTBEFORE(S3, ":"))</f>
        <v>#N/A</v>
      </c>
    </row>
    <row r="4" spans="1:20" ht="15.95" customHeight="1" x14ac:dyDescent="0.25">
      <c r="A4" s="18" t="s">
        <v>582</v>
      </c>
      <c r="B4" s="16" t="str">
        <f>TRIM(_xlfn.TEXTAFTER(A3, ":"))</f>
        <v>Stackable Currency</v>
      </c>
      <c r="C4" s="18" t="s">
        <v>1654</v>
      </c>
      <c r="D4" s="16" t="str">
        <f>TRIM(_xlfn.TEXTAFTER(C3, ":"))</f>
        <v>Stapelbare Währung</v>
      </c>
      <c r="E4" s="18" t="s">
        <v>2322</v>
      </c>
      <c r="F4" s="16" t="str">
        <f>TRIM(_xlfn.TEXTAFTER(E3, ":"))</f>
        <v>Objetos monetarios apilables</v>
      </c>
      <c r="G4" s="18" t="s">
        <v>877</v>
      </c>
      <c r="H4" s="16" t="str">
        <f>TRIM(_xlfn.TEXTAFTER(G3, ":"))</f>
        <v>Objets monétaires empilables</v>
      </c>
      <c r="I4" s="18" t="s">
        <v>3090</v>
      </c>
      <c r="J4" s="16" t="str">
        <f>TRIM(_xlfn.TEXTAFTER(I3, ":"))</f>
        <v>スタック可能カレンシー</v>
      </c>
      <c r="K4" s="18" t="s">
        <v>3784</v>
      </c>
      <c r="L4" s="16" t="str">
        <f>TRIM(_xlfn.TEXTAFTER(K3, ":"))</f>
        <v>중첩 가능 화폐</v>
      </c>
      <c r="M4" s="18" t="s">
        <v>4568</v>
      </c>
      <c r="N4" s="16" t="str">
        <f>TRIM(_xlfn.TEXTAFTER(M3, ":"))</f>
        <v>Moedas Empilháveis</v>
      </c>
      <c r="O4" s="18" t="s">
        <v>5252</v>
      </c>
      <c r="P4" s="16" t="str">
        <f>TRIM(_xlfn.TEXTAFTER(O3, ":"))</f>
        <v>Валюта</v>
      </c>
      <c r="Q4" s="18" t="s">
        <v>5940</v>
      </c>
      <c r="R4" s="16" t="str">
        <f>TRIM(_xlfn.TEXTAFTER(Q3, ":"))</f>
        <v>เงินตรารวมกองได้</v>
      </c>
      <c r="S4" s="18"/>
      <c r="T4" s="16" t="e">
        <f>TRIM(_xlfn.TEXTAFTER(S3, ":"))</f>
        <v>#N/A</v>
      </c>
    </row>
    <row r="5" spans="1:20" ht="15.95" customHeight="1" x14ac:dyDescent="0.25">
      <c r="A5" s="18" t="s">
        <v>583</v>
      </c>
      <c r="B5" s="16" t="str">
        <f>TRIM(_xlfn.TEXTBEFORE(A4, ":"))</f>
        <v>Rarity</v>
      </c>
      <c r="C5" s="18" t="s">
        <v>1655</v>
      </c>
      <c r="D5" s="16" t="str">
        <f>TRIM(_xlfn.TEXTBEFORE(C4, ":"))</f>
        <v>Seltenheit</v>
      </c>
      <c r="E5" s="18" t="s">
        <v>2376</v>
      </c>
      <c r="F5" s="16" t="str">
        <f>TRIM(_xlfn.TEXTBEFORE(E4, ":"))</f>
        <v>Rareza</v>
      </c>
      <c r="G5" s="18" t="s">
        <v>878</v>
      </c>
      <c r="H5" s="16" t="str">
        <f>TRIM(_xlfn.TEXTBEFORE(G4, ":"))</f>
        <v>Rareté</v>
      </c>
      <c r="I5" s="18" t="s">
        <v>3091</v>
      </c>
      <c r="J5" s="16" t="str">
        <f>TRIM(_xlfn.TEXTBEFORE(I4, ":"))</f>
        <v>レアリティ</v>
      </c>
      <c r="K5" s="18" t="s">
        <v>3841</v>
      </c>
      <c r="L5" s="16" t="str">
        <f>TRIM(_xlfn.TEXTBEFORE(K4, ":"))</f>
        <v>아이템 희귀도</v>
      </c>
      <c r="M5" s="18" t="s">
        <v>4569</v>
      </c>
      <c r="N5" s="16" t="str">
        <f>TRIM(_xlfn.TEXTBEFORE(M4, ":"))</f>
        <v>Raridade</v>
      </c>
      <c r="O5" s="18" t="s">
        <v>5253</v>
      </c>
      <c r="P5" s="16" t="str">
        <f>TRIM(_xlfn.TEXTBEFORE(O4, ":"))</f>
        <v>Редкость</v>
      </c>
      <c r="Q5" s="18" t="s">
        <v>583</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584</v>
      </c>
      <c r="B7" s="16"/>
      <c r="C7" s="18" t="s">
        <v>1656</v>
      </c>
      <c r="D7" s="16"/>
      <c r="E7" s="18" t="s">
        <v>2377</v>
      </c>
      <c r="F7" s="16"/>
      <c r="G7" s="18" t="s">
        <v>879</v>
      </c>
      <c r="H7" s="16"/>
      <c r="I7" s="18" t="s">
        <v>3092</v>
      </c>
      <c r="J7" s="16"/>
      <c r="K7" s="18" t="s">
        <v>3842</v>
      </c>
      <c r="L7" s="16"/>
      <c r="M7" s="18" t="s">
        <v>4570</v>
      </c>
      <c r="N7" s="16"/>
      <c r="O7" s="18" t="s">
        <v>5254</v>
      </c>
      <c r="P7" s="16"/>
      <c r="Q7" s="18" t="s">
        <v>5993</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585</v>
      </c>
      <c r="B9" s="16"/>
      <c r="C9" s="18" t="s">
        <v>1657</v>
      </c>
      <c r="D9" s="16"/>
      <c r="E9" s="18" t="s">
        <v>2378</v>
      </c>
      <c r="F9" s="16"/>
      <c r="G9" s="18" t="s">
        <v>880</v>
      </c>
      <c r="H9" s="16"/>
      <c r="I9" s="18" t="s">
        <v>3093</v>
      </c>
      <c r="J9" s="16"/>
      <c r="K9" s="18" t="s">
        <v>3843</v>
      </c>
      <c r="L9" s="16"/>
      <c r="M9" s="18" t="s">
        <v>4571</v>
      </c>
      <c r="N9" s="16"/>
      <c r="O9" s="18" t="s">
        <v>5255</v>
      </c>
      <c r="P9" s="16"/>
      <c r="Q9" s="18" t="s">
        <v>5994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586</v>
      </c>
      <c r="B11" s="16"/>
      <c r="C11" s="18" t="s">
        <v>1658</v>
      </c>
      <c r="D11" s="16"/>
      <c r="E11" s="18" t="s">
        <v>2379</v>
      </c>
      <c r="F11" s="16"/>
      <c r="G11" s="18" t="s">
        <v>881</v>
      </c>
      <c r="H11" s="16"/>
      <c r="I11" s="18" t="s">
        <v>3094</v>
      </c>
      <c r="J11" s="16"/>
      <c r="K11" s="18" t="s">
        <v>3844</v>
      </c>
      <c r="L11" s="16"/>
      <c r="M11" s="18" t="s">
        <v>4572</v>
      </c>
      <c r="N11" s="16"/>
      <c r="O11" s="18" t="s">
        <v>5256</v>
      </c>
      <c r="P11" s="16"/>
      <c r="Q11" s="18" t="s">
        <v>5995</v>
      </c>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1" priority="2" stopIfTrue="1">
      <formula>NOT(ISERROR(A3))</formula>
    </cfRule>
  </conditionalFormatting>
  <conditionalFormatting sqref="A3:T51">
    <cfRule type="containsErrors" dxfId="340" priority="1" stopIfTrue="1">
      <formula>ISERROR(A3)</formula>
    </cfRule>
    <cfRule type="notContainsBlanks" dxfId="339"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612</v>
      </c>
      <c r="B3" s="16" t="str">
        <f>TRIM(_xlfn.TEXTBEFORE(A3, ":"))</f>
        <v>Item Class</v>
      </c>
      <c r="C3" s="17" t="s">
        <v>1659</v>
      </c>
      <c r="D3" s="16" t="str">
        <f>TRIM(_xlfn.TEXTBEFORE(C3, ":"))</f>
        <v>Gegenstandsklasse</v>
      </c>
      <c r="E3" s="17" t="s">
        <v>2380</v>
      </c>
      <c r="F3" s="16" t="str">
        <f>TRIM(_xlfn.TEXTBEFORE(E3, ":"))</f>
        <v>Clase de objeto</v>
      </c>
      <c r="G3" s="17" t="s">
        <v>928</v>
      </c>
      <c r="H3" s="16" t="str">
        <f>TRIM(_xlfn.TEXTBEFORE(G3, ":"))</f>
        <v>Classe d'objet</v>
      </c>
      <c r="I3" s="17" t="s">
        <v>3095</v>
      </c>
      <c r="J3" s="16" t="str">
        <f>TRIM(_xlfn.TEXTBEFORE(I3, ":"))</f>
        <v>アイテムクラス</v>
      </c>
      <c r="K3" s="17" t="s">
        <v>3845</v>
      </c>
      <c r="L3" s="16" t="str">
        <f>TRIM(_xlfn.TEXTBEFORE(K3, ":"))</f>
        <v>아이템 종류</v>
      </c>
      <c r="M3" s="17" t="s">
        <v>4573</v>
      </c>
      <c r="N3" s="16" t="str">
        <f>TRIM(_xlfn.TEXTBEFORE(M3, ":"))</f>
        <v>Classe do Item</v>
      </c>
      <c r="O3" s="17" t="s">
        <v>5257</v>
      </c>
      <c r="P3" s="16" t="str">
        <f>TRIM(_xlfn.TEXTBEFORE(O3, ":"))</f>
        <v>Класс предмета</v>
      </c>
      <c r="Q3" s="17" t="s">
        <v>5996</v>
      </c>
      <c r="R3" s="16" t="str">
        <f>TRIM(_xlfn.TEXTBEFORE(Q3, ":"))</f>
        <v>ชนิดไอเทม</v>
      </c>
      <c r="S3" s="17"/>
      <c r="T3" s="16" t="e">
        <f>TRIM(_xlfn.TEXTBEFORE(S3, ":"))</f>
        <v>#N/A</v>
      </c>
    </row>
    <row r="4" spans="1:20" ht="15.95" customHeight="1" x14ac:dyDescent="0.25">
      <c r="A4" s="18" t="s">
        <v>582</v>
      </c>
      <c r="B4" s="16" t="str">
        <f>TRIM(_xlfn.TEXTAFTER(A3, ":"))</f>
        <v>Delve Stackable Socketable Currency</v>
      </c>
      <c r="C4" s="18" t="s">
        <v>1654</v>
      </c>
      <c r="D4" s="16" t="str">
        <f>TRIM(_xlfn.TEXTAFTER(C3, ":"))</f>
        <v>Delve: Stapelbare, einfassbare Währung</v>
      </c>
      <c r="E4" s="18" t="s">
        <v>2322</v>
      </c>
      <c r="F4" s="16" t="str">
        <f>TRIM(_xlfn.TEXTAFTER(E3, ":"))</f>
        <v>Objetos monetarios apilables y engarzables de Delve</v>
      </c>
      <c r="G4" s="18" t="s">
        <v>877</v>
      </c>
      <c r="H4" s="16" t="str">
        <f>TRIM(_xlfn.TEXTAFTER(G3, ":"))</f>
        <v>Objets enchâssables et empilables Delve</v>
      </c>
      <c r="I4" s="18" t="s">
        <v>3090</v>
      </c>
      <c r="J4" s="16" t="str">
        <f>TRIM(_xlfn.TEXTAFTER(I3, ":"))</f>
        <v>デルヴスタック可能ソケット可能カレンシー</v>
      </c>
      <c r="K4" s="18" t="s">
        <v>3784</v>
      </c>
      <c r="L4" s="16" t="str">
        <f>TRIM(_xlfn.TEXTAFTER(K3, ":"))</f>
        <v>탐광 중첩 및 결합형 화폐</v>
      </c>
      <c r="M4" s="18" t="s">
        <v>4568</v>
      </c>
      <c r="N4" s="16" t="str">
        <f>TRIM(_xlfn.TEXTAFTER(M3, ":"))</f>
        <v>Item Monetário Aglomerável e Encaixável Delve</v>
      </c>
      <c r="O4" s="18" t="s">
        <v>5252</v>
      </c>
      <c r="P4" s="16" t="str">
        <f>TRIM(_xlfn.TEXTAFTER(O3, ":"))</f>
        <v>Валюта Спуска</v>
      </c>
      <c r="Q4" s="18" t="s">
        <v>5940</v>
      </c>
      <c r="R4" s="16" t="str">
        <f>TRIM(_xlfn.TEXTAFTER(Q3, ":"))</f>
        <v>เงินตรามีรูของเหมืองแบบรวมกองได้</v>
      </c>
      <c r="S4" s="18"/>
      <c r="T4" s="16" t="e">
        <f>TRIM(_xlfn.TEXTAFTER(S3, ":"))</f>
        <v>#N/A</v>
      </c>
    </row>
    <row r="5" spans="1:20" ht="15.95" customHeight="1" x14ac:dyDescent="0.25">
      <c r="A5" s="18" t="s">
        <v>613</v>
      </c>
      <c r="B5" s="16" t="str">
        <f>TRIM(_xlfn.TEXTBEFORE(A4, ":"))</f>
        <v>Rarity</v>
      </c>
      <c r="C5" s="18" t="s">
        <v>1660</v>
      </c>
      <c r="D5" s="16" t="str">
        <f>TRIM(_xlfn.TEXTBEFORE(C4, ":"))</f>
        <v>Seltenheit</v>
      </c>
      <c r="E5" s="18" t="s">
        <v>2381</v>
      </c>
      <c r="F5" s="16" t="str">
        <f>TRIM(_xlfn.TEXTBEFORE(E4, ":"))</f>
        <v>Rareza</v>
      </c>
      <c r="G5" s="18" t="s">
        <v>929</v>
      </c>
      <c r="H5" s="16" t="str">
        <f>TRIM(_xlfn.TEXTBEFORE(G4, ":"))</f>
        <v>Rareté</v>
      </c>
      <c r="I5" s="18" t="s">
        <v>3096</v>
      </c>
      <c r="J5" s="16" t="str">
        <f>TRIM(_xlfn.TEXTBEFORE(I4, ":"))</f>
        <v>レアリティ</v>
      </c>
      <c r="K5" s="18" t="s">
        <v>3846</v>
      </c>
      <c r="L5" s="16" t="str">
        <f>TRIM(_xlfn.TEXTBEFORE(K4, ":"))</f>
        <v>아이템 희귀도</v>
      </c>
      <c r="M5" s="18" t="s">
        <v>4574</v>
      </c>
      <c r="N5" s="16" t="str">
        <f>TRIM(_xlfn.TEXTBEFORE(M4, ":"))</f>
        <v>Raridade</v>
      </c>
      <c r="O5" s="18" t="s">
        <v>5258</v>
      </c>
      <c r="P5" s="16" t="str">
        <f>TRIM(_xlfn.TEXTBEFORE(O4, ":"))</f>
        <v>Редкость</v>
      </c>
      <c r="Q5" s="18" t="s">
        <v>5997</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614</v>
      </c>
      <c r="B7" s="16"/>
      <c r="C7" s="18" t="s">
        <v>1661</v>
      </c>
      <c r="D7" s="16"/>
      <c r="E7" s="18" t="s">
        <v>2382</v>
      </c>
      <c r="F7" s="16"/>
      <c r="G7" s="18" t="s">
        <v>930</v>
      </c>
      <c r="H7" s="16"/>
      <c r="I7" s="18" t="s">
        <v>3097</v>
      </c>
      <c r="J7" s="16"/>
      <c r="K7" s="18" t="s">
        <v>3847</v>
      </c>
      <c r="L7" s="16"/>
      <c r="M7" s="18" t="s">
        <v>4575</v>
      </c>
      <c r="N7" s="16"/>
      <c r="O7" s="18" t="s">
        <v>5259</v>
      </c>
      <c r="P7" s="16"/>
      <c r="Q7" s="18" t="s">
        <v>5998</v>
      </c>
      <c r="R7" s="16"/>
      <c r="S7" s="18"/>
      <c r="T7" s="16"/>
    </row>
    <row r="8" spans="1:20" ht="15.95" customHeight="1" x14ac:dyDescent="0.25">
      <c r="A8" s="18" t="s">
        <v>615</v>
      </c>
      <c r="B8" s="16"/>
      <c r="C8" s="18" t="s">
        <v>1662</v>
      </c>
      <c r="D8" s="16"/>
      <c r="E8" s="18" t="s">
        <v>2383</v>
      </c>
      <c r="F8" s="16"/>
      <c r="G8" s="18" t="s">
        <v>931</v>
      </c>
      <c r="H8" s="16"/>
      <c r="I8" s="18" t="s">
        <v>3098</v>
      </c>
      <c r="J8" s="16"/>
      <c r="K8" s="18" t="s">
        <v>3848</v>
      </c>
      <c r="L8" s="16"/>
      <c r="M8" s="18" t="s">
        <v>4576</v>
      </c>
      <c r="N8" s="16"/>
      <c r="O8" s="18" t="s">
        <v>5260</v>
      </c>
      <c r="P8" s="16"/>
      <c r="Q8" s="18" t="s">
        <v>5999</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616</v>
      </c>
      <c r="B10" s="16"/>
      <c r="C10" s="18" t="s">
        <v>1663</v>
      </c>
      <c r="D10" s="16"/>
      <c r="E10" s="18" t="s">
        <v>2384</v>
      </c>
      <c r="F10" s="16"/>
      <c r="G10" s="18" t="s">
        <v>932</v>
      </c>
      <c r="H10" s="16"/>
      <c r="I10" s="18" t="s">
        <v>3099</v>
      </c>
      <c r="J10" s="16"/>
      <c r="K10" s="18" t="s">
        <v>3849</v>
      </c>
      <c r="L10" s="16"/>
      <c r="M10" s="18" t="s">
        <v>4577</v>
      </c>
      <c r="N10" s="16"/>
      <c r="O10" s="18" t="s">
        <v>5261</v>
      </c>
      <c r="P10" s="16"/>
      <c r="Q10" s="18" t="s">
        <v>6000</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585</v>
      </c>
      <c r="B12" s="16"/>
      <c r="C12" s="18" t="s">
        <v>1657</v>
      </c>
      <c r="D12" s="16"/>
      <c r="E12" s="18" t="s">
        <v>2378</v>
      </c>
      <c r="F12" s="16"/>
      <c r="G12" s="18" t="s">
        <v>880</v>
      </c>
      <c r="H12" s="16"/>
      <c r="I12" s="18" t="s">
        <v>3093</v>
      </c>
      <c r="J12" s="16"/>
      <c r="K12" s="18" t="s">
        <v>3843</v>
      </c>
      <c r="L12" s="16"/>
      <c r="M12" s="18" t="s">
        <v>4578</v>
      </c>
      <c r="N12" s="16"/>
      <c r="O12" s="18" t="s">
        <v>5255</v>
      </c>
      <c r="P12" s="16"/>
      <c r="Q12" s="18" t="s">
        <v>5994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617</v>
      </c>
      <c r="B14" s="16"/>
      <c r="C14" s="18" t="s">
        <v>1664</v>
      </c>
      <c r="D14" s="16"/>
      <c r="E14" s="18" t="s">
        <v>2385</v>
      </c>
      <c r="F14" s="16"/>
      <c r="G14" s="18" t="s">
        <v>933</v>
      </c>
      <c r="H14" s="16"/>
      <c r="I14" s="18" t="s">
        <v>3100</v>
      </c>
      <c r="J14" s="16"/>
      <c r="K14" s="18" t="s">
        <v>3850</v>
      </c>
      <c r="L14" s="16"/>
      <c r="M14" s="18" t="s">
        <v>4579</v>
      </c>
      <c r="N14" s="16"/>
      <c r="O14" s="18" t="s">
        <v>5262</v>
      </c>
      <c r="P14" s="16"/>
      <c r="Q14" s="18" t="s">
        <v>6001</v>
      </c>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8" priority="2" stopIfTrue="1">
      <formula>NOT(ISERROR(A3))</formula>
    </cfRule>
  </conditionalFormatting>
  <conditionalFormatting sqref="A3:T51">
    <cfRule type="containsErrors" dxfId="337" priority="1" stopIfTrue="1">
      <formula>ISERROR(A3)</formula>
    </cfRule>
    <cfRule type="notContainsBlanks" dxfId="336" priority="3">
      <formula>LEN(TRIM(A3))&gt;0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dimension ref="A1:T51"/>
  <sheetViews>
    <sheetView workbookViewId="0">
      <selection activeCell="Q3" sqref="Q3:Q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537</v>
      </c>
      <c r="B3" s="16" t="str">
        <f>TRIM(_xlfn.TEXTBEFORE(A3, ":"))</f>
        <v>Item Class</v>
      </c>
      <c r="C3" s="17" t="s">
        <v>1665</v>
      </c>
      <c r="D3" s="16" t="str">
        <f>TRIM(_xlfn.TEXTBEFORE(C3, ":"))</f>
        <v>Gegenstandsklasse</v>
      </c>
      <c r="E3" s="17" t="s">
        <v>2386</v>
      </c>
      <c r="F3" s="16" t="str">
        <f>TRIM(_xlfn.TEXTBEFORE(E3, ":"))</f>
        <v>Clase de objeto</v>
      </c>
      <c r="G3" s="17" t="s">
        <v>934</v>
      </c>
      <c r="H3" s="16" t="str">
        <f>TRIM(_xlfn.TEXTBEFORE(G3, ":"))</f>
        <v>Classe d'objet</v>
      </c>
      <c r="I3" s="17" t="s">
        <v>3101</v>
      </c>
      <c r="J3" s="16" t="str">
        <f>TRIM(_xlfn.TEXTBEFORE(I3, ":"))</f>
        <v>アイテムクラス</v>
      </c>
      <c r="K3" s="17" t="s">
        <v>3851</v>
      </c>
      <c r="L3" s="16" t="str">
        <f>TRIM(_xlfn.TEXTBEFORE(K3, ":"))</f>
        <v>아이템 종류</v>
      </c>
      <c r="M3" s="17" t="s">
        <v>4580</v>
      </c>
      <c r="N3" s="16" t="str">
        <f>TRIM(_xlfn.TEXTBEFORE(M3, ":"))</f>
        <v>Classe do Item</v>
      </c>
      <c r="O3" s="17" t="s">
        <v>5263</v>
      </c>
      <c r="P3" s="16" t="str">
        <f>TRIM(_xlfn.TEXTBEFORE(O3, ":"))</f>
        <v>Класс предмета</v>
      </c>
      <c r="Q3" s="17" t="s">
        <v>6002</v>
      </c>
      <c r="R3" s="16" t="str">
        <f>TRIM(_xlfn.TEXTBEFORE(Q3, ":"))</f>
        <v>ชนิดไอเทม</v>
      </c>
      <c r="S3" s="17"/>
      <c r="T3" s="16" t="e">
        <f>TRIM(_xlfn.TEXTBEFORE(S3, ":"))</f>
        <v>#N/A</v>
      </c>
    </row>
    <row r="4" spans="1:20" ht="15.95" customHeight="1" x14ac:dyDescent="0.25">
      <c r="A4" s="18" t="s">
        <v>538</v>
      </c>
      <c r="B4" s="16" t="str">
        <f>TRIM(_xlfn.TEXTAFTER(A3, ":"))</f>
        <v>Divination Cards</v>
      </c>
      <c r="C4" s="18" t="s">
        <v>1666</v>
      </c>
      <c r="D4" s="16" t="str">
        <f>TRIM(_xlfn.TEXTAFTER(C3, ":"))</f>
        <v>Weissagungskarten</v>
      </c>
      <c r="E4" s="18" t="s">
        <v>2387</v>
      </c>
      <c r="F4" s="16" t="str">
        <f>TRIM(_xlfn.TEXTAFTER(E3, ":"))</f>
        <v>Cartas de adivinación</v>
      </c>
      <c r="G4" s="18" t="s">
        <v>935</v>
      </c>
      <c r="H4" s="16" t="str">
        <f>TRIM(_xlfn.TEXTAFTER(G3, ":"))</f>
        <v>Cartes divinatoires</v>
      </c>
      <c r="I4" s="18" t="s">
        <v>3102</v>
      </c>
      <c r="J4" s="16" t="str">
        <f>TRIM(_xlfn.TEXTAFTER(I3, ":"))</f>
        <v>占いカード</v>
      </c>
      <c r="K4" s="18" t="s">
        <v>3852</v>
      </c>
      <c r="L4" s="16" t="str">
        <f>TRIM(_xlfn.TEXTAFTER(K3, ":"))</f>
        <v>점술 카드</v>
      </c>
      <c r="M4" s="18" t="s">
        <v>4581</v>
      </c>
      <c r="N4" s="16" t="str">
        <f>TRIM(_xlfn.TEXTAFTER(M3, ":"))</f>
        <v>Cartas de Adivinhação</v>
      </c>
      <c r="O4" s="18" t="s">
        <v>5264</v>
      </c>
      <c r="P4" s="16" t="str">
        <f>TRIM(_xlfn.TEXTAFTER(O3, ":"))</f>
        <v>Гадальные карты</v>
      </c>
      <c r="Q4" s="18" t="s">
        <v>6003</v>
      </c>
      <c r="R4" s="16" t="str">
        <f>TRIM(_xlfn.TEXTAFTER(Q3, ":"))</f>
        <v>ไพ่พยากรณ์</v>
      </c>
      <c r="S4" s="18"/>
      <c r="T4" s="16" t="e">
        <f>TRIM(_xlfn.TEXTAFTER(S3, ":"))</f>
        <v>#N/A</v>
      </c>
    </row>
    <row r="5" spans="1:20" ht="15.95" customHeight="1" x14ac:dyDescent="0.25">
      <c r="A5" s="18" t="s">
        <v>539</v>
      </c>
      <c r="B5" s="16" t="str">
        <f>TRIM(_xlfn.TEXTBEFORE(A4, ":"))</f>
        <v>Rarity</v>
      </c>
      <c r="C5" s="18" t="s">
        <v>1667</v>
      </c>
      <c r="D5" s="16" t="str">
        <f>TRIM(_xlfn.TEXTBEFORE(C4, ":"))</f>
        <v>Seltenheit</v>
      </c>
      <c r="E5" s="18" t="s">
        <v>2388</v>
      </c>
      <c r="F5" s="16" t="str">
        <f>TRIM(_xlfn.TEXTBEFORE(E4, ":"))</f>
        <v>Rareza</v>
      </c>
      <c r="G5" s="18" t="s">
        <v>936</v>
      </c>
      <c r="H5" s="16" t="str">
        <f>TRIM(_xlfn.TEXTBEFORE(G4, ":"))</f>
        <v>Rareté</v>
      </c>
      <c r="I5" s="18" t="s">
        <v>3103</v>
      </c>
      <c r="J5" s="16" t="str">
        <f>TRIM(_xlfn.TEXTBEFORE(I4, ":"))</f>
        <v>レアリティ</v>
      </c>
      <c r="K5" s="18" t="s">
        <v>3853</v>
      </c>
      <c r="L5" s="16" t="str">
        <f>TRIM(_xlfn.TEXTBEFORE(K4, ":"))</f>
        <v>아이템 희귀도</v>
      </c>
      <c r="M5" s="18" t="s">
        <v>4582</v>
      </c>
      <c r="N5" s="16" t="str">
        <f>TRIM(_xlfn.TEXTBEFORE(M4, ":"))</f>
        <v>Raridade</v>
      </c>
      <c r="O5" s="18" t="s">
        <v>5265</v>
      </c>
      <c r="P5" s="16" t="str">
        <f>TRIM(_xlfn.TEXTBEFORE(O4, ":"))</f>
        <v>Редкость</v>
      </c>
      <c r="Q5" s="18" t="s">
        <v>539</v>
      </c>
      <c r="R5" s="16" t="str">
        <f>TRIM(_xlfn.TEXTBEFORE(Q4, ":"))</f>
        <v>ความหายาก</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5.95" customHeight="1" x14ac:dyDescent="0.25">
      <c r="A7" s="18" t="s">
        <v>540</v>
      </c>
      <c r="B7" s="16"/>
      <c r="C7" s="18" t="s">
        <v>1668</v>
      </c>
      <c r="D7" s="16"/>
      <c r="E7" s="18" t="s">
        <v>2389</v>
      </c>
      <c r="F7" s="16"/>
      <c r="G7" s="18" t="s">
        <v>937</v>
      </c>
      <c r="H7" s="16"/>
      <c r="I7" s="18" t="s">
        <v>3104</v>
      </c>
      <c r="J7" s="16"/>
      <c r="K7" s="18" t="s">
        <v>3854</v>
      </c>
      <c r="L7" s="16"/>
      <c r="M7" s="18" t="s">
        <v>4583</v>
      </c>
      <c r="N7" s="16"/>
      <c r="O7" s="18" t="s">
        <v>5266</v>
      </c>
      <c r="P7" s="16"/>
      <c r="Q7" s="18" t="s">
        <v>540</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541</v>
      </c>
      <c r="B9" s="16"/>
      <c r="C9" s="18" t="s">
        <v>1669</v>
      </c>
      <c r="D9" s="16"/>
      <c r="E9" s="18" t="s">
        <v>2390</v>
      </c>
      <c r="F9" s="16"/>
      <c r="G9" s="18" t="s">
        <v>938</v>
      </c>
      <c r="H9" s="16"/>
      <c r="I9" s="18" t="s">
        <v>3105</v>
      </c>
      <c r="J9" s="16"/>
      <c r="K9" s="18" t="s">
        <v>3855</v>
      </c>
      <c r="L9" s="16"/>
      <c r="M9" s="18" t="s">
        <v>4584</v>
      </c>
      <c r="N9" s="16"/>
      <c r="O9" s="18" t="s">
        <v>5267</v>
      </c>
      <c r="P9" s="16"/>
      <c r="Q9" s="18" t="s">
        <v>6004</v>
      </c>
      <c r="R9" s="16"/>
      <c r="S9" s="18"/>
      <c r="T9" s="16"/>
    </row>
    <row r="10" spans="1:20" ht="15.95" customHeight="1" x14ac:dyDescent="0.25">
      <c r="A10" s="18"/>
      <c r="B10" s="16"/>
      <c r="C10" s="18" t="s">
        <v>1670</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5" priority="2" stopIfTrue="1">
      <formula>NOT(ISERROR(A3))</formula>
    </cfRule>
  </conditionalFormatting>
  <conditionalFormatting sqref="A3:T51">
    <cfRule type="containsErrors" dxfId="334" priority="1" stopIfTrue="1">
      <formula>ISERROR(A3)</formula>
    </cfRule>
    <cfRule type="notContainsBlanks" dxfId="333" priority="3">
      <formula>LEN(TRIM(A3))&gt;0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ED90F-F2E9-4E65-8454-4DB86A9EE08D}">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618</v>
      </c>
      <c r="B3" s="16" t="str">
        <f>TRIM(_xlfn.TEXTBEFORE(A3, ":"))</f>
        <v>Item Class</v>
      </c>
      <c r="C3" s="17" t="s">
        <v>1671</v>
      </c>
      <c r="D3" s="16" t="str">
        <f>TRIM(_xlfn.TEXTBEFORE(C3, ":"))</f>
        <v>Gegenstandsklasse</v>
      </c>
      <c r="E3" s="17" t="s">
        <v>2391</v>
      </c>
      <c r="F3" s="16" t="str">
        <f>TRIM(_xlfn.TEXTBEFORE(E3, ":"))</f>
        <v>Clase de objeto</v>
      </c>
      <c r="G3" s="17" t="s">
        <v>939</v>
      </c>
      <c r="H3" s="16" t="str">
        <f>TRIM(_xlfn.TEXTBEFORE(G3, ":"))</f>
        <v>Classe d'objet</v>
      </c>
      <c r="I3" s="17" t="s">
        <v>3106</v>
      </c>
      <c r="J3" s="16" t="str">
        <f>TRIM(_xlfn.TEXTBEFORE(I3, ":"))</f>
        <v>アイテムクラス</v>
      </c>
      <c r="K3" s="17" t="s">
        <v>3856</v>
      </c>
      <c r="L3" s="16" t="str">
        <f>TRIM(_xlfn.TEXTBEFORE(K3, ":"))</f>
        <v>아이템 종류</v>
      </c>
      <c r="M3" s="17" t="s">
        <v>4585</v>
      </c>
      <c r="N3" s="16" t="str">
        <f>TRIM(_xlfn.TEXTBEFORE(M3, ":"))</f>
        <v>Classe do Item</v>
      </c>
      <c r="O3" s="17" t="s">
        <v>5268</v>
      </c>
      <c r="P3" s="16" t="str">
        <f>TRIM(_xlfn.TEXTBEFORE(O3, ":"))</f>
        <v>Класс предмета</v>
      </c>
      <c r="Q3" s="17" t="s">
        <v>6005</v>
      </c>
      <c r="R3" s="16" t="str">
        <f>TRIM(_xlfn.TEXTBEFORE(Q3, ":"))</f>
        <v>ชนิดไอเทม</v>
      </c>
      <c r="S3" s="17"/>
      <c r="T3" s="16" t="e">
        <f>TRIM(_xlfn.TEXTBEFORE(S3, ":"))</f>
        <v>#N/A</v>
      </c>
    </row>
    <row r="4" spans="1:20" ht="15.95" customHeight="1" x14ac:dyDescent="0.25">
      <c r="A4" s="18" t="s">
        <v>109</v>
      </c>
      <c r="B4" s="16" t="str">
        <f>TRIM(_xlfn.TEXTAFTER(A3, ":"))</f>
        <v>Metamorph Samples</v>
      </c>
      <c r="C4" s="18" t="s">
        <v>1672</v>
      </c>
      <c r="D4" s="16" t="str">
        <f>TRIM(_xlfn.TEXTAFTER(C3, ":"))</f>
        <v>Metamorph-Proben</v>
      </c>
      <c r="E4" s="18" t="s">
        <v>2392</v>
      </c>
      <c r="F4" s="16" t="str">
        <f>TRIM(_xlfn.TEXTAFTER(E3, ":"))</f>
        <v>Muestras de metamorfo</v>
      </c>
      <c r="G4" s="18" t="s">
        <v>1</v>
      </c>
      <c r="H4" s="16" t="str">
        <f>TRIM(_xlfn.TEXTAFTER(G3, ":"))</f>
        <v>Organes de Métamorphe</v>
      </c>
      <c r="I4" s="18" t="s">
        <v>3107</v>
      </c>
      <c r="J4" s="16" t="str">
        <f>TRIM(_xlfn.TEXTAFTER(I3, ":"))</f>
        <v>メタモルフサンプル</v>
      </c>
      <c r="K4" s="18" t="s">
        <v>3857</v>
      </c>
      <c r="L4" s="16" t="str">
        <f>TRIM(_xlfn.TEXTAFTER(K3, ":"))</f>
        <v>변형 샘플</v>
      </c>
      <c r="M4" s="18" t="s">
        <v>4586</v>
      </c>
      <c r="N4" s="16" t="str">
        <f>TRIM(_xlfn.TEXTAFTER(M3, ":"))</f>
        <v>Amostras Metamorfas</v>
      </c>
      <c r="O4" s="18" t="s">
        <v>5269</v>
      </c>
      <c r="P4" s="16" t="str">
        <f>TRIM(_xlfn.TEXTAFTER(O3, ":"))</f>
        <v>Образцы Метаморфа</v>
      </c>
      <c r="Q4" s="18" t="s">
        <v>6006</v>
      </c>
      <c r="R4" s="16" t="str">
        <f>TRIM(_xlfn.TEXTAFTER(Q3, ":"))</f>
        <v>ชิ้นส่วนตัวอย่างเมตามอร์ฟ</v>
      </c>
      <c r="S4" s="18"/>
      <c r="T4" s="16" t="e">
        <f>TRIM(_xlfn.TEXTAFTER(S3, ":"))</f>
        <v>#N/A</v>
      </c>
    </row>
    <row r="5" spans="1:20" ht="15.95" customHeight="1" x14ac:dyDescent="0.25">
      <c r="A5" s="18" t="s">
        <v>619</v>
      </c>
      <c r="B5" s="16" t="str">
        <f>TRIM(_xlfn.TEXTBEFORE(A4, ":"))</f>
        <v>Rarity</v>
      </c>
      <c r="C5" s="18" t="s">
        <v>1673</v>
      </c>
      <c r="D5" s="16" t="str">
        <f>TRIM(_xlfn.TEXTBEFORE(C4, ":"))</f>
        <v>Seltenheit</v>
      </c>
      <c r="E5" s="18" t="s">
        <v>2393</v>
      </c>
      <c r="F5" s="16" t="str">
        <f>TRIM(_xlfn.TEXTBEFORE(E4, ":"))</f>
        <v>Rareza</v>
      </c>
      <c r="G5" s="18" t="s">
        <v>940</v>
      </c>
      <c r="H5" s="16" t="str">
        <f>TRIM(_xlfn.TEXTBEFORE(G4, ":"))</f>
        <v>Rareté</v>
      </c>
      <c r="I5" s="18" t="s">
        <v>3108</v>
      </c>
      <c r="J5" s="16" t="str">
        <f>TRIM(_xlfn.TEXTBEFORE(I4, ":"))</f>
        <v>レアリティ</v>
      </c>
      <c r="K5" s="18" t="s">
        <v>3858</v>
      </c>
      <c r="L5" s="16" t="str">
        <f>TRIM(_xlfn.TEXTBEFORE(K4, ":"))</f>
        <v>아이템 희귀도</v>
      </c>
      <c r="M5" s="18" t="s">
        <v>4587</v>
      </c>
      <c r="N5" s="16" t="str">
        <f>TRIM(_xlfn.TEXTBEFORE(M4, ":"))</f>
        <v>Raridade</v>
      </c>
      <c r="O5" s="18" t="s">
        <v>5270</v>
      </c>
      <c r="P5" s="16" t="str">
        <f>TRIM(_xlfn.TEXTBEFORE(O4, ":"))</f>
        <v>Редкость</v>
      </c>
      <c r="Q5" s="18" t="s">
        <v>6007</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620</v>
      </c>
      <c r="B7" s="16"/>
      <c r="C7" s="18" t="s">
        <v>1674</v>
      </c>
      <c r="D7" s="16"/>
      <c r="E7" s="18" t="s">
        <v>2394</v>
      </c>
      <c r="F7" s="16"/>
      <c r="G7" s="18" t="s">
        <v>941</v>
      </c>
      <c r="H7" s="16"/>
      <c r="I7" s="18" t="s">
        <v>3109</v>
      </c>
      <c r="J7" s="16"/>
      <c r="K7" s="18" t="s">
        <v>3859</v>
      </c>
      <c r="L7" s="16"/>
      <c r="M7" s="18" t="s">
        <v>4588</v>
      </c>
      <c r="N7" s="16"/>
      <c r="O7" s="18" t="s">
        <v>5271</v>
      </c>
      <c r="P7" s="16"/>
      <c r="Q7" s="18" t="s">
        <v>6008</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198</v>
      </c>
      <c r="B9" s="16"/>
      <c r="C9" s="18" t="s">
        <v>1675</v>
      </c>
      <c r="D9" s="16"/>
      <c r="E9" s="18" t="s">
        <v>2395</v>
      </c>
      <c r="F9" s="16"/>
      <c r="G9" s="18" t="s">
        <v>942</v>
      </c>
      <c r="H9" s="16"/>
      <c r="I9" s="18" t="s">
        <v>3110</v>
      </c>
      <c r="J9" s="16"/>
      <c r="K9" s="18" t="s">
        <v>3860</v>
      </c>
      <c r="L9" s="16"/>
      <c r="M9" s="18" t="s">
        <v>4589</v>
      </c>
      <c r="N9" s="16"/>
      <c r="O9" s="18" t="s">
        <v>5272</v>
      </c>
      <c r="P9" s="16"/>
      <c r="Q9" s="18" t="s">
        <v>6009</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621</v>
      </c>
      <c r="B11" s="16"/>
      <c r="C11" s="18" t="s">
        <v>1676</v>
      </c>
      <c r="D11" s="16"/>
      <c r="E11" s="18" t="s">
        <v>2396</v>
      </c>
      <c r="F11" s="16"/>
      <c r="G11" s="18" t="s">
        <v>943</v>
      </c>
      <c r="H11" s="16"/>
      <c r="I11" s="18" t="s">
        <v>3111</v>
      </c>
      <c r="J11" s="16"/>
      <c r="K11" s="18" t="s">
        <v>3861</v>
      </c>
      <c r="L11" s="16"/>
      <c r="M11" s="18" t="s">
        <v>4590</v>
      </c>
      <c r="N11" s="16"/>
      <c r="O11" s="18" t="s">
        <v>5273</v>
      </c>
      <c r="P11" s="16"/>
      <c r="Q11" s="18" t="s">
        <v>6010</v>
      </c>
      <c r="R11" s="16"/>
      <c r="S11" s="18"/>
      <c r="T11" s="16"/>
    </row>
    <row r="12" spans="1:20" ht="15.95" customHeight="1" x14ac:dyDescent="0.25">
      <c r="A12" s="18" t="s">
        <v>621</v>
      </c>
      <c r="B12" s="16"/>
      <c r="C12" s="18" t="s">
        <v>1676</v>
      </c>
      <c r="D12" s="16"/>
      <c r="E12" s="18" t="s">
        <v>2396</v>
      </c>
      <c r="F12" s="16"/>
      <c r="G12" s="18" t="s">
        <v>943</v>
      </c>
      <c r="H12" s="16"/>
      <c r="I12" s="18" t="s">
        <v>3111</v>
      </c>
      <c r="J12" s="16"/>
      <c r="K12" s="18" t="s">
        <v>3861</v>
      </c>
      <c r="L12" s="16"/>
      <c r="M12" s="18" t="s">
        <v>4590</v>
      </c>
      <c r="N12" s="16"/>
      <c r="O12" s="18" t="s">
        <v>5273</v>
      </c>
      <c r="P12" s="16"/>
      <c r="Q12" s="18" t="s">
        <v>6010</v>
      </c>
      <c r="R12" s="16"/>
      <c r="S12" s="18"/>
      <c r="T12" s="21"/>
    </row>
    <row r="13" spans="1:20" ht="15.95" customHeight="1" x14ac:dyDescent="0.25">
      <c r="A13" s="18" t="s">
        <v>622</v>
      </c>
      <c r="B13" s="16"/>
      <c r="C13" s="18" t="s">
        <v>1677</v>
      </c>
      <c r="D13" s="16"/>
      <c r="E13" s="18" t="s">
        <v>2397</v>
      </c>
      <c r="F13" s="16"/>
      <c r="G13" s="18" t="s">
        <v>944</v>
      </c>
      <c r="H13" s="16"/>
      <c r="I13" s="18" t="s">
        <v>3112</v>
      </c>
      <c r="J13" s="16"/>
      <c r="K13" s="18" t="s">
        <v>3862</v>
      </c>
      <c r="L13" s="16"/>
      <c r="M13" s="18" t="s">
        <v>4591</v>
      </c>
      <c r="N13" s="16"/>
      <c r="O13" s="18" t="s">
        <v>5274</v>
      </c>
      <c r="P13" s="16"/>
      <c r="Q13" s="18" t="s">
        <v>6011</v>
      </c>
      <c r="R13" s="16"/>
      <c r="S13" s="18"/>
      <c r="T13" s="21"/>
    </row>
    <row r="14" spans="1:20" ht="15.95" customHeight="1" x14ac:dyDescent="0.25">
      <c r="A14" s="18" t="s">
        <v>623</v>
      </c>
      <c r="B14" s="16"/>
      <c r="C14" s="18" t="s">
        <v>1678</v>
      </c>
      <c r="D14" s="16"/>
      <c r="E14" s="18" t="s">
        <v>2398</v>
      </c>
      <c r="F14" s="16"/>
      <c r="G14" s="18" t="s">
        <v>945</v>
      </c>
      <c r="H14" s="16"/>
      <c r="I14" s="18" t="s">
        <v>3113</v>
      </c>
      <c r="J14" s="16"/>
      <c r="K14" s="18" t="s">
        <v>3863</v>
      </c>
      <c r="L14" s="16"/>
      <c r="M14" s="18" t="s">
        <v>4592</v>
      </c>
      <c r="N14" s="16"/>
      <c r="O14" s="18" t="s">
        <v>5275</v>
      </c>
      <c r="P14" s="16"/>
      <c r="Q14" s="18" t="s">
        <v>6012</v>
      </c>
      <c r="R14" s="16"/>
      <c r="S14" s="18"/>
      <c r="T14" s="21"/>
    </row>
    <row r="15" spans="1:20" ht="15.95" customHeight="1" x14ac:dyDescent="0.25">
      <c r="A15" s="18" t="s">
        <v>622</v>
      </c>
      <c r="B15" s="16"/>
      <c r="C15" s="18" t="s">
        <v>1677</v>
      </c>
      <c r="D15" s="16"/>
      <c r="E15" s="18" t="s">
        <v>2397</v>
      </c>
      <c r="F15" s="16"/>
      <c r="G15" s="18" t="s">
        <v>944</v>
      </c>
      <c r="H15" s="16"/>
      <c r="I15" s="18" t="s">
        <v>3112</v>
      </c>
      <c r="J15" s="16"/>
      <c r="K15" s="18" t="s">
        <v>3862</v>
      </c>
      <c r="L15" s="16"/>
      <c r="M15" s="18" t="s">
        <v>4591</v>
      </c>
      <c r="N15" s="16"/>
      <c r="O15" s="18" t="s">
        <v>5274</v>
      </c>
      <c r="P15" s="16"/>
      <c r="Q15" s="18" t="s">
        <v>6011</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624</v>
      </c>
      <c r="B17" s="16"/>
      <c r="C17" s="18" t="s">
        <v>1679</v>
      </c>
      <c r="D17" s="16"/>
      <c r="E17" s="18" t="s">
        <v>2399</v>
      </c>
      <c r="F17" s="16"/>
      <c r="G17" s="18" t="s">
        <v>946</v>
      </c>
      <c r="H17" s="16"/>
      <c r="I17" s="18" t="s">
        <v>3114</v>
      </c>
      <c r="J17" s="16"/>
      <c r="K17" s="18" t="s">
        <v>3864</v>
      </c>
      <c r="L17" s="16"/>
      <c r="M17" s="18" t="s">
        <v>4593</v>
      </c>
      <c r="N17" s="16"/>
      <c r="O17" s="18" t="s">
        <v>5276</v>
      </c>
      <c r="P17" s="16"/>
      <c r="Q17" s="18" t="s">
        <v>6013</v>
      </c>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2" priority="2" stopIfTrue="1">
      <formula>NOT(ISERROR(A3))</formula>
    </cfRule>
  </conditionalFormatting>
  <conditionalFormatting sqref="A3:T51">
    <cfRule type="containsErrors" dxfId="331" priority="1" stopIfTrue="1">
      <formula>ISERROR(A3)</formula>
    </cfRule>
    <cfRule type="notContainsBlanks" dxfId="330"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dimension ref="A1:T51"/>
  <sheetViews>
    <sheetView workbookViewId="0">
      <selection activeCell="Q3" sqref="Q3:Q16"/>
    </sheetView>
  </sheetViews>
  <sheetFormatPr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524</v>
      </c>
      <c r="B3" s="16" t="str">
        <f>TRIM(_xlfn.TEXTBEFORE(A3, ":"))</f>
        <v>Item Class</v>
      </c>
      <c r="C3" s="17" t="s">
        <v>1680</v>
      </c>
      <c r="D3" s="16" t="str">
        <f>TRIM(_xlfn.TEXTBEFORE(C3, ":"))</f>
        <v>Gegenstandsklasse</v>
      </c>
      <c r="E3" s="17" t="s">
        <v>2400</v>
      </c>
      <c r="F3" s="16" t="str">
        <f>TRIM(_xlfn.TEXTBEFORE(E3, ":"))</f>
        <v>Clase de objeto</v>
      </c>
      <c r="G3" s="17" t="s">
        <v>947</v>
      </c>
      <c r="H3" s="16" t="str">
        <f>TRIM(_xlfn.TEXTBEFORE(G3, ":"))</f>
        <v>Classe d'objet</v>
      </c>
      <c r="I3" s="17" t="s">
        <v>3115</v>
      </c>
      <c r="J3" s="16" t="str">
        <f>TRIM(_xlfn.TEXTBEFORE(I3, ":"))</f>
        <v>アイテムクラス</v>
      </c>
      <c r="K3" s="17" t="s">
        <v>3865</v>
      </c>
      <c r="L3" s="16" t="str">
        <f>TRIM(_xlfn.TEXTBEFORE(K3, ":"))</f>
        <v>아이템 종류</v>
      </c>
      <c r="M3" s="17" t="s">
        <v>4594</v>
      </c>
      <c r="N3" s="16" t="str">
        <f>TRIM(_xlfn.TEXTBEFORE(M3, ":"))</f>
        <v>Classe do Item</v>
      </c>
      <c r="O3" s="17" t="s">
        <v>5277</v>
      </c>
      <c r="P3" s="16" t="str">
        <f>TRIM(_xlfn.TEXTBEFORE(O3, ":"))</f>
        <v>Класс предмета</v>
      </c>
      <c r="Q3" s="17" t="s">
        <v>6014</v>
      </c>
      <c r="R3" s="16" t="str">
        <f>TRIM(_xlfn.TEXTBEFORE(Q3, ":"))</f>
        <v>ชนิดไอเทม</v>
      </c>
      <c r="S3" s="17"/>
      <c r="T3" s="16" t="e">
        <f>TRIM(_xlfn.TEXTBEFORE(S3, ":"))</f>
        <v>#N/A</v>
      </c>
    </row>
    <row r="4" spans="1:20" ht="15.95" customHeight="1" x14ac:dyDescent="0.25">
      <c r="A4" s="18" t="s">
        <v>525</v>
      </c>
      <c r="B4" s="16" t="str">
        <f>TRIM(_xlfn.TEXTAFTER(A3, ":"))</f>
        <v>Maps</v>
      </c>
      <c r="C4" s="18" t="s">
        <v>1681</v>
      </c>
      <c r="D4" s="16" t="str">
        <f>TRIM(_xlfn.TEXTAFTER(C3, ":"))</f>
        <v>Karten</v>
      </c>
      <c r="E4" s="18" t="s">
        <v>2401</v>
      </c>
      <c r="F4" s="16" t="str">
        <f>TRIM(_xlfn.TEXTAFTER(E3, ":"))</f>
        <v>Mapas</v>
      </c>
      <c r="G4" s="18" t="s">
        <v>948</v>
      </c>
      <c r="H4" s="16" t="str">
        <f>TRIM(_xlfn.TEXTAFTER(G3, ":"))</f>
        <v>Cartes</v>
      </c>
      <c r="I4" s="18" t="s">
        <v>3116</v>
      </c>
      <c r="J4" s="16" t="str">
        <f>TRIM(_xlfn.TEXTAFTER(I3, ":"))</f>
        <v>マップ</v>
      </c>
      <c r="K4" s="18" t="s">
        <v>3866</v>
      </c>
      <c r="L4" s="16" t="str">
        <f>TRIM(_xlfn.TEXTAFTER(K3, ":"))</f>
        <v>지도</v>
      </c>
      <c r="M4" s="18" t="s">
        <v>4595</v>
      </c>
      <c r="N4" s="16" t="str">
        <f>TRIM(_xlfn.TEXTAFTER(M3, ":"))</f>
        <v>Mapas</v>
      </c>
      <c r="O4" s="18" t="s">
        <v>5278</v>
      </c>
      <c r="P4" s="16" t="str">
        <f>TRIM(_xlfn.TEXTAFTER(O3, ":"))</f>
        <v>Карты</v>
      </c>
      <c r="Q4" s="18" t="s">
        <v>6015</v>
      </c>
      <c r="R4" s="16" t="str">
        <f>TRIM(_xlfn.TEXTAFTER(Q3, ":"))</f>
        <v>แผนที่</v>
      </c>
      <c r="S4" s="18"/>
      <c r="T4" s="16" t="e">
        <f>TRIM(_xlfn.TEXTAFTER(S3, ":"))</f>
        <v>#N/A</v>
      </c>
    </row>
    <row r="5" spans="1:20" ht="15.95" customHeight="1" x14ac:dyDescent="0.25">
      <c r="A5" s="18" t="s">
        <v>695</v>
      </c>
      <c r="B5" s="16" t="str">
        <f>TRIM(_xlfn.TEXTBEFORE(A4, ":"))</f>
        <v>Rarity</v>
      </c>
      <c r="C5" s="18" t="s">
        <v>1682</v>
      </c>
      <c r="D5" s="16" t="str">
        <f>TRIM(_xlfn.TEXTBEFORE(C4, ":"))</f>
        <v>Seltenheit</v>
      </c>
      <c r="E5" s="18" t="s">
        <v>2402</v>
      </c>
      <c r="F5" s="16" t="str">
        <f>TRIM(_xlfn.TEXTBEFORE(E4, ":"))</f>
        <v>Rareza</v>
      </c>
      <c r="G5" s="18" t="s">
        <v>949</v>
      </c>
      <c r="H5" s="16" t="str">
        <f>TRIM(_xlfn.TEXTBEFORE(G4, ":"))</f>
        <v>Rareté</v>
      </c>
      <c r="I5" s="18" t="s">
        <v>3117</v>
      </c>
      <c r="J5" s="16" t="str">
        <f>TRIM(_xlfn.TEXTBEFORE(I4, ":"))</f>
        <v>レアリティ</v>
      </c>
      <c r="K5" s="18" t="s">
        <v>3867</v>
      </c>
      <c r="L5" s="16" t="str">
        <f>TRIM(_xlfn.TEXTBEFORE(K4, ":"))</f>
        <v>아이템 희귀도</v>
      </c>
      <c r="M5" s="18" t="s">
        <v>4596</v>
      </c>
      <c r="N5" s="16" t="str">
        <f>TRIM(_xlfn.TEXTBEFORE(M4, ":"))</f>
        <v>Raridade</v>
      </c>
      <c r="O5" s="18" t="s">
        <v>5279</v>
      </c>
      <c r="P5" s="16" t="str">
        <f>TRIM(_xlfn.TEXTBEFORE(O4, ":"))</f>
        <v>Редкость</v>
      </c>
      <c r="Q5" s="18" t="s">
        <v>695</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696</v>
      </c>
      <c r="B7" s="16" t="str">
        <f>TRIM(_xlfn.TEXTBEFORE(A7,":"))</f>
        <v>Map Tier</v>
      </c>
      <c r="C7" s="18" t="s">
        <v>1683</v>
      </c>
      <c r="D7" s="16" t="str">
        <f>TRIM(_xlfn.TEXTBEFORE(C7,":"))</f>
        <v>Kartenlevel</v>
      </c>
      <c r="E7" s="18" t="s">
        <v>2403</v>
      </c>
      <c r="F7" s="16" t="str">
        <f>TRIM(_xlfn.TEXTBEFORE(E7,":"))</f>
        <v>Grado del mapa</v>
      </c>
      <c r="G7" s="18" t="s">
        <v>950</v>
      </c>
      <c r="H7" s="16" t="str">
        <f>TRIM(_xlfn.TEXTBEFORE(G7,":"))</f>
        <v>Palier de Carte</v>
      </c>
      <c r="I7" s="18" t="s">
        <v>3118</v>
      </c>
      <c r="J7" s="16" t="str">
        <f>TRIM(_xlfn.TEXTBEFORE(I7,":"))</f>
        <v>マップティア</v>
      </c>
      <c r="K7" s="18" t="s">
        <v>3868</v>
      </c>
      <c r="L7" s="16" t="str">
        <f>TRIM(_xlfn.TEXTBEFORE(K7,":"))</f>
        <v>지도 등급</v>
      </c>
      <c r="M7" s="18" t="s">
        <v>4597</v>
      </c>
      <c r="N7" s="16" t="str">
        <f>TRIM(_xlfn.TEXTBEFORE(M7,":"))</f>
        <v>Tier do Mapa</v>
      </c>
      <c r="O7" s="18" t="s">
        <v>5280</v>
      </c>
      <c r="P7" s="16" t="str">
        <f>TRIM(_xlfn.TEXTBEFORE(O7,":"))</f>
        <v>Уровень карты</v>
      </c>
      <c r="Q7" s="18" t="s">
        <v>6016</v>
      </c>
      <c r="R7" s="16" t="str">
        <f>TRIM(_xlfn.TEXTBEFORE(Q7,":"))</f>
        <v>ระดับแผนที่</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198</v>
      </c>
      <c r="B9" s="16"/>
      <c r="C9" s="18" t="s">
        <v>1675</v>
      </c>
      <c r="D9" s="16"/>
      <c r="E9" s="18" t="s">
        <v>2395</v>
      </c>
      <c r="F9" s="16"/>
      <c r="G9" s="18" t="s">
        <v>942</v>
      </c>
      <c r="H9" s="16"/>
      <c r="I9" s="18" t="s">
        <v>3110</v>
      </c>
      <c r="J9" s="16"/>
      <c r="K9" s="18" t="s">
        <v>3860</v>
      </c>
      <c r="L9" s="16"/>
      <c r="M9" s="18" t="s">
        <v>4589</v>
      </c>
      <c r="N9" s="16"/>
      <c r="O9" s="18" t="s">
        <v>5272</v>
      </c>
      <c r="P9" s="16"/>
      <c r="Q9" s="18" t="s">
        <v>6009</v>
      </c>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3124</v>
      </c>
      <c r="K10" s="18" t="s">
        <v>4</v>
      </c>
      <c r="L10" s="16" t="s">
        <v>4518</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5.95" customHeight="1" x14ac:dyDescent="0.25">
      <c r="A11" s="18" t="s">
        <v>526</v>
      </c>
      <c r="B11" s="16"/>
      <c r="C11" s="18" t="s">
        <v>1684</v>
      </c>
      <c r="D11" s="16"/>
      <c r="E11" s="18" t="s">
        <v>2404</v>
      </c>
      <c r="F11" s="16"/>
      <c r="G11" s="18" t="s">
        <v>951</v>
      </c>
      <c r="H11" s="16"/>
      <c r="I11" s="18" t="s">
        <v>3119</v>
      </c>
      <c r="J11" s="16"/>
      <c r="K11" s="18" t="s">
        <v>3869</v>
      </c>
      <c r="L11" s="16"/>
      <c r="M11" s="18" t="s">
        <v>4598</v>
      </c>
      <c r="N11" s="16"/>
      <c r="O11" s="18" t="s">
        <v>5281</v>
      </c>
      <c r="P11" s="16"/>
      <c r="Q11" s="18" t="s">
        <v>6017</v>
      </c>
      <c r="R11" s="16"/>
      <c r="S11" s="18"/>
      <c r="T11" s="16"/>
    </row>
    <row r="12" spans="1:20" ht="15.95" customHeight="1" x14ac:dyDescent="0.25">
      <c r="A12" s="18" t="s">
        <v>527</v>
      </c>
      <c r="B12" s="16"/>
      <c r="C12" s="18" t="s">
        <v>1685</v>
      </c>
      <c r="D12" s="16"/>
      <c r="E12" s="18" t="s">
        <v>2405</v>
      </c>
      <c r="F12" s="16"/>
      <c r="G12" s="18" t="s">
        <v>952</v>
      </c>
      <c r="H12" s="16"/>
      <c r="I12" s="18" t="s">
        <v>3120</v>
      </c>
      <c r="J12" s="16"/>
      <c r="K12" s="18" t="s">
        <v>3870</v>
      </c>
      <c r="L12" s="16"/>
      <c r="M12" s="18" t="s">
        <v>4599</v>
      </c>
      <c r="N12" s="16"/>
      <c r="O12" s="18" t="s">
        <v>5282</v>
      </c>
      <c r="P12" s="16"/>
      <c r="Q12" s="18" t="s">
        <v>6018</v>
      </c>
      <c r="R12" s="16"/>
      <c r="S12" s="18"/>
      <c r="T12" s="21"/>
    </row>
    <row r="13" spans="1:20" ht="15.95" customHeight="1" x14ac:dyDescent="0.25">
      <c r="A13" s="18" t="s">
        <v>528</v>
      </c>
      <c r="B13" s="16"/>
      <c r="C13" s="18" t="s">
        <v>1686</v>
      </c>
      <c r="D13" s="16"/>
      <c r="E13" s="18" t="s">
        <v>2406</v>
      </c>
      <c r="F13" s="16"/>
      <c r="G13" s="18" t="s">
        <v>953</v>
      </c>
      <c r="H13" s="16"/>
      <c r="I13" s="18" t="s">
        <v>3121</v>
      </c>
      <c r="J13" s="16"/>
      <c r="K13" s="18" t="s">
        <v>3871</v>
      </c>
      <c r="L13" s="16"/>
      <c r="M13" s="18" t="s">
        <v>4600</v>
      </c>
      <c r="N13" s="16"/>
      <c r="O13" s="18" t="s">
        <v>5283</v>
      </c>
      <c r="P13" s="16"/>
      <c r="Q13" s="18" t="s">
        <v>6019</v>
      </c>
      <c r="R13" s="16"/>
      <c r="S13" s="18"/>
      <c r="T13" s="21"/>
    </row>
    <row r="14" spans="1:20" ht="15.95" customHeight="1" x14ac:dyDescent="0.25">
      <c r="A14" s="18" t="s">
        <v>529</v>
      </c>
      <c r="B14" s="16"/>
      <c r="C14" s="18" t="s">
        <v>1687</v>
      </c>
      <c r="D14" s="16"/>
      <c r="E14" s="18" t="s">
        <v>2407</v>
      </c>
      <c r="F14" s="16"/>
      <c r="G14" s="18" t="s">
        <v>954</v>
      </c>
      <c r="H14" s="16"/>
      <c r="I14" s="18" t="s">
        <v>3122</v>
      </c>
      <c r="J14" s="16"/>
      <c r="K14" s="18" t="s">
        <v>3872</v>
      </c>
      <c r="L14" s="16"/>
      <c r="M14" s="18" t="s">
        <v>4601</v>
      </c>
      <c r="N14" s="16"/>
      <c r="O14" s="18" t="s">
        <v>5284</v>
      </c>
      <c r="P14" s="16"/>
      <c r="Q14" s="18" t="s">
        <v>6020</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530</v>
      </c>
      <c r="B16" s="16"/>
      <c r="C16" s="18" t="s">
        <v>1688</v>
      </c>
      <c r="D16" s="16"/>
      <c r="E16" s="18" t="s">
        <v>2408</v>
      </c>
      <c r="F16" s="16"/>
      <c r="G16" s="18" t="s">
        <v>955</v>
      </c>
      <c r="H16" s="16"/>
      <c r="I16" s="18" t="s">
        <v>3123</v>
      </c>
      <c r="J16" s="16"/>
      <c r="K16" s="18" t="s">
        <v>3873</v>
      </c>
      <c r="L16" s="16"/>
      <c r="M16" s="18" t="s">
        <v>4602</v>
      </c>
      <c r="N16" s="16"/>
      <c r="O16" s="18" t="s">
        <v>5285</v>
      </c>
      <c r="P16" s="16"/>
      <c r="Q16" s="18" t="s">
        <v>6021</v>
      </c>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9" priority="98" stopIfTrue="1">
      <formula>NOT(ISERROR(A3))</formula>
    </cfRule>
  </conditionalFormatting>
  <conditionalFormatting sqref="A3:T6 A7:A9 C7:C9 E7:E9 G7:G9 I7:I9 K7:K9 M7:M9 O7:O9 Q7:Q9 S7:S9 A10:T51">
    <cfRule type="notContainsBlanks" dxfId="328" priority="99">
      <formula>LEN(TRIM(A3))&gt;0</formula>
    </cfRule>
  </conditionalFormatting>
  <conditionalFormatting sqref="A3:T51">
    <cfRule type="containsErrors" dxfId="327" priority="1" stopIfTrue="1">
      <formula>ISERROR(A3)</formula>
    </cfRule>
  </conditionalFormatting>
  <conditionalFormatting sqref="B7:B9">
    <cfRule type="notContainsBlanks" dxfId="326" priority="92">
      <formula>LEN(TRIM(B7))&gt;0</formula>
    </cfRule>
  </conditionalFormatting>
  <conditionalFormatting sqref="D7:D9">
    <cfRule type="notContainsBlanks" dxfId="325" priority="34">
      <formula>LEN(TRIM(D7))&gt;0</formula>
    </cfRule>
  </conditionalFormatting>
  <conditionalFormatting sqref="F7:F9">
    <cfRule type="notContainsBlanks" dxfId="324" priority="30">
      <formula>LEN(TRIM(F7))&gt;0</formula>
    </cfRule>
  </conditionalFormatting>
  <conditionalFormatting sqref="H7:H9">
    <cfRule type="notContainsBlanks" dxfId="323" priority="26">
      <formula>LEN(TRIM(H7))&gt;0</formula>
    </cfRule>
  </conditionalFormatting>
  <conditionalFormatting sqref="J7:J9">
    <cfRule type="notContainsBlanks" dxfId="322" priority="22">
      <formula>LEN(TRIM(J7))&gt;0</formula>
    </cfRule>
  </conditionalFormatting>
  <conditionalFormatting sqref="L7:L9">
    <cfRule type="notContainsBlanks" dxfId="321" priority="18">
      <formula>LEN(TRIM(L7))&gt;0</formula>
    </cfRule>
  </conditionalFormatting>
  <conditionalFormatting sqref="N7:N9">
    <cfRule type="notContainsBlanks" dxfId="320" priority="14">
      <formula>LEN(TRIM(N7))&gt;0</formula>
    </cfRule>
  </conditionalFormatting>
  <conditionalFormatting sqref="P7:P9">
    <cfRule type="notContainsBlanks" dxfId="319" priority="10">
      <formula>LEN(TRIM(P7))&gt;0</formula>
    </cfRule>
  </conditionalFormatting>
  <conditionalFormatting sqref="R7:R9">
    <cfRule type="notContainsBlanks" dxfId="318" priority="6">
      <formula>LEN(TRIM(R7))&gt;0</formula>
    </cfRule>
  </conditionalFormatting>
  <conditionalFormatting sqref="T7:T9">
    <cfRule type="notContainsBlanks" dxfId="317" priority="2">
      <formula>LEN(TRIM(T7))&gt;0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dimension ref="A1:T51"/>
  <sheetViews>
    <sheetView workbookViewId="0">
      <selection activeCell="Q3" sqref="Q3:Q19"/>
    </sheetView>
  </sheetViews>
  <sheetFormatPr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524</v>
      </c>
      <c r="B3" s="16" t="str">
        <f>TRIM(_xlfn.TEXTBEFORE(A3, ":"))</f>
        <v>Item Class</v>
      </c>
      <c r="C3" s="17" t="s">
        <v>1680</v>
      </c>
      <c r="D3" s="16" t="str">
        <f>TRIM(_xlfn.TEXTBEFORE(C3, ":"))</f>
        <v>Gegenstandsklasse</v>
      </c>
      <c r="E3" s="17" t="s">
        <v>2400</v>
      </c>
      <c r="F3" s="16" t="str">
        <f>TRIM(_xlfn.TEXTBEFORE(E3, ":"))</f>
        <v>Clase de objeto</v>
      </c>
      <c r="G3" s="17" t="s">
        <v>947</v>
      </c>
      <c r="H3" s="16" t="str">
        <f>TRIM(_xlfn.TEXTBEFORE(G3, ":"))</f>
        <v>Classe d'objet</v>
      </c>
      <c r="I3" s="17" t="s">
        <v>3115</v>
      </c>
      <c r="J3" s="16" t="str">
        <f>TRIM(_xlfn.TEXTBEFORE(I3, ":"))</f>
        <v>アイテムクラス</v>
      </c>
      <c r="K3" s="17" t="s">
        <v>3865</v>
      </c>
      <c r="L3" s="16" t="str">
        <f>TRIM(_xlfn.TEXTBEFORE(K3, ":"))</f>
        <v>아이템 종류</v>
      </c>
      <c r="M3" s="17" t="s">
        <v>4594</v>
      </c>
      <c r="N3" s="16" t="str">
        <f>TRIM(_xlfn.TEXTBEFORE(M3, ":"))</f>
        <v>Classe do Item</v>
      </c>
      <c r="O3" s="17" t="s">
        <v>5277</v>
      </c>
      <c r="P3" s="16" t="str">
        <f>TRIM(_xlfn.TEXTBEFORE(O3, ":"))</f>
        <v>Класс предмета</v>
      </c>
      <c r="Q3" s="17" t="s">
        <v>6014</v>
      </c>
      <c r="R3" s="16" t="str">
        <f>TRIM(_xlfn.TEXTBEFORE(Q3, ":"))</f>
        <v>ชนิดไอเทม</v>
      </c>
      <c r="S3" s="17"/>
      <c r="T3" s="20" t="e">
        <f>TRIM(_xlfn.TEXTBEFORE(S3, ":"))</f>
        <v>#N/A</v>
      </c>
    </row>
    <row r="4" spans="1:20" ht="15.95" customHeight="1" x14ac:dyDescent="0.25">
      <c r="A4" s="18" t="s">
        <v>525</v>
      </c>
      <c r="B4" s="16" t="str">
        <f>TRIM(_xlfn.TEXTAFTER(A3, ":"))</f>
        <v>Maps</v>
      </c>
      <c r="C4" s="18" t="s">
        <v>1681</v>
      </c>
      <c r="D4" s="16" t="str">
        <f>TRIM(_xlfn.TEXTAFTER(C3, ":"))</f>
        <v>Karten</v>
      </c>
      <c r="E4" s="18" t="s">
        <v>2401</v>
      </c>
      <c r="F4" s="16" t="str">
        <f>TRIM(_xlfn.TEXTAFTER(E3, ":"))</f>
        <v>Mapas</v>
      </c>
      <c r="G4" s="18" t="s">
        <v>948</v>
      </c>
      <c r="H4" s="16" t="str">
        <f>TRIM(_xlfn.TEXTAFTER(G3, ":"))</f>
        <v>Cartes</v>
      </c>
      <c r="I4" s="18" t="s">
        <v>3116</v>
      </c>
      <c r="J4" s="16" t="str">
        <f>TRIM(_xlfn.TEXTAFTER(I3, ":"))</f>
        <v>マップ</v>
      </c>
      <c r="K4" s="18" t="s">
        <v>3866</v>
      </c>
      <c r="L4" s="16" t="str">
        <f>TRIM(_xlfn.TEXTAFTER(K3, ":"))</f>
        <v>지도</v>
      </c>
      <c r="M4" s="18" t="s">
        <v>4595</v>
      </c>
      <c r="N4" s="16" t="str">
        <f>TRIM(_xlfn.TEXTAFTER(M3, ":"))</f>
        <v>Mapas</v>
      </c>
      <c r="O4" s="18" t="s">
        <v>5278</v>
      </c>
      <c r="P4" s="16" t="str">
        <f>TRIM(_xlfn.TEXTAFTER(O3, ":"))</f>
        <v>Карты</v>
      </c>
      <c r="Q4" s="18" t="s">
        <v>6015</v>
      </c>
      <c r="R4" s="16" t="str">
        <f>TRIM(_xlfn.TEXTAFTER(Q3, ":"))</f>
        <v>แผนที่</v>
      </c>
      <c r="S4" s="18"/>
      <c r="T4" s="20" t="e">
        <f>TRIM(_xlfn.TEXTAFTER(S3, ":"))</f>
        <v>#N/A</v>
      </c>
    </row>
    <row r="5" spans="1:20" ht="15.95" customHeight="1" x14ac:dyDescent="0.25">
      <c r="A5" s="18" t="s">
        <v>688</v>
      </c>
      <c r="B5" s="16" t="str">
        <f>TRIM(_xlfn.TEXTBEFORE(A4, ":"))</f>
        <v>Rarity</v>
      </c>
      <c r="C5" s="18" t="s">
        <v>1689</v>
      </c>
      <c r="D5" s="16" t="str">
        <f>TRIM(_xlfn.TEXTBEFORE(C4, ":"))</f>
        <v>Seltenheit</v>
      </c>
      <c r="E5" s="18" t="s">
        <v>2409</v>
      </c>
      <c r="F5" s="16" t="str">
        <f>TRIM(_xlfn.TEXTBEFORE(E4, ":"))</f>
        <v>Rareza</v>
      </c>
      <c r="G5" s="18" t="s">
        <v>956</v>
      </c>
      <c r="H5" s="16" t="str">
        <f>TRIM(_xlfn.TEXTBEFORE(G4, ":"))</f>
        <v>Rareté</v>
      </c>
      <c r="I5" s="18" t="s">
        <v>3125</v>
      </c>
      <c r="J5" s="16" t="str">
        <f>TRIM(_xlfn.TEXTBEFORE(I4, ":"))</f>
        <v>レアリティ</v>
      </c>
      <c r="K5" s="18" t="s">
        <v>3874</v>
      </c>
      <c r="L5" s="16" t="str">
        <f>TRIM(_xlfn.TEXTBEFORE(K4, ":"))</f>
        <v>아이템 희귀도</v>
      </c>
      <c r="M5" s="18" t="s">
        <v>4603</v>
      </c>
      <c r="N5" s="16" t="str">
        <f>TRIM(_xlfn.TEXTBEFORE(M4, ":"))</f>
        <v>Raridade</v>
      </c>
      <c r="O5" s="18" t="s">
        <v>5286</v>
      </c>
      <c r="P5" s="16" t="str">
        <f>TRIM(_xlfn.TEXTBEFORE(O4, ":"))</f>
        <v>Редкость</v>
      </c>
      <c r="Q5" s="18" t="s">
        <v>688</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689</v>
      </c>
      <c r="B7" s="16" t="str">
        <f>TRIM(_xlfn.TEXTBEFORE(A5, " "))</f>
        <v>Blight-ravaged</v>
      </c>
      <c r="C7" s="18" t="s">
        <v>1690</v>
      </c>
      <c r="D7" s="16" t="str">
        <f>TRIM(_xlfn.TEXTBEFORE(C5, " ", 2))</f>
        <v>Extrem befallene</v>
      </c>
      <c r="E7" s="18" t="s">
        <v>2410</v>
      </c>
      <c r="F7" s="16" t="str">
        <f>TRIM(_xlfn.TEXTAFTER(E5, " ", -4))</f>
        <v>devastado por la plaga</v>
      </c>
      <c r="G7" s="18" t="s">
        <v>957</v>
      </c>
      <c r="H7" s="16" t="str">
        <f>TRIM(_xlfn.TEXTAFTER(G5, " ", -4))</f>
        <v>Carte ravagée par l'Infestation</v>
      </c>
      <c r="I7" s="18" t="s">
        <v>3126</v>
      </c>
      <c r="J7" s="16" t="s">
        <v>3133</v>
      </c>
      <c r="K7" s="18" t="s">
        <v>3875</v>
      </c>
      <c r="L7" s="16" t="s">
        <v>4519</v>
      </c>
      <c r="M7" s="18" t="s">
        <v>4604</v>
      </c>
      <c r="N7" s="16" t="str">
        <f>TRIM(_xlfn.TEXTAFTER(M5, " ", -1))</f>
        <v>Devastado</v>
      </c>
      <c r="O7" s="18" t="s">
        <v>5287</v>
      </c>
      <c r="P7" s="16" t="str">
        <f>TRIM(_xlfn.TEXTBEFORE(O5, " ", 2))</f>
        <v>Разорённая Скверной</v>
      </c>
      <c r="Q7" s="18" t="s">
        <v>6022</v>
      </c>
      <c r="R7" s="16" t="str">
        <f>TRIM(_xlfn.TEXTBEFORE(Q5, " "))</f>
        <v>Blight-ravaged</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111</v>
      </c>
      <c r="B9" s="16"/>
      <c r="C9" s="18" t="s">
        <v>1691</v>
      </c>
      <c r="D9" s="16"/>
      <c r="E9" s="18" t="s">
        <v>2325</v>
      </c>
      <c r="F9" s="16"/>
      <c r="G9" s="18" t="s">
        <v>958</v>
      </c>
      <c r="H9" s="16"/>
      <c r="I9" s="18" t="s">
        <v>3127</v>
      </c>
      <c r="J9" s="16"/>
      <c r="K9" s="18" t="s">
        <v>3787</v>
      </c>
      <c r="L9" s="16"/>
      <c r="M9" s="18" t="s">
        <v>4605</v>
      </c>
      <c r="N9" s="16"/>
      <c r="O9" s="18" t="s">
        <v>5288</v>
      </c>
      <c r="P9" s="16"/>
      <c r="Q9" s="18" t="s">
        <v>5943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690</v>
      </c>
      <c r="B11" s="16"/>
      <c r="C11" s="18" t="s">
        <v>1692</v>
      </c>
      <c r="D11" s="16"/>
      <c r="E11" s="18" t="s">
        <v>2411</v>
      </c>
      <c r="F11" s="16"/>
      <c r="G11" s="18" t="s">
        <v>959</v>
      </c>
      <c r="H11" s="16"/>
      <c r="I11" s="18" t="s">
        <v>3128</v>
      </c>
      <c r="J11" s="16"/>
      <c r="K11" s="18" t="s">
        <v>3876</v>
      </c>
      <c r="L11" s="16"/>
      <c r="M11" s="18" t="s">
        <v>4606</v>
      </c>
      <c r="N11" s="16"/>
      <c r="O11" s="18" t="s">
        <v>5289</v>
      </c>
      <c r="P11" s="16"/>
      <c r="Q11" s="18" t="s">
        <v>6023</v>
      </c>
      <c r="R11" s="16"/>
      <c r="S11" s="18"/>
      <c r="T11" s="20"/>
    </row>
    <row r="12" spans="1:20" ht="15.95" customHeight="1" x14ac:dyDescent="0.25">
      <c r="A12" s="18" t="s">
        <v>691</v>
      </c>
      <c r="B12" s="16"/>
      <c r="C12" s="18" t="s">
        <v>1693</v>
      </c>
      <c r="D12" s="16"/>
      <c r="E12" s="18" t="s">
        <v>2412</v>
      </c>
      <c r="F12" s="16"/>
      <c r="G12" s="18" t="s">
        <v>960</v>
      </c>
      <c r="H12" s="16"/>
      <c r="I12" s="18" t="s">
        <v>3129</v>
      </c>
      <c r="J12" s="16"/>
      <c r="K12" s="18" t="s">
        <v>3877</v>
      </c>
      <c r="L12" s="16"/>
      <c r="M12" s="18" t="s">
        <v>4607</v>
      </c>
      <c r="N12" s="16"/>
      <c r="O12" s="18" t="s">
        <v>5290</v>
      </c>
      <c r="P12" s="16"/>
      <c r="Q12" s="18" t="s">
        <v>6024</v>
      </c>
      <c r="R12" s="16"/>
      <c r="S12" s="18"/>
      <c r="T12" s="20"/>
    </row>
    <row r="13" spans="1:20" ht="15.95" customHeight="1" x14ac:dyDescent="0.25">
      <c r="A13" s="18" t="s">
        <v>692</v>
      </c>
      <c r="B13" s="16"/>
      <c r="C13" s="18" t="s">
        <v>1694</v>
      </c>
      <c r="D13" s="16"/>
      <c r="E13" s="18" t="s">
        <v>2413</v>
      </c>
      <c r="F13" s="16"/>
      <c r="G13" s="18" t="s">
        <v>961</v>
      </c>
      <c r="H13" s="16"/>
      <c r="I13" s="18" t="s">
        <v>3130</v>
      </c>
      <c r="J13" s="16"/>
      <c r="K13" s="18" t="s">
        <v>3878</v>
      </c>
      <c r="L13" s="16"/>
      <c r="M13" s="18" t="s">
        <v>4608</v>
      </c>
      <c r="N13" s="16"/>
      <c r="O13" s="18" t="s">
        <v>5291</v>
      </c>
      <c r="P13" s="16"/>
      <c r="Q13" s="18" t="s">
        <v>6025</v>
      </c>
      <c r="R13" s="16"/>
      <c r="S13" s="18"/>
      <c r="T13" s="20"/>
    </row>
    <row r="14" spans="1:20" ht="15.95" customHeight="1" x14ac:dyDescent="0.25">
      <c r="A14" s="18" t="s">
        <v>526</v>
      </c>
      <c r="B14" s="16"/>
      <c r="C14" s="18" t="s">
        <v>1684</v>
      </c>
      <c r="D14" s="16"/>
      <c r="E14" s="18" t="s">
        <v>2404</v>
      </c>
      <c r="F14" s="16"/>
      <c r="G14" s="18" t="s">
        <v>951</v>
      </c>
      <c r="H14" s="16"/>
      <c r="I14" s="18" t="s">
        <v>3119</v>
      </c>
      <c r="J14" s="16"/>
      <c r="K14" s="18" t="s">
        <v>3869</v>
      </c>
      <c r="L14" s="16"/>
      <c r="M14" s="18" t="s">
        <v>4598</v>
      </c>
      <c r="N14" s="16"/>
      <c r="O14" s="18" t="s">
        <v>5281</v>
      </c>
      <c r="P14" s="16"/>
      <c r="Q14" s="18" t="s">
        <v>6017</v>
      </c>
      <c r="R14" s="16"/>
      <c r="S14" s="18"/>
      <c r="T14" s="20"/>
    </row>
    <row r="15" spans="1:20" ht="15.95" customHeight="1" x14ac:dyDescent="0.25">
      <c r="A15" s="18" t="s">
        <v>693</v>
      </c>
      <c r="B15" s="16"/>
      <c r="C15" s="18" t="s">
        <v>1695</v>
      </c>
      <c r="D15" s="16"/>
      <c r="E15" s="18" t="s">
        <v>2414</v>
      </c>
      <c r="F15" s="16"/>
      <c r="G15" s="18" t="s">
        <v>962</v>
      </c>
      <c r="H15" s="16"/>
      <c r="I15" s="18" t="s">
        <v>3131</v>
      </c>
      <c r="J15" s="16"/>
      <c r="K15" s="18" t="s">
        <v>3879</v>
      </c>
      <c r="L15" s="16"/>
      <c r="M15" s="18" t="s">
        <v>4609</v>
      </c>
      <c r="N15" s="16"/>
      <c r="O15" s="18" t="s">
        <v>5292</v>
      </c>
      <c r="P15" s="16"/>
      <c r="Q15" s="18" t="s">
        <v>6026</v>
      </c>
      <c r="R15" s="16"/>
      <c r="S15" s="18"/>
      <c r="T15" s="20"/>
    </row>
    <row r="16" spans="1:20" ht="15.95" customHeight="1" x14ac:dyDescent="0.25">
      <c r="A16" s="18" t="s">
        <v>694</v>
      </c>
      <c r="B16" s="16"/>
      <c r="C16" s="18" t="s">
        <v>1696</v>
      </c>
      <c r="D16" s="16"/>
      <c r="E16" s="18" t="s">
        <v>2415</v>
      </c>
      <c r="F16" s="16"/>
      <c r="G16" s="18" t="s">
        <v>963</v>
      </c>
      <c r="H16" s="16"/>
      <c r="I16" s="18" t="s">
        <v>3132</v>
      </c>
      <c r="J16" s="16"/>
      <c r="K16" s="18" t="s">
        <v>3880</v>
      </c>
      <c r="L16" s="16"/>
      <c r="M16" s="18" t="s">
        <v>4610</v>
      </c>
      <c r="N16" s="16"/>
      <c r="O16" s="18" t="s">
        <v>5293</v>
      </c>
      <c r="P16" s="16"/>
      <c r="Q16" s="18" t="s">
        <v>6027</v>
      </c>
      <c r="R16" s="16"/>
      <c r="S16" s="18"/>
      <c r="T16" s="20"/>
    </row>
    <row r="17" spans="1:20" ht="15.95" customHeight="1" x14ac:dyDescent="0.25">
      <c r="A17" s="18" t="s">
        <v>529</v>
      </c>
      <c r="B17" s="16"/>
      <c r="C17" s="18" t="s">
        <v>1687</v>
      </c>
      <c r="D17" s="16"/>
      <c r="E17" s="18" t="s">
        <v>2407</v>
      </c>
      <c r="F17" s="16"/>
      <c r="G17" s="18" t="s">
        <v>954</v>
      </c>
      <c r="H17" s="16"/>
      <c r="I17" s="18" t="s">
        <v>3122</v>
      </c>
      <c r="J17" s="16"/>
      <c r="K17" s="18" t="s">
        <v>3872</v>
      </c>
      <c r="L17" s="16"/>
      <c r="M17" s="18" t="s">
        <v>4601</v>
      </c>
      <c r="N17" s="16"/>
      <c r="O17" s="18" t="s">
        <v>5284</v>
      </c>
      <c r="P17" s="16"/>
      <c r="Q17" s="18" t="s">
        <v>6020</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530</v>
      </c>
      <c r="B19" s="16"/>
      <c r="C19" s="18" t="s">
        <v>1688</v>
      </c>
      <c r="D19" s="16"/>
      <c r="E19" s="18" t="s">
        <v>2408</v>
      </c>
      <c r="F19" s="16"/>
      <c r="G19" s="18" t="s">
        <v>955</v>
      </c>
      <c r="H19" s="16"/>
      <c r="I19" s="18" t="s">
        <v>3123</v>
      </c>
      <c r="J19" s="16"/>
      <c r="K19" s="18" t="s">
        <v>3873</v>
      </c>
      <c r="L19" s="16"/>
      <c r="M19" s="18" t="s">
        <v>4602</v>
      </c>
      <c r="N19" s="16"/>
      <c r="O19" s="18" t="s">
        <v>5285</v>
      </c>
      <c r="P19" s="16"/>
      <c r="Q19" s="18" t="s">
        <v>6021</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6" priority="28" stopIfTrue="1">
      <formula>NOT(ISERROR(A3))</formula>
    </cfRule>
  </conditionalFormatting>
  <conditionalFormatting sqref="A3:T6 A7 C7 E7 G7 I7 K7 M7 O7 Q7 S7 A8:T51">
    <cfRule type="notContainsBlanks" dxfId="315" priority="29">
      <formula>LEN(TRIM(A3))&gt;0</formula>
    </cfRule>
  </conditionalFormatting>
  <conditionalFormatting sqref="A3:T51">
    <cfRule type="containsErrors" dxfId="314" priority="1" stopIfTrue="1">
      <formula>ISERROR(A3)</formula>
    </cfRule>
  </conditionalFormatting>
  <conditionalFormatting sqref="B7">
    <cfRule type="notContainsBlanks" dxfId="313" priority="26">
      <formula>LEN(TRIM(B7))&gt;0</formula>
    </cfRule>
  </conditionalFormatting>
  <conditionalFormatting sqref="D7">
    <cfRule type="notContainsBlanks" dxfId="312" priority="22">
      <formula>LEN(TRIM(D7))&gt;0</formula>
    </cfRule>
  </conditionalFormatting>
  <conditionalFormatting sqref="F7">
    <cfRule type="notContainsBlanks" dxfId="311" priority="2">
      <formula>LEN(TRIM(F7))&gt;0</formula>
    </cfRule>
  </conditionalFormatting>
  <conditionalFormatting sqref="H7">
    <cfRule type="notContainsBlanks" dxfId="310" priority="4">
      <formula>LEN(TRIM(H7))&gt;0</formula>
    </cfRule>
  </conditionalFormatting>
  <conditionalFormatting sqref="J7">
    <cfRule type="notContainsBlanks" dxfId="309" priority="16">
      <formula>LEN(TRIM(J7))&gt;0</formula>
    </cfRule>
  </conditionalFormatting>
  <conditionalFormatting sqref="L7">
    <cfRule type="notContainsBlanks" dxfId="308" priority="14">
      <formula>LEN(TRIM(L7))&gt;0</formula>
    </cfRule>
  </conditionalFormatting>
  <conditionalFormatting sqref="N7">
    <cfRule type="notContainsBlanks" dxfId="307" priority="12">
      <formula>LEN(TRIM(N7))&gt;0</formula>
    </cfRule>
  </conditionalFormatting>
  <conditionalFormatting sqref="P7">
    <cfRule type="notContainsBlanks" dxfId="306" priority="10">
      <formula>LEN(TRIM(P7))&gt;0</formula>
    </cfRule>
  </conditionalFormatting>
  <conditionalFormatting sqref="R7">
    <cfRule type="notContainsBlanks" dxfId="305" priority="8">
      <formula>LEN(TRIM(R7))&gt;0</formula>
    </cfRule>
  </conditionalFormatting>
  <conditionalFormatting sqref="T7">
    <cfRule type="notContainsBlanks" dxfId="304" priority="6">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707</v>
      </c>
      <c r="B3" s="16" t="str">
        <f>TRIM(_xlfn.TEXTBEFORE(A3, ":"))</f>
        <v>Item Class</v>
      </c>
      <c r="C3" s="17" t="s">
        <v>1697</v>
      </c>
      <c r="D3" s="16" t="str">
        <f>TRIM(_xlfn.TEXTBEFORE(C3, ":"))</f>
        <v>Gegenstandsklasse</v>
      </c>
      <c r="E3" s="17" t="s">
        <v>2416</v>
      </c>
      <c r="F3" s="16" t="str">
        <f>TRIM(_xlfn.TEXTBEFORE(E3, ":"))</f>
        <v>Clase de objeto</v>
      </c>
      <c r="G3" s="17" t="s">
        <v>964</v>
      </c>
      <c r="H3" s="16" t="str">
        <f>TRIM(_xlfn.TEXTBEFORE(G3, ":"))</f>
        <v>Classe d'objet</v>
      </c>
      <c r="I3" s="17" t="s">
        <v>3134</v>
      </c>
      <c r="J3" s="16" t="str">
        <f>TRIM(_xlfn.TEXTBEFORE(I3, ":"))</f>
        <v>アイテムクラス</v>
      </c>
      <c r="K3" s="17" t="s">
        <v>3881</v>
      </c>
      <c r="L3" s="16" t="str">
        <f>TRIM(_xlfn.TEXTBEFORE(K3, ":"))</f>
        <v>아이템 종류</v>
      </c>
      <c r="M3" s="17" t="s">
        <v>4611</v>
      </c>
      <c r="N3" s="16" t="str">
        <f>TRIM(_xlfn.TEXTBEFORE(M3, ":"))</f>
        <v>Classe do Item</v>
      </c>
      <c r="O3" s="17" t="s">
        <v>5294</v>
      </c>
      <c r="P3" s="16" t="str">
        <f>TRIM(_xlfn.TEXTBEFORE(O3, ":"))</f>
        <v>Класс предмета</v>
      </c>
      <c r="Q3" s="17" t="s">
        <v>6028</v>
      </c>
      <c r="R3" s="16" t="str">
        <f>TRIM(_xlfn.TEXTBEFORE(Q3, ":"))</f>
        <v>ชนิดไอเทม</v>
      </c>
      <c r="S3" s="17"/>
      <c r="T3" s="20" t="e">
        <f>TRIM(_xlfn.TEXTBEFORE(S3, ":"))</f>
        <v>#N/A</v>
      </c>
    </row>
    <row r="4" spans="1:20" ht="15.95" customHeight="1" x14ac:dyDescent="0.25">
      <c r="A4" s="18" t="s">
        <v>525</v>
      </c>
      <c r="B4" s="16" t="str">
        <f>TRIM(_xlfn.TEXTAFTER(A3, ":"))</f>
        <v>Blueprints</v>
      </c>
      <c r="C4" s="18" t="s">
        <v>1681</v>
      </c>
      <c r="D4" s="16" t="str">
        <f>TRIM(_xlfn.TEXTAFTER(C3, ":"))</f>
        <v>Grundrisse</v>
      </c>
      <c r="E4" s="18" t="s">
        <v>2401</v>
      </c>
      <c r="F4" s="16" t="str">
        <f>TRIM(_xlfn.TEXTAFTER(E3, ":"))</f>
        <v>Planos</v>
      </c>
      <c r="G4" s="18" t="s">
        <v>948</v>
      </c>
      <c r="H4" s="16" t="str">
        <f>TRIM(_xlfn.TEXTAFTER(G3, ":"))</f>
        <v>Plans</v>
      </c>
      <c r="I4" s="18" t="s">
        <v>3116</v>
      </c>
      <c r="J4" s="16" t="str">
        <f>TRIM(_xlfn.TEXTAFTER(I3, ":"))</f>
        <v>計画書</v>
      </c>
      <c r="K4" s="18" t="s">
        <v>3866</v>
      </c>
      <c r="L4" s="16" t="str">
        <f>TRIM(_xlfn.TEXTAFTER(K3, ":"))</f>
        <v>도면</v>
      </c>
      <c r="M4" s="18" t="s">
        <v>4595</v>
      </c>
      <c r="N4" s="16" t="str">
        <f>TRIM(_xlfn.TEXTAFTER(M3, ":"))</f>
        <v>Plantas</v>
      </c>
      <c r="O4" s="18" t="s">
        <v>5278</v>
      </c>
      <c r="P4" s="16" t="str">
        <f>TRIM(_xlfn.TEXTAFTER(O3, ":"))</f>
        <v>Чертежи</v>
      </c>
      <c r="Q4" s="18" t="s">
        <v>6015</v>
      </c>
      <c r="R4" s="16" t="str">
        <f>TRIM(_xlfn.TEXTAFTER(Q3, ":"))</f>
        <v>พิมพ์เขียว</v>
      </c>
      <c r="S4" s="18"/>
      <c r="T4" s="20" t="e">
        <f>TRIM(_xlfn.TEXTAFTER(S3, ":"))</f>
        <v>#N/A</v>
      </c>
    </row>
    <row r="5" spans="1:20" ht="15.95" customHeight="1" x14ac:dyDescent="0.25">
      <c r="A5" s="18" t="s">
        <v>708</v>
      </c>
      <c r="B5" s="16" t="str">
        <f>TRIM(_xlfn.TEXTBEFORE(A4, ":"))</f>
        <v>Rarity</v>
      </c>
      <c r="C5" s="18" t="s">
        <v>1698</v>
      </c>
      <c r="D5" s="16" t="str">
        <f>TRIM(_xlfn.TEXTBEFORE(C4, ":"))</f>
        <v>Seltenheit</v>
      </c>
      <c r="E5" s="18" t="s">
        <v>2417</v>
      </c>
      <c r="F5" s="16" t="str">
        <f>TRIM(_xlfn.TEXTBEFORE(E4, ":"))</f>
        <v>Rareza</v>
      </c>
      <c r="G5" s="18" t="s">
        <v>965</v>
      </c>
      <c r="H5" s="16" t="str">
        <f>TRIM(_xlfn.TEXTBEFORE(G4, ":"))</f>
        <v>Rareté</v>
      </c>
      <c r="I5" s="18" t="s">
        <v>3135</v>
      </c>
      <c r="J5" s="16" t="str">
        <f>TRIM(_xlfn.TEXTBEFORE(I4, ":"))</f>
        <v>レアリティ</v>
      </c>
      <c r="K5" s="18" t="s">
        <v>3882</v>
      </c>
      <c r="L5" s="16" t="str">
        <f>TRIM(_xlfn.TEXTBEFORE(K4, ":"))</f>
        <v>아이템 희귀도</v>
      </c>
      <c r="M5" s="18" t="s">
        <v>4612</v>
      </c>
      <c r="N5" s="16" t="str">
        <f>TRIM(_xlfn.TEXTBEFORE(M4, ":"))</f>
        <v>Raridade</v>
      </c>
      <c r="O5" s="18" t="s">
        <v>5295</v>
      </c>
      <c r="P5" s="16" t="str">
        <f>TRIM(_xlfn.TEXTBEFORE(O4, ":"))</f>
        <v>Редкость</v>
      </c>
      <c r="Q5" s="18" t="s">
        <v>6029</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709</v>
      </c>
      <c r="B7" s="16"/>
      <c r="C7" s="18" t="s">
        <v>1699</v>
      </c>
      <c r="D7" s="16"/>
      <c r="E7" s="18" t="s">
        <v>2418</v>
      </c>
      <c r="F7" s="16"/>
      <c r="G7" s="18" t="s">
        <v>966</v>
      </c>
      <c r="H7" s="16"/>
      <c r="I7" s="18" t="s">
        <v>3136</v>
      </c>
      <c r="J7" s="16"/>
      <c r="K7" s="18" t="s">
        <v>3883</v>
      </c>
      <c r="L7" s="16"/>
      <c r="M7" s="18" t="s">
        <v>4613</v>
      </c>
      <c r="N7" s="16"/>
      <c r="O7" s="18" t="s">
        <v>5296</v>
      </c>
      <c r="P7" s="16"/>
      <c r="Q7" s="18" t="s">
        <v>6030</v>
      </c>
      <c r="R7" s="16"/>
      <c r="S7" s="18"/>
      <c r="T7" s="20"/>
    </row>
    <row r="8" spans="1:20" ht="15.95" customHeight="1" x14ac:dyDescent="0.25">
      <c r="A8" s="18" t="s">
        <v>710</v>
      </c>
      <c r="B8" s="16"/>
      <c r="C8" s="18" t="s">
        <v>1700</v>
      </c>
      <c r="D8" s="16"/>
      <c r="E8" s="18" t="s">
        <v>2419</v>
      </c>
      <c r="F8" s="16"/>
      <c r="G8" s="18" t="s">
        <v>967</v>
      </c>
      <c r="H8" s="16"/>
      <c r="I8" s="18" t="s">
        <v>3137</v>
      </c>
      <c r="J8" s="16"/>
      <c r="K8" s="18" t="s">
        <v>3884</v>
      </c>
      <c r="L8" s="16"/>
      <c r="M8" s="18" t="s">
        <v>4614</v>
      </c>
      <c r="N8" s="16"/>
      <c r="O8" s="18" t="s">
        <v>5297</v>
      </c>
      <c r="P8" s="16"/>
      <c r="Q8" s="18" t="s">
        <v>6031</v>
      </c>
      <c r="R8" s="16"/>
      <c r="S8" s="18"/>
      <c r="T8" s="20"/>
    </row>
    <row r="9" spans="1:20" ht="15.95" customHeight="1" x14ac:dyDescent="0.25">
      <c r="A9" s="18" t="s">
        <v>711</v>
      </c>
      <c r="B9" s="16"/>
      <c r="C9" s="18" t="s">
        <v>1701</v>
      </c>
      <c r="D9" s="16"/>
      <c r="E9" s="18" t="s">
        <v>2420</v>
      </c>
      <c r="F9" s="16"/>
      <c r="G9" s="18" t="s">
        <v>968</v>
      </c>
      <c r="H9" s="16"/>
      <c r="I9" s="18" t="s">
        <v>3138</v>
      </c>
      <c r="J9" s="16"/>
      <c r="K9" s="18" t="s">
        <v>3885</v>
      </c>
      <c r="L9" s="16"/>
      <c r="M9" s="18" t="s">
        <v>4615</v>
      </c>
      <c r="N9" s="16"/>
      <c r="O9" s="18" t="s">
        <v>5298</v>
      </c>
      <c r="P9" s="16"/>
      <c r="Q9" s="18" t="s">
        <v>6032</v>
      </c>
      <c r="R9" s="16"/>
      <c r="S9" s="18"/>
      <c r="T9" s="20"/>
    </row>
    <row r="10" spans="1:20" ht="15.95" customHeight="1" x14ac:dyDescent="0.25">
      <c r="A10" s="18" t="s">
        <v>712</v>
      </c>
      <c r="B10" s="16"/>
      <c r="C10" s="18" t="s">
        <v>1702</v>
      </c>
      <c r="D10" s="16"/>
      <c r="E10" s="18" t="s">
        <v>2421</v>
      </c>
      <c r="F10" s="16"/>
      <c r="G10" s="18" t="s">
        <v>969</v>
      </c>
      <c r="H10" s="16"/>
      <c r="I10" s="18" t="s">
        <v>3139</v>
      </c>
      <c r="J10" s="16"/>
      <c r="K10" s="18" t="s">
        <v>3886</v>
      </c>
      <c r="L10" s="16"/>
      <c r="M10" s="18" t="s">
        <v>4616</v>
      </c>
      <c r="N10" s="16"/>
      <c r="O10" s="18" t="s">
        <v>5299</v>
      </c>
      <c r="P10" s="16"/>
      <c r="Q10" s="18" t="s">
        <v>6033</v>
      </c>
      <c r="R10" s="16"/>
      <c r="S10" s="18"/>
      <c r="T10" s="20"/>
    </row>
    <row r="11" spans="1:20" ht="15.95" customHeight="1" x14ac:dyDescent="0.25">
      <c r="A11" s="18" t="s">
        <v>713</v>
      </c>
      <c r="B11" s="16"/>
      <c r="C11" s="18" t="s">
        <v>1703</v>
      </c>
      <c r="D11" s="16"/>
      <c r="E11" s="18" t="s">
        <v>2422</v>
      </c>
      <c r="F11" s="16"/>
      <c r="G11" s="18" t="s">
        <v>970</v>
      </c>
      <c r="H11" s="16"/>
      <c r="I11" s="18" t="s">
        <v>3140</v>
      </c>
      <c r="J11" s="16"/>
      <c r="K11" s="18" t="s">
        <v>3887</v>
      </c>
      <c r="L11" s="16"/>
      <c r="M11" s="18" t="s">
        <v>4617</v>
      </c>
      <c r="N11" s="16"/>
      <c r="O11" s="18" t="s">
        <v>5300</v>
      </c>
      <c r="P11" s="16"/>
      <c r="Q11" s="18" t="s">
        <v>6034</v>
      </c>
      <c r="R11" s="16"/>
      <c r="S11" s="18"/>
      <c r="T11" s="20"/>
    </row>
    <row r="12" spans="1:20" ht="15.95" customHeight="1" x14ac:dyDescent="0.25">
      <c r="A12" s="18" t="s">
        <v>714</v>
      </c>
      <c r="B12" s="16"/>
      <c r="C12" s="18" t="s">
        <v>1704</v>
      </c>
      <c r="D12" s="16"/>
      <c r="E12" s="18" t="s">
        <v>2423</v>
      </c>
      <c r="F12" s="16"/>
      <c r="G12" s="18" t="s">
        <v>971</v>
      </c>
      <c r="H12" s="16"/>
      <c r="I12" s="18" t="s">
        <v>3141</v>
      </c>
      <c r="J12" s="16"/>
      <c r="K12" s="18" t="s">
        <v>3888</v>
      </c>
      <c r="L12" s="16"/>
      <c r="M12" s="18" t="s">
        <v>4618</v>
      </c>
      <c r="N12" s="16"/>
      <c r="O12" s="18" t="s">
        <v>5301</v>
      </c>
      <c r="P12" s="16"/>
      <c r="Q12" s="18" t="s">
        <v>6035</v>
      </c>
      <c r="R12" s="16"/>
      <c r="S12" s="18"/>
      <c r="T12" s="20"/>
    </row>
    <row r="13" spans="1:20" ht="15.95" customHeight="1" x14ac:dyDescent="0.25">
      <c r="A13" s="18" t="s">
        <v>715</v>
      </c>
      <c r="B13" s="16"/>
      <c r="C13" s="18" t="s">
        <v>1705</v>
      </c>
      <c r="D13" s="16"/>
      <c r="E13" s="18" t="s">
        <v>2424</v>
      </c>
      <c r="F13" s="16"/>
      <c r="G13" s="18" t="s">
        <v>972</v>
      </c>
      <c r="H13" s="16"/>
      <c r="I13" s="18" t="s">
        <v>3142</v>
      </c>
      <c r="J13" s="16"/>
      <c r="K13" s="18" t="s">
        <v>3889</v>
      </c>
      <c r="L13" s="16"/>
      <c r="M13" s="18" t="s">
        <v>4619</v>
      </c>
      <c r="N13" s="16"/>
      <c r="O13" s="18" t="s">
        <v>5302</v>
      </c>
      <c r="P13" s="16"/>
      <c r="Q13" s="18" t="s">
        <v>6036</v>
      </c>
      <c r="R13" s="16"/>
      <c r="S13" s="18"/>
      <c r="T13" s="20"/>
    </row>
    <row r="14" spans="1:20" ht="15.95" customHeight="1" x14ac:dyDescent="0.25">
      <c r="A14" s="18" t="s">
        <v>716</v>
      </c>
      <c r="B14" s="16"/>
      <c r="C14" s="18" t="s">
        <v>1706</v>
      </c>
      <c r="D14" s="16"/>
      <c r="E14" s="18" t="s">
        <v>2425</v>
      </c>
      <c r="F14" s="16"/>
      <c r="G14" s="18" t="s">
        <v>973</v>
      </c>
      <c r="H14" s="16"/>
      <c r="I14" s="18" t="s">
        <v>3143</v>
      </c>
      <c r="J14" s="16"/>
      <c r="K14" s="18" t="s">
        <v>3890</v>
      </c>
      <c r="L14" s="16"/>
      <c r="M14" s="18" t="s">
        <v>4620</v>
      </c>
      <c r="N14" s="16"/>
      <c r="O14" s="18" t="s">
        <v>5303</v>
      </c>
      <c r="P14" s="16"/>
      <c r="Q14" s="18" t="s">
        <v>6037</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717</v>
      </c>
      <c r="B16" s="16"/>
      <c r="C16" s="18" t="s">
        <v>1707</v>
      </c>
      <c r="D16" s="16"/>
      <c r="E16" s="18" t="s">
        <v>2426</v>
      </c>
      <c r="F16" s="16"/>
      <c r="G16" s="18" t="s">
        <v>974</v>
      </c>
      <c r="H16" s="16"/>
      <c r="I16" s="18" t="s">
        <v>3144</v>
      </c>
      <c r="J16" s="16"/>
      <c r="K16" s="18" t="s">
        <v>3891</v>
      </c>
      <c r="L16" s="16"/>
      <c r="M16" s="18" t="s">
        <v>4621</v>
      </c>
      <c r="N16" s="16"/>
      <c r="O16" s="18" t="s">
        <v>5304</v>
      </c>
      <c r="P16" s="16"/>
      <c r="Q16" s="18" t="s">
        <v>6038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718</v>
      </c>
      <c r="B18" s="16"/>
      <c r="C18" s="18" t="s">
        <v>1708</v>
      </c>
      <c r="D18" s="16"/>
      <c r="E18" s="18" t="s">
        <v>2427</v>
      </c>
      <c r="F18" s="16"/>
      <c r="G18" s="18" t="s">
        <v>975</v>
      </c>
      <c r="H18" s="16"/>
      <c r="I18" s="18" t="s">
        <v>3145</v>
      </c>
      <c r="J18" s="16"/>
      <c r="K18" s="18" t="s">
        <v>3892</v>
      </c>
      <c r="L18" s="16"/>
      <c r="M18" s="18" t="s">
        <v>4622</v>
      </c>
      <c r="N18" s="16"/>
      <c r="O18" s="18" t="s">
        <v>5305</v>
      </c>
      <c r="P18" s="16"/>
      <c r="Q18" s="18" t="s">
        <v>6039</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3" priority="2" stopIfTrue="1">
      <formula>NOT(ISERROR(A3))</formula>
    </cfRule>
  </conditionalFormatting>
  <conditionalFormatting sqref="A3:T51">
    <cfRule type="containsErrors" dxfId="302" priority="1" stopIfTrue="1">
      <formula>ISERROR(A3)</formula>
    </cfRule>
    <cfRule type="notContainsBlanks" dxfId="301" priority="3">
      <formula>LEN(TRIM(A3))&gt;0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719</v>
      </c>
      <c r="B3" s="16" t="str">
        <f>TRIM(_xlfn.TEXTBEFORE(A3, ":"))</f>
        <v>Item Class</v>
      </c>
      <c r="C3" s="17" t="s">
        <v>1709</v>
      </c>
      <c r="D3" s="16" t="str">
        <f>TRIM(_xlfn.TEXTBEFORE(C3, ":"))</f>
        <v>Gegenstandsklasse</v>
      </c>
      <c r="E3" s="17" t="s">
        <v>2428</v>
      </c>
      <c r="F3" s="16" t="str">
        <f>TRIM(_xlfn.TEXTBEFORE(E3, ":"))</f>
        <v>Clase de objeto</v>
      </c>
      <c r="G3" s="17" t="s">
        <v>976</v>
      </c>
      <c r="H3" s="16" t="str">
        <f>TRIM(_xlfn.TEXTBEFORE(G3, ":"))</f>
        <v>Classe d'objet</v>
      </c>
      <c r="I3" s="17" t="s">
        <v>3146</v>
      </c>
      <c r="J3" s="16" t="str">
        <f>TRIM(_xlfn.TEXTBEFORE(I3, ":"))</f>
        <v>アイテムクラス</v>
      </c>
      <c r="K3" s="17" t="s">
        <v>3893</v>
      </c>
      <c r="L3" s="16" t="str">
        <f>TRIM(_xlfn.TEXTBEFORE(K3, ":"))</f>
        <v>아이템 종류</v>
      </c>
      <c r="M3" s="17" t="s">
        <v>4623</v>
      </c>
      <c r="N3" s="16" t="str">
        <f>TRIM(_xlfn.TEXTBEFORE(M3, ":"))</f>
        <v>Classe do Item</v>
      </c>
      <c r="O3" s="17" t="s">
        <v>5306</v>
      </c>
      <c r="P3" s="16" t="str">
        <f>TRIM(_xlfn.TEXTBEFORE(O3, ":"))</f>
        <v>Класс предмета</v>
      </c>
      <c r="Q3" s="17" t="s">
        <v>6040</v>
      </c>
      <c r="R3" s="16" t="str">
        <f>TRIM(_xlfn.TEXTBEFORE(Q3, ":"))</f>
        <v>ชนิดไอเทม</v>
      </c>
      <c r="S3" s="17"/>
      <c r="T3" s="20" t="e">
        <f>TRIM(_xlfn.TEXTBEFORE(S3, ":"))</f>
        <v>#N/A</v>
      </c>
    </row>
    <row r="4" spans="1:20" ht="15.95" customHeight="1" x14ac:dyDescent="0.25">
      <c r="A4" s="18" t="s">
        <v>499</v>
      </c>
      <c r="B4" s="16" t="str">
        <f>TRIM(_xlfn.TEXTAFTER(A3, ":"))</f>
        <v>Contracts</v>
      </c>
      <c r="C4" s="18" t="s">
        <v>1710</v>
      </c>
      <c r="D4" s="16" t="str">
        <f>TRIM(_xlfn.TEXTAFTER(C3, ":"))</f>
        <v>Aufträge</v>
      </c>
      <c r="E4" s="18" t="s">
        <v>2429</v>
      </c>
      <c r="F4" s="16" t="str">
        <f>TRIM(_xlfn.TEXTAFTER(E3, ":"))</f>
        <v>Contratos</v>
      </c>
      <c r="G4" s="18" t="s">
        <v>977</v>
      </c>
      <c r="H4" s="16" t="str">
        <f>TRIM(_xlfn.TEXTAFTER(G3, ":"))</f>
        <v>Contrats</v>
      </c>
      <c r="I4" s="18" t="s">
        <v>3147</v>
      </c>
      <c r="J4" s="16" t="str">
        <f>TRIM(_xlfn.TEXTAFTER(I3, ":"))</f>
        <v>依頼書</v>
      </c>
      <c r="K4" s="18" t="s">
        <v>3894</v>
      </c>
      <c r="L4" s="16" t="str">
        <f>TRIM(_xlfn.TEXTAFTER(K3, ":"))</f>
        <v>계약</v>
      </c>
      <c r="M4" s="18" t="s">
        <v>4624</v>
      </c>
      <c r="N4" s="16" t="str">
        <f>TRIM(_xlfn.TEXTAFTER(M3, ":"))</f>
        <v>Contratos</v>
      </c>
      <c r="O4" s="18" t="s">
        <v>5307</v>
      </c>
      <c r="P4" s="16" t="str">
        <f>TRIM(_xlfn.TEXTAFTER(O3, ":"))</f>
        <v>Контракты</v>
      </c>
      <c r="Q4" s="18" t="s">
        <v>6041</v>
      </c>
      <c r="R4" s="16" t="str">
        <f>TRIM(_xlfn.TEXTAFTER(Q3, ":"))</f>
        <v>สัญญาจ้าง</v>
      </c>
      <c r="S4" s="18"/>
      <c r="T4" s="20" t="e">
        <f>TRIM(_xlfn.TEXTAFTER(S3, ":"))</f>
        <v>#N/A</v>
      </c>
    </row>
    <row r="5" spans="1:20" ht="15.95" customHeight="1" x14ac:dyDescent="0.25">
      <c r="A5" s="18" t="s">
        <v>720</v>
      </c>
      <c r="B5" s="16" t="str">
        <f>TRIM(_xlfn.TEXTBEFORE(A4, ":"))</f>
        <v>Rarity</v>
      </c>
      <c r="C5" s="18" t="s">
        <v>1711</v>
      </c>
      <c r="D5" s="16" t="str">
        <f>TRIM(_xlfn.TEXTBEFORE(C4, ":"))</f>
        <v>Seltenheit</v>
      </c>
      <c r="E5" s="18" t="s">
        <v>2430</v>
      </c>
      <c r="F5" s="16" t="str">
        <f>TRIM(_xlfn.TEXTBEFORE(E4, ":"))</f>
        <v>Rareza</v>
      </c>
      <c r="G5" s="18" t="s">
        <v>978</v>
      </c>
      <c r="H5" s="16" t="str">
        <f>TRIM(_xlfn.TEXTBEFORE(G4, ":"))</f>
        <v>Rareté</v>
      </c>
      <c r="I5" s="18" t="s">
        <v>3148</v>
      </c>
      <c r="J5" s="16" t="str">
        <f>TRIM(_xlfn.TEXTBEFORE(I4, ":"))</f>
        <v>レアリティ</v>
      </c>
      <c r="K5" s="18" t="s">
        <v>3895</v>
      </c>
      <c r="L5" s="16" t="str">
        <f>TRIM(_xlfn.TEXTBEFORE(K4, ":"))</f>
        <v>아이템 희귀도</v>
      </c>
      <c r="M5" s="18" t="s">
        <v>4625</v>
      </c>
      <c r="N5" s="16" t="str">
        <f>TRIM(_xlfn.TEXTBEFORE(M4, ":"))</f>
        <v>Raridade</v>
      </c>
      <c r="O5" s="18" t="s">
        <v>5308</v>
      </c>
      <c r="P5" s="16" t="str">
        <f>TRIM(_xlfn.TEXTBEFORE(O4, ":"))</f>
        <v>Редкость</v>
      </c>
      <c r="Q5" s="18" t="s">
        <v>6042</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721</v>
      </c>
      <c r="B7" s="16"/>
      <c r="C7" s="18" t="s">
        <v>1712</v>
      </c>
      <c r="D7" s="16"/>
      <c r="E7" s="18" t="s">
        <v>2431</v>
      </c>
      <c r="F7" s="16"/>
      <c r="G7" s="18" t="s">
        <v>979</v>
      </c>
      <c r="H7" s="16"/>
      <c r="I7" s="18" t="s">
        <v>3149</v>
      </c>
      <c r="J7" s="16"/>
      <c r="K7" s="18" t="s">
        <v>3896</v>
      </c>
      <c r="L7" s="16"/>
      <c r="M7" s="18" t="s">
        <v>2431</v>
      </c>
      <c r="N7" s="16"/>
      <c r="O7" s="18" t="s">
        <v>5309</v>
      </c>
      <c r="P7" s="16"/>
      <c r="Q7" s="18" t="s">
        <v>6043</v>
      </c>
      <c r="R7" s="16"/>
      <c r="S7" s="18"/>
      <c r="T7" s="20"/>
    </row>
    <row r="8" spans="1:20" ht="15.95" customHeight="1" x14ac:dyDescent="0.25">
      <c r="A8" s="18" t="s">
        <v>722</v>
      </c>
      <c r="B8" s="16"/>
      <c r="C8" s="18" t="s">
        <v>1713</v>
      </c>
      <c r="D8" s="16"/>
      <c r="E8" s="18" t="s">
        <v>2432</v>
      </c>
      <c r="F8" s="16"/>
      <c r="G8" s="18" t="s">
        <v>980</v>
      </c>
      <c r="H8" s="16"/>
      <c r="I8" s="18" t="s">
        <v>3150</v>
      </c>
      <c r="J8" s="16"/>
      <c r="K8" s="18" t="s">
        <v>3897</v>
      </c>
      <c r="L8" s="16"/>
      <c r="M8" s="18" t="s">
        <v>4626</v>
      </c>
      <c r="N8" s="16"/>
      <c r="O8" s="18" t="s">
        <v>5310</v>
      </c>
      <c r="P8" s="16"/>
      <c r="Q8" s="18" t="s">
        <v>6044</v>
      </c>
      <c r="R8" s="16"/>
      <c r="S8" s="18"/>
      <c r="T8" s="20"/>
    </row>
    <row r="9" spans="1:20" ht="15.95" customHeight="1" x14ac:dyDescent="0.25">
      <c r="A9" s="18" t="s">
        <v>723</v>
      </c>
      <c r="B9" s="16"/>
      <c r="C9" s="18" t="s">
        <v>1714</v>
      </c>
      <c r="D9" s="16"/>
      <c r="E9" s="18" t="s">
        <v>2433</v>
      </c>
      <c r="F9" s="16"/>
      <c r="G9" s="18" t="s">
        <v>981</v>
      </c>
      <c r="H9" s="16"/>
      <c r="I9" s="18" t="s">
        <v>3151</v>
      </c>
      <c r="J9" s="16"/>
      <c r="K9" s="18" t="s">
        <v>3898</v>
      </c>
      <c r="L9" s="16"/>
      <c r="M9" s="18" t="s">
        <v>4627</v>
      </c>
      <c r="N9" s="16"/>
      <c r="O9" s="18" t="s">
        <v>5311</v>
      </c>
      <c r="P9" s="16"/>
      <c r="Q9" s="18" t="s">
        <v>6045</v>
      </c>
      <c r="R9" s="16"/>
      <c r="S9" s="18"/>
      <c r="T9" s="20"/>
    </row>
    <row r="10" spans="1:20" ht="15.95" customHeight="1" x14ac:dyDescent="0.25">
      <c r="A10" s="18" t="s">
        <v>724</v>
      </c>
      <c r="B10" s="16"/>
      <c r="C10" s="18" t="s">
        <v>1715</v>
      </c>
      <c r="D10" s="16"/>
      <c r="E10" s="18" t="s">
        <v>2434</v>
      </c>
      <c r="F10" s="16"/>
      <c r="G10" s="18" t="s">
        <v>982</v>
      </c>
      <c r="H10" s="16"/>
      <c r="I10" s="18" t="s">
        <v>3152</v>
      </c>
      <c r="J10" s="16"/>
      <c r="K10" s="18" t="s">
        <v>3899</v>
      </c>
      <c r="L10" s="16"/>
      <c r="M10" s="18" t="s">
        <v>4628</v>
      </c>
      <c r="N10" s="16"/>
      <c r="O10" s="18" t="s">
        <v>5312</v>
      </c>
      <c r="P10" s="16"/>
      <c r="Q10" s="18" t="s">
        <v>6046</v>
      </c>
      <c r="R10" s="16"/>
      <c r="S10" s="18"/>
      <c r="T10" s="20"/>
    </row>
    <row r="11" spans="1:20" ht="15.95" customHeight="1" x14ac:dyDescent="0.25">
      <c r="A11" s="18" t="s">
        <v>725</v>
      </c>
      <c r="B11" s="16"/>
      <c r="C11" s="18" t="s">
        <v>1716</v>
      </c>
      <c r="D11" s="16"/>
      <c r="E11" s="18" t="s">
        <v>2435</v>
      </c>
      <c r="F11" s="16"/>
      <c r="G11" s="18" t="s">
        <v>983</v>
      </c>
      <c r="H11" s="16"/>
      <c r="I11" s="18" t="s">
        <v>3153</v>
      </c>
      <c r="J11" s="16"/>
      <c r="K11" s="18" t="s">
        <v>3900</v>
      </c>
      <c r="L11" s="16"/>
      <c r="M11" s="18" t="s">
        <v>4629</v>
      </c>
      <c r="N11" s="16"/>
      <c r="O11" s="18" t="s">
        <v>5313</v>
      </c>
      <c r="P11" s="16"/>
      <c r="Q11" s="18" t="s">
        <v>6047</v>
      </c>
      <c r="R11" s="16"/>
      <c r="S11" s="18"/>
      <c r="T11" s="20"/>
    </row>
    <row r="12" spans="1:20" ht="15.95" customHeight="1" x14ac:dyDescent="0.25">
      <c r="A12" s="18" t="s">
        <v>726</v>
      </c>
      <c r="B12" s="16"/>
      <c r="C12" s="18" t="s">
        <v>1717</v>
      </c>
      <c r="D12" s="16"/>
      <c r="E12" s="18" t="s">
        <v>2436</v>
      </c>
      <c r="F12" s="16"/>
      <c r="G12" s="18" t="s">
        <v>984</v>
      </c>
      <c r="H12" s="16"/>
      <c r="I12" s="18" t="s">
        <v>3154</v>
      </c>
      <c r="J12" s="16"/>
      <c r="K12" s="18" t="s">
        <v>3901</v>
      </c>
      <c r="L12" s="16"/>
      <c r="M12" s="18" t="s">
        <v>4630</v>
      </c>
      <c r="N12" s="16"/>
      <c r="O12" s="18" t="s">
        <v>5314</v>
      </c>
      <c r="P12" s="16"/>
      <c r="Q12" s="18" t="s">
        <v>6048</v>
      </c>
      <c r="R12" s="16"/>
      <c r="S12" s="18"/>
      <c r="T12" s="20"/>
    </row>
    <row r="13" spans="1:20" ht="15.95" customHeight="1" x14ac:dyDescent="0.25">
      <c r="A13" s="18" t="s">
        <v>727</v>
      </c>
      <c r="B13" s="16"/>
      <c r="C13" s="18" t="s">
        <v>1718</v>
      </c>
      <c r="D13" s="16"/>
      <c r="E13" s="18" t="s">
        <v>2437</v>
      </c>
      <c r="F13" s="16"/>
      <c r="G13" s="18" t="s">
        <v>985</v>
      </c>
      <c r="H13" s="16"/>
      <c r="I13" s="18" t="s">
        <v>3155</v>
      </c>
      <c r="J13" s="16"/>
      <c r="K13" s="18" t="s">
        <v>3902</v>
      </c>
      <c r="L13" s="16"/>
      <c r="M13" s="18" t="s">
        <v>4631</v>
      </c>
      <c r="N13" s="16"/>
      <c r="O13" s="18" t="s">
        <v>5315</v>
      </c>
      <c r="P13" s="16"/>
      <c r="Q13" s="18" t="s">
        <v>6049</v>
      </c>
      <c r="R13" s="16"/>
      <c r="S13" s="18"/>
      <c r="T13" s="20"/>
    </row>
    <row r="14" spans="1:20" ht="15.95" customHeight="1" x14ac:dyDescent="0.25">
      <c r="A14" s="18" t="s">
        <v>728</v>
      </c>
      <c r="B14" s="16"/>
      <c r="C14" s="18" t="s">
        <v>1719</v>
      </c>
      <c r="D14" s="16"/>
      <c r="E14" s="18" t="s">
        <v>2438</v>
      </c>
      <c r="F14" s="16"/>
      <c r="G14" s="18" t="s">
        <v>986</v>
      </c>
      <c r="H14" s="16"/>
      <c r="I14" s="18" t="s">
        <v>3156</v>
      </c>
      <c r="J14" s="16"/>
      <c r="K14" s="18" t="s">
        <v>3903</v>
      </c>
      <c r="L14" s="16"/>
      <c r="M14" s="18" t="s">
        <v>4632</v>
      </c>
      <c r="N14" s="16"/>
      <c r="O14" s="18" t="s">
        <v>5316</v>
      </c>
      <c r="P14" s="16"/>
      <c r="Q14" s="18" t="s">
        <v>6050</v>
      </c>
      <c r="R14" s="16"/>
      <c r="S14" s="18"/>
      <c r="T14" s="20"/>
    </row>
    <row r="15" spans="1:20" ht="15.95" customHeight="1" x14ac:dyDescent="0.25">
      <c r="A15" s="18" t="s">
        <v>729</v>
      </c>
      <c r="B15" s="16"/>
      <c r="C15" s="18" t="s">
        <v>1720</v>
      </c>
      <c r="D15" s="16"/>
      <c r="E15" s="18" t="s">
        <v>2439</v>
      </c>
      <c r="F15" s="16"/>
      <c r="G15" s="18" t="s">
        <v>987</v>
      </c>
      <c r="H15" s="16"/>
      <c r="I15" s="18" t="s">
        <v>3157</v>
      </c>
      <c r="J15" s="16"/>
      <c r="K15" s="18" t="s">
        <v>3904</v>
      </c>
      <c r="L15" s="16"/>
      <c r="M15" s="18" t="s">
        <v>4633</v>
      </c>
      <c r="N15" s="16"/>
      <c r="O15" s="18" t="s">
        <v>5317</v>
      </c>
      <c r="P15" s="16"/>
      <c r="Q15" s="18" t="s">
        <v>6051</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730</v>
      </c>
      <c r="B17" s="16"/>
      <c r="C17" s="18" t="s">
        <v>1721</v>
      </c>
      <c r="D17" s="16"/>
      <c r="E17" s="18" t="s">
        <v>2440</v>
      </c>
      <c r="F17" s="16"/>
      <c r="G17" s="18" t="s">
        <v>988</v>
      </c>
      <c r="H17" s="16"/>
      <c r="I17" s="18" t="s">
        <v>3158</v>
      </c>
      <c r="J17" s="16"/>
      <c r="K17" s="18" t="s">
        <v>3905</v>
      </c>
      <c r="L17" s="16"/>
      <c r="M17" s="18" t="s">
        <v>4634</v>
      </c>
      <c r="N17" s="16"/>
      <c r="O17" s="18" t="s">
        <v>5318</v>
      </c>
      <c r="P17" s="16"/>
      <c r="Q17" s="18" t="s">
        <v>6052</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731</v>
      </c>
      <c r="B19" s="16"/>
      <c r="C19" s="18" t="s">
        <v>1722</v>
      </c>
      <c r="D19" s="16"/>
      <c r="E19" s="18" t="s">
        <v>2441</v>
      </c>
      <c r="F19" s="16"/>
      <c r="G19" s="18" t="s">
        <v>989</v>
      </c>
      <c r="H19" s="16"/>
      <c r="I19" s="18" t="s">
        <v>3159</v>
      </c>
      <c r="J19" s="16"/>
      <c r="K19" s="18" t="s">
        <v>3906</v>
      </c>
      <c r="L19" s="16"/>
      <c r="M19" s="18" t="s">
        <v>4635</v>
      </c>
      <c r="N19" s="16"/>
      <c r="O19" s="18" t="s">
        <v>5319</v>
      </c>
      <c r="P19" s="16"/>
      <c r="Q19" s="18" t="s">
        <v>6053</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732</v>
      </c>
      <c r="B21" s="16"/>
      <c r="C21" s="18" t="s">
        <v>1723</v>
      </c>
      <c r="D21" s="16"/>
      <c r="E21" s="18" t="s">
        <v>2442</v>
      </c>
      <c r="F21" s="16"/>
      <c r="G21" s="18" t="s">
        <v>990</v>
      </c>
      <c r="H21" s="16"/>
      <c r="I21" s="18" t="s">
        <v>3160</v>
      </c>
      <c r="J21" s="16"/>
      <c r="K21" s="18" t="s">
        <v>3907</v>
      </c>
      <c r="L21" s="16"/>
      <c r="M21" s="18" t="s">
        <v>4636</v>
      </c>
      <c r="N21" s="16"/>
      <c r="O21" s="18" t="s">
        <v>5320</v>
      </c>
      <c r="P21" s="16"/>
      <c r="Q21" s="18" t="s">
        <v>6054</v>
      </c>
      <c r="R21" s="16"/>
      <c r="S21" s="18"/>
      <c r="T21" s="20"/>
    </row>
    <row r="22" spans="1:20" ht="15.95" customHeight="1" x14ac:dyDescent="0.25">
      <c r="A22" s="18" t="s">
        <v>4</v>
      </c>
      <c r="B22" s="16"/>
      <c r="C22" s="18" t="s">
        <v>4</v>
      </c>
      <c r="D22" s="16"/>
      <c r="E22" s="18" t="s">
        <v>4</v>
      </c>
      <c r="F22" s="16"/>
      <c r="G22" s="18" t="s">
        <v>991</v>
      </c>
      <c r="H22" s="16"/>
      <c r="I22" s="18" t="s">
        <v>4</v>
      </c>
      <c r="J22" s="16"/>
      <c r="K22" s="18" t="s">
        <v>4</v>
      </c>
      <c r="L22" s="16"/>
      <c r="M22" s="18" t="s">
        <v>4</v>
      </c>
      <c r="N22" s="16"/>
      <c r="O22" s="18" t="s">
        <v>5321</v>
      </c>
      <c r="P22" s="16"/>
      <c r="Q22" s="18" t="s">
        <v>4</v>
      </c>
      <c r="R22" s="16"/>
      <c r="S22" s="18"/>
      <c r="T22" s="20"/>
    </row>
    <row r="23" spans="1:20" ht="15.95" customHeight="1" x14ac:dyDescent="0.25">
      <c r="A23" s="18" t="s">
        <v>733</v>
      </c>
      <c r="B23" s="16"/>
      <c r="C23" s="18" t="s">
        <v>1724</v>
      </c>
      <c r="D23" s="16"/>
      <c r="E23" s="18" t="s">
        <v>2443</v>
      </c>
      <c r="F23" s="16"/>
      <c r="G23" s="18" t="s">
        <v>4</v>
      </c>
      <c r="H23" s="16"/>
      <c r="I23" s="18" t="s">
        <v>3161</v>
      </c>
      <c r="J23" s="16"/>
      <c r="K23" s="18" t="s">
        <v>3908</v>
      </c>
      <c r="L23" s="16"/>
      <c r="M23" s="18" t="s">
        <v>4637</v>
      </c>
      <c r="N23" s="16"/>
      <c r="O23" s="18" t="s">
        <v>4</v>
      </c>
      <c r="P23" s="16"/>
      <c r="Q23" s="18" t="s">
        <v>6055</v>
      </c>
      <c r="R23" s="16"/>
      <c r="S23" s="18"/>
      <c r="T23" s="20"/>
    </row>
    <row r="24" spans="1:20" ht="15.95" customHeight="1" x14ac:dyDescent="0.25">
      <c r="A24" s="18"/>
      <c r="B24" s="16"/>
      <c r="C24" s="18"/>
      <c r="D24" s="16"/>
      <c r="E24" s="18"/>
      <c r="F24" s="16"/>
      <c r="G24" s="18" t="s">
        <v>992</v>
      </c>
      <c r="H24" s="16"/>
      <c r="I24" s="18"/>
      <c r="J24" s="16"/>
      <c r="K24" s="18"/>
      <c r="L24" s="16"/>
      <c r="M24" s="18"/>
      <c r="N24" s="16"/>
      <c r="O24" s="18" t="s">
        <v>5322</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0" priority="2" stopIfTrue="1">
      <formula>NOT(ISERROR(A3))</formula>
    </cfRule>
  </conditionalFormatting>
  <conditionalFormatting sqref="A3:T51">
    <cfRule type="containsErrors" dxfId="299" priority="1" stopIfTrue="1">
      <formula>ISERROR(A3)</formula>
    </cfRule>
    <cfRule type="notContainsBlanks" dxfId="298"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587</v>
      </c>
      <c r="B3" s="16" t="str">
        <f>TRIM(_xlfn.TEXTBEFORE(A3, ":"))</f>
        <v>Item Class</v>
      </c>
      <c r="C3" s="17" t="s">
        <v>1725</v>
      </c>
      <c r="D3" s="16" t="str">
        <f>TRIM(_xlfn.TEXTBEFORE(C3, ":"))</f>
        <v>Gegenstandsklasse</v>
      </c>
      <c r="E3" s="17" t="s">
        <v>2444</v>
      </c>
      <c r="F3" s="16" t="str">
        <f>TRIM(_xlfn.TEXTBEFORE(E3, ":"))</f>
        <v>Clase de objeto</v>
      </c>
      <c r="G3" s="17" t="s">
        <v>993</v>
      </c>
      <c r="H3" s="16" t="str">
        <f>TRIM(_xlfn.TEXTBEFORE(G3, ":"))</f>
        <v>Classe d'objet</v>
      </c>
      <c r="I3" s="17" t="s">
        <v>3162</v>
      </c>
      <c r="J3" s="16" t="str">
        <f>TRIM(_xlfn.TEXTBEFORE(I3, ":"))</f>
        <v>アイテムクラス</v>
      </c>
      <c r="K3" s="17" t="s">
        <v>3909</v>
      </c>
      <c r="L3" s="16" t="str">
        <f>TRIM(_xlfn.TEXTBEFORE(K3, ":"))</f>
        <v>아이템 종류</v>
      </c>
      <c r="M3" s="17" t="s">
        <v>4638</v>
      </c>
      <c r="N3" s="16" t="str">
        <f>TRIM(_xlfn.TEXTBEFORE(M3, ":"))</f>
        <v>Classe do Item</v>
      </c>
      <c r="O3" s="17" t="s">
        <v>5323</v>
      </c>
      <c r="P3" s="16" t="str">
        <f>TRIM(_xlfn.TEXTBEFORE(O3, ":"))</f>
        <v>Класс предмета</v>
      </c>
      <c r="Q3" s="17" t="s">
        <v>6056</v>
      </c>
      <c r="R3" s="16" t="str">
        <f>TRIM(_xlfn.TEXTBEFORE(Q3, ":"))</f>
        <v>ชนิดไอเทม</v>
      </c>
      <c r="S3" s="17"/>
      <c r="T3" s="16" t="e">
        <f>TRIM(_xlfn.TEXTBEFORE(S3, ":"))</f>
        <v>#N/A</v>
      </c>
    </row>
    <row r="4" spans="1:20" ht="15.95" customHeight="1" x14ac:dyDescent="0.25">
      <c r="A4" s="18" t="s">
        <v>525</v>
      </c>
      <c r="B4" s="16" t="str">
        <f>TRIM(_xlfn.TEXTAFTER(A3, ":"))</f>
        <v>Expedition Logbooks</v>
      </c>
      <c r="C4" s="18" t="s">
        <v>1681</v>
      </c>
      <c r="D4" s="16" t="str">
        <f>TRIM(_xlfn.TEXTAFTER(C3, ":"))</f>
        <v>Expeditions-Logbücher</v>
      </c>
      <c r="E4" s="18" t="s">
        <v>2401</v>
      </c>
      <c r="F4" s="16" t="str">
        <f>TRIM(_xlfn.TEXTAFTER(E3, ":"))</f>
        <v>Registros de expedición</v>
      </c>
      <c r="G4" s="18" t="s">
        <v>948</v>
      </c>
      <c r="H4" s="16" t="str">
        <f>TRIM(_xlfn.TEXTAFTER(G3, ":"))</f>
        <v>Journaux de bord d'Expédition</v>
      </c>
      <c r="I4" s="18" t="s">
        <v>3116</v>
      </c>
      <c r="J4" s="16" t="str">
        <f>TRIM(_xlfn.TEXTAFTER(I3, ":"))</f>
        <v>エクスペディションログブック</v>
      </c>
      <c r="K4" s="18" t="s">
        <v>3866</v>
      </c>
      <c r="L4" s="16" t="str">
        <f>TRIM(_xlfn.TEXTAFTER(K3, ":"))</f>
        <v>탐험 일지</v>
      </c>
      <c r="M4" s="18" t="s">
        <v>4595</v>
      </c>
      <c r="N4" s="16" t="str">
        <f>TRIM(_xlfn.TEXTAFTER(M3, ":"))</f>
        <v>Diários de Bordo Expedition</v>
      </c>
      <c r="O4" s="18" t="s">
        <v>5278</v>
      </c>
      <c r="P4" s="16" t="str">
        <f>TRIM(_xlfn.TEXTAFTER(O3, ":"))</f>
        <v>Журналы экспедиции</v>
      </c>
      <c r="Q4" s="18" t="s">
        <v>6015</v>
      </c>
      <c r="R4" s="16" t="str">
        <f>TRIM(_xlfn.TEXTAFTER(Q3, ":"))</f>
        <v>สมุดปูมเดินทางกองสำรวจ</v>
      </c>
      <c r="S4" s="18"/>
      <c r="T4" s="16" t="e">
        <f>TRIM(_xlfn.TEXTAFTER(S3, ":"))</f>
        <v>#N/A</v>
      </c>
    </row>
    <row r="5" spans="1:20" ht="15.95" customHeight="1" x14ac:dyDescent="0.25">
      <c r="A5" s="18" t="s">
        <v>588</v>
      </c>
      <c r="B5" s="16" t="str">
        <f>TRIM(_xlfn.TEXTBEFORE(A4, ":"))</f>
        <v>Rarity</v>
      </c>
      <c r="C5" s="18" t="s">
        <v>1726</v>
      </c>
      <c r="D5" s="16" t="str">
        <f>TRIM(_xlfn.TEXTBEFORE(C4, ":"))</f>
        <v>Seltenheit</v>
      </c>
      <c r="E5" s="18" t="s">
        <v>2445</v>
      </c>
      <c r="F5" s="16" t="str">
        <f>TRIM(_xlfn.TEXTBEFORE(E4, ":"))</f>
        <v>Rareza</v>
      </c>
      <c r="G5" s="18" t="s">
        <v>994</v>
      </c>
      <c r="H5" s="16" t="str">
        <f>TRIM(_xlfn.TEXTBEFORE(G4, ":"))</f>
        <v>Rareté</v>
      </c>
      <c r="I5" s="18" t="s">
        <v>3163</v>
      </c>
      <c r="J5" s="16" t="str">
        <f>TRIM(_xlfn.TEXTBEFORE(I4, ":"))</f>
        <v>レアリティ</v>
      </c>
      <c r="K5" s="18" t="s">
        <v>3910</v>
      </c>
      <c r="L5" s="16" t="str">
        <f>TRIM(_xlfn.TEXTBEFORE(K4, ":"))</f>
        <v>아이템 희귀도</v>
      </c>
      <c r="M5" s="18" t="s">
        <v>4639</v>
      </c>
      <c r="N5" s="16" t="str">
        <f>TRIM(_xlfn.TEXTBEFORE(M4, ":"))</f>
        <v>Raridade</v>
      </c>
      <c r="O5" s="18" t="s">
        <v>5324</v>
      </c>
      <c r="P5" s="16" t="str">
        <f>TRIM(_xlfn.TEXTBEFORE(O4, ":"))</f>
        <v>Редкость</v>
      </c>
      <c r="Q5" s="18" t="s">
        <v>6057</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589</v>
      </c>
      <c r="B7" s="16" t="str">
        <f>TRIM(_xlfn.TEXTBEFORE(A7,":"))</f>
        <v>Area Level</v>
      </c>
      <c r="C7" s="18" t="s">
        <v>1727</v>
      </c>
      <c r="D7" s="16" t="str">
        <f>TRIM(_xlfn.TEXTBEFORE(C7,":"))</f>
        <v>Gebietsstufe</v>
      </c>
      <c r="E7" s="18" t="s">
        <v>2446</v>
      </c>
      <c r="F7" s="16" t="str">
        <f>TRIM(_xlfn.TEXTBEFORE(E7,":"))</f>
        <v>Nivel del área</v>
      </c>
      <c r="G7" s="18" t="s">
        <v>995</v>
      </c>
      <c r="H7" s="16" t="str">
        <f>TRIM(_xlfn.TEXTBEFORE(G7,":"))</f>
        <v>Niveau de la zone</v>
      </c>
      <c r="I7" s="18" t="s">
        <v>3164</v>
      </c>
      <c r="J7" s="16" t="str">
        <f>TRIM(_xlfn.TEXTBEFORE(I7,":"))</f>
        <v>エリアレベル</v>
      </c>
      <c r="K7" s="18" t="s">
        <v>3911</v>
      </c>
      <c r="L7" s="16" t="str">
        <f>TRIM(_xlfn.TEXTBEFORE(K7,":"))</f>
        <v>지역 레벨</v>
      </c>
      <c r="M7" s="18" t="s">
        <v>4640</v>
      </c>
      <c r="N7" s="16" t="str">
        <f>TRIM(_xlfn.TEXTBEFORE(M7,":"))</f>
        <v>Nível da Área</v>
      </c>
      <c r="O7" s="18" t="s">
        <v>5325</v>
      </c>
      <c r="P7" s="16" t="str">
        <f>TRIM(_xlfn.TEXTBEFORE(O7,":"))</f>
        <v>Уровень области</v>
      </c>
      <c r="Q7" s="18" t="s">
        <v>6058</v>
      </c>
      <c r="R7" s="16" t="str">
        <f>TRIM(_xlfn.TEXTBEFORE(Q7,":"))</f>
        <v>ด่านเลเวล</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462</v>
      </c>
      <c r="B9" s="16"/>
      <c r="C9" s="18" t="s">
        <v>1728</v>
      </c>
      <c r="D9" s="16"/>
      <c r="E9" s="18" t="s">
        <v>2447</v>
      </c>
      <c r="F9" s="16"/>
      <c r="G9" s="18" t="s">
        <v>996</v>
      </c>
      <c r="H9" s="16"/>
      <c r="I9" s="18" t="s">
        <v>3165</v>
      </c>
      <c r="J9" s="16"/>
      <c r="K9" s="18" t="s">
        <v>3912</v>
      </c>
      <c r="L9" s="16"/>
      <c r="M9" s="18" t="s">
        <v>4641</v>
      </c>
      <c r="N9" s="16"/>
      <c r="O9" s="18" t="s">
        <v>5326</v>
      </c>
      <c r="P9" s="16"/>
      <c r="Q9" s="18" t="s">
        <v>6059</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590</v>
      </c>
      <c r="B11" s="16"/>
      <c r="C11" s="18" t="s">
        <v>1729</v>
      </c>
      <c r="D11" s="16"/>
      <c r="E11" s="18" t="s">
        <v>2448</v>
      </c>
      <c r="F11" s="16"/>
      <c r="G11" s="18" t="s">
        <v>997</v>
      </c>
      <c r="H11" s="16"/>
      <c r="I11" s="18" t="s">
        <v>3166</v>
      </c>
      <c r="J11" s="16"/>
      <c r="K11" s="18" t="s">
        <v>3913</v>
      </c>
      <c r="L11" s="16"/>
      <c r="M11" s="18" t="s">
        <v>4642</v>
      </c>
      <c r="N11" s="16"/>
      <c r="O11" s="18" t="s">
        <v>5327</v>
      </c>
      <c r="P11" s="16"/>
      <c r="Q11" s="18" t="s">
        <v>6060</v>
      </c>
      <c r="R11" s="16"/>
      <c r="S11" s="18"/>
      <c r="T11" s="16"/>
    </row>
    <row r="12" spans="1:20" ht="15.95" customHeight="1" x14ac:dyDescent="0.25">
      <c r="A12" s="18" t="s">
        <v>591</v>
      </c>
      <c r="B12" s="16"/>
      <c r="C12" s="18" t="s">
        <v>1730</v>
      </c>
      <c r="D12" s="16"/>
      <c r="E12" s="18" t="s">
        <v>2449</v>
      </c>
      <c r="F12" s="16"/>
      <c r="G12" s="18" t="s">
        <v>998</v>
      </c>
      <c r="H12" s="16"/>
      <c r="I12" s="18" t="s">
        <v>3167</v>
      </c>
      <c r="J12" s="16"/>
      <c r="K12" s="18" t="s">
        <v>3914</v>
      </c>
      <c r="L12" s="16"/>
      <c r="M12" s="18" t="s">
        <v>4643</v>
      </c>
      <c r="N12" s="16"/>
      <c r="O12" s="18" t="s">
        <v>5328</v>
      </c>
      <c r="P12" s="16"/>
      <c r="Q12" s="18" t="s">
        <v>6061</v>
      </c>
      <c r="R12" s="16"/>
      <c r="S12" s="18"/>
      <c r="T12" s="21"/>
    </row>
    <row r="13" spans="1:20" ht="15.95" customHeight="1" x14ac:dyDescent="0.25">
      <c r="A13" s="18" t="s">
        <v>592</v>
      </c>
      <c r="B13" s="16"/>
      <c r="C13" s="18" t="s">
        <v>1731</v>
      </c>
      <c r="D13" s="16"/>
      <c r="E13" s="18" t="s">
        <v>2450</v>
      </c>
      <c r="F13" s="16"/>
      <c r="G13" s="18" t="s">
        <v>999</v>
      </c>
      <c r="H13" s="16"/>
      <c r="I13" s="18" t="s">
        <v>3168</v>
      </c>
      <c r="J13" s="16"/>
      <c r="K13" s="18" t="s">
        <v>3915</v>
      </c>
      <c r="L13" s="16"/>
      <c r="M13" s="18" t="s">
        <v>4644</v>
      </c>
      <c r="N13" s="16"/>
      <c r="O13" s="18" t="s">
        <v>5329</v>
      </c>
      <c r="P13" s="16"/>
      <c r="Q13" s="18" t="s">
        <v>6062</v>
      </c>
      <c r="R13" s="16"/>
      <c r="S13" s="18"/>
      <c r="T13" s="21"/>
    </row>
    <row r="14" spans="1:20" ht="15.95" customHeight="1" x14ac:dyDescent="0.25">
      <c r="A14" s="18" t="s">
        <v>593</v>
      </c>
      <c r="B14" s="16"/>
      <c r="C14" s="18" t="s">
        <v>1732</v>
      </c>
      <c r="D14" s="16"/>
      <c r="E14" s="18" t="s">
        <v>2451</v>
      </c>
      <c r="F14" s="16"/>
      <c r="G14" s="18" t="s">
        <v>1000</v>
      </c>
      <c r="H14" s="16"/>
      <c r="I14" s="18" t="s">
        <v>3169</v>
      </c>
      <c r="J14" s="16"/>
      <c r="K14" s="18" t="s">
        <v>3916</v>
      </c>
      <c r="L14" s="16"/>
      <c r="M14" s="18" t="s">
        <v>4645</v>
      </c>
      <c r="N14" s="16"/>
      <c r="O14" s="18" t="s">
        <v>5330</v>
      </c>
      <c r="P14" s="16"/>
      <c r="Q14" s="18" t="s">
        <v>6063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594</v>
      </c>
      <c r="B16" s="16"/>
      <c r="C16" s="18" t="s">
        <v>1733</v>
      </c>
      <c r="D16" s="16"/>
      <c r="E16" s="18" t="s">
        <v>2452</v>
      </c>
      <c r="F16" s="16"/>
      <c r="G16" s="18" t="s">
        <v>1001</v>
      </c>
      <c r="H16" s="16"/>
      <c r="I16" s="18" t="s">
        <v>3170</v>
      </c>
      <c r="J16" s="16"/>
      <c r="K16" s="18" t="s">
        <v>3917</v>
      </c>
      <c r="L16" s="16"/>
      <c r="M16" s="18" t="s">
        <v>4646</v>
      </c>
      <c r="N16" s="16"/>
      <c r="O16" s="18" t="s">
        <v>5331</v>
      </c>
      <c r="P16" s="16"/>
      <c r="Q16" s="18" t="s">
        <v>6064</v>
      </c>
      <c r="R16" s="16"/>
      <c r="S16" s="18"/>
      <c r="T16" s="21"/>
    </row>
    <row r="17" spans="1:20" ht="15.95" customHeight="1" x14ac:dyDescent="0.25">
      <c r="A17" s="18" t="s">
        <v>591</v>
      </c>
      <c r="B17" s="16"/>
      <c r="C17" s="18" t="s">
        <v>1730</v>
      </c>
      <c r="D17" s="16"/>
      <c r="E17" s="18" t="s">
        <v>2449</v>
      </c>
      <c r="F17" s="16"/>
      <c r="G17" s="18" t="s">
        <v>998</v>
      </c>
      <c r="H17" s="16"/>
      <c r="I17" s="18" t="s">
        <v>3167</v>
      </c>
      <c r="J17" s="16"/>
      <c r="K17" s="18" t="s">
        <v>3914</v>
      </c>
      <c r="L17" s="16"/>
      <c r="M17" s="18" t="s">
        <v>4643</v>
      </c>
      <c r="N17" s="16"/>
      <c r="O17" s="18" t="s">
        <v>5328</v>
      </c>
      <c r="P17" s="16"/>
      <c r="Q17" s="18" t="s">
        <v>6061</v>
      </c>
      <c r="R17" s="16"/>
      <c r="S17" s="18"/>
      <c r="T17" s="21"/>
    </row>
    <row r="18" spans="1:20" ht="15.95" customHeight="1" x14ac:dyDescent="0.25">
      <c r="A18" s="18" t="s">
        <v>595</v>
      </c>
      <c r="B18" s="16"/>
      <c r="C18" s="18" t="s">
        <v>1734</v>
      </c>
      <c r="D18" s="16"/>
      <c r="E18" s="18" t="s">
        <v>2453</v>
      </c>
      <c r="F18" s="16"/>
      <c r="G18" s="18" t="s">
        <v>1002</v>
      </c>
      <c r="H18" s="16"/>
      <c r="I18" s="18" t="s">
        <v>3171</v>
      </c>
      <c r="J18" s="16"/>
      <c r="K18" s="18" t="s">
        <v>3918</v>
      </c>
      <c r="L18" s="16"/>
      <c r="M18" s="18" t="s">
        <v>4647</v>
      </c>
      <c r="N18" s="16"/>
      <c r="O18" s="18" t="s">
        <v>5332</v>
      </c>
      <c r="P18" s="16"/>
      <c r="Q18" s="18" t="s">
        <v>6065</v>
      </c>
      <c r="R18" s="16"/>
      <c r="S18" s="18"/>
      <c r="T18" s="21"/>
    </row>
    <row r="19" spans="1:20" ht="15.95" customHeight="1" x14ac:dyDescent="0.25">
      <c r="A19" s="18" t="s">
        <v>596</v>
      </c>
      <c r="B19" s="16"/>
      <c r="C19" s="18" t="s">
        <v>1735</v>
      </c>
      <c r="D19" s="16"/>
      <c r="E19" s="18" t="s">
        <v>2454</v>
      </c>
      <c r="F19" s="16"/>
      <c r="G19" s="18" t="s">
        <v>1003</v>
      </c>
      <c r="H19" s="16"/>
      <c r="I19" s="18" t="s">
        <v>3172</v>
      </c>
      <c r="J19" s="16"/>
      <c r="K19" s="18" t="s">
        <v>3919</v>
      </c>
      <c r="L19" s="16"/>
      <c r="M19" s="18" t="s">
        <v>4648</v>
      </c>
      <c r="N19" s="16"/>
      <c r="O19" s="18" t="s">
        <v>5333</v>
      </c>
      <c r="P19" s="16"/>
      <c r="Q19" s="18" t="s">
        <v>6066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597</v>
      </c>
      <c r="B21" s="16"/>
      <c r="C21" s="18" t="s">
        <v>1736</v>
      </c>
      <c r="D21" s="16"/>
      <c r="E21" s="18" t="s">
        <v>2455</v>
      </c>
      <c r="F21" s="16"/>
      <c r="G21" s="18" t="s">
        <v>1004</v>
      </c>
      <c r="H21" s="16"/>
      <c r="I21" s="18" t="s">
        <v>3173</v>
      </c>
      <c r="J21" s="16"/>
      <c r="K21" s="18" t="s">
        <v>3920</v>
      </c>
      <c r="L21" s="16"/>
      <c r="M21" s="18" t="s">
        <v>4649</v>
      </c>
      <c r="N21" s="16"/>
      <c r="O21" s="18" t="s">
        <v>5334</v>
      </c>
      <c r="P21" s="16"/>
      <c r="Q21" s="18" t="s">
        <v>6067</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7" priority="22" stopIfTrue="1">
      <formula>NOT(ISERROR(A3))</formula>
    </cfRule>
  </conditionalFormatting>
  <conditionalFormatting sqref="A3:T6 A7 C7 E7 G7 I7 K7 M7 O7 Q7 S7 A8:T51">
    <cfRule type="notContainsBlanks" dxfId="296" priority="23">
      <formula>LEN(TRIM(A3))&gt;0</formula>
    </cfRule>
  </conditionalFormatting>
  <conditionalFormatting sqref="A3:T51">
    <cfRule type="containsErrors" dxfId="295" priority="1" stopIfTrue="1">
      <formula>ISERROR(A3)</formula>
    </cfRule>
  </conditionalFormatting>
  <conditionalFormatting sqref="B7">
    <cfRule type="notContainsBlanks" dxfId="294" priority="20">
      <formula>LEN(TRIM(B7))&gt;0</formula>
    </cfRule>
  </conditionalFormatting>
  <conditionalFormatting sqref="D7">
    <cfRule type="notContainsBlanks" dxfId="293" priority="18">
      <formula>LEN(TRIM(D7))&gt;0</formula>
    </cfRule>
  </conditionalFormatting>
  <conditionalFormatting sqref="F7">
    <cfRule type="notContainsBlanks" dxfId="292" priority="16">
      <formula>LEN(TRIM(F7))&gt;0</formula>
    </cfRule>
  </conditionalFormatting>
  <conditionalFormatting sqref="H7">
    <cfRule type="notContainsBlanks" dxfId="291" priority="14">
      <formula>LEN(TRIM(H7))&gt;0</formula>
    </cfRule>
  </conditionalFormatting>
  <conditionalFormatting sqref="J7">
    <cfRule type="notContainsBlanks" dxfId="290" priority="12">
      <formula>LEN(TRIM(J7))&gt;0</formula>
    </cfRule>
  </conditionalFormatting>
  <conditionalFormatting sqref="L7">
    <cfRule type="notContainsBlanks" dxfId="289" priority="10">
      <formula>LEN(TRIM(L7))&gt;0</formula>
    </cfRule>
  </conditionalFormatting>
  <conditionalFormatting sqref="N7">
    <cfRule type="notContainsBlanks" dxfId="288" priority="8">
      <formula>LEN(TRIM(N7))&gt;0</formula>
    </cfRule>
  </conditionalFormatting>
  <conditionalFormatting sqref="P7">
    <cfRule type="notContainsBlanks" dxfId="287" priority="6">
      <formula>LEN(TRIM(P7))&gt;0</formula>
    </cfRule>
  </conditionalFormatting>
  <conditionalFormatting sqref="R7">
    <cfRule type="notContainsBlanks" dxfId="286" priority="4">
      <formula>LEN(TRIM(R7))&gt;0</formula>
    </cfRule>
  </conditionalFormatting>
  <conditionalFormatting sqref="T7">
    <cfRule type="notContainsBlanks" dxfId="285" priority="2">
      <formula>LEN(TRIM(T7))&gt;0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524</v>
      </c>
      <c r="B3" s="16" t="str">
        <f>TRIM(_xlfn.TEXTBEFORE(A3, ":"))</f>
        <v>Item Class</v>
      </c>
      <c r="C3" s="17" t="s">
        <v>1680</v>
      </c>
      <c r="D3" s="16" t="str">
        <f>TRIM(_xlfn.TEXTBEFORE(C3, ":"))</f>
        <v>Gegenstandsklasse</v>
      </c>
      <c r="E3" s="17" t="s">
        <v>2400</v>
      </c>
      <c r="F3" s="16" t="str">
        <f>TRIM(_xlfn.TEXTBEFORE(E3, ":"))</f>
        <v>Clase de objeto</v>
      </c>
      <c r="G3" s="17" t="s">
        <v>947</v>
      </c>
      <c r="H3" s="16" t="str">
        <f>TRIM(_xlfn.TEXTBEFORE(G3, ":"))</f>
        <v>Classe d'objet</v>
      </c>
      <c r="I3" s="17" t="s">
        <v>3115</v>
      </c>
      <c r="J3" s="16" t="str">
        <f>TRIM(_xlfn.TEXTBEFORE(I3, ":"))</f>
        <v>アイテムクラス</v>
      </c>
      <c r="K3" s="17" t="s">
        <v>3865</v>
      </c>
      <c r="L3" s="16" t="str">
        <f>TRIM(_xlfn.TEXTBEFORE(K3, ":"))</f>
        <v>아이템 종류</v>
      </c>
      <c r="M3" s="17" t="s">
        <v>4594</v>
      </c>
      <c r="N3" s="16" t="str">
        <f>TRIM(_xlfn.TEXTBEFORE(M3, ":"))</f>
        <v>Classe do Item</v>
      </c>
      <c r="O3" s="17" t="s">
        <v>5277</v>
      </c>
      <c r="P3" s="16" t="str">
        <f>TRIM(_xlfn.TEXTBEFORE(O3, ":"))</f>
        <v>Класс предмета</v>
      </c>
      <c r="Q3" s="17" t="s">
        <v>6014</v>
      </c>
      <c r="R3" s="16" t="str">
        <f>TRIM(_xlfn.TEXTBEFORE(Q3, ":"))</f>
        <v>ชนิดไอเทม</v>
      </c>
      <c r="S3" s="17"/>
      <c r="T3" s="16" t="e">
        <f>TRIM(_xlfn.TEXTBEFORE(S3, ":"))</f>
        <v>#N/A</v>
      </c>
    </row>
    <row r="4" spans="1:20" ht="15.95" customHeight="1" x14ac:dyDescent="0.25">
      <c r="A4" s="18" t="s">
        <v>499</v>
      </c>
      <c r="B4" s="16" t="str">
        <f>TRIM(_xlfn.TEXTAFTER(A3, ":"))</f>
        <v>Maps</v>
      </c>
      <c r="C4" s="18" t="s">
        <v>1710</v>
      </c>
      <c r="D4" s="16" t="str">
        <f>TRIM(_xlfn.TEXTAFTER(C3, ":"))</f>
        <v>Karten</v>
      </c>
      <c r="E4" s="18" t="s">
        <v>2429</v>
      </c>
      <c r="F4" s="16" t="str">
        <f>TRIM(_xlfn.TEXTAFTER(E3, ":"))</f>
        <v>Mapas</v>
      </c>
      <c r="G4" s="18" t="s">
        <v>977</v>
      </c>
      <c r="H4" s="16" t="str">
        <f>TRIM(_xlfn.TEXTAFTER(G3, ":"))</f>
        <v>Cartes</v>
      </c>
      <c r="I4" s="18" t="s">
        <v>3147</v>
      </c>
      <c r="J4" s="16" t="str">
        <f>TRIM(_xlfn.TEXTAFTER(I3, ":"))</f>
        <v>マップ</v>
      </c>
      <c r="K4" s="18" t="s">
        <v>3894</v>
      </c>
      <c r="L4" s="16" t="str">
        <f>TRIM(_xlfn.TEXTAFTER(K3, ":"))</f>
        <v>지도</v>
      </c>
      <c r="M4" s="18" t="s">
        <v>4624</v>
      </c>
      <c r="N4" s="16" t="str">
        <f>TRIM(_xlfn.TEXTAFTER(M3, ":"))</f>
        <v>Mapas</v>
      </c>
      <c r="O4" s="18" t="s">
        <v>5307</v>
      </c>
      <c r="P4" s="16" t="str">
        <f>TRIM(_xlfn.TEXTAFTER(O3, ":"))</f>
        <v>Карты</v>
      </c>
      <c r="Q4" s="18" t="s">
        <v>6041</v>
      </c>
      <c r="R4" s="16" t="str">
        <f>TRIM(_xlfn.TEXTAFTER(Q3, ":"))</f>
        <v>แผนที่</v>
      </c>
      <c r="S4" s="18"/>
      <c r="T4" s="16" t="e">
        <f>TRIM(_xlfn.TEXTAFTER(S3, ":"))</f>
        <v>#N/A</v>
      </c>
    </row>
    <row r="5" spans="1:20" ht="15.95" customHeight="1" x14ac:dyDescent="0.25">
      <c r="A5" s="18" t="s">
        <v>573</v>
      </c>
      <c r="B5" s="16" t="str">
        <f>TRIM(_xlfn.TEXTBEFORE(A4, ":"))</f>
        <v>Rarity</v>
      </c>
      <c r="C5" s="18" t="s">
        <v>1737</v>
      </c>
      <c r="D5" s="16" t="str">
        <f>TRIM(_xlfn.TEXTBEFORE(C4, ":"))</f>
        <v>Seltenheit</v>
      </c>
      <c r="E5" s="18" t="s">
        <v>2456</v>
      </c>
      <c r="F5" s="16" t="str">
        <f>TRIM(_xlfn.TEXTBEFORE(E4, ":"))</f>
        <v>Rareza</v>
      </c>
      <c r="G5" s="18" t="s">
        <v>1005</v>
      </c>
      <c r="H5" s="16" t="str">
        <f>TRIM(_xlfn.TEXTBEFORE(G4, ":"))</f>
        <v>Rareté</v>
      </c>
      <c r="I5" s="18" t="s">
        <v>3174</v>
      </c>
      <c r="J5" s="16" t="str">
        <f>TRIM(_xlfn.TEXTBEFORE(I4, ":"))</f>
        <v>レアリティ</v>
      </c>
      <c r="K5" s="18" t="s">
        <v>3921</v>
      </c>
      <c r="L5" s="16" t="str">
        <f>TRIM(_xlfn.TEXTBEFORE(K4, ":"))</f>
        <v>아이템 희귀도</v>
      </c>
      <c r="M5" s="18" t="s">
        <v>4650</v>
      </c>
      <c r="N5" s="16" t="str">
        <f>TRIM(_xlfn.TEXTBEFORE(M4, ":"))</f>
        <v>Raridade</v>
      </c>
      <c r="O5" s="18" t="s">
        <v>5335</v>
      </c>
      <c r="P5" s="16" t="str">
        <f>TRIM(_xlfn.TEXTBEFORE(O4, ":"))</f>
        <v>Редкость</v>
      </c>
      <c r="Q5" s="18" t="s">
        <v>573</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574</v>
      </c>
      <c r="B7" s="16"/>
      <c r="C7" s="18" t="s">
        <v>1738</v>
      </c>
      <c r="D7" s="16"/>
      <c r="E7" s="18" t="s">
        <v>2457</v>
      </c>
      <c r="F7" s="16"/>
      <c r="G7" s="18" t="s">
        <v>1006</v>
      </c>
      <c r="H7" s="16"/>
      <c r="I7" s="18" t="s">
        <v>3175</v>
      </c>
      <c r="J7" s="16"/>
      <c r="K7" s="18" t="s">
        <v>3922</v>
      </c>
      <c r="L7" s="16"/>
      <c r="M7" s="18" t="s">
        <v>4651</v>
      </c>
      <c r="N7" s="16"/>
      <c r="O7" s="18" t="s">
        <v>5336</v>
      </c>
      <c r="P7" s="16"/>
      <c r="Q7" s="18" t="s">
        <v>6068</v>
      </c>
      <c r="R7" s="16"/>
      <c r="S7" s="18"/>
      <c r="T7" s="16"/>
    </row>
    <row r="8" spans="1:20" ht="15.95" customHeight="1" x14ac:dyDescent="0.25">
      <c r="A8" s="18" t="s">
        <v>575</v>
      </c>
      <c r="B8" s="16" t="str">
        <f>TRIM(_xlfn.TEXTBEFORE(A8,":"))</f>
        <v>Item Quantity</v>
      </c>
      <c r="C8" s="18" t="s">
        <v>1739</v>
      </c>
      <c r="D8" s="16" t="str">
        <f>TRIM(_xlfn.TEXTBEFORE(C8,":"))</f>
        <v>Gegenstandsmenge</v>
      </c>
      <c r="E8" s="18" t="s">
        <v>2458</v>
      </c>
      <c r="F8" s="16" t="str">
        <f>TRIM(_xlfn.TEXTBEFORE(E8,":"))</f>
        <v>Cantidad de objetos</v>
      </c>
      <c r="G8" s="18" t="s">
        <v>1007</v>
      </c>
      <c r="H8" s="16" t="str">
        <f>TRIM(_xlfn.TEXTBEFORE(G8,":"))</f>
        <v>Quantité d'objets</v>
      </c>
      <c r="I8" s="18" t="s">
        <v>3176</v>
      </c>
      <c r="J8" s="16" t="str">
        <f>TRIM(_xlfn.TEXTBEFORE(I8,":"))</f>
        <v>アイテム数量</v>
      </c>
      <c r="K8" s="18" t="s">
        <v>3923</v>
      </c>
      <c r="L8" s="16" t="str">
        <f>TRIM(_xlfn.TEXTBEFORE(K8,":"))</f>
        <v>아이템 수량</v>
      </c>
      <c r="M8" s="18" t="s">
        <v>4652</v>
      </c>
      <c r="N8" s="16" t="str">
        <f>TRIM(_xlfn.TEXTBEFORE(M8,":"))</f>
        <v>Quantidade de Itens</v>
      </c>
      <c r="O8" s="18" t="s">
        <v>5337</v>
      </c>
      <c r="P8" s="16" t="str">
        <f>TRIM(_xlfn.TEXTBEFORE(O8,":"))</f>
        <v>Количество предметов</v>
      </c>
      <c r="Q8" s="18" t="s">
        <v>6069</v>
      </c>
      <c r="R8" s="16" t="str">
        <f>TRIM(_xlfn.TEXTBEFORE(Q8,":"))</f>
        <v>จำนวนของไอเทม</v>
      </c>
      <c r="S8" s="18"/>
      <c r="T8" s="16" t="e">
        <f>TRIM(_xlfn.TEXTBEFORE(S8,":"))</f>
        <v>#N/A</v>
      </c>
    </row>
    <row r="9" spans="1:20" ht="15.95" customHeight="1" x14ac:dyDescent="0.25">
      <c r="A9" s="18" t="s">
        <v>576</v>
      </c>
      <c r="B9" s="16" t="str">
        <f>TRIM(_xlfn.TEXTBEFORE(A9,":"))</f>
        <v>Item Rarity</v>
      </c>
      <c r="C9" s="18" t="s">
        <v>1740</v>
      </c>
      <c r="D9" s="16" t="str">
        <f>TRIM(_xlfn.TEXTBEFORE(C9,":"))</f>
        <v>Gegenstandsseltenheit</v>
      </c>
      <c r="E9" s="18" t="s">
        <v>2459</v>
      </c>
      <c r="F9" s="16" t="str">
        <f>TRIM(_xlfn.TEXTBEFORE(E9,":"))</f>
        <v>Rareza de objetos</v>
      </c>
      <c r="G9" s="18" t="s">
        <v>1008</v>
      </c>
      <c r="H9" s="16" t="str">
        <f>TRIM(_xlfn.TEXTBEFORE(G9,":"))</f>
        <v>Rareté des objets</v>
      </c>
      <c r="I9" s="18" t="s">
        <v>3177</v>
      </c>
      <c r="J9" s="16" t="str">
        <f>TRIM(_xlfn.TEXTBEFORE(I9,":"))</f>
        <v>アイテムレアリティ</v>
      </c>
      <c r="K9" s="18" t="s">
        <v>3924</v>
      </c>
      <c r="L9" s="16" t="str">
        <f>TRIM(_xlfn.TEXTBEFORE(K9,":"))</f>
        <v>아이템 희귀도</v>
      </c>
      <c r="M9" s="18" t="s">
        <v>4653</v>
      </c>
      <c r="N9" s="16" t="str">
        <f>TRIM(_xlfn.TEXTBEFORE(M9,":"))</f>
        <v>Raridade de Itens</v>
      </c>
      <c r="O9" s="18" t="s">
        <v>5338</v>
      </c>
      <c r="P9" s="16" t="str">
        <f>TRIM(_xlfn.TEXTBEFORE(O9,":"))</f>
        <v>Редкость предметов</v>
      </c>
      <c r="Q9" s="18" t="s">
        <v>6070</v>
      </c>
      <c r="R9" s="16" t="str">
        <f>TRIM(_xlfn.TEXTBEFORE(Q9,":"))</f>
        <v>ระดับความหายากของไอเทม</v>
      </c>
      <c r="S9" s="18"/>
      <c r="T9" s="16" t="e">
        <f>TRIM(_xlfn.TEXTBEFORE(S9,":"))</f>
        <v>#N/A</v>
      </c>
    </row>
    <row r="10" spans="1:20" ht="15.95" customHeight="1" x14ac:dyDescent="0.25">
      <c r="A10" s="18" t="s">
        <v>577</v>
      </c>
      <c r="B10" s="16" t="str">
        <f>TRIM(_xlfn.TEXTBEFORE(A10,":"))</f>
        <v>Monster Pack Size</v>
      </c>
      <c r="C10" s="18" t="s">
        <v>1741</v>
      </c>
      <c r="D10" s="16" t="str">
        <f>TRIM(_xlfn.TEXTBEFORE(C10,":"))</f>
        <v>Monstergruppengröße</v>
      </c>
      <c r="E10" s="18" t="s">
        <v>2460</v>
      </c>
      <c r="F10" s="16" t="str">
        <f>TRIM(_xlfn.TEXTBEFORE(E10,":"))</f>
        <v>Tamaño de los grupos de monstruos</v>
      </c>
      <c r="G10" s="18" t="s">
        <v>1009</v>
      </c>
      <c r="H10" s="16" t="str">
        <f>TRIM(_xlfn.TEXTBEFORE(G10,":"))</f>
        <v>Taille des groupes de monstres</v>
      </c>
      <c r="I10" s="18" t="s">
        <v>3178</v>
      </c>
      <c r="J10" s="16" t="str">
        <f>TRIM(_xlfn.TEXTBEFORE(I10,":"))</f>
        <v>モンスターパックサイズ</v>
      </c>
      <c r="K10" s="18" t="s">
        <v>3925</v>
      </c>
      <c r="L10" s="16" t="str">
        <f>TRIM(_xlfn.TEXTBEFORE(K10,":"))</f>
        <v>몬스터 무리 규모</v>
      </c>
      <c r="M10" s="18" t="s">
        <v>4654</v>
      </c>
      <c r="N10" s="16" t="str">
        <f>TRIM(_xlfn.TEXTBEFORE(M10,":"))</f>
        <v>Tamanho do Grupo de Monstros</v>
      </c>
      <c r="O10" s="18" t="s">
        <v>5339</v>
      </c>
      <c r="P10" s="16" t="str">
        <f>TRIM(_xlfn.TEXTBEFORE(O10,":"))</f>
        <v>Размер групп монстров</v>
      </c>
      <c r="Q10" s="18" t="s">
        <v>6071</v>
      </c>
      <c r="R10" s="16" t="str">
        <f>TRIM(_xlfn.TEXTBEFORE(Q10,":"))</f>
        <v>ขนาดกองมอนสเตอร์</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117</v>
      </c>
      <c r="B12" s="16"/>
      <c r="C12" s="18" t="s">
        <v>1742</v>
      </c>
      <c r="D12" s="16"/>
      <c r="E12" s="18" t="s">
        <v>2461</v>
      </c>
      <c r="F12" s="16"/>
      <c r="G12" s="18" t="s">
        <v>1010</v>
      </c>
      <c r="H12" s="16"/>
      <c r="I12" s="18" t="s">
        <v>3179</v>
      </c>
      <c r="J12" s="16"/>
      <c r="K12" s="18" t="s">
        <v>3926</v>
      </c>
      <c r="L12" s="16"/>
      <c r="M12" s="18" t="s">
        <v>4655</v>
      </c>
      <c r="N12" s="16"/>
      <c r="O12" s="18" t="s">
        <v>5340</v>
      </c>
      <c r="P12" s="16"/>
      <c r="Q12" s="18" t="s">
        <v>6072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578</v>
      </c>
      <c r="B14" s="16"/>
      <c r="C14" s="18" t="s">
        <v>1743</v>
      </c>
      <c r="D14" s="16"/>
      <c r="E14" s="18" t="s">
        <v>2462</v>
      </c>
      <c r="F14" s="16"/>
      <c r="G14" s="18" t="s">
        <v>1011</v>
      </c>
      <c r="H14" s="16"/>
      <c r="I14" s="18" t="s">
        <v>3180</v>
      </c>
      <c r="J14" s="16"/>
      <c r="K14" s="18" t="s">
        <v>3927</v>
      </c>
      <c r="L14" s="16"/>
      <c r="M14" s="18" t="s">
        <v>4656</v>
      </c>
      <c r="N14" s="16"/>
      <c r="O14" s="18" t="s">
        <v>5341</v>
      </c>
      <c r="P14" s="16"/>
      <c r="Q14" s="18" t="s">
        <v>6073</v>
      </c>
      <c r="R14" s="16"/>
      <c r="S14" s="18"/>
      <c r="T14" s="21"/>
    </row>
    <row r="15" spans="1:20" ht="15.95" customHeight="1" x14ac:dyDescent="0.25">
      <c r="A15" s="18" t="s">
        <v>579</v>
      </c>
      <c r="B15" s="16"/>
      <c r="C15" s="18" t="s">
        <v>1744</v>
      </c>
      <c r="D15" s="16"/>
      <c r="E15" s="18" t="s">
        <v>2463</v>
      </c>
      <c r="F15" s="16"/>
      <c r="G15" s="18" t="s">
        <v>1012</v>
      </c>
      <c r="H15" s="16"/>
      <c r="I15" s="18" t="s">
        <v>3181</v>
      </c>
      <c r="J15" s="16"/>
      <c r="K15" s="18" t="s">
        <v>3928</v>
      </c>
      <c r="L15" s="16"/>
      <c r="M15" s="18" t="s">
        <v>4657</v>
      </c>
      <c r="N15" s="16"/>
      <c r="O15" s="18" t="s">
        <v>5342</v>
      </c>
      <c r="P15" s="16"/>
      <c r="Q15" s="18" t="s">
        <v>6074</v>
      </c>
      <c r="R15" s="16"/>
      <c r="S15" s="18"/>
      <c r="T15" s="21"/>
    </row>
    <row r="16" spans="1:20" ht="15.95" customHeight="1" x14ac:dyDescent="0.25">
      <c r="A16" s="18" t="s">
        <v>580</v>
      </c>
      <c r="B16" s="16"/>
      <c r="C16" s="18" t="s">
        <v>1745</v>
      </c>
      <c r="D16" s="16"/>
      <c r="E16" s="18" t="s">
        <v>2464</v>
      </c>
      <c r="F16" s="16"/>
      <c r="G16" s="18" t="s">
        <v>1013</v>
      </c>
      <c r="H16" s="16"/>
      <c r="I16" s="18" t="s">
        <v>3182</v>
      </c>
      <c r="J16" s="16"/>
      <c r="K16" s="18" t="s">
        <v>3929</v>
      </c>
      <c r="L16" s="16"/>
      <c r="M16" s="18" t="s">
        <v>4658</v>
      </c>
      <c r="N16" s="16"/>
      <c r="O16" s="18" t="s">
        <v>5343</v>
      </c>
      <c r="P16" s="16"/>
      <c r="Q16" s="18" t="s">
        <v>6075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530</v>
      </c>
      <c r="B18" s="16"/>
      <c r="C18" s="18" t="s">
        <v>1688</v>
      </c>
      <c r="D18" s="16"/>
      <c r="E18" s="18" t="s">
        <v>2408</v>
      </c>
      <c r="F18" s="16"/>
      <c r="G18" s="18" t="s">
        <v>955</v>
      </c>
      <c r="H18" s="16"/>
      <c r="I18" s="18" t="s">
        <v>3123</v>
      </c>
      <c r="J18" s="16"/>
      <c r="K18" s="18" t="s">
        <v>3873</v>
      </c>
      <c r="L18" s="16"/>
      <c r="M18" s="18" t="s">
        <v>4602</v>
      </c>
      <c r="N18" s="16"/>
      <c r="O18" s="18" t="s">
        <v>5285</v>
      </c>
      <c r="P18" s="16"/>
      <c r="Q18" s="18" t="s">
        <v>6021</v>
      </c>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4" priority="42" stopIfTrue="1">
      <formula>NOT(ISERROR(A3))</formula>
    </cfRule>
  </conditionalFormatting>
  <conditionalFormatting sqref="A3:T7 A8:A10 C8:C10 E8:E10 G8:G10 I8:I10 K8:K10 M8:M10 O8:O10 Q8:Q10 S8:S10 A11:T51">
    <cfRule type="notContainsBlanks" dxfId="283" priority="43">
      <formula>LEN(TRIM(A3))&gt;0</formula>
    </cfRule>
  </conditionalFormatting>
  <conditionalFormatting sqref="A3:T51">
    <cfRule type="containsErrors" dxfId="282" priority="1" stopIfTrue="1">
      <formula>ISERROR(A3)</formula>
    </cfRule>
  </conditionalFormatting>
  <conditionalFormatting sqref="B8:B10">
    <cfRule type="notContainsBlanks" dxfId="281" priority="38">
      <formula>LEN(TRIM(B8))&gt;0</formula>
    </cfRule>
  </conditionalFormatting>
  <conditionalFormatting sqref="D8:D10">
    <cfRule type="notContainsBlanks" dxfId="280" priority="34">
      <formula>LEN(TRIM(D8))&gt;0</formula>
    </cfRule>
  </conditionalFormatting>
  <conditionalFormatting sqref="F8:F10">
    <cfRule type="notContainsBlanks" dxfId="279" priority="30">
      <formula>LEN(TRIM(F8))&gt;0</formula>
    </cfRule>
  </conditionalFormatting>
  <conditionalFormatting sqref="H8:H10">
    <cfRule type="notContainsBlanks" dxfId="278" priority="26">
      <formula>LEN(TRIM(H8))&gt;0</formula>
    </cfRule>
  </conditionalFormatting>
  <conditionalFormatting sqref="J8:J10">
    <cfRule type="notContainsBlanks" dxfId="277" priority="22">
      <formula>LEN(TRIM(J8))&gt;0</formula>
    </cfRule>
  </conditionalFormatting>
  <conditionalFormatting sqref="L8:L10">
    <cfRule type="notContainsBlanks" dxfId="276" priority="18">
      <formula>LEN(TRIM(L8))&gt;0</formula>
    </cfRule>
  </conditionalFormatting>
  <conditionalFormatting sqref="N8:N10">
    <cfRule type="notContainsBlanks" dxfId="275" priority="14">
      <formula>LEN(TRIM(N8))&gt;0</formula>
    </cfRule>
  </conditionalFormatting>
  <conditionalFormatting sqref="P8:P10">
    <cfRule type="notContainsBlanks" dxfId="274" priority="10">
      <formula>LEN(TRIM(P8))&gt;0</formula>
    </cfRule>
  </conditionalFormatting>
  <conditionalFormatting sqref="R8:R10">
    <cfRule type="notContainsBlanks" dxfId="273" priority="6">
      <formula>LEN(TRIM(R8))&gt;0</formula>
    </cfRule>
  </conditionalFormatting>
  <conditionalFormatting sqref="T8:T10">
    <cfRule type="notContainsBlanks" dxfId="272" priority="2">
      <formula>LEN(TRIM(T8))&gt;0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697</v>
      </c>
      <c r="B3" s="16" t="str">
        <f>TRIM(_xlfn.TEXTBEFORE(A3, ":"))</f>
        <v>Item Class</v>
      </c>
      <c r="C3" s="17" t="s">
        <v>1746</v>
      </c>
      <c r="D3" s="16" t="str">
        <f>TRIM(_xlfn.TEXTBEFORE(C3, ":"))</f>
        <v>Gegenstandsklasse</v>
      </c>
      <c r="E3" s="17" t="s">
        <v>2465</v>
      </c>
      <c r="F3" s="16" t="str">
        <f>TRIM(_xlfn.TEXTBEFORE(E3, ":"))</f>
        <v>Clase de objeto</v>
      </c>
      <c r="G3" s="17" t="s">
        <v>1014</v>
      </c>
      <c r="H3" s="16" t="str">
        <f>TRIM(_xlfn.TEXTBEFORE(G3, ":"))</f>
        <v>Classe d'objet</v>
      </c>
      <c r="I3" s="17" t="s">
        <v>3183</v>
      </c>
      <c r="J3" s="16" t="str">
        <f>TRIM(_xlfn.TEXTBEFORE(I3, ":"))</f>
        <v>アイテムクラス</v>
      </c>
      <c r="K3" s="17" t="s">
        <v>3930</v>
      </c>
      <c r="L3" s="16" t="str">
        <f>TRIM(_xlfn.TEXTBEFORE(K3, ":"))</f>
        <v>아이템 종류</v>
      </c>
      <c r="M3" s="17" t="s">
        <v>4659</v>
      </c>
      <c r="N3" s="16" t="str">
        <f>TRIM(_xlfn.TEXTBEFORE(M3, ":"))</f>
        <v>Classe do Item</v>
      </c>
      <c r="O3" s="17" t="s">
        <v>5344</v>
      </c>
      <c r="P3" s="16" t="str">
        <f>TRIM(_xlfn.TEXTBEFORE(O3, ":"))</f>
        <v>Класс предмета</v>
      </c>
      <c r="Q3" s="17" t="s">
        <v>6076</v>
      </c>
      <c r="R3" s="16" t="str">
        <f>TRIM(_xlfn.TEXTBEFORE(Q3, ":"))</f>
        <v>ชนิดไอเทม</v>
      </c>
      <c r="S3" s="17"/>
      <c r="T3" s="20" t="e">
        <f>TRIM(_xlfn.TEXTBEFORE(S3, ":"))</f>
        <v>#N/A</v>
      </c>
    </row>
    <row r="4" spans="1:20" ht="15.95" customHeight="1" x14ac:dyDescent="0.25">
      <c r="A4" s="18" t="s">
        <v>525</v>
      </c>
      <c r="B4" s="16" t="str">
        <f>TRIM(_xlfn.TEXTAFTER(A3, ":"))</f>
        <v>Map Fragments</v>
      </c>
      <c r="C4" s="18" t="s">
        <v>1681</v>
      </c>
      <c r="D4" s="16" t="str">
        <f>TRIM(_xlfn.TEXTAFTER(C3, ":"))</f>
        <v>Kartenfragmente</v>
      </c>
      <c r="E4" s="18" t="s">
        <v>2401</v>
      </c>
      <c r="F4" s="16" t="str">
        <f>TRIM(_xlfn.TEXTAFTER(E3, ":"))</f>
        <v>Fragmentos de mapa</v>
      </c>
      <c r="G4" s="18" t="s">
        <v>948</v>
      </c>
      <c r="H4" s="16" t="str">
        <f>TRIM(_xlfn.TEXTAFTER(G3, ":"))</f>
        <v>Fragments de carte</v>
      </c>
      <c r="I4" s="18" t="s">
        <v>3116</v>
      </c>
      <c r="J4" s="16" t="str">
        <f>TRIM(_xlfn.TEXTAFTER(I3, ":"))</f>
        <v>マップの断片</v>
      </c>
      <c r="K4" s="18" t="s">
        <v>3866</v>
      </c>
      <c r="L4" s="16" t="str">
        <f>TRIM(_xlfn.TEXTAFTER(K3, ":"))</f>
        <v>지도 조각</v>
      </c>
      <c r="M4" s="18" t="s">
        <v>4595</v>
      </c>
      <c r="N4" s="16" t="str">
        <f>TRIM(_xlfn.TEXTAFTER(M3, ":"))</f>
        <v>Fragmentos de Mapas</v>
      </c>
      <c r="O4" s="18" t="s">
        <v>5278</v>
      </c>
      <c r="P4" s="16" t="str">
        <f>TRIM(_xlfn.TEXTAFTER(O3, ":"))</f>
        <v>Обрывки карт</v>
      </c>
      <c r="Q4" s="18" t="s">
        <v>6015</v>
      </c>
      <c r="R4" s="16" t="str">
        <f>TRIM(_xlfn.TEXTAFTER(Q3, ":"))</f>
        <v>ชิ้นส่วนแผนที่</v>
      </c>
      <c r="S4" s="18"/>
      <c r="T4" s="20" t="e">
        <f>TRIM(_xlfn.TEXTAFTER(S3, ":"))</f>
        <v>#N/A</v>
      </c>
    </row>
    <row r="5" spans="1:20" ht="15.95" customHeight="1" x14ac:dyDescent="0.25">
      <c r="A5" s="18" t="s">
        <v>698</v>
      </c>
      <c r="B5" s="16" t="str">
        <f>TRIM(_xlfn.TEXTBEFORE(A4, ":"))</f>
        <v>Rarity</v>
      </c>
      <c r="C5" s="18" t="s">
        <v>1747</v>
      </c>
      <c r="D5" s="16" t="str">
        <f>TRIM(_xlfn.TEXTBEFORE(C4, ":"))</f>
        <v>Seltenheit</v>
      </c>
      <c r="E5" s="18" t="s">
        <v>2466</v>
      </c>
      <c r="F5" s="16" t="str">
        <f>TRIM(_xlfn.TEXTBEFORE(E4, ":"))</f>
        <v>Rareza</v>
      </c>
      <c r="G5" s="18" t="s">
        <v>1015</v>
      </c>
      <c r="H5" s="16" t="str">
        <f>TRIM(_xlfn.TEXTBEFORE(G4, ":"))</f>
        <v>Rareté</v>
      </c>
      <c r="I5" s="18" t="s">
        <v>3184</v>
      </c>
      <c r="J5" s="16" t="str">
        <f>TRIM(_xlfn.TEXTBEFORE(I4, ":"))</f>
        <v>レアリティ</v>
      </c>
      <c r="K5" s="18" t="s">
        <v>3931</v>
      </c>
      <c r="L5" s="16" t="str">
        <f>TRIM(_xlfn.TEXTBEFORE(K4, ":"))</f>
        <v>아이템 희귀도</v>
      </c>
      <c r="M5" s="18" t="s">
        <v>4660</v>
      </c>
      <c r="N5" s="16" t="str">
        <f>TRIM(_xlfn.TEXTBEFORE(M4, ":"))</f>
        <v>Raridade</v>
      </c>
      <c r="O5" s="18" t="s">
        <v>5345</v>
      </c>
      <c r="P5" s="16" t="str">
        <f>TRIM(_xlfn.TEXTBEFORE(O4, ":"))</f>
        <v>Редкость</v>
      </c>
      <c r="Q5" s="18" t="s">
        <v>6077</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614</v>
      </c>
      <c r="B7" s="16"/>
      <c r="C7" s="18" t="s">
        <v>1661</v>
      </c>
      <c r="D7" s="16"/>
      <c r="E7" s="18" t="s">
        <v>2382</v>
      </c>
      <c r="F7" s="16"/>
      <c r="G7" s="18" t="s">
        <v>930</v>
      </c>
      <c r="H7" s="16"/>
      <c r="I7" s="18" t="s">
        <v>3097</v>
      </c>
      <c r="J7" s="16"/>
      <c r="K7" s="18" t="s">
        <v>3847</v>
      </c>
      <c r="L7" s="16"/>
      <c r="M7" s="18" t="s">
        <v>4575</v>
      </c>
      <c r="N7" s="16"/>
      <c r="O7" s="18" t="s">
        <v>5259</v>
      </c>
      <c r="P7" s="16"/>
      <c r="Q7" s="18" t="s">
        <v>5998</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699</v>
      </c>
      <c r="B9" s="16"/>
      <c r="C9" s="18" t="s">
        <v>1748</v>
      </c>
      <c r="D9" s="16"/>
      <c r="E9" s="18" t="s">
        <v>2467</v>
      </c>
      <c r="F9" s="16"/>
      <c r="G9" s="18" t="s">
        <v>1016</v>
      </c>
      <c r="H9" s="16"/>
      <c r="I9" s="18" t="s">
        <v>3185</v>
      </c>
      <c r="J9" s="16"/>
      <c r="K9" s="18" t="s">
        <v>3932</v>
      </c>
      <c r="L9" s="16"/>
      <c r="M9" s="18" t="s">
        <v>4661</v>
      </c>
      <c r="N9" s="16"/>
      <c r="O9" s="18" t="s">
        <v>5346</v>
      </c>
      <c r="P9" s="16"/>
      <c r="Q9" s="18" t="s">
        <v>6078</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700</v>
      </c>
      <c r="B11" s="16"/>
      <c r="C11" s="18" t="s">
        <v>1749</v>
      </c>
      <c r="D11" s="16"/>
      <c r="E11" s="18" t="s">
        <v>2468</v>
      </c>
      <c r="F11" s="16"/>
      <c r="G11" s="18" t="s">
        <v>1017</v>
      </c>
      <c r="H11" s="16"/>
      <c r="I11" s="18" t="s">
        <v>3186</v>
      </c>
      <c r="J11" s="16"/>
      <c r="K11" s="18" t="s">
        <v>3933</v>
      </c>
      <c r="L11" s="16"/>
      <c r="M11" s="18" t="s">
        <v>4662</v>
      </c>
      <c r="N11" s="16"/>
      <c r="O11" s="18" t="s">
        <v>5347</v>
      </c>
      <c r="P11" s="16"/>
      <c r="Q11" s="18" t="s">
        <v>6079</v>
      </c>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1" priority="2" stopIfTrue="1">
      <formula>NOT(ISERROR(A3))</formula>
    </cfRule>
  </conditionalFormatting>
  <conditionalFormatting sqref="A3:T51">
    <cfRule type="containsErrors" dxfId="270" priority="1" stopIfTrue="1">
      <formula>ISERROR(A3)</formula>
    </cfRule>
    <cfRule type="notContainsBlanks" dxfId="269"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dimension ref="A1:T51"/>
  <sheetViews>
    <sheetView workbookViewId="0">
      <selection activeCell="Q3" sqref="Q3:Q1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789</v>
      </c>
      <c r="B3" s="16" t="str">
        <f>TRIM(_xlfn.TEXTBEFORE(A3, ":"))</f>
        <v>Item Class</v>
      </c>
      <c r="C3" s="17" t="s">
        <v>1750</v>
      </c>
      <c r="D3" s="16" t="str">
        <f>TRIM(_xlfn.TEXTBEFORE(C3, ":"))</f>
        <v>Gegenstandsklasse</v>
      </c>
      <c r="E3" s="17" t="s">
        <v>2469</v>
      </c>
      <c r="F3" s="16" t="str">
        <f>TRIM(_xlfn.TEXTBEFORE(E3, ":"))</f>
        <v>Clase de objeto</v>
      </c>
      <c r="G3" s="17" t="s">
        <v>1018</v>
      </c>
      <c r="H3" s="16" t="str">
        <f>TRIM(_xlfn.TEXTBEFORE(G3, ":"))</f>
        <v>Classe d'objet</v>
      </c>
      <c r="I3" s="17" t="s">
        <v>3187</v>
      </c>
      <c r="J3" s="16" t="str">
        <f>TRIM(_xlfn.TEXTBEFORE(I3, ":"))</f>
        <v>アイテムクラス</v>
      </c>
      <c r="K3" s="17" t="s">
        <v>3934</v>
      </c>
      <c r="L3" s="16" t="str">
        <f>TRIM(_xlfn.TEXTBEFORE(K3, ":"))</f>
        <v>아이템 종류</v>
      </c>
      <c r="M3" s="17" t="s">
        <v>4663</v>
      </c>
      <c r="N3" s="16" t="str">
        <f>TRIM(_xlfn.TEXTBEFORE(M3, ":"))</f>
        <v>Classe do Item</v>
      </c>
      <c r="O3" s="17" t="s">
        <v>5348</v>
      </c>
      <c r="P3" s="16" t="str">
        <f>TRIM(_xlfn.TEXTBEFORE(O3, ":"))</f>
        <v>Класс предмета</v>
      </c>
      <c r="Q3" s="17" t="s">
        <v>6080</v>
      </c>
      <c r="R3" s="16" t="str">
        <f>TRIM(_xlfn.TEXTBEFORE(Q3, ":"))</f>
        <v>ชนิดไอเทม</v>
      </c>
      <c r="S3" s="17"/>
      <c r="T3" s="20" t="e">
        <f>TRIM(_xlfn.TEXTBEFORE(S3, ":"))</f>
        <v>#N/A</v>
      </c>
    </row>
    <row r="4" spans="1:20" ht="15.95" customHeight="1" x14ac:dyDescent="0.25">
      <c r="A4" s="18" t="s">
        <v>499</v>
      </c>
      <c r="B4" s="16" t="str">
        <f>TRIM(_xlfn.TEXTAFTER(A3, ":"))</f>
        <v>Memories</v>
      </c>
      <c r="C4" s="18" t="s">
        <v>1710</v>
      </c>
      <c r="D4" s="16" t="str">
        <f>TRIM(_xlfn.TEXTAFTER(C3, ":"))</f>
        <v>Erinnerungen</v>
      </c>
      <c r="E4" s="18" t="s">
        <v>2429</v>
      </c>
      <c r="F4" s="16" t="str">
        <f>TRIM(_xlfn.TEXTAFTER(E3, ":"))</f>
        <v>Recuerdos</v>
      </c>
      <c r="G4" s="18" t="s">
        <v>977</v>
      </c>
      <c r="H4" s="16" t="str">
        <f>TRIM(_xlfn.TEXTAFTER(G3, ":"))</f>
        <v>Souvenirs</v>
      </c>
      <c r="I4" s="18" t="s">
        <v>3147</v>
      </c>
      <c r="J4" s="16" t="str">
        <f>TRIM(_xlfn.TEXTAFTER(I3, ":"))</f>
        <v>記憶</v>
      </c>
      <c r="K4" s="18" t="s">
        <v>3894</v>
      </c>
      <c r="L4" s="16" t="str">
        <f>TRIM(_xlfn.TEXTAFTER(K3, ":"))</f>
        <v>기억</v>
      </c>
      <c r="M4" s="18" t="s">
        <v>4624</v>
      </c>
      <c r="N4" s="16" t="str">
        <f>TRIM(_xlfn.TEXTAFTER(M3, ":"))</f>
        <v>Memórias</v>
      </c>
      <c r="O4" s="18" t="s">
        <v>5307</v>
      </c>
      <c r="P4" s="16" t="str">
        <f>TRIM(_xlfn.TEXTAFTER(O3, ":"))</f>
        <v>Воспоминания</v>
      </c>
      <c r="Q4" s="18" t="s">
        <v>6041</v>
      </c>
      <c r="R4" s="16" t="str">
        <f>TRIM(_xlfn.TEXTAFTER(Q3, ":"))</f>
        <v>ความทรงจำ</v>
      </c>
      <c r="S4" s="18"/>
      <c r="T4" s="20" t="e">
        <f>TRIM(_xlfn.TEXTAFTER(S3, ":"))</f>
        <v>#N/A</v>
      </c>
    </row>
    <row r="5" spans="1:20" ht="15.95" customHeight="1" x14ac:dyDescent="0.25">
      <c r="A5" s="18" t="s">
        <v>790</v>
      </c>
      <c r="B5" s="16" t="str">
        <f>TRIM(_xlfn.TEXTBEFORE(A4, ":"))</f>
        <v>Rarity</v>
      </c>
      <c r="C5" s="18" t="s">
        <v>1751</v>
      </c>
      <c r="D5" s="16" t="str">
        <f>TRIM(_xlfn.TEXTBEFORE(C4, ":"))</f>
        <v>Seltenheit</v>
      </c>
      <c r="E5" s="18" t="s">
        <v>2470</v>
      </c>
      <c r="F5" s="16" t="str">
        <f>TRIM(_xlfn.TEXTBEFORE(E4, ":"))</f>
        <v>Rareza</v>
      </c>
      <c r="G5" s="18" t="s">
        <v>1019</v>
      </c>
      <c r="H5" s="16" t="str">
        <f>TRIM(_xlfn.TEXTBEFORE(G4, ":"))</f>
        <v>Rareté</v>
      </c>
      <c r="I5" s="18" t="s">
        <v>3188</v>
      </c>
      <c r="J5" s="16" t="str">
        <f>TRIM(_xlfn.TEXTBEFORE(I4, ":"))</f>
        <v>レアリティ</v>
      </c>
      <c r="K5" s="18" t="s">
        <v>3935</v>
      </c>
      <c r="L5" s="16" t="str">
        <f>TRIM(_xlfn.TEXTBEFORE(K4, ":"))</f>
        <v>아이템 희귀도</v>
      </c>
      <c r="M5" s="18" t="s">
        <v>4664</v>
      </c>
      <c r="N5" s="16" t="str">
        <f>TRIM(_xlfn.TEXTBEFORE(M4, ":"))</f>
        <v>Raridade</v>
      </c>
      <c r="O5" s="18" t="s">
        <v>5349</v>
      </c>
      <c r="P5" s="16" t="str">
        <f>TRIM(_xlfn.TEXTBEFORE(O4, ":"))</f>
        <v>Редкость</v>
      </c>
      <c r="Q5" s="18" t="s">
        <v>6081</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117</v>
      </c>
      <c r="B7" s="16"/>
      <c r="C7" s="18" t="s">
        <v>1742</v>
      </c>
      <c r="D7" s="16"/>
      <c r="E7" s="18" t="s">
        <v>2461</v>
      </c>
      <c r="F7" s="16"/>
      <c r="G7" s="18" t="s">
        <v>1010</v>
      </c>
      <c r="H7" s="16"/>
      <c r="I7" s="18" t="s">
        <v>3179</v>
      </c>
      <c r="J7" s="16"/>
      <c r="K7" s="18" t="s">
        <v>3926</v>
      </c>
      <c r="L7" s="16"/>
      <c r="M7" s="18" t="s">
        <v>4655</v>
      </c>
      <c r="N7" s="16"/>
      <c r="O7" s="18" t="s">
        <v>5340</v>
      </c>
      <c r="P7" s="16"/>
      <c r="Q7" s="18" t="s">
        <v>6072</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791</v>
      </c>
      <c r="B9" s="16"/>
      <c r="C9" s="18" t="s">
        <v>1752</v>
      </c>
      <c r="D9" s="16"/>
      <c r="E9" s="18" t="s">
        <v>2471</v>
      </c>
      <c r="F9" s="16"/>
      <c r="G9" s="18" t="s">
        <v>1020</v>
      </c>
      <c r="H9" s="16"/>
      <c r="I9" s="18" t="s">
        <v>3189</v>
      </c>
      <c r="J9" s="16"/>
      <c r="K9" s="18" t="s">
        <v>3936</v>
      </c>
      <c r="L9" s="16"/>
      <c r="M9" s="18" t="s">
        <v>4665</v>
      </c>
      <c r="N9" s="16"/>
      <c r="O9" s="18" t="s">
        <v>5350</v>
      </c>
      <c r="P9" s="16"/>
      <c r="Q9" s="18" t="s">
        <v>6082</v>
      </c>
      <c r="R9" s="16"/>
      <c r="S9" s="18"/>
      <c r="T9" s="20"/>
    </row>
    <row r="10" spans="1:20" ht="15.95" customHeight="1" x14ac:dyDescent="0.25">
      <c r="A10" s="18" t="s">
        <v>792</v>
      </c>
      <c r="B10" s="16"/>
      <c r="C10" s="18" t="s">
        <v>1753</v>
      </c>
      <c r="D10" s="16"/>
      <c r="E10" s="18" t="s">
        <v>2472</v>
      </c>
      <c r="F10" s="16"/>
      <c r="G10" s="18" t="s">
        <v>1021</v>
      </c>
      <c r="H10" s="16"/>
      <c r="I10" s="18" t="s">
        <v>3190</v>
      </c>
      <c r="J10" s="16"/>
      <c r="K10" s="18" t="s">
        <v>3937</v>
      </c>
      <c r="L10" s="16"/>
      <c r="M10" s="18" t="s">
        <v>4666</v>
      </c>
      <c r="N10" s="16"/>
      <c r="O10" s="18" t="s">
        <v>5351</v>
      </c>
      <c r="P10" s="16"/>
      <c r="Q10" s="18" t="s">
        <v>6083</v>
      </c>
      <c r="R10" s="16"/>
      <c r="S10" s="18"/>
      <c r="T10" s="20"/>
    </row>
    <row r="11" spans="1:20" ht="15.95" customHeight="1" x14ac:dyDescent="0.25">
      <c r="A11" s="18" t="s">
        <v>793</v>
      </c>
      <c r="B11" s="16"/>
      <c r="C11" s="18" t="s">
        <v>1754</v>
      </c>
      <c r="D11" s="16"/>
      <c r="E11" s="18" t="s">
        <v>2473</v>
      </c>
      <c r="F11" s="16"/>
      <c r="G11" s="18" t="s">
        <v>1022</v>
      </c>
      <c r="H11" s="16"/>
      <c r="I11" s="18" t="s">
        <v>3191</v>
      </c>
      <c r="J11" s="16"/>
      <c r="K11" s="18" t="s">
        <v>3938</v>
      </c>
      <c r="L11" s="16"/>
      <c r="M11" s="18" t="s">
        <v>4667</v>
      </c>
      <c r="N11" s="16"/>
      <c r="O11" s="18" t="s">
        <v>5352</v>
      </c>
      <c r="P11" s="16"/>
      <c r="Q11" s="18" t="s">
        <v>6084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794</v>
      </c>
      <c r="B13" s="16"/>
      <c r="C13" s="18" t="s">
        <v>1755</v>
      </c>
      <c r="D13" s="16"/>
      <c r="E13" s="18" t="s">
        <v>2474</v>
      </c>
      <c r="F13" s="16"/>
      <c r="G13" s="18" t="s">
        <v>1023</v>
      </c>
      <c r="H13" s="16"/>
      <c r="I13" s="18" t="s">
        <v>3192</v>
      </c>
      <c r="J13" s="16"/>
      <c r="K13" s="18" t="s">
        <v>3939</v>
      </c>
      <c r="L13" s="16"/>
      <c r="M13" s="18" t="s">
        <v>4668</v>
      </c>
      <c r="N13" s="16"/>
      <c r="O13" s="18" t="s">
        <v>5353</v>
      </c>
      <c r="P13" s="16"/>
      <c r="Q13" s="18" t="s">
        <v>6085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795</v>
      </c>
      <c r="B15" s="16"/>
      <c r="C15" s="18" t="s">
        <v>1756</v>
      </c>
      <c r="D15" s="16"/>
      <c r="E15" s="18" t="s">
        <v>2475</v>
      </c>
      <c r="F15" s="16"/>
      <c r="G15" s="18" t="s">
        <v>1024</v>
      </c>
      <c r="H15" s="16"/>
      <c r="I15" s="18" t="s">
        <v>3193</v>
      </c>
      <c r="J15" s="16"/>
      <c r="K15" s="18" t="s">
        <v>3940</v>
      </c>
      <c r="L15" s="16"/>
      <c r="M15" s="18" t="s">
        <v>4669</v>
      </c>
      <c r="N15" s="16"/>
      <c r="O15" s="18" t="s">
        <v>5354</v>
      </c>
      <c r="P15" s="16"/>
      <c r="Q15" s="18" t="s">
        <v>6086</v>
      </c>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8" priority="2" stopIfTrue="1">
      <formula>NOT(ISERROR(A3))</formula>
    </cfRule>
  </conditionalFormatting>
  <conditionalFormatting sqref="A3:T51">
    <cfRule type="containsErrors" dxfId="267" priority="1" stopIfTrue="1">
      <formula>ISERROR(A3)</formula>
    </cfRule>
    <cfRule type="notContainsBlanks" dxfId="266"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701</v>
      </c>
      <c r="B3" s="16" t="str">
        <f>TRIM(_xlfn.TEXTBEFORE(A3, ":"))</f>
        <v>Item Class</v>
      </c>
      <c r="C3" s="17" t="s">
        <v>1757</v>
      </c>
      <c r="D3" s="16" t="str">
        <f>TRIM(_xlfn.TEXTBEFORE(C3, ":"))</f>
        <v>Gegenstandsklasse</v>
      </c>
      <c r="E3" s="17" t="s">
        <v>2476</v>
      </c>
      <c r="F3" s="16" t="str">
        <f>TRIM(_xlfn.TEXTBEFORE(E3, ":"))</f>
        <v>Clase de objeto</v>
      </c>
      <c r="G3" s="17" t="s">
        <v>1025</v>
      </c>
      <c r="H3" s="16" t="str">
        <f>TRIM(_xlfn.TEXTBEFORE(G3, ":"))</f>
        <v>Classe d'objet</v>
      </c>
      <c r="I3" s="17" t="s">
        <v>3194</v>
      </c>
      <c r="J3" s="16" t="str">
        <f>TRIM(_xlfn.TEXTBEFORE(I3, ":"))</f>
        <v>アイテムクラス</v>
      </c>
      <c r="K3" s="17" t="s">
        <v>3941</v>
      </c>
      <c r="L3" s="16" t="str">
        <f>TRIM(_xlfn.TEXTBEFORE(K3, ":"))</f>
        <v>아이템 종류</v>
      </c>
      <c r="M3" s="17" t="s">
        <v>4670</v>
      </c>
      <c r="N3" s="16" t="str">
        <f>TRIM(_xlfn.TEXTBEFORE(M3, ":"))</f>
        <v>Classe do Item</v>
      </c>
      <c r="O3" s="17" t="s">
        <v>5355</v>
      </c>
      <c r="P3" s="16" t="str">
        <f>TRIM(_xlfn.TEXTBEFORE(O3, ":"))</f>
        <v>Класс предмета</v>
      </c>
      <c r="Q3" s="17" t="s">
        <v>6087</v>
      </c>
      <c r="R3" s="16" t="str">
        <f>TRIM(_xlfn.TEXTBEFORE(Q3, ":"))</f>
        <v>ชนิดไอเทม</v>
      </c>
      <c r="S3" s="17"/>
      <c r="T3" s="20" t="e">
        <f>TRIM(_xlfn.TEXTBEFORE(S3, ":"))</f>
        <v>#N/A</v>
      </c>
    </row>
    <row r="4" spans="1:20" ht="15.95" customHeight="1" x14ac:dyDescent="0.25">
      <c r="A4" s="18" t="s">
        <v>525</v>
      </c>
      <c r="B4" s="16" t="str">
        <f>TRIM(_xlfn.TEXTAFTER(A3, ":"))</f>
        <v>Misc Map Items</v>
      </c>
      <c r="C4" s="18" t="s">
        <v>1681</v>
      </c>
      <c r="D4" s="16" t="str">
        <f>TRIM(_xlfn.TEXTAFTER(C3, ":"))</f>
        <v>Sonstige Kartengegenstände</v>
      </c>
      <c r="E4" s="18" t="s">
        <v>2401</v>
      </c>
      <c r="F4" s="16" t="str">
        <f>TRIM(_xlfn.TEXTAFTER(E3, ":"))</f>
        <v>Objetos misceláneos de mapa</v>
      </c>
      <c r="G4" s="18" t="s">
        <v>948</v>
      </c>
      <c r="H4" s="16" t="str">
        <f>TRIM(_xlfn.TEXTAFTER(G3, ":"))</f>
        <v>Objets de Carte divers</v>
      </c>
      <c r="I4" s="18" t="s">
        <v>3116</v>
      </c>
      <c r="J4" s="16" t="str">
        <f>TRIM(_xlfn.TEXTAFTER(I3, ":"))</f>
        <v>その他マップアイテム</v>
      </c>
      <c r="K4" s="18" t="s">
        <v>3866</v>
      </c>
      <c r="L4" s="16" t="str">
        <f>TRIM(_xlfn.TEXTAFTER(K3, ":"))</f>
        <v>기타 지도 아이템</v>
      </c>
      <c r="M4" s="18" t="s">
        <v>4595</v>
      </c>
      <c r="N4" s="16" t="str">
        <f>TRIM(_xlfn.TEXTAFTER(M3, ":"))</f>
        <v>Itens Mapas Variados</v>
      </c>
      <c r="O4" s="18" t="s">
        <v>5278</v>
      </c>
      <c r="P4" s="16" t="str">
        <f>TRIM(_xlfn.TEXTAFTER(O3, ":"))</f>
        <v>Прочие предметы карт</v>
      </c>
      <c r="Q4" s="18" t="s">
        <v>6015</v>
      </c>
      <c r="R4" s="16" t="str">
        <f>TRIM(_xlfn.TEXTAFTER(Q3, ":"))</f>
        <v>ไอเทมแผนที่อื่นๆ</v>
      </c>
      <c r="S4" s="18"/>
      <c r="T4" s="20" t="e">
        <f>TRIM(_xlfn.TEXTAFTER(S3, ":"))</f>
        <v>#N/A</v>
      </c>
    </row>
    <row r="5" spans="1:20" ht="15.95" customHeight="1" x14ac:dyDescent="0.25">
      <c r="A5" s="18" t="s">
        <v>702</v>
      </c>
      <c r="B5" s="16" t="str">
        <f>TRIM(_xlfn.TEXTBEFORE(A4, ":"))</f>
        <v>Rarity</v>
      </c>
      <c r="C5" s="18" t="s">
        <v>1758</v>
      </c>
      <c r="D5" s="16" t="str">
        <f>TRIM(_xlfn.TEXTBEFORE(C4, ":"))</f>
        <v>Seltenheit</v>
      </c>
      <c r="E5" s="18" t="s">
        <v>2477</v>
      </c>
      <c r="F5" s="16" t="str">
        <f>TRIM(_xlfn.TEXTBEFORE(E4, ":"))</f>
        <v>Rareza</v>
      </c>
      <c r="G5" s="18" t="s">
        <v>1026</v>
      </c>
      <c r="H5" s="16" t="str">
        <f>TRIM(_xlfn.TEXTBEFORE(G4, ":"))</f>
        <v>Rareté</v>
      </c>
      <c r="I5" s="18" t="s">
        <v>3195</v>
      </c>
      <c r="J5" s="16" t="str">
        <f>TRIM(_xlfn.TEXTBEFORE(I4, ":"))</f>
        <v>レアリティ</v>
      </c>
      <c r="K5" s="18" t="s">
        <v>3942</v>
      </c>
      <c r="L5" s="16" t="str">
        <f>TRIM(_xlfn.TEXTBEFORE(K4, ":"))</f>
        <v>아이템 희귀도</v>
      </c>
      <c r="M5" s="18" t="s">
        <v>4671</v>
      </c>
      <c r="N5" s="16" t="str">
        <f>TRIM(_xlfn.TEXTBEFORE(M4, ":"))</f>
        <v>Raridade</v>
      </c>
      <c r="O5" s="18" t="s">
        <v>5356</v>
      </c>
      <c r="P5" s="16" t="str">
        <f>TRIM(_xlfn.TEXTBEFORE(O4, ":"))</f>
        <v>Редкость</v>
      </c>
      <c r="Q5" s="18" t="s">
        <v>6088</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283</v>
      </c>
      <c r="B7" s="16"/>
      <c r="C7" s="18" t="s">
        <v>1759</v>
      </c>
      <c r="D7" s="16"/>
      <c r="E7" s="18" t="s">
        <v>2478</v>
      </c>
      <c r="F7" s="16"/>
      <c r="G7" s="18" t="s">
        <v>1027</v>
      </c>
      <c r="H7" s="16"/>
      <c r="I7" s="18" t="s">
        <v>3196</v>
      </c>
      <c r="J7" s="16"/>
      <c r="K7" s="18" t="s">
        <v>3943</v>
      </c>
      <c r="L7" s="16"/>
      <c r="M7" s="18" t="s">
        <v>4672</v>
      </c>
      <c r="N7" s="16"/>
      <c r="O7" s="18" t="s">
        <v>5357</v>
      </c>
      <c r="P7" s="16"/>
      <c r="Q7" s="18" t="s">
        <v>6089</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703</v>
      </c>
      <c r="B9" s="16"/>
      <c r="C9" s="18" t="s">
        <v>1760</v>
      </c>
      <c r="D9" s="16"/>
      <c r="E9" s="18" t="s">
        <v>2479</v>
      </c>
      <c r="F9" s="16"/>
      <c r="G9" s="18" t="s">
        <v>1028</v>
      </c>
      <c r="H9" s="16"/>
      <c r="I9" s="18" t="s">
        <v>3197</v>
      </c>
      <c r="J9" s="16"/>
      <c r="K9" s="18" t="s">
        <v>3944</v>
      </c>
      <c r="L9" s="16"/>
      <c r="M9" s="18" t="s">
        <v>4673</v>
      </c>
      <c r="N9" s="16"/>
      <c r="O9" s="18" t="s">
        <v>5358</v>
      </c>
      <c r="P9" s="16"/>
      <c r="Q9" s="18" t="s">
        <v>6090</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704</v>
      </c>
      <c r="B11" s="16"/>
      <c r="C11" s="18" t="s">
        <v>1761</v>
      </c>
      <c r="D11" s="16"/>
      <c r="E11" s="18" t="s">
        <v>2480</v>
      </c>
      <c r="F11" s="16"/>
      <c r="G11" s="18" t="s">
        <v>1029</v>
      </c>
      <c r="H11" s="16"/>
      <c r="I11" s="18" t="s">
        <v>3198</v>
      </c>
      <c r="J11" s="16"/>
      <c r="K11" s="18" t="s">
        <v>3945</v>
      </c>
      <c r="L11" s="16"/>
      <c r="M11" s="18" t="s">
        <v>4674</v>
      </c>
      <c r="N11" s="16"/>
      <c r="O11" s="18" t="s">
        <v>5359</v>
      </c>
      <c r="P11" s="16"/>
      <c r="Q11" s="18" t="s">
        <v>6091</v>
      </c>
      <c r="R11" s="16"/>
      <c r="S11" s="18"/>
      <c r="T11" s="20"/>
    </row>
    <row r="12" spans="1:20" ht="15.95" customHeight="1" x14ac:dyDescent="0.25">
      <c r="A12" s="18" t="s">
        <v>705</v>
      </c>
      <c r="B12" s="16"/>
      <c r="C12" s="18" t="s">
        <v>1762</v>
      </c>
      <c r="D12" s="16"/>
      <c r="E12" s="18" t="s">
        <v>2481</v>
      </c>
      <c r="F12" s="16"/>
      <c r="G12" s="18" t="s">
        <v>1030</v>
      </c>
      <c r="H12" s="16"/>
      <c r="I12" s="18" t="s">
        <v>3199</v>
      </c>
      <c r="J12" s="16"/>
      <c r="K12" s="18" t="s">
        <v>3946</v>
      </c>
      <c r="L12" s="16"/>
      <c r="M12" s="18" t="s">
        <v>4675</v>
      </c>
      <c r="N12" s="16"/>
      <c r="O12" s="18" t="s">
        <v>5360</v>
      </c>
      <c r="P12" s="16"/>
      <c r="Q12" s="18" t="s">
        <v>6092</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706</v>
      </c>
      <c r="B14" s="16"/>
      <c r="C14" s="18" t="s">
        <v>1763</v>
      </c>
      <c r="D14" s="16"/>
      <c r="E14" s="18" t="s">
        <v>2482</v>
      </c>
      <c r="F14" s="16"/>
      <c r="G14" s="18" t="s">
        <v>1031</v>
      </c>
      <c r="H14" s="16"/>
      <c r="I14" s="18" t="s">
        <v>3200</v>
      </c>
      <c r="J14" s="16"/>
      <c r="K14" s="18" t="s">
        <v>3947</v>
      </c>
      <c r="L14" s="16"/>
      <c r="M14" s="18" t="s">
        <v>4676</v>
      </c>
      <c r="N14" s="16"/>
      <c r="O14" s="18" t="s">
        <v>5361</v>
      </c>
      <c r="P14" s="16"/>
      <c r="Q14" s="18" t="s">
        <v>6093</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5" priority="2" stopIfTrue="1">
      <formula>NOT(ISERROR(A3))</formula>
    </cfRule>
  </conditionalFormatting>
  <conditionalFormatting sqref="A3:T51">
    <cfRule type="containsErrors" dxfId="264" priority="1" stopIfTrue="1">
      <formula>ISERROR(A3)</formula>
    </cfRule>
    <cfRule type="notContainsBlanks" dxfId="263"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867</v>
      </c>
      <c r="B3" s="16" t="str">
        <f>TRIM(_xlfn.TEXTBEFORE(A3, ":"))</f>
        <v>Item Class</v>
      </c>
      <c r="C3" s="17" t="s">
        <v>2316</v>
      </c>
      <c r="D3" s="16" t="str">
        <f>TRIM(_xlfn.TEXTBEFORE(C3, ":"))</f>
        <v>Gegenstandsklasse</v>
      </c>
      <c r="E3" s="17" t="s">
        <v>2321</v>
      </c>
      <c r="F3" s="16" t="str">
        <f>TRIM(_xlfn.TEXTBEFORE(E3, ":"))</f>
        <v>Clase de objeto</v>
      </c>
      <c r="G3" s="17" t="s">
        <v>1600</v>
      </c>
      <c r="H3" s="16" t="str">
        <f>TRIM(_xlfn.TEXTBEFORE(G3, ":"))</f>
        <v>Classe d'objet</v>
      </c>
      <c r="I3" s="17" t="s">
        <v>3779</v>
      </c>
      <c r="J3" s="16" t="str">
        <f>TRIM(_xlfn.TEXTBEFORE(I3, ":"))</f>
        <v>アイテムクラス</v>
      </c>
      <c r="K3" s="17" t="s">
        <v>3783</v>
      </c>
      <c r="L3" s="16" t="str">
        <f>TRIM(_xlfn.TEXTBEFORE(K3, ":"))</f>
        <v>아이템 종류</v>
      </c>
      <c r="M3" s="17" t="s">
        <v>5185</v>
      </c>
      <c r="N3" s="16" t="str">
        <f>TRIM(_xlfn.TEXTBEFORE(M3, ":"))</f>
        <v>Classe do Item</v>
      </c>
      <c r="O3" s="17" t="s">
        <v>5935</v>
      </c>
      <c r="P3" s="16" t="str">
        <f>TRIM(_xlfn.TEXTBEFORE(O3, ":"))</f>
        <v>Класс предмета</v>
      </c>
      <c r="Q3" s="17" t="s">
        <v>5939</v>
      </c>
      <c r="R3" s="16" t="str">
        <f>TRIM(_xlfn.TEXTBEFORE(Q3, ":"))</f>
        <v>ชนิดไอเทม</v>
      </c>
      <c r="S3" s="17"/>
      <c r="T3" s="20" t="e">
        <f>TRIM(_xlfn.TEXTBEFORE(S3, ":"))</f>
        <v>#N/A</v>
      </c>
    </row>
    <row r="4" spans="1:20" ht="15.95" customHeight="1" x14ac:dyDescent="0.25">
      <c r="A4" s="18" t="s">
        <v>582</v>
      </c>
      <c r="B4" s="16" t="str">
        <f>TRIM(_xlfn.TEXTAFTER(A3, ":"))</f>
        <v>Sanctum Research</v>
      </c>
      <c r="C4" s="18" t="s">
        <v>1654</v>
      </c>
      <c r="D4" s="16" t="str">
        <f>TRIM(_xlfn.TEXTAFTER(C3, ":"))</f>
        <v>Sanktum-Forschungsauftrag</v>
      </c>
      <c r="E4" s="18" t="s">
        <v>2322</v>
      </c>
      <c r="F4" s="16" t="str">
        <f>TRIM(_xlfn.TEXTAFTER(E3, ":"))</f>
        <v>Investigación del santuario</v>
      </c>
      <c r="G4" s="18" t="s">
        <v>877</v>
      </c>
      <c r="H4" s="16" t="str">
        <f>TRIM(_xlfn.TEXTAFTER(G3, ":"))</f>
        <v>Recherche du Sanctuaire</v>
      </c>
      <c r="I4" s="18" t="s">
        <v>3090</v>
      </c>
      <c r="J4" s="16" t="str">
        <f>TRIM(_xlfn.TEXTAFTER(I3, ":"))</f>
        <v>サンクタム調査書</v>
      </c>
      <c r="K4" s="18" t="s">
        <v>3784</v>
      </c>
      <c r="L4" s="16" t="str">
        <f>TRIM(_xlfn.TEXTAFTER(K3, ":"))</f>
        <v>성역 연구</v>
      </c>
      <c r="M4" s="18" t="s">
        <v>4568</v>
      </c>
      <c r="N4" s="16" t="str">
        <f>TRIM(_xlfn.TEXTAFTER(M3, ":"))</f>
        <v>Pesquisa Sanctum</v>
      </c>
      <c r="O4" s="18" t="s">
        <v>5252</v>
      </c>
      <c r="P4" s="16" t="str">
        <f>TRIM(_xlfn.TEXTAFTER(O3, ":"))</f>
        <v>Исследования Святилища</v>
      </c>
      <c r="Q4" s="18" t="s">
        <v>5940</v>
      </c>
      <c r="R4" s="16" t="str">
        <f>TRIM(_xlfn.TEXTAFTER(Q3, ":"))</f>
        <v>บทวิจัยเทวสถาน</v>
      </c>
      <c r="S4" s="18"/>
      <c r="T4" s="20" t="e">
        <f>TRIM(_xlfn.TEXTAFTER(S3, ":"))</f>
        <v>#N/A</v>
      </c>
    </row>
    <row r="5" spans="1:20" ht="15.95" customHeight="1" x14ac:dyDescent="0.25">
      <c r="A5" s="18" t="s">
        <v>868</v>
      </c>
      <c r="B5" s="16" t="str">
        <f>TRIM(_xlfn.TEXTBEFORE(A4, ":"))</f>
        <v>Rarity</v>
      </c>
      <c r="C5" s="18" t="s">
        <v>2317</v>
      </c>
      <c r="D5" s="16" t="str">
        <f>TRIM(_xlfn.TEXTBEFORE(C4, ":"))</f>
        <v>Seltenheit</v>
      </c>
      <c r="E5" s="18" t="s">
        <v>2323</v>
      </c>
      <c r="F5" s="16" t="str">
        <f>TRIM(_xlfn.TEXTBEFORE(E4, ":"))</f>
        <v>Rareza</v>
      </c>
      <c r="G5" s="18" t="s">
        <v>1601</v>
      </c>
      <c r="H5" s="16" t="str">
        <f>TRIM(_xlfn.TEXTBEFORE(G4, ":"))</f>
        <v>Rareté</v>
      </c>
      <c r="I5" s="18" t="s">
        <v>3780</v>
      </c>
      <c r="J5" s="16" t="str">
        <f>TRIM(_xlfn.TEXTBEFORE(I4, ":"))</f>
        <v>レアリティ</v>
      </c>
      <c r="K5" s="18" t="s">
        <v>3785</v>
      </c>
      <c r="L5" s="16" t="str">
        <f>TRIM(_xlfn.TEXTBEFORE(K4, ":"))</f>
        <v>아이템 희귀도</v>
      </c>
      <c r="M5" s="18" t="s">
        <v>5186</v>
      </c>
      <c r="N5" s="16" t="str">
        <f>TRIM(_xlfn.TEXTBEFORE(M4, ":"))</f>
        <v>Raridade</v>
      </c>
      <c r="O5" s="18" t="s">
        <v>5936</v>
      </c>
      <c r="P5" s="16" t="str">
        <f>TRIM(_xlfn.TEXTBEFORE(O4, ":"))</f>
        <v>Редкость</v>
      </c>
      <c r="Q5" s="18" t="s">
        <v>5941</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869</v>
      </c>
      <c r="B7" s="16"/>
      <c r="C7" s="18" t="s">
        <v>2318</v>
      </c>
      <c r="D7" s="16"/>
      <c r="E7" s="18" t="s">
        <v>2324</v>
      </c>
      <c r="F7" s="16"/>
      <c r="G7" s="18" t="s">
        <v>1602</v>
      </c>
      <c r="H7" s="16"/>
      <c r="I7" s="18" t="s">
        <v>3781</v>
      </c>
      <c r="J7" s="16"/>
      <c r="K7" s="18" t="s">
        <v>3786</v>
      </c>
      <c r="L7" s="16"/>
      <c r="M7" s="18" t="s">
        <v>5187</v>
      </c>
      <c r="N7" s="16"/>
      <c r="O7" s="18" t="s">
        <v>5937</v>
      </c>
      <c r="P7" s="16"/>
      <c r="Q7" s="18" t="s">
        <v>5942</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111</v>
      </c>
      <c r="B9" s="16"/>
      <c r="C9" s="18" t="s">
        <v>1691</v>
      </c>
      <c r="D9" s="16"/>
      <c r="E9" s="18" t="s">
        <v>2325</v>
      </c>
      <c r="F9" s="16"/>
      <c r="G9" s="18" t="s">
        <v>958</v>
      </c>
      <c r="H9" s="16"/>
      <c r="I9" s="18" t="s">
        <v>3127</v>
      </c>
      <c r="J9" s="16"/>
      <c r="K9" s="18" t="s">
        <v>3787</v>
      </c>
      <c r="L9" s="16"/>
      <c r="M9" s="18" t="s">
        <v>4605</v>
      </c>
      <c r="N9" s="16"/>
      <c r="O9" s="18" t="s">
        <v>5288</v>
      </c>
      <c r="P9" s="16"/>
      <c r="Q9" s="18" t="s">
        <v>5943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870</v>
      </c>
      <c r="B11" s="16"/>
      <c r="C11" s="18" t="s">
        <v>870</v>
      </c>
      <c r="D11" s="16"/>
      <c r="E11" s="18" t="s">
        <v>870</v>
      </c>
      <c r="F11" s="16"/>
      <c r="G11" s="18" t="s">
        <v>870</v>
      </c>
      <c r="H11" s="16"/>
      <c r="I11" s="18" t="s">
        <v>870</v>
      </c>
      <c r="J11" s="16"/>
      <c r="K11" s="18" t="s">
        <v>3788</v>
      </c>
      <c r="L11" s="16"/>
      <c r="M11" s="18" t="s">
        <v>870</v>
      </c>
      <c r="N11" s="16"/>
      <c r="O11" s="18" t="s">
        <v>870</v>
      </c>
      <c r="P11" s="16"/>
      <c r="Q11" s="18" t="s">
        <v>5944</v>
      </c>
      <c r="R11" s="16"/>
      <c r="S11" s="18"/>
      <c r="T11" s="20"/>
    </row>
    <row r="12" spans="1:20" ht="15.95" customHeight="1" x14ac:dyDescent="0.25">
      <c r="A12" s="18" t="s">
        <v>871</v>
      </c>
      <c r="B12" s="16"/>
      <c r="C12" s="18" t="s">
        <v>2319</v>
      </c>
      <c r="D12" s="16"/>
      <c r="E12" s="18" t="s">
        <v>871</v>
      </c>
      <c r="F12" s="16"/>
      <c r="G12" s="18" t="s">
        <v>871</v>
      </c>
      <c r="H12" s="16"/>
      <c r="I12" s="18" t="s">
        <v>871</v>
      </c>
      <c r="J12" s="16"/>
      <c r="K12" s="18" t="s">
        <v>3789</v>
      </c>
      <c r="L12" s="16"/>
      <c r="M12" s="18" t="s">
        <v>871</v>
      </c>
      <c r="N12" s="16"/>
      <c r="O12" s="18" t="s">
        <v>871</v>
      </c>
      <c r="P12" s="16"/>
      <c r="Q12" s="18" t="s">
        <v>5945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872</v>
      </c>
      <c r="B14" s="16"/>
      <c r="C14" s="18" t="s">
        <v>2320</v>
      </c>
      <c r="D14" s="16"/>
      <c r="E14" s="18" t="s">
        <v>2326</v>
      </c>
      <c r="F14" s="16"/>
      <c r="G14" s="18" t="s">
        <v>1603</v>
      </c>
      <c r="H14" s="16"/>
      <c r="I14" s="18" t="s">
        <v>3782</v>
      </c>
      <c r="J14" s="16"/>
      <c r="K14" s="18" t="s">
        <v>3790</v>
      </c>
      <c r="L14" s="16"/>
      <c r="M14" s="18" t="s">
        <v>5188</v>
      </c>
      <c r="N14" s="16"/>
      <c r="O14" s="18" t="s">
        <v>5938</v>
      </c>
      <c r="P14" s="16"/>
      <c r="Q14" s="18" t="s">
        <v>5946</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2" priority="2" stopIfTrue="1">
      <formula>NOT(ISERROR(A3))</formula>
    </cfRule>
  </conditionalFormatting>
  <conditionalFormatting sqref="A3:T51">
    <cfRule type="containsErrors" dxfId="261" priority="1" stopIfTrue="1">
      <formula>ISERROR(A3)</formula>
    </cfRule>
    <cfRule type="notContainsBlanks" dxfId="260" priority="3">
      <formula>LEN(TRIM(A3))&gt;0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674</v>
      </c>
      <c r="B3" s="16" t="str">
        <f>TRIM(_xlfn.TEXTBEFORE(A3, ":"))</f>
        <v>Item Class</v>
      </c>
      <c r="C3" s="17" t="s">
        <v>1764</v>
      </c>
      <c r="D3" s="16" t="str">
        <f>TRIM(_xlfn.TEXTBEFORE(C3, ":"))</f>
        <v>Gegenstandsklasse</v>
      </c>
      <c r="E3" s="17" t="s">
        <v>2483</v>
      </c>
      <c r="F3" s="16" t="str">
        <f>TRIM(_xlfn.TEXTBEFORE(E3, ":"))</f>
        <v>Clase de objeto</v>
      </c>
      <c r="G3" s="17" t="s">
        <v>1032</v>
      </c>
      <c r="H3" s="16" t="str">
        <f>TRIM(_xlfn.TEXTBEFORE(G3, ":"))</f>
        <v>Classe d'objet</v>
      </c>
      <c r="I3" s="17" t="s">
        <v>3201</v>
      </c>
      <c r="J3" s="16" t="str">
        <f>TRIM(_xlfn.TEXTBEFORE(I3, ":"))</f>
        <v>アイテムクラス</v>
      </c>
      <c r="K3" s="17" t="s">
        <v>3948</v>
      </c>
      <c r="L3" s="16" t="str">
        <f>TRIM(_xlfn.TEXTBEFORE(K3, ":"))</f>
        <v>아이템 종류</v>
      </c>
      <c r="M3" s="17" t="s">
        <v>4677</v>
      </c>
      <c r="N3" s="16" t="str">
        <f>TRIM(_xlfn.TEXTBEFORE(M3, ":"))</f>
        <v>Classe do Item</v>
      </c>
      <c r="O3" s="17" t="s">
        <v>5362</v>
      </c>
      <c r="P3" s="16" t="str">
        <f>TRIM(_xlfn.TEXTBEFORE(O3, ":"))</f>
        <v>Класс предмета</v>
      </c>
      <c r="Q3" s="17" t="s">
        <v>6094</v>
      </c>
      <c r="R3" s="16" t="str">
        <f>TRIM(_xlfn.TEXTBEFORE(Q3, ":"))</f>
        <v>ชนิดไอเทม</v>
      </c>
      <c r="S3" s="17"/>
      <c r="T3" s="20" t="e">
        <f>TRIM(_xlfn.TEXTBEFORE(S3, ":"))</f>
        <v>#N/A</v>
      </c>
    </row>
    <row r="4" spans="1:20" ht="15.95" customHeight="1" x14ac:dyDescent="0.25">
      <c r="A4" s="18" t="s">
        <v>525</v>
      </c>
      <c r="B4" s="16" t="str">
        <f>TRIM(_xlfn.TEXTAFTER(A3, ":"))</f>
        <v>Hybrid Flasks</v>
      </c>
      <c r="C4" s="18" t="s">
        <v>1681</v>
      </c>
      <c r="D4" s="16" t="str">
        <f>TRIM(_xlfn.TEXTAFTER(C3, ":"))</f>
        <v>Hybridfläschchen</v>
      </c>
      <c r="E4" s="18" t="s">
        <v>2401</v>
      </c>
      <c r="F4" s="16" t="str">
        <f>TRIM(_xlfn.TEXTAFTER(E3, ":"))</f>
        <v>Frascos híbridos</v>
      </c>
      <c r="G4" s="18" t="s">
        <v>948</v>
      </c>
      <c r="H4" s="16" t="str">
        <f>TRIM(_xlfn.TEXTAFTER(G3, ":"))</f>
        <v>Flacons hybrides</v>
      </c>
      <c r="I4" s="18" t="s">
        <v>3116</v>
      </c>
      <c r="J4" s="16" t="str">
        <f>TRIM(_xlfn.TEXTAFTER(I3, ":"))</f>
        <v>ハイブリッドフラスコ</v>
      </c>
      <c r="K4" s="18" t="s">
        <v>3866</v>
      </c>
      <c r="L4" s="16" t="str">
        <f>TRIM(_xlfn.TEXTAFTER(K3, ":"))</f>
        <v>하이브리드 플라스크</v>
      </c>
      <c r="M4" s="18" t="s">
        <v>4595</v>
      </c>
      <c r="N4" s="16" t="str">
        <f>TRIM(_xlfn.TEXTAFTER(M3, ":"))</f>
        <v>Frascos Híbridos</v>
      </c>
      <c r="O4" s="18" t="s">
        <v>5278</v>
      </c>
      <c r="P4" s="16" t="str">
        <f>TRIM(_xlfn.TEXTAFTER(O3, ":"))</f>
        <v>Флаконы равновесия</v>
      </c>
      <c r="Q4" s="18" t="s">
        <v>6015</v>
      </c>
      <c r="R4" s="16" t="str">
        <f>TRIM(_xlfn.TEXTAFTER(Q3, ":"))</f>
        <v>ขวดยาผสม</v>
      </c>
      <c r="S4" s="18"/>
      <c r="T4" s="20" t="e">
        <f>TRIM(_xlfn.TEXTAFTER(S3, ":"))</f>
        <v>#N/A</v>
      </c>
    </row>
    <row r="5" spans="1:20" ht="15.95" customHeight="1" x14ac:dyDescent="0.25">
      <c r="A5" s="18" t="s">
        <v>675</v>
      </c>
      <c r="B5" s="16" t="str">
        <f>TRIM(_xlfn.TEXTBEFORE(A4, ":"))</f>
        <v>Rarity</v>
      </c>
      <c r="C5" s="18" t="s">
        <v>1765</v>
      </c>
      <c r="D5" s="16" t="str">
        <f>TRIM(_xlfn.TEXTBEFORE(C4, ":"))</f>
        <v>Seltenheit</v>
      </c>
      <c r="E5" s="18" t="s">
        <v>2484</v>
      </c>
      <c r="F5" s="16" t="str">
        <f>TRIM(_xlfn.TEXTBEFORE(E4, ":"))</f>
        <v>Rareza</v>
      </c>
      <c r="G5" s="18" t="s">
        <v>1033</v>
      </c>
      <c r="H5" s="16" t="str">
        <f>TRIM(_xlfn.TEXTBEFORE(G4, ":"))</f>
        <v>Rareté</v>
      </c>
      <c r="I5" s="18" t="s">
        <v>3202</v>
      </c>
      <c r="J5" s="16" t="str">
        <f>TRIM(_xlfn.TEXTBEFORE(I4, ":"))</f>
        <v>レアリティ</v>
      </c>
      <c r="K5" s="18" t="s">
        <v>3949</v>
      </c>
      <c r="L5" s="16" t="str">
        <f>TRIM(_xlfn.TEXTBEFORE(K4, ":"))</f>
        <v>아이템 희귀도</v>
      </c>
      <c r="M5" s="18" t="s">
        <v>4678</v>
      </c>
      <c r="N5" s="16" t="str">
        <f>TRIM(_xlfn.TEXTBEFORE(M4, ":"))</f>
        <v>Raridade</v>
      </c>
      <c r="O5" s="18" t="s">
        <v>5363</v>
      </c>
      <c r="P5" s="16" t="str">
        <f>TRIM(_xlfn.TEXTBEFORE(O4, ":"))</f>
        <v>Редкость</v>
      </c>
      <c r="Q5" s="18" t="s">
        <v>675</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676</v>
      </c>
      <c r="B7" s="16"/>
      <c r="C7" s="18" t="s">
        <v>1766</v>
      </c>
      <c r="D7" s="16"/>
      <c r="E7" s="18" t="s">
        <v>2485</v>
      </c>
      <c r="F7" s="16"/>
      <c r="G7" s="18" t="s">
        <v>1034</v>
      </c>
      <c r="H7" s="16"/>
      <c r="I7" s="18" t="s">
        <v>3203</v>
      </c>
      <c r="J7" s="16"/>
      <c r="K7" s="18" t="s">
        <v>3950</v>
      </c>
      <c r="L7" s="16"/>
      <c r="M7" s="18" t="s">
        <v>4679</v>
      </c>
      <c r="N7" s="16"/>
      <c r="O7" s="18" t="s">
        <v>5364</v>
      </c>
      <c r="P7" s="16"/>
      <c r="Q7" s="18" t="s">
        <v>6095</v>
      </c>
      <c r="R7" s="16"/>
      <c r="S7" s="18"/>
      <c r="T7" s="20"/>
    </row>
    <row r="8" spans="1:20" ht="15.95" customHeight="1" x14ac:dyDescent="0.25">
      <c r="A8" s="18" t="s">
        <v>677</v>
      </c>
      <c r="B8" s="16"/>
      <c r="C8" s="18" t="s">
        <v>1767</v>
      </c>
      <c r="D8" s="16"/>
      <c r="E8" s="18" t="s">
        <v>2486</v>
      </c>
      <c r="F8" s="16"/>
      <c r="G8" s="18" t="s">
        <v>1035</v>
      </c>
      <c r="H8" s="16"/>
      <c r="I8" s="18" t="s">
        <v>3204</v>
      </c>
      <c r="J8" s="16"/>
      <c r="K8" s="18" t="s">
        <v>3951</v>
      </c>
      <c r="L8" s="16"/>
      <c r="M8" s="18" t="s">
        <v>4680</v>
      </c>
      <c r="N8" s="16"/>
      <c r="O8" s="18" t="s">
        <v>5365</v>
      </c>
      <c r="P8" s="16"/>
      <c r="Q8" s="18" t="s">
        <v>6096</v>
      </c>
      <c r="R8" s="16"/>
      <c r="S8" s="18"/>
      <c r="T8" s="20"/>
    </row>
    <row r="9" spans="1:20" ht="15.95" customHeight="1" x14ac:dyDescent="0.25">
      <c r="A9" s="18" t="s">
        <v>678</v>
      </c>
      <c r="B9" s="16"/>
      <c r="C9" s="18" t="s">
        <v>1768</v>
      </c>
      <c r="D9" s="16"/>
      <c r="E9" s="18" t="s">
        <v>2487</v>
      </c>
      <c r="F9" s="16"/>
      <c r="G9" s="18" t="s">
        <v>1036</v>
      </c>
      <c r="H9" s="16"/>
      <c r="I9" s="18" t="s">
        <v>3205</v>
      </c>
      <c r="J9" s="16"/>
      <c r="K9" s="18" t="s">
        <v>3952</v>
      </c>
      <c r="L9" s="16"/>
      <c r="M9" s="18" t="s">
        <v>4681</v>
      </c>
      <c r="N9" s="16"/>
      <c r="O9" s="18" t="s">
        <v>5366</v>
      </c>
      <c r="P9" s="16"/>
      <c r="Q9" s="18" t="s">
        <v>6097</v>
      </c>
      <c r="R9" s="16"/>
      <c r="S9" s="18"/>
      <c r="T9" s="20"/>
    </row>
    <row r="10" spans="1:20" ht="15.95" customHeight="1" x14ac:dyDescent="0.25">
      <c r="A10" s="18" t="s">
        <v>679</v>
      </c>
      <c r="B10" s="16"/>
      <c r="C10" s="18" t="s">
        <v>1769</v>
      </c>
      <c r="D10" s="16"/>
      <c r="E10" s="18" t="s">
        <v>2488</v>
      </c>
      <c r="F10" s="16"/>
      <c r="G10" s="18" t="s">
        <v>1037</v>
      </c>
      <c r="H10" s="16"/>
      <c r="I10" s="18" t="s">
        <v>3206</v>
      </c>
      <c r="J10" s="16"/>
      <c r="K10" s="18" t="s">
        <v>3953</v>
      </c>
      <c r="L10" s="16"/>
      <c r="M10" s="18" t="s">
        <v>4682</v>
      </c>
      <c r="N10" s="16"/>
      <c r="O10" s="18" t="s">
        <v>5367</v>
      </c>
      <c r="P10" s="16"/>
      <c r="Q10" s="18" t="s">
        <v>6098</v>
      </c>
      <c r="R10" s="16"/>
      <c r="S10" s="18"/>
      <c r="T10" s="20"/>
    </row>
    <row r="11" spans="1:20" ht="15.95" customHeight="1" x14ac:dyDescent="0.25">
      <c r="A11" s="18" t="s">
        <v>501</v>
      </c>
      <c r="B11" s="16"/>
      <c r="C11" s="18" t="s">
        <v>1770</v>
      </c>
      <c r="D11" s="16"/>
      <c r="E11" s="18" t="s">
        <v>2489</v>
      </c>
      <c r="F11" s="16"/>
      <c r="G11" s="18" t="s">
        <v>1038</v>
      </c>
      <c r="H11" s="16"/>
      <c r="I11" s="18" t="s">
        <v>3207</v>
      </c>
      <c r="J11" s="16"/>
      <c r="K11" s="18" t="s">
        <v>3954</v>
      </c>
      <c r="L11" s="16"/>
      <c r="M11" s="18" t="s">
        <v>4683</v>
      </c>
      <c r="N11" s="16"/>
      <c r="O11" s="18" t="s">
        <v>5368</v>
      </c>
      <c r="P11" s="16"/>
      <c r="Q11" s="18" t="s">
        <v>6099</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110</v>
      </c>
      <c r="B13" s="16"/>
      <c r="C13" s="18" t="s">
        <v>1618</v>
      </c>
      <c r="D13" s="16"/>
      <c r="E13" s="18" t="s">
        <v>2337</v>
      </c>
      <c r="F13" s="16"/>
      <c r="G13" s="18" t="s">
        <v>5</v>
      </c>
      <c r="H13" s="16"/>
      <c r="I13" s="18" t="s">
        <v>3047</v>
      </c>
      <c r="J13" s="16"/>
      <c r="K13" s="18" t="s">
        <v>3801</v>
      </c>
      <c r="L13" s="16"/>
      <c r="M13" s="18" t="s">
        <v>2337</v>
      </c>
      <c r="N13" s="16"/>
      <c r="O13" s="18" t="s">
        <v>5212</v>
      </c>
      <c r="P13" s="16"/>
      <c r="Q13" s="18" t="s">
        <v>5957</v>
      </c>
      <c r="R13" s="16"/>
      <c r="S13" s="18"/>
      <c r="T13" s="20"/>
    </row>
    <row r="14" spans="1:20" ht="15.95" customHeight="1" x14ac:dyDescent="0.25">
      <c r="A14" s="18" t="s">
        <v>318</v>
      </c>
      <c r="B14" s="16"/>
      <c r="C14" s="18" t="s">
        <v>1771</v>
      </c>
      <c r="D14" s="16"/>
      <c r="E14" s="18" t="s">
        <v>2490</v>
      </c>
      <c r="F14" s="16"/>
      <c r="G14" s="18" t="s">
        <v>1039</v>
      </c>
      <c r="H14" s="16"/>
      <c r="I14" s="18" t="s">
        <v>3208</v>
      </c>
      <c r="J14" s="16"/>
      <c r="K14" s="18" t="s">
        <v>3955</v>
      </c>
      <c r="L14" s="16"/>
      <c r="M14" s="18" t="s">
        <v>4684</v>
      </c>
      <c r="N14" s="16"/>
      <c r="O14" s="18" t="s">
        <v>5369</v>
      </c>
      <c r="P14" s="16"/>
      <c r="Q14" s="18" t="s">
        <v>6100</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321</v>
      </c>
      <c r="B16" s="16"/>
      <c r="C16" s="18" t="s">
        <v>1772</v>
      </c>
      <c r="D16" s="16"/>
      <c r="E16" s="18" t="s">
        <v>2491</v>
      </c>
      <c r="F16" s="16"/>
      <c r="G16" s="18" t="s">
        <v>1040</v>
      </c>
      <c r="H16" s="16"/>
      <c r="I16" s="18" t="s">
        <v>3209</v>
      </c>
      <c r="J16" s="16"/>
      <c r="K16" s="18" t="s">
        <v>3956</v>
      </c>
      <c r="L16" s="16"/>
      <c r="M16" s="18" t="s">
        <v>4685</v>
      </c>
      <c r="N16" s="16"/>
      <c r="O16" s="18" t="s">
        <v>5370</v>
      </c>
      <c r="P16" s="16"/>
      <c r="Q16" s="18" t="s">
        <v>6101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502</v>
      </c>
      <c r="B18" s="16"/>
      <c r="C18" s="18" t="s">
        <v>1773</v>
      </c>
      <c r="D18" s="16"/>
      <c r="E18" s="18" t="s">
        <v>2492</v>
      </c>
      <c r="F18" s="16"/>
      <c r="G18" s="18" t="s">
        <v>1041</v>
      </c>
      <c r="H18" s="16"/>
      <c r="I18" s="18" t="s">
        <v>3210</v>
      </c>
      <c r="J18" s="16"/>
      <c r="K18" s="18" t="s">
        <v>3957</v>
      </c>
      <c r="L18" s="16"/>
      <c r="M18" s="18" t="s">
        <v>4686</v>
      </c>
      <c r="N18" s="16"/>
      <c r="O18" s="18" t="s">
        <v>5371</v>
      </c>
      <c r="P18" s="16"/>
      <c r="Q18" s="18" t="s">
        <v>6102</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9" priority="2" stopIfTrue="1">
      <formula>NOT(ISERROR(A3))</formula>
    </cfRule>
  </conditionalFormatting>
  <conditionalFormatting sqref="A3:T51">
    <cfRule type="containsErrors" dxfId="258" priority="1" stopIfTrue="1">
      <formula>ISERROR(A3)</formula>
    </cfRule>
    <cfRule type="notContainsBlanks" dxfId="257" priority="3">
      <formula>LEN(TRIM(A3))&gt;0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6" t="s">
        <v>669</v>
      </c>
      <c r="B3" s="16" t="str">
        <f>TRIM(_xlfn.TEXTBEFORE(A3, ":"))</f>
        <v>Item Class</v>
      </c>
      <c r="C3" s="17" t="s">
        <v>1774</v>
      </c>
      <c r="D3" s="16" t="str">
        <f>TRIM(_xlfn.TEXTBEFORE(C3, ":"))</f>
        <v>Gegenstandsklasse</v>
      </c>
      <c r="E3" s="17" t="s">
        <v>2493</v>
      </c>
      <c r="F3" s="16" t="str">
        <f>TRIM(_xlfn.TEXTBEFORE(E3, ":"))</f>
        <v>Clase de objeto</v>
      </c>
      <c r="G3" s="17" t="s">
        <v>1042</v>
      </c>
      <c r="H3" s="16" t="str">
        <f>TRIM(_xlfn.TEXTBEFORE(G3, ":"))</f>
        <v>Classe d'objet</v>
      </c>
      <c r="I3" s="17" t="s">
        <v>3211</v>
      </c>
      <c r="J3" s="16" t="str">
        <f>TRIM(_xlfn.TEXTBEFORE(I3, ":"))</f>
        <v>アイテムクラス</v>
      </c>
      <c r="K3" s="17" t="s">
        <v>3958</v>
      </c>
      <c r="L3" s="16" t="str">
        <f>TRIM(_xlfn.TEXTBEFORE(K3, ":"))</f>
        <v>아이템 종류</v>
      </c>
      <c r="M3" s="17" t="s">
        <v>4687</v>
      </c>
      <c r="N3" s="16" t="str">
        <f>TRIM(_xlfn.TEXTBEFORE(M3, ":"))</f>
        <v>Classe do Item</v>
      </c>
      <c r="O3" s="17" t="s">
        <v>5372</v>
      </c>
      <c r="P3" s="16" t="str">
        <f>TRIM(_xlfn.TEXTBEFORE(O3, ":"))</f>
        <v>Класс предмета</v>
      </c>
      <c r="Q3" s="17" t="s">
        <v>6103</v>
      </c>
      <c r="R3" s="16" t="str">
        <f>TRIM(_xlfn.TEXTBEFORE(Q3, ":"))</f>
        <v>ชนิดไอเทม</v>
      </c>
      <c r="S3" s="17"/>
      <c r="T3" s="20" t="e">
        <f>TRIM(_xlfn.TEXTBEFORE(S3, ":"))</f>
        <v>#N/A</v>
      </c>
    </row>
    <row r="4" spans="1:20" ht="15.95" customHeight="1" x14ac:dyDescent="0.25">
      <c r="A4" s="18" t="s">
        <v>525</v>
      </c>
      <c r="B4" s="16" t="str">
        <f>TRIM(_xlfn.TEXTAFTER(A3, ":"))</f>
        <v>Mana Flasks</v>
      </c>
      <c r="C4" s="18" t="s">
        <v>1681</v>
      </c>
      <c r="D4" s="16" t="str">
        <f>TRIM(_xlfn.TEXTAFTER(C3, ":"))</f>
        <v>Manafläschchen</v>
      </c>
      <c r="E4" s="18" t="s">
        <v>2401</v>
      </c>
      <c r="F4" s="16" t="str">
        <f>TRIM(_xlfn.TEXTAFTER(E3, ":"))</f>
        <v>Frascos de maná</v>
      </c>
      <c r="G4" s="18" t="s">
        <v>948</v>
      </c>
      <c r="H4" s="16" t="str">
        <f>TRIM(_xlfn.TEXTAFTER(G3, ":"))</f>
        <v>Flacons de Mana</v>
      </c>
      <c r="I4" s="18" t="s">
        <v>3116</v>
      </c>
      <c r="J4" s="16" t="str">
        <f>TRIM(_xlfn.TEXTAFTER(I3, ":"))</f>
        <v>マナフラスコ</v>
      </c>
      <c r="K4" s="18" t="s">
        <v>3866</v>
      </c>
      <c r="L4" s="16" t="str">
        <f>TRIM(_xlfn.TEXTAFTER(K3, ":"))</f>
        <v>마나 플라스크</v>
      </c>
      <c r="M4" s="18" t="s">
        <v>4595</v>
      </c>
      <c r="N4" s="16" t="str">
        <f>TRIM(_xlfn.TEXTAFTER(M3, ":"))</f>
        <v>Frascos de Mana</v>
      </c>
      <c r="O4" s="18" t="s">
        <v>5278</v>
      </c>
      <c r="P4" s="16" t="str">
        <f>TRIM(_xlfn.TEXTAFTER(O3, ":"))</f>
        <v>Флаконы маны</v>
      </c>
      <c r="Q4" s="18" t="s">
        <v>6015</v>
      </c>
      <c r="R4" s="16" t="str">
        <f>TRIM(_xlfn.TEXTAFTER(Q3, ":"))</f>
        <v>ขวดยามานา</v>
      </c>
      <c r="S4" s="18"/>
      <c r="T4" s="20" t="e">
        <f>TRIM(_xlfn.TEXTAFTER(S3, ":"))</f>
        <v>#N/A</v>
      </c>
    </row>
    <row r="5" spans="1:20" ht="15.95" customHeight="1" x14ac:dyDescent="0.25">
      <c r="A5" s="18" t="s">
        <v>670</v>
      </c>
      <c r="B5" s="16" t="str">
        <f>TRIM(_xlfn.TEXTBEFORE(A4, ":"))</f>
        <v>Rarity</v>
      </c>
      <c r="C5" s="18" t="s">
        <v>1775</v>
      </c>
      <c r="D5" s="16" t="str">
        <f>TRIM(_xlfn.TEXTBEFORE(C4, ":"))</f>
        <v>Seltenheit</v>
      </c>
      <c r="E5" s="18" t="s">
        <v>2494</v>
      </c>
      <c r="F5" s="16" t="str">
        <f>TRIM(_xlfn.TEXTBEFORE(E4, ":"))</f>
        <v>Rareza</v>
      </c>
      <c r="G5" s="18" t="s">
        <v>1043</v>
      </c>
      <c r="H5" s="16" t="str">
        <f>TRIM(_xlfn.TEXTBEFORE(G4, ":"))</f>
        <v>Rareté</v>
      </c>
      <c r="I5" s="18" t="s">
        <v>3212</v>
      </c>
      <c r="J5" s="16" t="str">
        <f>TRIM(_xlfn.TEXTBEFORE(I4, ":"))</f>
        <v>レアリティ</v>
      </c>
      <c r="K5" s="18" t="s">
        <v>3959</v>
      </c>
      <c r="L5" s="16" t="str">
        <f>TRIM(_xlfn.TEXTBEFORE(K4, ":"))</f>
        <v>아이템 희귀도</v>
      </c>
      <c r="M5" s="18" t="s">
        <v>4688</v>
      </c>
      <c r="N5" s="16" t="str">
        <f>TRIM(_xlfn.TEXTBEFORE(M4, ":"))</f>
        <v>Raridade</v>
      </c>
      <c r="O5" s="18" t="s">
        <v>5373</v>
      </c>
      <c r="P5" s="16" t="str">
        <f>TRIM(_xlfn.TEXTBEFORE(O4, ":"))</f>
        <v>Редкость</v>
      </c>
      <c r="Q5" s="18" t="s">
        <v>670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671</v>
      </c>
      <c r="B7" s="16"/>
      <c r="C7" s="18" t="s">
        <v>1776</v>
      </c>
      <c r="D7" s="16"/>
      <c r="E7" s="18" t="s">
        <v>2495</v>
      </c>
      <c r="F7" s="16"/>
      <c r="G7" s="18" t="s">
        <v>1044</v>
      </c>
      <c r="H7" s="16"/>
      <c r="I7" s="18" t="s">
        <v>3213</v>
      </c>
      <c r="J7" s="16"/>
      <c r="K7" s="18" t="s">
        <v>3960</v>
      </c>
      <c r="L7" s="16"/>
      <c r="M7" s="18" t="s">
        <v>4689</v>
      </c>
      <c r="N7" s="16"/>
      <c r="O7" s="18" t="s">
        <v>5374</v>
      </c>
      <c r="P7" s="16"/>
      <c r="Q7" s="18" t="s">
        <v>6104</v>
      </c>
      <c r="R7" s="16"/>
      <c r="S7" s="18"/>
      <c r="T7" s="20"/>
    </row>
    <row r="8" spans="1:20" ht="15.95" customHeight="1" x14ac:dyDescent="0.25">
      <c r="A8" s="18" t="s">
        <v>672</v>
      </c>
      <c r="B8" s="16"/>
      <c r="C8" s="18" t="s">
        <v>1777</v>
      </c>
      <c r="D8" s="16"/>
      <c r="E8" s="18" t="s">
        <v>2496</v>
      </c>
      <c r="F8" s="16"/>
      <c r="G8" s="18" t="s">
        <v>1045</v>
      </c>
      <c r="H8" s="16"/>
      <c r="I8" s="18" t="s">
        <v>3214</v>
      </c>
      <c r="J8" s="16"/>
      <c r="K8" s="18" t="s">
        <v>3961</v>
      </c>
      <c r="L8" s="16"/>
      <c r="M8" s="18" t="s">
        <v>4690</v>
      </c>
      <c r="N8" s="16"/>
      <c r="O8" s="18" t="s">
        <v>5375</v>
      </c>
      <c r="P8" s="16"/>
      <c r="Q8" s="18" t="s">
        <v>6105</v>
      </c>
      <c r="R8" s="16"/>
      <c r="S8" s="18"/>
      <c r="T8" s="20"/>
    </row>
    <row r="9" spans="1:20" ht="15.95" customHeight="1" x14ac:dyDescent="0.25">
      <c r="A9" s="18" t="s">
        <v>673</v>
      </c>
      <c r="B9" s="16"/>
      <c r="C9" s="18" t="s">
        <v>1778</v>
      </c>
      <c r="D9" s="16"/>
      <c r="E9" s="18" t="s">
        <v>2497</v>
      </c>
      <c r="F9" s="16"/>
      <c r="G9" s="18" t="s">
        <v>1046</v>
      </c>
      <c r="H9" s="16"/>
      <c r="I9" s="18" t="s">
        <v>3215</v>
      </c>
      <c r="J9" s="16"/>
      <c r="K9" s="18" t="s">
        <v>3962</v>
      </c>
      <c r="L9" s="16"/>
      <c r="M9" s="18" t="s">
        <v>4691</v>
      </c>
      <c r="N9" s="16"/>
      <c r="O9" s="18" t="s">
        <v>5376</v>
      </c>
      <c r="P9" s="16"/>
      <c r="Q9" s="18" t="s">
        <v>6106</v>
      </c>
      <c r="R9" s="16"/>
      <c r="S9" s="18"/>
      <c r="T9" s="20"/>
    </row>
    <row r="10" spans="1:20" ht="15.95" customHeight="1" x14ac:dyDescent="0.25">
      <c r="A10" s="18" t="s">
        <v>501</v>
      </c>
      <c r="B10" s="16"/>
      <c r="C10" s="18" t="s">
        <v>1770</v>
      </c>
      <c r="D10" s="16"/>
      <c r="E10" s="18" t="s">
        <v>2489</v>
      </c>
      <c r="F10" s="16"/>
      <c r="G10" s="18" t="s">
        <v>1038</v>
      </c>
      <c r="H10" s="16"/>
      <c r="I10" s="18" t="s">
        <v>3207</v>
      </c>
      <c r="J10" s="16"/>
      <c r="K10" s="18" t="s">
        <v>3954</v>
      </c>
      <c r="L10" s="16"/>
      <c r="M10" s="18" t="s">
        <v>4683</v>
      </c>
      <c r="N10" s="16"/>
      <c r="O10" s="18" t="s">
        <v>5368</v>
      </c>
      <c r="P10" s="16"/>
      <c r="Q10" s="18" t="s">
        <v>6099</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110</v>
      </c>
      <c r="B12" s="16"/>
      <c r="C12" s="18" t="s">
        <v>1618</v>
      </c>
      <c r="D12" s="16"/>
      <c r="E12" s="18" t="s">
        <v>2337</v>
      </c>
      <c r="F12" s="16"/>
      <c r="G12" s="18" t="s">
        <v>5</v>
      </c>
      <c r="H12" s="16"/>
      <c r="I12" s="18" t="s">
        <v>3047</v>
      </c>
      <c r="J12" s="16"/>
      <c r="K12" s="18" t="s">
        <v>3801</v>
      </c>
      <c r="L12" s="16"/>
      <c r="M12" s="18" t="s">
        <v>2337</v>
      </c>
      <c r="N12" s="16"/>
      <c r="O12" s="18" t="s">
        <v>5212</v>
      </c>
      <c r="P12" s="16"/>
      <c r="Q12" s="18" t="s">
        <v>5957</v>
      </c>
      <c r="R12" s="16"/>
      <c r="S12" s="18"/>
      <c r="T12" s="20"/>
    </row>
    <row r="13" spans="1:20" ht="15.95" customHeight="1" x14ac:dyDescent="0.25">
      <c r="A13" s="18" t="s">
        <v>667</v>
      </c>
      <c r="B13" s="16"/>
      <c r="C13" s="18" t="s">
        <v>1779</v>
      </c>
      <c r="D13" s="16"/>
      <c r="E13" s="18" t="s">
        <v>2498</v>
      </c>
      <c r="F13" s="16"/>
      <c r="G13" s="18" t="s">
        <v>1047</v>
      </c>
      <c r="H13" s="16"/>
      <c r="I13" s="18" t="s">
        <v>3216</v>
      </c>
      <c r="J13" s="16"/>
      <c r="K13" s="18" t="s">
        <v>3963</v>
      </c>
      <c r="L13" s="16"/>
      <c r="M13" s="18" t="s">
        <v>4692</v>
      </c>
      <c r="N13" s="16"/>
      <c r="O13" s="18" t="s">
        <v>5377</v>
      </c>
      <c r="P13" s="16"/>
      <c r="Q13" s="18" t="s">
        <v>6107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260</v>
      </c>
      <c r="B15" s="16"/>
      <c r="C15" s="18" t="s">
        <v>1780</v>
      </c>
      <c r="D15" s="16"/>
      <c r="E15" s="18" t="s">
        <v>2499</v>
      </c>
      <c r="F15" s="16"/>
      <c r="G15" s="18" t="s">
        <v>1048</v>
      </c>
      <c r="H15" s="16"/>
      <c r="I15" s="18" t="s">
        <v>3217</v>
      </c>
      <c r="J15" s="16"/>
      <c r="K15" s="18" t="s">
        <v>3964</v>
      </c>
      <c r="L15" s="16"/>
      <c r="M15" s="18" t="s">
        <v>4693</v>
      </c>
      <c r="N15" s="16"/>
      <c r="O15" s="18" t="s">
        <v>5378</v>
      </c>
      <c r="P15" s="16"/>
      <c r="Q15" s="18" t="s">
        <v>6108</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502</v>
      </c>
      <c r="B17" s="16"/>
      <c r="C17" s="18" t="s">
        <v>1773</v>
      </c>
      <c r="D17" s="16"/>
      <c r="E17" s="18" t="s">
        <v>2492</v>
      </c>
      <c r="F17" s="16"/>
      <c r="G17" s="18" t="s">
        <v>1041</v>
      </c>
      <c r="H17" s="16"/>
      <c r="I17" s="18" t="s">
        <v>3210</v>
      </c>
      <c r="J17" s="16"/>
      <c r="K17" s="18" t="s">
        <v>3957</v>
      </c>
      <c r="L17" s="16"/>
      <c r="M17" s="18" t="s">
        <v>4686</v>
      </c>
      <c r="N17" s="16"/>
      <c r="O17" s="18" t="s">
        <v>5371</v>
      </c>
      <c r="P17" s="16"/>
      <c r="Q17" s="18" t="s">
        <v>6102</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6" priority="2" stopIfTrue="1">
      <formula>NOT(ISERROR(A3))</formula>
    </cfRule>
  </conditionalFormatting>
  <conditionalFormatting sqref="A3:T51">
    <cfRule type="containsErrors" dxfId="255" priority="1" stopIfTrue="1">
      <formula>ISERROR(A3)</formula>
    </cfRule>
    <cfRule type="notContainsBlanks" dxfId="254"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dimension ref="A1:T51"/>
  <sheetViews>
    <sheetView workbookViewId="0">
      <selection activeCell="Q3" sqref="Q3:Q17"/>
    </sheetView>
  </sheetViews>
  <sheetFormatPr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662</v>
      </c>
      <c r="B3" s="16" t="str">
        <f>TRIM(_xlfn.TEXTBEFORE(A3, ":"))</f>
        <v>Item Class</v>
      </c>
      <c r="C3" s="17" t="s">
        <v>1781</v>
      </c>
      <c r="D3" s="16" t="str">
        <f>TRIM(_xlfn.TEXTBEFORE(C3, ":"))</f>
        <v>Gegenstandsklasse</v>
      </c>
      <c r="E3" s="17" t="s">
        <v>2500</v>
      </c>
      <c r="F3" s="16" t="str">
        <f>TRIM(_xlfn.TEXTBEFORE(E3, ":"))</f>
        <v>Clase de objeto</v>
      </c>
      <c r="G3" s="17" t="s">
        <v>1049</v>
      </c>
      <c r="H3" s="16" t="str">
        <f>TRIM(_xlfn.TEXTBEFORE(G3, ":"))</f>
        <v>Classe d'objet</v>
      </c>
      <c r="I3" s="17" t="s">
        <v>3218</v>
      </c>
      <c r="J3" s="16" t="str">
        <f>TRIM(_xlfn.TEXTBEFORE(I3, ":"))</f>
        <v>アイテムクラス</v>
      </c>
      <c r="K3" s="17" t="s">
        <v>3965</v>
      </c>
      <c r="L3" s="16" t="str">
        <f>TRIM(_xlfn.TEXTBEFORE(K3, ":"))</f>
        <v>아이템 종류</v>
      </c>
      <c r="M3" s="17" t="s">
        <v>4694</v>
      </c>
      <c r="N3" s="16" t="str">
        <f>TRIM(_xlfn.TEXTBEFORE(M3, ":"))</f>
        <v>Classe do Item</v>
      </c>
      <c r="O3" s="17" t="s">
        <v>5379</v>
      </c>
      <c r="P3" s="16" t="str">
        <f>TRIM(_xlfn.TEXTBEFORE(O3, ":"))</f>
        <v>Класс предмета</v>
      </c>
      <c r="Q3" s="17" t="s">
        <v>6109</v>
      </c>
      <c r="R3" s="16" t="str">
        <f>TRIM(_xlfn.TEXTBEFORE(Q3, ":"))</f>
        <v>ชนิดไอเทม</v>
      </c>
      <c r="S3" s="17"/>
      <c r="T3" s="20" t="e">
        <f>TRIM(_xlfn.TEXTBEFORE(S3, ":"))</f>
        <v>#N/A</v>
      </c>
    </row>
    <row r="4" spans="1:20" ht="15.95" customHeight="1" x14ac:dyDescent="0.25">
      <c r="A4" s="18" t="s">
        <v>525</v>
      </c>
      <c r="B4" s="16" t="str">
        <f>TRIM(_xlfn.TEXTAFTER(A3, ":"))</f>
        <v>Life Flasks</v>
      </c>
      <c r="C4" s="18" t="s">
        <v>1681</v>
      </c>
      <c r="D4" s="16" t="str">
        <f>TRIM(_xlfn.TEXTAFTER(C3, ":"))</f>
        <v>Lebensfläschchen</v>
      </c>
      <c r="E4" s="18" t="s">
        <v>2401</v>
      </c>
      <c r="F4" s="16" t="str">
        <f>TRIM(_xlfn.TEXTAFTER(E3, ":"))</f>
        <v>Frascos de vida</v>
      </c>
      <c r="G4" s="18" t="s">
        <v>948</v>
      </c>
      <c r="H4" s="16" t="str">
        <f>TRIM(_xlfn.TEXTAFTER(G3, ":"))</f>
        <v>Flacons de Vie</v>
      </c>
      <c r="I4" s="18" t="s">
        <v>3116</v>
      </c>
      <c r="J4" s="16" t="str">
        <f>TRIM(_xlfn.TEXTAFTER(I3, ":"))</f>
        <v>ライフフラスコ</v>
      </c>
      <c r="K4" s="18" t="s">
        <v>3866</v>
      </c>
      <c r="L4" s="16" t="str">
        <f>TRIM(_xlfn.TEXTAFTER(K3, ":"))</f>
        <v>생명력 플라스크</v>
      </c>
      <c r="M4" s="18" t="s">
        <v>4595</v>
      </c>
      <c r="N4" s="16" t="str">
        <f>TRIM(_xlfn.TEXTAFTER(M3, ":"))</f>
        <v>Frascos de Vida</v>
      </c>
      <c r="O4" s="18" t="s">
        <v>5278</v>
      </c>
      <c r="P4" s="16" t="str">
        <f>TRIM(_xlfn.TEXTAFTER(O3, ":"))</f>
        <v>Флаконы жизни</v>
      </c>
      <c r="Q4" s="18" t="s">
        <v>6015</v>
      </c>
      <c r="R4" s="16" t="str">
        <f>TRIM(_xlfn.TEXTAFTER(Q3, ":"))</f>
        <v>ขวดยาพลังชีวิต</v>
      </c>
      <c r="S4" s="18"/>
      <c r="T4" s="20" t="e">
        <f>TRIM(_xlfn.TEXTAFTER(S3, ":"))</f>
        <v>#N/A</v>
      </c>
    </row>
    <row r="5" spans="1:20" ht="15.95" customHeight="1" x14ac:dyDescent="0.25">
      <c r="A5" s="18" t="s">
        <v>663</v>
      </c>
      <c r="B5" s="16" t="str">
        <f>TRIM(_xlfn.TEXTBEFORE(A4, ":"))</f>
        <v>Rarity</v>
      </c>
      <c r="C5" s="18" t="s">
        <v>1782</v>
      </c>
      <c r="D5" s="16" t="str">
        <f>TRIM(_xlfn.TEXTBEFORE(C4, ":"))</f>
        <v>Seltenheit</v>
      </c>
      <c r="E5" s="18" t="s">
        <v>2501</v>
      </c>
      <c r="F5" s="16" t="str">
        <f>TRIM(_xlfn.TEXTBEFORE(E4, ":"))</f>
        <v>Rareza</v>
      </c>
      <c r="G5" s="18" t="s">
        <v>1050</v>
      </c>
      <c r="H5" s="16" t="str">
        <f>TRIM(_xlfn.TEXTBEFORE(G4, ":"))</f>
        <v>Rareté</v>
      </c>
      <c r="I5" s="18" t="s">
        <v>3219</v>
      </c>
      <c r="J5" s="16" t="str">
        <f>TRIM(_xlfn.TEXTBEFORE(I4, ":"))</f>
        <v>レアリティ</v>
      </c>
      <c r="K5" s="18" t="s">
        <v>3966</v>
      </c>
      <c r="L5" s="16" t="str">
        <f>TRIM(_xlfn.TEXTBEFORE(K4, ":"))</f>
        <v>아이템 희귀도</v>
      </c>
      <c r="M5" s="18" t="s">
        <v>4695</v>
      </c>
      <c r="N5" s="16" t="str">
        <f>TRIM(_xlfn.TEXTBEFORE(M4, ":"))</f>
        <v>Raridade</v>
      </c>
      <c r="O5" s="18" t="s">
        <v>5380</v>
      </c>
      <c r="P5" s="16" t="str">
        <f>TRIM(_xlfn.TEXTBEFORE(O4, ":"))</f>
        <v>Редкость</v>
      </c>
      <c r="Q5" s="18" t="s">
        <v>663</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664</v>
      </c>
      <c r="B7" s="16" t="str">
        <f>TRIM(_xlfn.TEXTBEFORE(A5, " "))</f>
        <v>Superior</v>
      </c>
      <c r="C7" s="18" t="s">
        <v>1783</v>
      </c>
      <c r="D7" s="16" t="str">
        <f>TRIM(_xlfn.TEXTAFTER(C5, " ",-1 ))</f>
        <v>(hochwertig)</v>
      </c>
      <c r="E7" s="18" t="s">
        <v>2502</v>
      </c>
      <c r="F7" s="16" t="str">
        <f>TRIM(_xlfn.TEXTAFTER(E5, " ", -1))</f>
        <v>Superior</v>
      </c>
      <c r="G7" s="18" t="s">
        <v>1051</v>
      </c>
      <c r="H7" s="16" t="str">
        <f>TRIM(_xlfn.TEXTAFTER(G5, " ", -1))</f>
        <v>supérieur</v>
      </c>
      <c r="I7" s="18" t="s">
        <v>3220</v>
      </c>
      <c r="J7" s="16" t="s">
        <v>3224</v>
      </c>
      <c r="K7" s="18" t="s">
        <v>3967</v>
      </c>
      <c r="L7" s="16" t="s">
        <v>4517</v>
      </c>
      <c r="M7" s="18" t="s">
        <v>4696</v>
      </c>
      <c r="N7" s="16" t="str">
        <f>TRIM(_xlfn.TEXTAFTER(M5, " ", -1))</f>
        <v>Superior</v>
      </c>
      <c r="O7" s="18" t="s">
        <v>5381</v>
      </c>
      <c r="P7" s="16" t="str">
        <f>TRIM(_xlfn.TEXTAFTER(O5, " ", -2))</f>
        <v>высокого качества</v>
      </c>
      <c r="Q7" s="18" t="s">
        <v>6110</v>
      </c>
      <c r="R7" s="16" t="str">
        <f>TRIM(_xlfn.TEXTBEFORE(Q5, " "))</f>
        <v>Superior</v>
      </c>
      <c r="S7" s="18"/>
      <c r="T7" s="16" t="e">
        <f>TRIM(_xlfn.TEXTBEFORE(S5, " "))</f>
        <v>#N/A</v>
      </c>
    </row>
    <row r="8" spans="1:20" ht="15.95" customHeight="1" x14ac:dyDescent="0.25">
      <c r="A8" s="18" t="s">
        <v>665</v>
      </c>
      <c r="B8" s="16" t="str">
        <f>TRIM(_xlfn.TEXTBEFORE(A7, ":"))</f>
        <v>Quality</v>
      </c>
      <c r="C8" s="18" t="s">
        <v>1784</v>
      </c>
      <c r="D8" s="16" t="str">
        <f>TRIM(_xlfn.TEXTBEFORE(C7, ":"))</f>
        <v>Qualität</v>
      </c>
      <c r="E8" s="18" t="s">
        <v>2503</v>
      </c>
      <c r="F8" s="16" t="str">
        <f>TRIM(_xlfn.TEXTBEFORE(E7, ":"))</f>
        <v>Calidad</v>
      </c>
      <c r="G8" s="18" t="s">
        <v>1052</v>
      </c>
      <c r="H8" s="16" t="str">
        <f>TRIM(_xlfn.TEXTBEFORE(G7, ":"))</f>
        <v>Qualité</v>
      </c>
      <c r="I8" s="18" t="s">
        <v>3221</v>
      </c>
      <c r="J8" s="16" t="str">
        <f>TRIM(_xlfn.TEXTBEFORE(I7, ":"))</f>
        <v>品質</v>
      </c>
      <c r="K8" s="18" t="s">
        <v>3968</v>
      </c>
      <c r="L8" s="16" t="str">
        <f>TRIM(_xlfn.TEXTBEFORE(K7, ":"))</f>
        <v>퀄리티</v>
      </c>
      <c r="M8" s="18" t="s">
        <v>4697</v>
      </c>
      <c r="N8" s="16" t="str">
        <f>TRIM(_xlfn.TEXTBEFORE(M7, ":"))</f>
        <v>Qualidade</v>
      </c>
      <c r="O8" s="18" t="s">
        <v>5382</v>
      </c>
      <c r="P8" s="16" t="str">
        <f>TRIM(_xlfn.TEXTBEFORE(O7, ":"))</f>
        <v>Качество</v>
      </c>
      <c r="Q8" s="18" t="s">
        <v>6111</v>
      </c>
      <c r="R8" s="16" t="str">
        <f>TRIM(_xlfn.TEXTBEFORE(Q7, ":"))</f>
        <v>ค่าคุณภาพ</v>
      </c>
      <c r="S8" s="18"/>
      <c r="T8" s="16" t="e">
        <f>TRIM(_xlfn.TEXTBEFORE(S7, ":"))</f>
        <v>#N/A</v>
      </c>
    </row>
    <row r="9" spans="1:20" ht="15.95" customHeight="1" x14ac:dyDescent="0.25">
      <c r="A9" s="18" t="s">
        <v>666</v>
      </c>
      <c r="B9" s="16"/>
      <c r="C9" s="18" t="s">
        <v>1785</v>
      </c>
      <c r="D9" s="16"/>
      <c r="E9" s="18" t="s">
        <v>2504</v>
      </c>
      <c r="F9" s="16"/>
      <c r="G9" s="18" t="s">
        <v>1053</v>
      </c>
      <c r="H9" s="16"/>
      <c r="I9" s="18" t="s">
        <v>3222</v>
      </c>
      <c r="J9" s="16"/>
      <c r="K9" s="18" t="s">
        <v>3969</v>
      </c>
      <c r="L9" s="16"/>
      <c r="M9" s="18" t="s">
        <v>4698</v>
      </c>
      <c r="N9" s="16"/>
      <c r="O9" s="18" t="s">
        <v>5383</v>
      </c>
      <c r="P9" s="16"/>
      <c r="Q9" s="18" t="s">
        <v>6112</v>
      </c>
      <c r="R9" s="16"/>
      <c r="S9" s="18"/>
      <c r="T9" s="20"/>
    </row>
    <row r="10" spans="1:20" ht="15.95" customHeight="1" x14ac:dyDescent="0.25">
      <c r="A10" s="18" t="s">
        <v>501</v>
      </c>
      <c r="B10" s="16"/>
      <c r="C10" s="18" t="s">
        <v>1770</v>
      </c>
      <c r="D10" s="16"/>
      <c r="E10" s="18" t="s">
        <v>2489</v>
      </c>
      <c r="F10" s="16"/>
      <c r="G10" s="18" t="s">
        <v>1038</v>
      </c>
      <c r="H10" s="16"/>
      <c r="I10" s="18" t="s">
        <v>3207</v>
      </c>
      <c r="J10" s="16"/>
      <c r="K10" s="18" t="s">
        <v>3954</v>
      </c>
      <c r="L10" s="16"/>
      <c r="M10" s="18" t="s">
        <v>4683</v>
      </c>
      <c r="N10" s="16"/>
      <c r="O10" s="18" t="s">
        <v>5368</v>
      </c>
      <c r="P10" s="16"/>
      <c r="Q10" s="18" t="s">
        <v>6099</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110</v>
      </c>
      <c r="B12" s="16"/>
      <c r="C12" s="18" t="s">
        <v>1618</v>
      </c>
      <c r="D12" s="16"/>
      <c r="E12" s="18" t="s">
        <v>2337</v>
      </c>
      <c r="F12" s="16"/>
      <c r="G12" s="18" t="s">
        <v>5</v>
      </c>
      <c r="H12" s="16"/>
      <c r="I12" s="18" t="s">
        <v>3047</v>
      </c>
      <c r="J12" s="16"/>
      <c r="K12" s="18" t="s">
        <v>3801</v>
      </c>
      <c r="L12" s="16"/>
      <c r="M12" s="18" t="s">
        <v>2337</v>
      </c>
      <c r="N12" s="16"/>
      <c r="O12" s="18" t="s">
        <v>5212</v>
      </c>
      <c r="P12" s="16"/>
      <c r="Q12" s="18" t="s">
        <v>5957</v>
      </c>
      <c r="R12" s="16"/>
      <c r="S12" s="18"/>
      <c r="T12" s="20"/>
    </row>
    <row r="13" spans="1:20" ht="15.95" customHeight="1" x14ac:dyDescent="0.25">
      <c r="A13" s="18" t="s">
        <v>667</v>
      </c>
      <c r="B13" s="16"/>
      <c r="C13" s="18" t="s">
        <v>1779</v>
      </c>
      <c r="D13" s="16"/>
      <c r="E13" s="18" t="s">
        <v>2498</v>
      </c>
      <c r="F13" s="16"/>
      <c r="G13" s="18" t="s">
        <v>1047</v>
      </c>
      <c r="H13" s="16"/>
      <c r="I13" s="18" t="s">
        <v>3216</v>
      </c>
      <c r="J13" s="16"/>
      <c r="K13" s="18" t="s">
        <v>3963</v>
      </c>
      <c r="L13" s="16"/>
      <c r="M13" s="18" t="s">
        <v>4692</v>
      </c>
      <c r="N13" s="16"/>
      <c r="O13" s="18" t="s">
        <v>5377</v>
      </c>
      <c r="P13" s="16"/>
      <c r="Q13" s="18" t="s">
        <v>6107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668</v>
      </c>
      <c r="B15" s="16"/>
      <c r="C15" s="18" t="s">
        <v>1786</v>
      </c>
      <c r="D15" s="16"/>
      <c r="E15" s="18" t="s">
        <v>2505</v>
      </c>
      <c r="F15" s="16"/>
      <c r="G15" s="18" t="s">
        <v>1054</v>
      </c>
      <c r="H15" s="16"/>
      <c r="I15" s="18" t="s">
        <v>3223</v>
      </c>
      <c r="J15" s="16"/>
      <c r="K15" s="18" t="s">
        <v>3970</v>
      </c>
      <c r="L15" s="16"/>
      <c r="M15" s="18" t="s">
        <v>4699</v>
      </c>
      <c r="N15" s="16"/>
      <c r="O15" s="18" t="s">
        <v>5384</v>
      </c>
      <c r="P15" s="16"/>
      <c r="Q15" s="18" t="s">
        <v>6113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502</v>
      </c>
      <c r="B17" s="16"/>
      <c r="C17" s="18" t="s">
        <v>1773</v>
      </c>
      <c r="D17" s="16"/>
      <c r="E17" s="18" t="s">
        <v>2492</v>
      </c>
      <c r="F17" s="16"/>
      <c r="G17" s="18" t="s">
        <v>1041</v>
      </c>
      <c r="H17" s="16"/>
      <c r="I17" s="18" t="s">
        <v>3210</v>
      </c>
      <c r="J17" s="16"/>
      <c r="K17" s="18" t="s">
        <v>3957</v>
      </c>
      <c r="L17" s="16"/>
      <c r="M17" s="18" t="s">
        <v>4686</v>
      </c>
      <c r="N17" s="16"/>
      <c r="O17" s="18" t="s">
        <v>5371</v>
      </c>
      <c r="P17" s="16"/>
      <c r="Q17" s="18" t="s">
        <v>6102</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3" priority="46" stopIfTrue="1">
      <formula>NOT(ISERROR(A3))</formula>
    </cfRule>
  </conditionalFormatting>
  <conditionalFormatting sqref="A3:T6 A7:A8 C7:C8 E7:E8 G7:G8 I7:I8 K7:K8 M7:M8 O7:O8 Q7:Q8 S7:S8 A9:T51">
    <cfRule type="notContainsBlanks" dxfId="252" priority="47">
      <formula>LEN(TRIM(A3))&gt;0</formula>
    </cfRule>
  </conditionalFormatting>
  <conditionalFormatting sqref="A3:T51">
    <cfRule type="containsErrors" dxfId="251" priority="1" stopIfTrue="1">
      <formula>ISERROR(A3)</formula>
    </cfRule>
  </conditionalFormatting>
  <conditionalFormatting sqref="B7:B8">
    <cfRule type="notContainsBlanks" dxfId="250" priority="44">
      <formula>LEN(TRIM(B7))&gt;0</formula>
    </cfRule>
  </conditionalFormatting>
  <conditionalFormatting sqref="D7:D8">
    <cfRule type="notContainsBlanks" dxfId="249" priority="24">
      <formula>LEN(TRIM(D7))&gt;0</formula>
    </cfRule>
  </conditionalFormatting>
  <conditionalFormatting sqref="F7:F8">
    <cfRule type="notContainsBlanks" dxfId="248" priority="2">
      <formula>LEN(TRIM(F7))&gt;0</formula>
    </cfRule>
  </conditionalFormatting>
  <conditionalFormatting sqref="H7:H8">
    <cfRule type="notContainsBlanks" dxfId="247" priority="6">
      <formula>LEN(TRIM(H7))&gt;0</formula>
    </cfRule>
  </conditionalFormatting>
  <conditionalFormatting sqref="J7:J8">
    <cfRule type="notContainsBlanks" dxfId="246" priority="18">
      <formula>LEN(TRIM(J7))&gt;0</formula>
    </cfRule>
  </conditionalFormatting>
  <conditionalFormatting sqref="L7:L8">
    <cfRule type="notContainsBlanks" dxfId="245" priority="16">
      <formula>LEN(TRIM(L7))&gt;0</formula>
    </cfRule>
  </conditionalFormatting>
  <conditionalFormatting sqref="N7:N8">
    <cfRule type="notContainsBlanks" dxfId="244" priority="14">
      <formula>LEN(TRIM(N7))&gt;0</formula>
    </cfRule>
  </conditionalFormatting>
  <conditionalFormatting sqref="P7:P8">
    <cfRule type="notContainsBlanks" dxfId="243" priority="12">
      <formula>LEN(TRIM(P7))&gt;0</formula>
    </cfRule>
  </conditionalFormatting>
  <conditionalFormatting sqref="R7:R8">
    <cfRule type="notContainsBlanks" dxfId="242" priority="10">
      <formula>LEN(TRIM(R7))&gt;0</formula>
    </cfRule>
  </conditionalFormatting>
  <conditionalFormatting sqref="T7:T8">
    <cfRule type="notContainsBlanks" dxfId="241" priority="8">
      <formula>LEN(TRIM(T7))&gt;0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498</v>
      </c>
      <c r="B3" s="16" t="str">
        <f>TRIM(_xlfn.TEXTBEFORE(A3, ":"))</f>
        <v>Item Class</v>
      </c>
      <c r="C3" s="17" t="s">
        <v>1787</v>
      </c>
      <c r="D3" s="16" t="str">
        <f>TRIM(_xlfn.TEXTBEFORE(C3, ":"))</f>
        <v>Gegenstandsklasse</v>
      </c>
      <c r="E3" s="17" t="s">
        <v>2506</v>
      </c>
      <c r="F3" s="16" t="str">
        <f>TRIM(_xlfn.TEXTBEFORE(E3, ":"))</f>
        <v>Clase de objeto</v>
      </c>
      <c r="G3" s="17" t="s">
        <v>1055</v>
      </c>
      <c r="H3" s="16" t="str">
        <f>TRIM(_xlfn.TEXTBEFORE(G3, ":"))</f>
        <v>Classe d'objet</v>
      </c>
      <c r="I3" s="17" t="s">
        <v>3225</v>
      </c>
      <c r="J3" s="16" t="str">
        <f>TRIM(_xlfn.TEXTBEFORE(I3, ":"))</f>
        <v>アイテムクラス</v>
      </c>
      <c r="K3" s="17" t="s">
        <v>3971</v>
      </c>
      <c r="L3" s="16" t="str">
        <f>TRIM(_xlfn.TEXTBEFORE(K3, ":"))</f>
        <v>아이템 종류</v>
      </c>
      <c r="M3" s="17" t="s">
        <v>4700</v>
      </c>
      <c r="N3" s="16" t="str">
        <f>TRIM(_xlfn.TEXTBEFORE(M3, ":"))</f>
        <v>Classe do Item</v>
      </c>
      <c r="O3" s="17" t="s">
        <v>5385</v>
      </c>
      <c r="P3" s="16" t="str">
        <f>TRIM(_xlfn.TEXTBEFORE(O3, ":"))</f>
        <v>Класс предмета</v>
      </c>
      <c r="Q3" s="17" t="s">
        <v>6114</v>
      </c>
      <c r="R3" s="16" t="str">
        <f>TRIM(_xlfn.TEXTBEFORE(Q3, ":"))</f>
        <v>ชนิดไอเทม</v>
      </c>
      <c r="S3" s="17"/>
      <c r="T3" s="16" t="e">
        <f>TRIM(_xlfn.TEXTBEFORE(S3, ":"))</f>
        <v>#N/A</v>
      </c>
    </row>
    <row r="4" spans="1:20" ht="15.95" customHeight="1" x14ac:dyDescent="0.25">
      <c r="A4" s="18" t="s">
        <v>499</v>
      </c>
      <c r="B4" s="16" t="str">
        <f>TRIM(_xlfn.TEXTAFTER(A3, ":"))</f>
        <v>Utility Flasks</v>
      </c>
      <c r="C4" s="18" t="s">
        <v>1710</v>
      </c>
      <c r="D4" s="16" t="str">
        <f>TRIM(_xlfn.TEXTAFTER(C3, ":"))</f>
        <v>Hilfsfläschchen</v>
      </c>
      <c r="E4" s="18" t="s">
        <v>2429</v>
      </c>
      <c r="F4" s="16" t="str">
        <f>TRIM(_xlfn.TEXTAFTER(E3, ":"))</f>
        <v>Frascos de utilidad</v>
      </c>
      <c r="G4" s="18" t="s">
        <v>977</v>
      </c>
      <c r="H4" s="16" t="str">
        <f>TRIM(_xlfn.TEXTAFTER(G3, ":"))</f>
        <v>Flacons utilitaires</v>
      </c>
      <c r="I4" s="18" t="s">
        <v>3147</v>
      </c>
      <c r="J4" s="16" t="str">
        <f>TRIM(_xlfn.TEXTAFTER(I3, ":"))</f>
        <v>ユーティリティフラスコ</v>
      </c>
      <c r="K4" s="18" t="s">
        <v>3894</v>
      </c>
      <c r="L4" s="16" t="str">
        <f>TRIM(_xlfn.TEXTAFTER(K3, ":"))</f>
        <v>특수 플라스크</v>
      </c>
      <c r="M4" s="18" t="s">
        <v>4624</v>
      </c>
      <c r="N4" s="16" t="str">
        <f>TRIM(_xlfn.TEXTAFTER(M3, ":"))</f>
        <v>Frascos de Utilidade</v>
      </c>
      <c r="O4" s="18" t="s">
        <v>5307</v>
      </c>
      <c r="P4" s="16" t="str">
        <f>TRIM(_xlfn.TEXTAFTER(O3, ":"))</f>
        <v>Особые флаконы</v>
      </c>
      <c r="Q4" s="18" t="s">
        <v>6041</v>
      </c>
      <c r="R4" s="16" t="str">
        <f>TRIM(_xlfn.TEXTAFTER(Q3, ":"))</f>
        <v>ขวดยาช่วยเหลือ</v>
      </c>
      <c r="S4" s="18"/>
      <c r="T4" s="16" t="e">
        <f>TRIM(_xlfn.TEXTAFTER(S3, ":"))</f>
        <v>#N/A</v>
      </c>
    </row>
    <row r="5" spans="1:20" ht="15.95" customHeight="1" x14ac:dyDescent="0.25">
      <c r="A5" s="18" t="s">
        <v>503</v>
      </c>
      <c r="B5" s="16" t="str">
        <f>TRIM(_xlfn.TEXTBEFORE(A4, ":"))</f>
        <v>Rarity</v>
      </c>
      <c r="C5" s="18" t="s">
        <v>1788</v>
      </c>
      <c r="D5" s="16" t="str">
        <f>TRIM(_xlfn.TEXTBEFORE(C4, ":"))</f>
        <v>Seltenheit</v>
      </c>
      <c r="E5" s="18" t="s">
        <v>2507</v>
      </c>
      <c r="F5" s="16" t="str">
        <f>TRIM(_xlfn.TEXTBEFORE(E4, ":"))</f>
        <v>Rareza</v>
      </c>
      <c r="G5" s="18" t="s">
        <v>1056</v>
      </c>
      <c r="H5" s="16" t="str">
        <f>TRIM(_xlfn.TEXTBEFORE(G4, ":"))</f>
        <v>Rareté</v>
      </c>
      <c r="I5" s="18" t="s">
        <v>3226</v>
      </c>
      <c r="J5" s="16" t="str">
        <f>TRIM(_xlfn.TEXTBEFORE(I4, ":"))</f>
        <v>レアリティ</v>
      </c>
      <c r="K5" s="18" t="s">
        <v>3972</v>
      </c>
      <c r="L5" s="16" t="str">
        <f>TRIM(_xlfn.TEXTBEFORE(K4, ":"))</f>
        <v>아이템 희귀도</v>
      </c>
      <c r="M5" s="18" t="s">
        <v>4701</v>
      </c>
      <c r="N5" s="16" t="str">
        <f>TRIM(_xlfn.TEXTBEFORE(M4, ":"))</f>
        <v>Raridade</v>
      </c>
      <c r="O5" s="18" t="s">
        <v>5386</v>
      </c>
      <c r="P5" s="16" t="str">
        <f>TRIM(_xlfn.TEXTBEFORE(O4, ":"))</f>
        <v>Редкость</v>
      </c>
      <c r="Q5" s="18" t="s">
        <v>503</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504</v>
      </c>
      <c r="B7" s="16"/>
      <c r="C7" s="18" t="s">
        <v>1789</v>
      </c>
      <c r="D7" s="16"/>
      <c r="E7" s="18" t="s">
        <v>2508</v>
      </c>
      <c r="F7" s="16"/>
      <c r="G7" s="18" t="s">
        <v>1057</v>
      </c>
      <c r="H7" s="16"/>
      <c r="I7" s="18" t="s">
        <v>3227</v>
      </c>
      <c r="J7" s="16"/>
      <c r="K7" s="18" t="s">
        <v>3973</v>
      </c>
      <c r="L7" s="16"/>
      <c r="M7" s="18" t="s">
        <v>4702</v>
      </c>
      <c r="N7" s="16"/>
      <c r="O7" s="18" t="s">
        <v>5387</v>
      </c>
      <c r="P7" s="16"/>
      <c r="Q7" s="18" t="s">
        <v>6115</v>
      </c>
      <c r="R7" s="16"/>
      <c r="S7" s="18"/>
      <c r="T7" s="16"/>
    </row>
    <row r="8" spans="1:20" ht="15.95" customHeight="1" x14ac:dyDescent="0.25">
      <c r="A8" s="18" t="s">
        <v>505</v>
      </c>
      <c r="B8" s="16"/>
      <c r="C8" s="18" t="s">
        <v>1790</v>
      </c>
      <c r="D8" s="16"/>
      <c r="E8" s="18" t="s">
        <v>2509</v>
      </c>
      <c r="F8" s="16"/>
      <c r="G8" s="18" t="s">
        <v>1058</v>
      </c>
      <c r="H8" s="16"/>
      <c r="I8" s="18" t="s">
        <v>3228</v>
      </c>
      <c r="J8" s="16"/>
      <c r="K8" s="18" t="s">
        <v>3974</v>
      </c>
      <c r="L8" s="16"/>
      <c r="M8" s="18" t="s">
        <v>4703</v>
      </c>
      <c r="N8" s="16"/>
      <c r="O8" s="18" t="s">
        <v>5388</v>
      </c>
      <c r="P8" s="16"/>
      <c r="Q8" s="18" t="s">
        <v>6116</v>
      </c>
      <c r="R8" s="16"/>
      <c r="S8" s="18"/>
      <c r="T8" s="16"/>
    </row>
    <row r="9" spans="1:20" ht="15.95" customHeight="1" x14ac:dyDescent="0.25">
      <c r="A9" s="18" t="s">
        <v>506</v>
      </c>
      <c r="B9" s="16"/>
      <c r="C9" s="18" t="s">
        <v>1791</v>
      </c>
      <c r="D9" s="16"/>
      <c r="E9" s="18" t="s">
        <v>2510</v>
      </c>
      <c r="F9" s="16"/>
      <c r="G9" s="18" t="s">
        <v>1059</v>
      </c>
      <c r="H9" s="16"/>
      <c r="I9" s="18" t="s">
        <v>3229</v>
      </c>
      <c r="J9" s="16"/>
      <c r="K9" s="18" t="s">
        <v>3975</v>
      </c>
      <c r="L9" s="16"/>
      <c r="M9" s="18" t="s">
        <v>4704</v>
      </c>
      <c r="N9" s="16"/>
      <c r="O9" s="18" t="s">
        <v>5389</v>
      </c>
      <c r="P9" s="16"/>
      <c r="Q9" s="18" t="s">
        <v>6117</v>
      </c>
      <c r="R9" s="16"/>
      <c r="S9" s="18"/>
      <c r="T9" s="16"/>
    </row>
    <row r="10" spans="1:20" ht="15.95" customHeight="1" x14ac:dyDescent="0.25">
      <c r="A10" s="18" t="s">
        <v>501</v>
      </c>
      <c r="B10" s="16"/>
      <c r="C10" s="18" t="s">
        <v>1770</v>
      </c>
      <c r="D10" s="16"/>
      <c r="E10" s="18" t="s">
        <v>2489</v>
      </c>
      <c r="F10" s="16"/>
      <c r="G10" s="18" t="s">
        <v>1038</v>
      </c>
      <c r="H10" s="16"/>
      <c r="I10" s="18" t="s">
        <v>3207</v>
      </c>
      <c r="J10" s="16"/>
      <c r="K10" s="18" t="s">
        <v>3954</v>
      </c>
      <c r="L10" s="16"/>
      <c r="M10" s="18" t="s">
        <v>4683</v>
      </c>
      <c r="N10" s="16"/>
      <c r="O10" s="18" t="s">
        <v>5368</v>
      </c>
      <c r="P10" s="16"/>
      <c r="Q10" s="18" t="s">
        <v>6099</v>
      </c>
      <c r="R10" s="16"/>
      <c r="S10" s="18"/>
      <c r="T10" s="16"/>
    </row>
    <row r="11" spans="1:20" ht="15.95" customHeight="1" x14ac:dyDescent="0.25">
      <c r="A11" s="18" t="s">
        <v>507</v>
      </c>
      <c r="B11" s="16"/>
      <c r="C11" s="18" t="s">
        <v>1792</v>
      </c>
      <c r="D11" s="16"/>
      <c r="E11" s="18" t="s">
        <v>2511</v>
      </c>
      <c r="F11" s="16"/>
      <c r="G11" s="18" t="s">
        <v>1060</v>
      </c>
      <c r="H11" s="16"/>
      <c r="I11" s="18" t="s">
        <v>3230</v>
      </c>
      <c r="J11" s="16"/>
      <c r="K11" s="18" t="s">
        <v>3976</v>
      </c>
      <c r="L11" s="16"/>
      <c r="M11" s="18" t="s">
        <v>4705</v>
      </c>
      <c r="N11" s="16"/>
      <c r="O11" s="18" t="s">
        <v>5390</v>
      </c>
      <c r="P11" s="16"/>
      <c r="Q11" s="18" t="s">
        <v>6118</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110</v>
      </c>
      <c r="B13" s="16"/>
      <c r="C13" s="18" t="s">
        <v>1618</v>
      </c>
      <c r="D13" s="16"/>
      <c r="E13" s="18" t="s">
        <v>2337</v>
      </c>
      <c r="F13" s="16"/>
      <c r="G13" s="18" t="s">
        <v>5</v>
      </c>
      <c r="H13" s="16"/>
      <c r="I13" s="18" t="s">
        <v>3047</v>
      </c>
      <c r="J13" s="16"/>
      <c r="K13" s="18" t="s">
        <v>3801</v>
      </c>
      <c r="L13" s="16"/>
      <c r="M13" s="18" t="s">
        <v>2337</v>
      </c>
      <c r="N13" s="16"/>
      <c r="O13" s="18" t="s">
        <v>5212</v>
      </c>
      <c r="P13" s="16"/>
      <c r="Q13" s="18" t="s">
        <v>5957</v>
      </c>
      <c r="R13" s="16"/>
      <c r="S13" s="18"/>
      <c r="T13" s="21"/>
    </row>
    <row r="14" spans="1:20" ht="15.95" customHeight="1" x14ac:dyDescent="0.25">
      <c r="A14" s="18" t="s">
        <v>508</v>
      </c>
      <c r="B14" s="16"/>
      <c r="C14" s="18" t="s">
        <v>1793</v>
      </c>
      <c r="D14" s="16"/>
      <c r="E14" s="18" t="s">
        <v>2512</v>
      </c>
      <c r="F14" s="16"/>
      <c r="G14" s="18" t="s">
        <v>1061</v>
      </c>
      <c r="H14" s="16"/>
      <c r="I14" s="18" t="s">
        <v>3231</v>
      </c>
      <c r="J14" s="16"/>
      <c r="K14" s="18" t="s">
        <v>3977</v>
      </c>
      <c r="L14" s="16"/>
      <c r="M14" s="18" t="s">
        <v>4706</v>
      </c>
      <c r="N14" s="16"/>
      <c r="O14" s="18" t="s">
        <v>5391</v>
      </c>
      <c r="P14" s="16"/>
      <c r="Q14" s="18" t="s">
        <v>6119</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509</v>
      </c>
      <c r="B16" s="16"/>
      <c r="C16" s="18" t="s">
        <v>1794</v>
      </c>
      <c r="D16" s="16"/>
      <c r="E16" s="18" t="s">
        <v>2513</v>
      </c>
      <c r="F16" s="16"/>
      <c r="G16" s="18" t="s">
        <v>1062</v>
      </c>
      <c r="H16" s="16"/>
      <c r="I16" s="18" t="s">
        <v>3232</v>
      </c>
      <c r="J16" s="16"/>
      <c r="K16" s="18" t="s">
        <v>3978</v>
      </c>
      <c r="L16" s="16"/>
      <c r="M16" s="18" t="s">
        <v>4707</v>
      </c>
      <c r="N16" s="16"/>
      <c r="O16" s="18" t="s">
        <v>5392</v>
      </c>
      <c r="P16" s="16"/>
      <c r="Q16" s="18" t="s">
        <v>6120</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510</v>
      </c>
      <c r="B18" s="16"/>
      <c r="C18" s="18" t="s">
        <v>1795</v>
      </c>
      <c r="D18" s="16"/>
      <c r="E18" s="18" t="s">
        <v>2514</v>
      </c>
      <c r="F18" s="16"/>
      <c r="G18" s="18" t="s">
        <v>1063</v>
      </c>
      <c r="H18" s="16"/>
      <c r="I18" s="18" t="s">
        <v>3233</v>
      </c>
      <c r="J18" s="16"/>
      <c r="K18" s="18" t="s">
        <v>3979</v>
      </c>
      <c r="L18" s="16"/>
      <c r="M18" s="18" t="s">
        <v>4708</v>
      </c>
      <c r="N18" s="16"/>
      <c r="O18" s="18" t="s">
        <v>5393</v>
      </c>
      <c r="P18" s="16"/>
      <c r="Q18" s="18" t="s">
        <v>6121</v>
      </c>
      <c r="R18" s="16"/>
      <c r="S18" s="18"/>
      <c r="T18" s="21"/>
    </row>
    <row r="19" spans="1:20" ht="15.95" customHeight="1" x14ac:dyDescent="0.25">
      <c r="A19" s="18" t="s">
        <v>511</v>
      </c>
      <c r="B19" s="16"/>
      <c r="C19" s="18" t="s">
        <v>1796</v>
      </c>
      <c r="D19" s="16"/>
      <c r="E19" s="18" t="s">
        <v>2515</v>
      </c>
      <c r="F19" s="16"/>
      <c r="G19" s="18" t="s">
        <v>1064</v>
      </c>
      <c r="H19" s="16"/>
      <c r="I19" s="18" t="s">
        <v>3234</v>
      </c>
      <c r="J19" s="16"/>
      <c r="K19" s="18" t="s">
        <v>3980</v>
      </c>
      <c r="L19" s="16"/>
      <c r="M19" s="18" t="s">
        <v>4709</v>
      </c>
      <c r="N19" s="16"/>
      <c r="O19" s="18" t="s">
        <v>5394</v>
      </c>
      <c r="P19" s="16"/>
      <c r="Q19" s="18" t="s">
        <v>6122</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502</v>
      </c>
      <c r="B21" s="16"/>
      <c r="C21" s="18" t="s">
        <v>1773</v>
      </c>
      <c r="D21" s="16"/>
      <c r="E21" s="18" t="s">
        <v>2492</v>
      </c>
      <c r="F21" s="16"/>
      <c r="G21" s="18" t="s">
        <v>1041</v>
      </c>
      <c r="H21" s="16"/>
      <c r="I21" s="18" t="s">
        <v>3210</v>
      </c>
      <c r="J21" s="16"/>
      <c r="K21" s="18" t="s">
        <v>3957</v>
      </c>
      <c r="L21" s="16"/>
      <c r="M21" s="18" t="s">
        <v>4686</v>
      </c>
      <c r="N21" s="16"/>
      <c r="O21" s="18" t="s">
        <v>5371</v>
      </c>
      <c r="P21" s="16"/>
      <c r="Q21" s="18" t="s">
        <v>6102</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0" priority="22" stopIfTrue="1">
      <formula>NOT(ISERROR(A3))</formula>
    </cfRule>
  </conditionalFormatting>
  <conditionalFormatting sqref="A3:T6 A7 C7 E7 G7 I7 K7 M7 O7 Q7 S7 A8:T51">
    <cfRule type="notContainsBlanks" dxfId="239" priority="23">
      <formula>LEN(TRIM(A3))&gt;0</formula>
    </cfRule>
  </conditionalFormatting>
  <conditionalFormatting sqref="A3:T51">
    <cfRule type="containsErrors" dxfId="238" priority="1" stopIfTrue="1">
      <formula>ISERROR(A3)</formula>
    </cfRule>
  </conditionalFormatting>
  <conditionalFormatting sqref="B7">
    <cfRule type="notContainsBlanks" dxfId="237" priority="20">
      <formula>LEN(TRIM(B7))&gt;0</formula>
    </cfRule>
  </conditionalFormatting>
  <conditionalFormatting sqref="D7">
    <cfRule type="notContainsBlanks" dxfId="236" priority="18">
      <formula>LEN(TRIM(D7))&gt;0</formula>
    </cfRule>
  </conditionalFormatting>
  <conditionalFormatting sqref="F7">
    <cfRule type="notContainsBlanks" dxfId="235" priority="16">
      <formula>LEN(TRIM(F7))&gt;0</formula>
    </cfRule>
  </conditionalFormatting>
  <conditionalFormatting sqref="H7">
    <cfRule type="notContainsBlanks" dxfId="234" priority="14">
      <formula>LEN(TRIM(H7))&gt;0</formula>
    </cfRule>
  </conditionalFormatting>
  <conditionalFormatting sqref="J7">
    <cfRule type="notContainsBlanks" dxfId="233" priority="12">
      <formula>LEN(TRIM(J7))&gt;0</formula>
    </cfRule>
  </conditionalFormatting>
  <conditionalFormatting sqref="L7">
    <cfRule type="notContainsBlanks" dxfId="232" priority="10">
      <formula>LEN(TRIM(L7))&gt;0</formula>
    </cfRule>
  </conditionalFormatting>
  <conditionalFormatting sqref="N7">
    <cfRule type="notContainsBlanks" dxfId="231" priority="8">
      <formula>LEN(TRIM(N7))&gt;0</formula>
    </cfRule>
  </conditionalFormatting>
  <conditionalFormatting sqref="P7">
    <cfRule type="notContainsBlanks" dxfId="230" priority="6">
      <formula>LEN(TRIM(P7))&gt;0</formula>
    </cfRule>
  </conditionalFormatting>
  <conditionalFormatting sqref="R7">
    <cfRule type="notContainsBlanks" dxfId="229" priority="4">
      <formula>LEN(TRIM(R7))&gt;0</formula>
    </cfRule>
  </conditionalFormatting>
  <conditionalFormatting sqref="T7">
    <cfRule type="notContainsBlanks" dxfId="228" priority="2">
      <formula>LEN(TRIM(T7))&gt;0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dimension ref="A1:T51"/>
  <sheetViews>
    <sheetView workbookViewId="0">
      <selection activeCell="Q3" sqref="Q3:Q2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649</v>
      </c>
      <c r="B3" s="16" t="str">
        <f>TRIM(_xlfn.TEXTBEFORE(A3, ":"))</f>
        <v>Item Class</v>
      </c>
      <c r="C3" s="17" t="s">
        <v>1797</v>
      </c>
      <c r="D3" s="16" t="str">
        <f>TRIM(_xlfn.TEXTBEFORE(C3, ":"))</f>
        <v>Gegenstandsklasse</v>
      </c>
      <c r="E3" s="17" t="s">
        <v>2516</v>
      </c>
      <c r="F3" s="16" t="str">
        <f>TRIM(_xlfn.TEXTBEFORE(E3, ":"))</f>
        <v>Clase de objeto</v>
      </c>
      <c r="G3" s="17" t="s">
        <v>1065</v>
      </c>
      <c r="H3" s="16" t="str">
        <f>TRIM(_xlfn.TEXTBEFORE(G3, ":"))</f>
        <v>Classe d'objet</v>
      </c>
      <c r="I3" s="17" t="s">
        <v>3235</v>
      </c>
      <c r="J3" s="16" t="str">
        <f>TRIM(_xlfn.TEXTBEFORE(I3, ":"))</f>
        <v>アイテムクラス</v>
      </c>
      <c r="K3" s="17" t="s">
        <v>3981</v>
      </c>
      <c r="L3" s="16" t="str">
        <f>TRIM(_xlfn.TEXTBEFORE(K3, ":"))</f>
        <v>아이템 종류</v>
      </c>
      <c r="M3" s="17" t="s">
        <v>4710</v>
      </c>
      <c r="N3" s="16" t="str">
        <f>TRIM(_xlfn.TEXTBEFORE(M3, ":"))</f>
        <v>Classe do Item</v>
      </c>
      <c r="O3" s="17" t="s">
        <v>5395</v>
      </c>
      <c r="P3" s="16" t="str">
        <f>TRIM(_xlfn.TEXTBEFORE(O3, ":"))</f>
        <v>Класс предмета</v>
      </c>
      <c r="Q3" s="17" t="s">
        <v>6123</v>
      </c>
      <c r="R3" s="16" t="str">
        <f>TRIM(_xlfn.TEXTBEFORE(Q3, ":"))</f>
        <v>ชนิดไอเทม</v>
      </c>
      <c r="S3" s="17"/>
      <c r="T3" s="20" t="e">
        <f>TRIM(_xlfn.TEXTBEFORE(S3, ":"))</f>
        <v>#N/A</v>
      </c>
    </row>
    <row r="4" spans="1:20" ht="15.95" customHeight="1" x14ac:dyDescent="0.25">
      <c r="A4" s="18" t="s">
        <v>109</v>
      </c>
      <c r="B4" s="16" t="str">
        <f>TRIM(_xlfn.TEXTAFTER(A3, ":"))</f>
        <v>Amulets</v>
      </c>
      <c r="C4" s="18" t="s">
        <v>1672</v>
      </c>
      <c r="D4" s="16" t="str">
        <f>TRIM(_xlfn.TEXTAFTER(C3, ":"))</f>
        <v>Amulette</v>
      </c>
      <c r="E4" s="18" t="s">
        <v>2392</v>
      </c>
      <c r="F4" s="16" t="str">
        <f>TRIM(_xlfn.TEXTAFTER(E3, ":"))</f>
        <v>Amuletos</v>
      </c>
      <c r="G4" s="18" t="s">
        <v>1</v>
      </c>
      <c r="H4" s="16" t="str">
        <f>TRIM(_xlfn.TEXTAFTER(G3, ":"))</f>
        <v>Amulettes</v>
      </c>
      <c r="I4" s="18" t="s">
        <v>3107</v>
      </c>
      <c r="J4" s="16" t="str">
        <f>TRIM(_xlfn.TEXTAFTER(I3, ":"))</f>
        <v>アミュレット</v>
      </c>
      <c r="K4" s="18" t="s">
        <v>3857</v>
      </c>
      <c r="L4" s="16" t="str">
        <f>TRIM(_xlfn.TEXTAFTER(K3, ":"))</f>
        <v>목걸이</v>
      </c>
      <c r="M4" s="18" t="s">
        <v>4586</v>
      </c>
      <c r="N4" s="16" t="str">
        <f>TRIM(_xlfn.TEXTAFTER(M3, ":"))</f>
        <v>Amuletos</v>
      </c>
      <c r="O4" s="18" t="s">
        <v>5269</v>
      </c>
      <c r="P4" s="16" t="str">
        <f>TRIM(_xlfn.TEXTAFTER(O3, ":"))</f>
        <v>Амулеты</v>
      </c>
      <c r="Q4" s="18" t="s">
        <v>6006</v>
      </c>
      <c r="R4" s="16" t="str">
        <f>TRIM(_xlfn.TEXTAFTER(Q3, ":"))</f>
        <v>สร้อย</v>
      </c>
      <c r="S4" s="18"/>
      <c r="T4" s="20" t="e">
        <f>TRIM(_xlfn.TEXTAFTER(S3, ":"))</f>
        <v>#N/A</v>
      </c>
    </row>
    <row r="5" spans="1:20" ht="15.95" customHeight="1" x14ac:dyDescent="0.25">
      <c r="A5" s="18" t="s">
        <v>650</v>
      </c>
      <c r="B5" s="16" t="str">
        <f>TRIM(_xlfn.TEXTBEFORE(A4, ":"))</f>
        <v>Rarity</v>
      </c>
      <c r="C5" s="18" t="s">
        <v>1798</v>
      </c>
      <c r="D5" s="16" t="str">
        <f>TRIM(_xlfn.TEXTBEFORE(C4, ":"))</f>
        <v>Seltenheit</v>
      </c>
      <c r="E5" s="18" t="s">
        <v>2517</v>
      </c>
      <c r="F5" s="16" t="str">
        <f>TRIM(_xlfn.TEXTBEFORE(E4, ":"))</f>
        <v>Rareza</v>
      </c>
      <c r="G5" s="18" t="s">
        <v>1066</v>
      </c>
      <c r="H5" s="16" t="str">
        <f>TRIM(_xlfn.TEXTBEFORE(G4, ":"))</f>
        <v>Rareté</v>
      </c>
      <c r="I5" s="18" t="s">
        <v>3236</v>
      </c>
      <c r="J5" s="16" t="str">
        <f>TRIM(_xlfn.TEXTBEFORE(I4, ":"))</f>
        <v>レアリティ</v>
      </c>
      <c r="K5" s="18" t="s">
        <v>3982</v>
      </c>
      <c r="L5" s="16" t="str">
        <f>TRIM(_xlfn.TEXTBEFORE(K4, ":"))</f>
        <v>아이템 희귀도</v>
      </c>
      <c r="M5" s="18" t="s">
        <v>4711</v>
      </c>
      <c r="N5" s="16" t="str">
        <f>TRIM(_xlfn.TEXTBEFORE(M4, ":"))</f>
        <v>Raridade</v>
      </c>
      <c r="O5" s="18" t="s">
        <v>5396</v>
      </c>
      <c r="P5" s="16" t="str">
        <f>TRIM(_xlfn.TEXTBEFORE(O4, ":"))</f>
        <v>Редкость</v>
      </c>
      <c r="Q5" s="18" t="s">
        <v>650</v>
      </c>
      <c r="R5" s="16" t="str">
        <f>TRIM(_xlfn.TEXTBEFORE(Q4, ":"))</f>
        <v>ความหายาก</v>
      </c>
      <c r="S5" s="18"/>
      <c r="T5" s="20" t="e">
        <f>TRIM(_xlfn.TEXTBEFORE(S4, ":"))</f>
        <v>#N/A</v>
      </c>
    </row>
    <row r="6" spans="1:20" ht="15.95" customHeight="1" x14ac:dyDescent="0.25">
      <c r="A6" s="18" t="s">
        <v>651</v>
      </c>
      <c r="B6" s="16" t="str">
        <f>TRIM(_xlfn.TEXTAFTER(A4,":"))</f>
        <v>Unique</v>
      </c>
      <c r="C6" s="18" t="s">
        <v>1799</v>
      </c>
      <c r="D6" s="16" t="str">
        <f>TRIM(_xlfn.TEXTAFTER(C4,":"))</f>
        <v>Einzigartig</v>
      </c>
      <c r="E6" s="18" t="s">
        <v>2518</v>
      </c>
      <c r="F6" s="16" t="str">
        <f>TRIM(_xlfn.TEXTAFTER(E4,":"))</f>
        <v>Único</v>
      </c>
      <c r="G6" s="18" t="s">
        <v>1067</v>
      </c>
      <c r="H6" s="16" t="str">
        <f>TRIM(_xlfn.TEXTAFTER(G4,":"))</f>
        <v>Unique</v>
      </c>
      <c r="I6" s="18" t="s">
        <v>3237</v>
      </c>
      <c r="J6" s="16" t="str">
        <f>TRIM(_xlfn.TEXTAFTER(I4,":"))</f>
        <v>ユニーク</v>
      </c>
      <c r="K6" s="18" t="s">
        <v>3983</v>
      </c>
      <c r="L6" s="16" t="str">
        <f>TRIM(_xlfn.TEXTAFTER(K4,":"))</f>
        <v>고유</v>
      </c>
      <c r="M6" s="18" t="s">
        <v>4712</v>
      </c>
      <c r="N6" s="16" t="str">
        <f>TRIM(_xlfn.TEXTAFTER(M4,":"))</f>
        <v>Único</v>
      </c>
      <c r="O6" s="18" t="s">
        <v>5397</v>
      </c>
      <c r="P6" s="16" t="str">
        <f>TRIM(_xlfn.TEXTAFTER(O4,":"))</f>
        <v>Уникальный</v>
      </c>
      <c r="Q6" s="18" t="s">
        <v>651</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t="s">
        <v>5212</v>
      </c>
      <c r="P8" s="16"/>
      <c r="Q8" s="18" t="s">
        <v>5957</v>
      </c>
      <c r="R8" s="16"/>
      <c r="S8" s="18"/>
      <c r="T8" s="20"/>
    </row>
    <row r="9" spans="1:20" ht="15.95" customHeight="1" x14ac:dyDescent="0.25">
      <c r="A9" s="18" t="s">
        <v>652</v>
      </c>
      <c r="B9" s="16"/>
      <c r="C9" s="18" t="s">
        <v>1800</v>
      </c>
      <c r="D9" s="16"/>
      <c r="E9" s="18" t="s">
        <v>2519</v>
      </c>
      <c r="F9" s="16"/>
      <c r="G9" s="18" t="s">
        <v>1068</v>
      </c>
      <c r="H9" s="16"/>
      <c r="I9" s="18" t="s">
        <v>3238</v>
      </c>
      <c r="J9" s="16"/>
      <c r="K9" s="18" t="s">
        <v>3984</v>
      </c>
      <c r="L9" s="16"/>
      <c r="M9" s="18" t="s">
        <v>4713</v>
      </c>
      <c r="N9" s="16"/>
      <c r="O9" s="18" t="s">
        <v>5398</v>
      </c>
      <c r="P9" s="16"/>
      <c r="Q9" s="18" t="s">
        <v>6124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653</v>
      </c>
      <c r="B11" s="16"/>
      <c r="C11" s="18" t="s">
        <v>1801</v>
      </c>
      <c r="D11" s="16"/>
      <c r="E11" s="18" t="s">
        <v>2520</v>
      </c>
      <c r="F11" s="16"/>
      <c r="G11" s="18" t="s">
        <v>1069</v>
      </c>
      <c r="H11" s="16"/>
      <c r="I11" s="18" t="s">
        <v>3239</v>
      </c>
      <c r="J11" s="16"/>
      <c r="K11" s="18" t="s">
        <v>3985</v>
      </c>
      <c r="L11" s="16"/>
      <c r="M11" s="18" t="s">
        <v>4714</v>
      </c>
      <c r="N11" s="16"/>
      <c r="O11" s="18" t="s">
        <v>5399</v>
      </c>
      <c r="P11" s="16"/>
      <c r="Q11" s="18" t="s">
        <v>6125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654</v>
      </c>
      <c r="B13" s="16"/>
      <c r="C13" s="18" t="s">
        <v>1802</v>
      </c>
      <c r="D13" s="16"/>
      <c r="E13" s="18" t="s">
        <v>2521</v>
      </c>
      <c r="F13" s="16"/>
      <c r="G13" s="18" t="s">
        <v>1070</v>
      </c>
      <c r="H13" s="16"/>
      <c r="I13" s="18" t="s">
        <v>3240</v>
      </c>
      <c r="J13" s="16"/>
      <c r="K13" s="18" t="s">
        <v>3986</v>
      </c>
      <c r="L13" s="16"/>
      <c r="M13" s="18" t="s">
        <v>4715</v>
      </c>
      <c r="N13" s="16"/>
      <c r="O13" s="18" t="s">
        <v>5400</v>
      </c>
      <c r="P13" s="16"/>
      <c r="Q13" s="18" t="s">
        <v>6126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655</v>
      </c>
      <c r="B15" s="16"/>
      <c r="C15" s="18" t="s">
        <v>1803</v>
      </c>
      <c r="D15" s="16"/>
      <c r="E15" s="18" t="s">
        <v>2522</v>
      </c>
      <c r="F15" s="16"/>
      <c r="G15" s="18" t="s">
        <v>1071</v>
      </c>
      <c r="H15" s="16"/>
      <c r="I15" s="18" t="s">
        <v>3241</v>
      </c>
      <c r="J15" s="16"/>
      <c r="K15" s="18" t="s">
        <v>3987</v>
      </c>
      <c r="L15" s="16"/>
      <c r="M15" s="18" t="s">
        <v>4716</v>
      </c>
      <c r="N15" s="16"/>
      <c r="O15" s="18" t="s">
        <v>5401</v>
      </c>
      <c r="P15" s="16"/>
      <c r="Q15" s="18" t="s">
        <v>6127</v>
      </c>
      <c r="R15" s="16"/>
      <c r="S15" s="18"/>
      <c r="T15" s="20"/>
    </row>
    <row r="16" spans="1:20" ht="15.95" customHeight="1" x14ac:dyDescent="0.25">
      <c r="A16" s="18" t="s">
        <v>656</v>
      </c>
      <c r="B16" s="16"/>
      <c r="C16" s="18" t="s">
        <v>1804</v>
      </c>
      <c r="D16" s="16"/>
      <c r="E16" s="18" t="s">
        <v>2523</v>
      </c>
      <c r="F16" s="16"/>
      <c r="G16" s="18" t="s">
        <v>1072</v>
      </c>
      <c r="H16" s="16"/>
      <c r="I16" s="18" t="s">
        <v>3242</v>
      </c>
      <c r="J16" s="16"/>
      <c r="K16" s="18" t="s">
        <v>3988</v>
      </c>
      <c r="L16" s="16"/>
      <c r="M16" s="18" t="s">
        <v>4717</v>
      </c>
      <c r="N16" s="16"/>
      <c r="O16" s="18" t="s">
        <v>5402</v>
      </c>
      <c r="P16" s="16"/>
      <c r="Q16" s="18" t="s">
        <v>6128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657</v>
      </c>
      <c r="B18" s="16"/>
      <c r="C18" s="18" t="s">
        <v>1805</v>
      </c>
      <c r="D18" s="16"/>
      <c r="E18" s="18" t="s">
        <v>2524</v>
      </c>
      <c r="F18" s="16"/>
      <c r="G18" s="18" t="s">
        <v>1073</v>
      </c>
      <c r="H18" s="16"/>
      <c r="I18" s="18" t="s">
        <v>3243</v>
      </c>
      <c r="J18" s="16"/>
      <c r="K18" s="18" t="s">
        <v>3989</v>
      </c>
      <c r="L18" s="16"/>
      <c r="M18" s="18" t="s">
        <v>4718</v>
      </c>
      <c r="N18" s="16"/>
      <c r="O18" s="18" t="s">
        <v>5403</v>
      </c>
      <c r="P18" s="16"/>
      <c r="Q18" s="18" t="s">
        <v>6129</v>
      </c>
      <c r="R18" s="16"/>
      <c r="S18" s="18"/>
      <c r="T18" s="20"/>
    </row>
    <row r="19" spans="1:20" ht="15.95" customHeight="1" x14ac:dyDescent="0.25">
      <c r="A19" s="18" t="s">
        <v>658</v>
      </c>
      <c r="B19" s="16"/>
      <c r="C19" s="18" t="s">
        <v>1806</v>
      </c>
      <c r="D19" s="16"/>
      <c r="E19" s="18" t="s">
        <v>2525</v>
      </c>
      <c r="F19" s="16"/>
      <c r="G19" s="18" t="s">
        <v>1074</v>
      </c>
      <c r="H19" s="16"/>
      <c r="I19" s="18" t="s">
        <v>3244</v>
      </c>
      <c r="J19" s="16"/>
      <c r="K19" s="18" t="s">
        <v>3990</v>
      </c>
      <c r="L19" s="16"/>
      <c r="M19" s="18" t="s">
        <v>4719</v>
      </c>
      <c r="N19" s="16"/>
      <c r="O19" s="18" t="s">
        <v>5404</v>
      </c>
      <c r="P19" s="16"/>
      <c r="Q19" s="18" t="s">
        <v>6130</v>
      </c>
      <c r="R19" s="16"/>
      <c r="S19" s="18"/>
      <c r="T19" s="20"/>
    </row>
    <row r="20" spans="1:20" ht="15.95" customHeight="1" x14ac:dyDescent="0.25">
      <c r="A20" s="18" t="s">
        <v>659</v>
      </c>
      <c r="B20" s="16"/>
      <c r="C20" s="18" t="s">
        <v>1807</v>
      </c>
      <c r="D20" s="16"/>
      <c r="E20" s="18" t="s">
        <v>2526</v>
      </c>
      <c r="F20" s="16"/>
      <c r="G20" s="18" t="s">
        <v>1075</v>
      </c>
      <c r="H20" s="16"/>
      <c r="I20" s="18" t="s">
        <v>3245</v>
      </c>
      <c r="J20" s="16"/>
      <c r="K20" s="18" t="s">
        <v>3991</v>
      </c>
      <c r="L20" s="16"/>
      <c r="M20" s="18" t="s">
        <v>4720</v>
      </c>
      <c r="N20" s="16"/>
      <c r="O20" s="18" t="s">
        <v>5405</v>
      </c>
      <c r="P20" s="16"/>
      <c r="Q20" s="18" t="s">
        <v>6131</v>
      </c>
      <c r="R20" s="16"/>
      <c r="S20" s="18"/>
      <c r="T20" s="20"/>
    </row>
    <row r="21" spans="1:20" ht="15.95" customHeight="1" x14ac:dyDescent="0.25">
      <c r="A21" s="18" t="s">
        <v>660</v>
      </c>
      <c r="B21" s="16"/>
      <c r="C21" s="18" t="s">
        <v>1808</v>
      </c>
      <c r="D21" s="16"/>
      <c r="E21" s="18" t="s">
        <v>2527</v>
      </c>
      <c r="F21" s="16"/>
      <c r="G21" s="18" t="s">
        <v>1076</v>
      </c>
      <c r="H21" s="16"/>
      <c r="I21" s="18" t="s">
        <v>3246</v>
      </c>
      <c r="J21" s="16"/>
      <c r="K21" s="18" t="s">
        <v>3992</v>
      </c>
      <c r="L21" s="16"/>
      <c r="M21" s="18" t="s">
        <v>4721</v>
      </c>
      <c r="N21" s="16"/>
      <c r="O21" s="18" t="s">
        <v>5406</v>
      </c>
      <c r="P21" s="16"/>
      <c r="Q21" s="18" t="s">
        <v>6132</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78</v>
      </c>
      <c r="B23" s="16"/>
      <c r="C23" s="18" t="s">
        <v>1640</v>
      </c>
      <c r="D23" s="16"/>
      <c r="E23" s="18" t="s">
        <v>2345</v>
      </c>
      <c r="F23" s="16"/>
      <c r="G23" s="18" t="s">
        <v>914</v>
      </c>
      <c r="H23" s="16"/>
      <c r="I23" s="18" t="s">
        <v>3055</v>
      </c>
      <c r="J23" s="16"/>
      <c r="K23" s="18" t="s">
        <v>3809</v>
      </c>
      <c r="L23" s="16"/>
      <c r="M23" s="18" t="s">
        <v>4539</v>
      </c>
      <c r="N23" s="16"/>
      <c r="O23" s="18" t="s">
        <v>5220</v>
      </c>
      <c r="P23" s="16"/>
      <c r="Q23" s="18" t="s">
        <v>5964</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661</v>
      </c>
      <c r="B25" s="16"/>
      <c r="C25" s="18" t="s">
        <v>1809</v>
      </c>
      <c r="D25" s="16"/>
      <c r="E25" s="18" t="s">
        <v>2528</v>
      </c>
      <c r="F25" s="16"/>
      <c r="G25" s="18" t="s">
        <v>1077</v>
      </c>
      <c r="H25" s="16"/>
      <c r="I25" s="18" t="s">
        <v>3247</v>
      </c>
      <c r="J25" s="16"/>
      <c r="K25" s="18" t="s">
        <v>3993</v>
      </c>
      <c r="L25" s="16"/>
      <c r="M25" s="18" t="s">
        <v>4722</v>
      </c>
      <c r="N25" s="16"/>
      <c r="O25" s="18" t="s">
        <v>5407</v>
      </c>
      <c r="P25" s="16"/>
      <c r="Q25" s="18" t="s">
        <v>6133</v>
      </c>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7" priority="2" stopIfTrue="1">
      <formula>NOT(ISERROR(A3))</formula>
    </cfRule>
  </conditionalFormatting>
  <conditionalFormatting sqref="A3:T51">
    <cfRule type="containsErrors" dxfId="226" priority="1" stopIfTrue="1">
      <formula>ISERROR(A3)</formula>
    </cfRule>
    <cfRule type="notContainsBlanks" dxfId="225" priority="3">
      <formula>LEN(TRIM(A3))&gt;0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542</v>
      </c>
      <c r="B3" s="16" t="str">
        <f>TRIM(_xlfn.TEXTBEFORE(A3, ":"))</f>
        <v>Item Class</v>
      </c>
      <c r="C3" s="17" t="s">
        <v>1810</v>
      </c>
      <c r="D3" s="16" t="str">
        <f>TRIM(_xlfn.TEXTBEFORE(C3, ":"))</f>
        <v>Gegenstandsklasse</v>
      </c>
      <c r="E3" s="17" t="s">
        <v>2529</v>
      </c>
      <c r="F3" s="16" t="str">
        <f>TRIM(_xlfn.TEXTBEFORE(E3, ":"))</f>
        <v>Clase de objeto</v>
      </c>
      <c r="G3" s="17" t="s">
        <v>1078</v>
      </c>
      <c r="H3" s="16" t="str">
        <f>TRIM(_xlfn.TEXTBEFORE(G3, ":"))</f>
        <v>Classe d'objet</v>
      </c>
      <c r="I3" s="17" t="s">
        <v>3248</v>
      </c>
      <c r="J3" s="16" t="str">
        <f>TRIM(_xlfn.TEXTBEFORE(I3, ":"))</f>
        <v>アイテムクラス</v>
      </c>
      <c r="K3" s="17" t="s">
        <v>3994</v>
      </c>
      <c r="L3" s="16" t="str">
        <f>TRIM(_xlfn.TEXTBEFORE(K3, ":"))</f>
        <v>아이템 종류</v>
      </c>
      <c r="M3" s="17" t="s">
        <v>4723</v>
      </c>
      <c r="N3" s="16" t="str">
        <f>TRIM(_xlfn.TEXTBEFORE(M3, ":"))</f>
        <v>Classe do Item</v>
      </c>
      <c r="O3" s="17" t="s">
        <v>5408</v>
      </c>
      <c r="P3" s="16" t="str">
        <f>TRIM(_xlfn.TEXTBEFORE(O3, ":"))</f>
        <v>Класс предмета</v>
      </c>
      <c r="Q3" s="17" t="s">
        <v>6134</v>
      </c>
      <c r="R3" s="16" t="str">
        <f>TRIM(_xlfn.TEXTBEFORE(Q3, ":"))</f>
        <v>ชนิดไอเทม</v>
      </c>
      <c r="S3" s="17"/>
      <c r="T3" s="16" t="e">
        <f>TRIM(_xlfn.TEXTBEFORE(S3, ":"))</f>
        <v>#N/A</v>
      </c>
    </row>
    <row r="4" spans="1:20" ht="15.95" customHeight="1" x14ac:dyDescent="0.25">
      <c r="A4" s="18" t="s">
        <v>109</v>
      </c>
      <c r="B4" s="16" t="str">
        <f>TRIM(_xlfn.TEXTAFTER(A3, ":"))</f>
        <v>Rings</v>
      </c>
      <c r="C4" s="18" t="s">
        <v>1672</v>
      </c>
      <c r="D4" s="16" t="str">
        <f>TRIM(_xlfn.TEXTAFTER(C3, ":"))</f>
        <v>Ringe</v>
      </c>
      <c r="E4" s="18" t="s">
        <v>2392</v>
      </c>
      <c r="F4" s="16" t="str">
        <f>TRIM(_xlfn.TEXTAFTER(E3, ":"))</f>
        <v>Anillos</v>
      </c>
      <c r="G4" s="18" t="s">
        <v>1</v>
      </c>
      <c r="H4" s="16" t="str">
        <f>TRIM(_xlfn.TEXTAFTER(G3, ":"))</f>
        <v>Bagues</v>
      </c>
      <c r="I4" s="18" t="s">
        <v>3107</v>
      </c>
      <c r="J4" s="16" t="str">
        <f>TRIM(_xlfn.TEXTAFTER(I3, ":"))</f>
        <v>指輪</v>
      </c>
      <c r="K4" s="18" t="s">
        <v>3857</v>
      </c>
      <c r="L4" s="16" t="str">
        <f>TRIM(_xlfn.TEXTAFTER(K3, ":"))</f>
        <v>반지</v>
      </c>
      <c r="M4" s="18" t="s">
        <v>4586</v>
      </c>
      <c r="N4" s="16" t="str">
        <f>TRIM(_xlfn.TEXTAFTER(M3, ":"))</f>
        <v>Anéis</v>
      </c>
      <c r="O4" s="18" t="s">
        <v>5269</v>
      </c>
      <c r="P4" s="16" t="str">
        <f>TRIM(_xlfn.TEXTAFTER(O3, ":"))</f>
        <v>Кольца</v>
      </c>
      <c r="Q4" s="18" t="s">
        <v>6006</v>
      </c>
      <c r="R4" s="16" t="str">
        <f>TRIM(_xlfn.TEXTAFTER(Q3, ":"))</f>
        <v>แหวน</v>
      </c>
      <c r="S4" s="18"/>
      <c r="T4" s="16" t="e">
        <f>TRIM(_xlfn.TEXTAFTER(S3, ":"))</f>
        <v>#N/A</v>
      </c>
    </row>
    <row r="5" spans="1:20" ht="15.95" customHeight="1" x14ac:dyDescent="0.25">
      <c r="A5" s="18" t="s">
        <v>543</v>
      </c>
      <c r="B5" s="16" t="str">
        <f>TRIM(_xlfn.TEXTBEFORE(A4, ":"))</f>
        <v>Rarity</v>
      </c>
      <c r="C5" s="18" t="s">
        <v>1811</v>
      </c>
      <c r="D5" s="16" t="str">
        <f>TRIM(_xlfn.TEXTBEFORE(C4, ":"))</f>
        <v>Seltenheit</v>
      </c>
      <c r="E5" s="18" t="s">
        <v>2530</v>
      </c>
      <c r="F5" s="16" t="str">
        <f>TRIM(_xlfn.TEXTBEFORE(E4, ":"))</f>
        <v>Rareza</v>
      </c>
      <c r="G5" s="18" t="s">
        <v>1079</v>
      </c>
      <c r="H5" s="16" t="str">
        <f>TRIM(_xlfn.TEXTBEFORE(G4, ":"))</f>
        <v>Rareté</v>
      </c>
      <c r="I5" s="18" t="s">
        <v>3249</v>
      </c>
      <c r="J5" s="16" t="str">
        <f>TRIM(_xlfn.TEXTBEFORE(I4, ":"))</f>
        <v>レアリティ</v>
      </c>
      <c r="K5" s="18" t="s">
        <v>3995</v>
      </c>
      <c r="L5" s="16" t="str">
        <f>TRIM(_xlfn.TEXTBEFORE(K4, ":"))</f>
        <v>아이템 희귀도</v>
      </c>
      <c r="M5" s="18" t="s">
        <v>4724</v>
      </c>
      <c r="N5" s="16" t="str">
        <f>TRIM(_xlfn.TEXTBEFORE(M4, ":"))</f>
        <v>Raridade</v>
      </c>
      <c r="O5" s="18" t="s">
        <v>5409</v>
      </c>
      <c r="P5" s="16" t="str">
        <f>TRIM(_xlfn.TEXTBEFORE(O4, ":"))</f>
        <v>Редкость</v>
      </c>
      <c r="Q5" s="18" t="s">
        <v>543</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283</v>
      </c>
      <c r="B7" s="16"/>
      <c r="C7" s="18" t="s">
        <v>1759</v>
      </c>
      <c r="D7" s="16"/>
      <c r="E7" s="18" t="s">
        <v>2478</v>
      </c>
      <c r="F7" s="16"/>
      <c r="G7" s="18" t="s">
        <v>1027</v>
      </c>
      <c r="H7" s="16"/>
      <c r="I7" s="18" t="s">
        <v>3196</v>
      </c>
      <c r="J7" s="16"/>
      <c r="K7" s="18" t="s">
        <v>3943</v>
      </c>
      <c r="L7" s="16"/>
      <c r="M7" s="18" t="s">
        <v>4672</v>
      </c>
      <c r="N7" s="16"/>
      <c r="O7" s="18" t="s">
        <v>5357</v>
      </c>
      <c r="P7" s="16"/>
      <c r="Q7" s="18" t="s">
        <v>6089</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544</v>
      </c>
      <c r="B9" s="16"/>
      <c r="C9" s="18" t="s">
        <v>1812</v>
      </c>
      <c r="D9" s="16"/>
      <c r="E9" s="18" t="s">
        <v>2531</v>
      </c>
      <c r="F9" s="16"/>
      <c r="G9" s="18" t="s">
        <v>1080</v>
      </c>
      <c r="H9" s="16"/>
      <c r="I9" s="18" t="s">
        <v>3250</v>
      </c>
      <c r="J9" s="16"/>
      <c r="K9" s="18" t="s">
        <v>3996</v>
      </c>
      <c r="L9" s="16"/>
      <c r="M9" s="18" t="s">
        <v>4725</v>
      </c>
      <c r="N9" s="16"/>
      <c r="O9" s="18" t="s">
        <v>5410</v>
      </c>
      <c r="P9" s="16"/>
      <c r="Q9" s="18" t="s">
        <v>6135</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75</v>
      </c>
      <c r="B11" s="16" t="str">
        <f>A11</f>
        <v>Unidentified</v>
      </c>
      <c r="C11" s="18" t="s">
        <v>1813</v>
      </c>
      <c r="D11" s="16" t="str">
        <f>C11</f>
        <v>Nicht identifiziert</v>
      </c>
      <c r="E11" s="18" t="s">
        <v>2532</v>
      </c>
      <c r="F11" s="16" t="str">
        <f>E11</f>
        <v>Sin identificar</v>
      </c>
      <c r="G11" s="18" t="s">
        <v>1081</v>
      </c>
      <c r="H11" s="16" t="str">
        <f>G11</f>
        <v>Non identifié</v>
      </c>
      <c r="I11" s="18" t="s">
        <v>3251</v>
      </c>
      <c r="J11" s="16" t="str">
        <f>I11</f>
        <v>未鑑定</v>
      </c>
      <c r="K11" s="18" t="s">
        <v>3997</v>
      </c>
      <c r="L11" s="16" t="str">
        <f>K11</f>
        <v>미확인</v>
      </c>
      <c r="M11" s="18" t="s">
        <v>4726</v>
      </c>
      <c r="N11" s="16" t="str">
        <f>M11</f>
        <v>Não Identificado</v>
      </c>
      <c r="O11" s="18" t="s">
        <v>5411</v>
      </c>
      <c r="P11" s="16" t="str">
        <f>O11</f>
        <v>Неопознано</v>
      </c>
      <c r="Q11" s="18" t="s">
        <v>6136</v>
      </c>
      <c r="R11" s="16" t="str">
        <f>Q11</f>
        <v>ยังไม่ได้ตรวจสอบ</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4" priority="2" stopIfTrue="1">
      <formula>NOT(ISERROR(A3))</formula>
    </cfRule>
  </conditionalFormatting>
  <conditionalFormatting sqref="A3:T51">
    <cfRule type="containsErrors" dxfId="223" priority="1" stopIfTrue="1">
      <formula>ISERROR(A3)</formula>
    </cfRule>
    <cfRule type="notContainsBlanks" dxfId="222" priority="3">
      <formula>LEN(TRIM(A3))&gt;0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dimension ref="A1:T51"/>
  <sheetViews>
    <sheetView workbookViewId="0">
      <selection activeCell="Q3" sqref="Q3:Q2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471</v>
      </c>
      <c r="B3" s="16" t="str">
        <f>TRIM(_xlfn.TEXTBEFORE(A3, ":"))</f>
        <v>Item Class</v>
      </c>
      <c r="C3" s="17" t="s">
        <v>1814</v>
      </c>
      <c r="D3" s="16" t="str">
        <f>TRIM(_xlfn.TEXTBEFORE(C3, ":"))</f>
        <v>Gegenstandsklasse</v>
      </c>
      <c r="E3" s="17" t="s">
        <v>2533</v>
      </c>
      <c r="F3" s="16" t="str">
        <f>TRIM(_xlfn.TEXTBEFORE(E3, ":"))</f>
        <v>Clase de objeto</v>
      </c>
      <c r="G3" s="17" t="s">
        <v>1082</v>
      </c>
      <c r="H3" s="16" t="str">
        <f>TRIM(_xlfn.TEXTBEFORE(G3, ":"))</f>
        <v>Classe d'objet</v>
      </c>
      <c r="I3" s="17" t="s">
        <v>3252</v>
      </c>
      <c r="J3" s="16" t="str">
        <f>TRIM(_xlfn.TEXTBEFORE(I3, ":"))</f>
        <v>アイテムクラス</v>
      </c>
      <c r="K3" s="17" t="s">
        <v>3998</v>
      </c>
      <c r="L3" s="16" t="str">
        <f>TRIM(_xlfn.TEXTBEFORE(K3, ":"))</f>
        <v>아이템 종류</v>
      </c>
      <c r="M3" s="17" t="s">
        <v>4727</v>
      </c>
      <c r="N3" s="16" t="str">
        <f>TRIM(_xlfn.TEXTBEFORE(M3, ":"))</f>
        <v>Classe do Item</v>
      </c>
      <c r="O3" s="17" t="s">
        <v>5412</v>
      </c>
      <c r="P3" s="16" t="str">
        <f>TRIM(_xlfn.TEXTBEFORE(O3, ":"))</f>
        <v>Класс предмета</v>
      </c>
      <c r="Q3" s="17" t="s">
        <v>6137</v>
      </c>
      <c r="R3" s="16" t="str">
        <f>TRIM(_xlfn.TEXTBEFORE(Q3, ":"))</f>
        <v>ชนิดไอเทม</v>
      </c>
      <c r="S3" s="17"/>
      <c r="T3" s="16" t="e">
        <f>TRIM(_xlfn.TEXTBEFORE(S3, ":"))</f>
        <v>#N/A</v>
      </c>
    </row>
    <row r="4" spans="1:20" ht="15.95" customHeight="1" x14ac:dyDescent="0.25">
      <c r="A4" s="18" t="s">
        <v>109</v>
      </c>
      <c r="B4" s="16" t="str">
        <f>TRIM(_xlfn.TEXTAFTER(A3, ":"))</f>
        <v>Helmets</v>
      </c>
      <c r="C4" s="18" t="s">
        <v>1672</v>
      </c>
      <c r="D4" s="16" t="str">
        <f>TRIM(_xlfn.TEXTAFTER(C3, ":"))</f>
        <v>Helme</v>
      </c>
      <c r="E4" s="18" t="s">
        <v>2392</v>
      </c>
      <c r="F4" s="16" t="str">
        <f>TRIM(_xlfn.TEXTAFTER(E3, ":"))</f>
        <v>Cascos</v>
      </c>
      <c r="G4" s="18" t="s">
        <v>1</v>
      </c>
      <c r="H4" s="16" t="str">
        <f>TRIM(_xlfn.TEXTAFTER(G3, ":"))</f>
        <v>Casques</v>
      </c>
      <c r="I4" s="18" t="s">
        <v>3107</v>
      </c>
      <c r="J4" s="16" t="str">
        <f>TRIM(_xlfn.TEXTAFTER(I3, ":"))</f>
        <v>兜</v>
      </c>
      <c r="K4" s="18" t="s">
        <v>3857</v>
      </c>
      <c r="L4" s="16" t="str">
        <f>TRIM(_xlfn.TEXTAFTER(K3, ":"))</f>
        <v>투구</v>
      </c>
      <c r="M4" s="18" t="s">
        <v>4586</v>
      </c>
      <c r="N4" s="16" t="str">
        <f>TRIM(_xlfn.TEXTAFTER(M3, ":"))</f>
        <v>Elmos</v>
      </c>
      <c r="O4" s="18" t="s">
        <v>5269</v>
      </c>
      <c r="P4" s="16" t="str">
        <f>TRIM(_xlfn.TEXTAFTER(O3, ":"))</f>
        <v>Шлемы</v>
      </c>
      <c r="Q4" s="18" t="s">
        <v>6006</v>
      </c>
      <c r="R4" s="16" t="str">
        <f>TRIM(_xlfn.TEXTAFTER(Q3, ":"))</f>
        <v>หมวก</v>
      </c>
      <c r="S4" s="18"/>
      <c r="T4" s="16" t="e">
        <f>TRIM(_xlfn.TEXTAFTER(S3, ":"))</f>
        <v>#N/A</v>
      </c>
    </row>
    <row r="5" spans="1:20" ht="15.95" customHeight="1" x14ac:dyDescent="0.25">
      <c r="A5" s="18" t="s">
        <v>472</v>
      </c>
      <c r="B5" s="16" t="str">
        <f>TRIM(_xlfn.TEXTBEFORE(A4, ":"))</f>
        <v>Rarity</v>
      </c>
      <c r="C5" s="18" t="s">
        <v>472</v>
      </c>
      <c r="D5" s="16" t="str">
        <f>TRIM(_xlfn.TEXTBEFORE(C4, ":"))</f>
        <v>Seltenheit</v>
      </c>
      <c r="E5" s="18" t="s">
        <v>472</v>
      </c>
      <c r="F5" s="16" t="str">
        <f>TRIM(_xlfn.TEXTBEFORE(E4, ":"))</f>
        <v>Rareza</v>
      </c>
      <c r="G5" s="18" t="s">
        <v>472</v>
      </c>
      <c r="H5" s="16" t="str">
        <f>TRIM(_xlfn.TEXTBEFORE(G4, ":"))</f>
        <v>Rareté</v>
      </c>
      <c r="I5" s="18" t="s">
        <v>3253</v>
      </c>
      <c r="J5" s="16" t="str">
        <f>TRIM(_xlfn.TEXTBEFORE(I4, ":"))</f>
        <v>レアリティ</v>
      </c>
      <c r="K5" s="18" t="s">
        <v>3999</v>
      </c>
      <c r="L5" s="16" t="str">
        <f>TRIM(_xlfn.TEXTBEFORE(K4, ":"))</f>
        <v>아이템 희귀도</v>
      </c>
      <c r="M5" s="18" t="s">
        <v>472</v>
      </c>
      <c r="N5" s="16" t="str">
        <f>TRIM(_xlfn.TEXTBEFORE(M4, ":"))</f>
        <v>Raridade</v>
      </c>
      <c r="O5" s="18" t="s">
        <v>5413</v>
      </c>
      <c r="P5" s="16" t="str">
        <f>TRIM(_xlfn.TEXTBEFORE(O4, ":"))</f>
        <v>Редкость</v>
      </c>
      <c r="Q5" s="18" t="s">
        <v>472</v>
      </c>
      <c r="R5" s="16" t="str">
        <f>TRIM(_xlfn.TEXTBEFORE(Q4, ":"))</f>
        <v>ความหายาก</v>
      </c>
      <c r="S5" s="18"/>
      <c r="T5" s="16" t="e">
        <f>TRIM(_xlfn.TEXTBEFORE(S4, ":"))</f>
        <v>#N/A</v>
      </c>
    </row>
    <row r="6" spans="1:20" ht="15.95" customHeight="1" x14ac:dyDescent="0.25">
      <c r="A6" s="18" t="s">
        <v>473</v>
      </c>
      <c r="B6" s="16" t="str">
        <f>TRIM(_xlfn.TEXTAFTER(A4,":"))</f>
        <v>Unique</v>
      </c>
      <c r="C6" s="18" t="s">
        <v>1815</v>
      </c>
      <c r="D6" s="16" t="str">
        <f>TRIM(_xlfn.TEXTAFTER(C4,":"))</f>
        <v>Einzigartig</v>
      </c>
      <c r="E6" s="18" t="s">
        <v>2534</v>
      </c>
      <c r="F6" s="16" t="str">
        <f>TRIM(_xlfn.TEXTAFTER(E4,":"))</f>
        <v>Único</v>
      </c>
      <c r="G6" s="18" t="s">
        <v>1083</v>
      </c>
      <c r="H6" s="16" t="str">
        <f>TRIM(_xlfn.TEXTAFTER(G4,":"))</f>
        <v>Unique</v>
      </c>
      <c r="I6" s="18" t="s">
        <v>3254</v>
      </c>
      <c r="J6" s="16" t="str">
        <f>TRIM(_xlfn.TEXTAFTER(I4,":"))</f>
        <v>ユニーク</v>
      </c>
      <c r="K6" s="18" t="s">
        <v>4000</v>
      </c>
      <c r="L6" s="16" t="str">
        <f>TRIM(_xlfn.TEXTAFTER(K4,":"))</f>
        <v>고유</v>
      </c>
      <c r="M6" s="18" t="s">
        <v>4728</v>
      </c>
      <c r="N6" s="16" t="str">
        <f>TRIM(_xlfn.TEXTAFTER(M4,":"))</f>
        <v>Único</v>
      </c>
      <c r="O6" s="18" t="s">
        <v>5414</v>
      </c>
      <c r="P6" s="16" t="str">
        <f>TRIM(_xlfn.TEXTAFTER(O4,":"))</f>
        <v>Уникальный</v>
      </c>
      <c r="Q6" s="18" t="s">
        <v>473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474</v>
      </c>
      <c r="B8" s="16" t="str">
        <f>TRIM(_xlfn.TEXTBEFORE(A8,":"))</f>
        <v>Armour</v>
      </c>
      <c r="C8" s="18" t="s">
        <v>1816</v>
      </c>
      <c r="D8" s="16" t="str">
        <f>TRIM(_xlfn.TEXTBEFORE(C8,":"))</f>
        <v>Rüstung</v>
      </c>
      <c r="E8" s="18" t="s">
        <v>2535</v>
      </c>
      <c r="F8" s="16" t="str">
        <f>TRIM(_xlfn.TEXTBEFORE(E8,":"))</f>
        <v>Armadura</v>
      </c>
      <c r="G8" s="18" t="s">
        <v>1084</v>
      </c>
      <c r="H8" s="16" t="str">
        <f>TRIM(_xlfn.TEXTBEFORE(G8,":"))</f>
        <v>Armure</v>
      </c>
      <c r="I8" s="18" t="s">
        <v>3255</v>
      </c>
      <c r="J8" s="16" t="str">
        <f>TRIM(_xlfn.TEXTBEFORE(I8,":"))</f>
        <v>アーマー</v>
      </c>
      <c r="K8" s="18" t="s">
        <v>4001</v>
      </c>
      <c r="L8" s="16" t="str">
        <f>TRIM(_xlfn.TEXTBEFORE(K8,":"))</f>
        <v>방어도</v>
      </c>
      <c r="M8" s="18" t="s">
        <v>2535</v>
      </c>
      <c r="N8" s="16" t="str">
        <f>TRIM(_xlfn.TEXTBEFORE(M8,":"))</f>
        <v>Armadura</v>
      </c>
      <c r="O8" s="18" t="s">
        <v>5415</v>
      </c>
      <c r="P8" s="16" t="str">
        <f>TRIM(_xlfn.TEXTBEFORE(O8,":"))</f>
        <v>Броня</v>
      </c>
      <c r="Q8" s="18" t="s">
        <v>6138</v>
      </c>
      <c r="R8" s="16" t="str">
        <f>TRIM(_xlfn.TEXTBEFORE(Q8,":"))</f>
        <v>ค่าเกราะ</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t="s">
        <v>5212</v>
      </c>
      <c r="P10" s="16"/>
      <c r="Q10" s="18" t="s">
        <v>5957</v>
      </c>
      <c r="R10" s="16"/>
      <c r="S10" s="18"/>
      <c r="T10" s="16"/>
    </row>
    <row r="11" spans="1:20" ht="15.95" customHeight="1" x14ac:dyDescent="0.25">
      <c r="A11" s="18" t="s">
        <v>475</v>
      </c>
      <c r="B11" s="16"/>
      <c r="C11" s="18" t="s">
        <v>1817</v>
      </c>
      <c r="D11" s="16"/>
      <c r="E11" s="18" t="s">
        <v>2536</v>
      </c>
      <c r="F11" s="16"/>
      <c r="G11" s="18" t="s">
        <v>1085</v>
      </c>
      <c r="H11" s="16"/>
      <c r="I11" s="18" t="s">
        <v>3256</v>
      </c>
      <c r="J11" s="16"/>
      <c r="K11" s="18" t="s">
        <v>4002</v>
      </c>
      <c r="L11" s="16"/>
      <c r="M11" s="18" t="s">
        <v>4729</v>
      </c>
      <c r="N11" s="16"/>
      <c r="O11" s="18" t="s">
        <v>5416</v>
      </c>
      <c r="P11" s="16"/>
      <c r="Q11" s="18" t="s">
        <v>6139</v>
      </c>
      <c r="R11" s="16"/>
      <c r="S11" s="18"/>
      <c r="T11" s="16"/>
    </row>
    <row r="12" spans="1:20" ht="15.95" customHeight="1" x14ac:dyDescent="0.25">
      <c r="A12" s="18" t="s">
        <v>476</v>
      </c>
      <c r="B12" s="16"/>
      <c r="C12" s="18" t="s">
        <v>476</v>
      </c>
      <c r="D12" s="16"/>
      <c r="E12" s="18" t="s">
        <v>2367</v>
      </c>
      <c r="F12" s="16"/>
      <c r="G12" s="18" t="s">
        <v>894</v>
      </c>
      <c r="H12" s="16"/>
      <c r="I12" s="18" t="s">
        <v>3081</v>
      </c>
      <c r="J12" s="16"/>
      <c r="K12" s="18" t="s">
        <v>3832</v>
      </c>
      <c r="L12" s="16"/>
      <c r="M12" s="18" t="s">
        <v>894</v>
      </c>
      <c r="N12" s="16"/>
      <c r="O12" s="18" t="s">
        <v>5243</v>
      </c>
      <c r="P12" s="16"/>
      <c r="Q12" s="18" t="s">
        <v>476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404</v>
      </c>
      <c r="B14" s="16"/>
      <c r="C14" s="18" t="s">
        <v>1818</v>
      </c>
      <c r="D14" s="16"/>
      <c r="E14" s="18" t="s">
        <v>2537</v>
      </c>
      <c r="F14" s="16"/>
      <c r="G14" s="18" t="s">
        <v>1086</v>
      </c>
      <c r="H14" s="16"/>
      <c r="I14" s="18" t="s">
        <v>3257</v>
      </c>
      <c r="J14" s="16"/>
      <c r="K14" s="18" t="s">
        <v>4003</v>
      </c>
      <c r="L14" s="16"/>
      <c r="M14" s="18" t="s">
        <v>4730</v>
      </c>
      <c r="N14" s="16"/>
      <c r="O14" s="18" t="s">
        <v>5417</v>
      </c>
      <c r="P14" s="16"/>
      <c r="Q14" s="18" t="s">
        <v>6140</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449</v>
      </c>
      <c r="B16" s="16"/>
      <c r="C16" s="18" t="s">
        <v>1819</v>
      </c>
      <c r="D16" s="16"/>
      <c r="E16" s="18" t="s">
        <v>2538</v>
      </c>
      <c r="F16" s="16"/>
      <c r="G16" s="18" t="s">
        <v>7</v>
      </c>
      <c r="H16" s="16"/>
      <c r="I16" s="18" t="s">
        <v>3258</v>
      </c>
      <c r="J16" s="16"/>
      <c r="K16" s="18" t="s">
        <v>4004</v>
      </c>
      <c r="L16" s="16"/>
      <c r="M16" s="18" t="s">
        <v>4731</v>
      </c>
      <c r="N16" s="16"/>
      <c r="O16" s="18" t="s">
        <v>5418</v>
      </c>
      <c r="P16" s="16"/>
      <c r="Q16" s="18" t="s">
        <v>6141</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477</v>
      </c>
      <c r="B18" s="16"/>
      <c r="C18" s="18" t="s">
        <v>1820</v>
      </c>
      <c r="D18" s="16"/>
      <c r="E18" s="18" t="s">
        <v>2539</v>
      </c>
      <c r="F18" s="16"/>
      <c r="G18" s="18" t="s">
        <v>1087</v>
      </c>
      <c r="H18" s="16"/>
      <c r="I18" s="18" t="s">
        <v>3259</v>
      </c>
      <c r="J18" s="16"/>
      <c r="K18" s="18" t="s">
        <v>4005</v>
      </c>
      <c r="L18" s="16"/>
      <c r="M18" s="18" t="s">
        <v>4732</v>
      </c>
      <c r="N18" s="16"/>
      <c r="O18" s="18" t="s">
        <v>5419</v>
      </c>
      <c r="P18" s="16"/>
      <c r="Q18" s="18" t="s">
        <v>6142</v>
      </c>
      <c r="R18" s="16"/>
      <c r="S18" s="18"/>
      <c r="T18" s="21"/>
    </row>
    <row r="19" spans="1:20" ht="15.95" customHeight="1" x14ac:dyDescent="0.25">
      <c r="A19" s="18" t="s">
        <v>478</v>
      </c>
      <c r="B19" s="16"/>
      <c r="C19" s="18" t="s">
        <v>1821</v>
      </c>
      <c r="D19" s="16"/>
      <c r="E19" s="18" t="s">
        <v>2540</v>
      </c>
      <c r="F19" s="16"/>
      <c r="G19" s="18" t="s">
        <v>1088</v>
      </c>
      <c r="H19" s="16"/>
      <c r="I19" s="18" t="s">
        <v>3260</v>
      </c>
      <c r="J19" s="16"/>
      <c r="K19" s="18" t="s">
        <v>4006</v>
      </c>
      <c r="L19" s="16"/>
      <c r="M19" s="18" t="s">
        <v>4733</v>
      </c>
      <c r="N19" s="16"/>
      <c r="O19" s="18" t="s">
        <v>5420</v>
      </c>
      <c r="P19" s="16"/>
      <c r="Q19" s="18" t="s">
        <v>6143</v>
      </c>
      <c r="R19" s="16"/>
      <c r="S19" s="18"/>
      <c r="T19" s="21"/>
    </row>
    <row r="20" spans="1:20" ht="15.95" customHeight="1" x14ac:dyDescent="0.25">
      <c r="A20" s="18" t="s">
        <v>479</v>
      </c>
      <c r="B20" s="16"/>
      <c r="C20" s="18" t="s">
        <v>1822</v>
      </c>
      <c r="D20" s="16"/>
      <c r="E20" s="18" t="s">
        <v>2541</v>
      </c>
      <c r="F20" s="16"/>
      <c r="G20" s="18" t="s">
        <v>1089</v>
      </c>
      <c r="H20" s="16"/>
      <c r="I20" s="18" t="s">
        <v>3261</v>
      </c>
      <c r="J20" s="16"/>
      <c r="K20" s="18" t="s">
        <v>4007</v>
      </c>
      <c r="L20" s="16"/>
      <c r="M20" s="18" t="s">
        <v>4734</v>
      </c>
      <c r="N20" s="16"/>
      <c r="O20" s="18" t="s">
        <v>5421</v>
      </c>
      <c r="P20" s="16"/>
      <c r="Q20" s="18" t="s">
        <v>6144</v>
      </c>
      <c r="R20" s="16"/>
      <c r="S20" s="18"/>
      <c r="T20" s="21"/>
    </row>
    <row r="21" spans="1:20" ht="15.95" customHeight="1" x14ac:dyDescent="0.25">
      <c r="A21" s="18" t="s">
        <v>480</v>
      </c>
      <c r="B21" s="16"/>
      <c r="C21" s="18" t="s">
        <v>1823</v>
      </c>
      <c r="D21" s="16"/>
      <c r="E21" s="18" t="s">
        <v>2542</v>
      </c>
      <c r="F21" s="16"/>
      <c r="G21" s="18" t="s">
        <v>1090</v>
      </c>
      <c r="H21" s="16"/>
      <c r="I21" s="18" t="s">
        <v>3262</v>
      </c>
      <c r="J21" s="16"/>
      <c r="K21" s="18" t="s">
        <v>4008</v>
      </c>
      <c r="L21" s="16"/>
      <c r="M21" s="18" t="s">
        <v>4735</v>
      </c>
      <c r="N21" s="16"/>
      <c r="O21" s="18" t="s">
        <v>5422</v>
      </c>
      <c r="P21" s="16"/>
      <c r="Q21" s="18" t="s">
        <v>6145</v>
      </c>
      <c r="R21" s="16"/>
      <c r="S21" s="18"/>
      <c r="T21" s="21"/>
    </row>
    <row r="22" spans="1:20" ht="15.95" customHeight="1" x14ac:dyDescent="0.25">
      <c r="A22" s="18" t="s">
        <v>481</v>
      </c>
      <c r="B22" s="16"/>
      <c r="C22" s="18" t="s">
        <v>1824</v>
      </c>
      <c r="D22" s="16"/>
      <c r="E22" s="18" t="s">
        <v>2543</v>
      </c>
      <c r="F22" s="16"/>
      <c r="G22" s="18" t="s">
        <v>1091</v>
      </c>
      <c r="H22" s="16"/>
      <c r="I22" s="18" t="s">
        <v>3263</v>
      </c>
      <c r="J22" s="16"/>
      <c r="K22" s="18" t="s">
        <v>4009</v>
      </c>
      <c r="L22" s="16"/>
      <c r="M22" s="18" t="s">
        <v>4736</v>
      </c>
      <c r="N22" s="16"/>
      <c r="O22" s="18" t="s">
        <v>5423</v>
      </c>
      <c r="P22" s="16"/>
      <c r="Q22" s="18" t="s">
        <v>6146</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482</v>
      </c>
      <c r="B24" s="16"/>
      <c r="C24" s="18" t="s">
        <v>1825</v>
      </c>
      <c r="D24" s="16"/>
      <c r="E24" s="18" t="s">
        <v>2544</v>
      </c>
      <c r="F24" s="16"/>
      <c r="G24" s="18" t="s">
        <v>1092</v>
      </c>
      <c r="H24" s="16"/>
      <c r="I24" s="18" t="s">
        <v>3264</v>
      </c>
      <c r="J24" s="16"/>
      <c r="K24" s="18" t="s">
        <v>4010</v>
      </c>
      <c r="L24" s="16"/>
      <c r="M24" s="18" t="s">
        <v>4737</v>
      </c>
      <c r="N24" s="16"/>
      <c r="O24" s="18" t="s">
        <v>5424</v>
      </c>
      <c r="P24" s="16"/>
      <c r="Q24" s="18" t="s">
        <v>6147</v>
      </c>
      <c r="R24" s="16"/>
      <c r="S24" s="18"/>
      <c r="T24" s="21"/>
    </row>
    <row r="25" spans="1:20" ht="15.95" customHeight="1" x14ac:dyDescent="0.25">
      <c r="A25" s="18" t="s">
        <v>483</v>
      </c>
      <c r="B25" s="16"/>
      <c r="C25" s="18" t="s">
        <v>1826</v>
      </c>
      <c r="D25" s="16"/>
      <c r="E25" s="18" t="s">
        <v>2545</v>
      </c>
      <c r="F25" s="16"/>
      <c r="G25" s="18" t="s">
        <v>1093</v>
      </c>
      <c r="H25" s="16"/>
      <c r="I25" s="18" t="s">
        <v>3265</v>
      </c>
      <c r="J25" s="16"/>
      <c r="K25" s="18" t="s">
        <v>4011</v>
      </c>
      <c r="L25" s="16"/>
      <c r="M25" s="18" t="s">
        <v>4738</v>
      </c>
      <c r="N25" s="16"/>
      <c r="O25" s="18" t="s">
        <v>5425</v>
      </c>
      <c r="P25" s="16"/>
      <c r="Q25" s="18" t="s">
        <v>6148</v>
      </c>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1" priority="22" stopIfTrue="1">
      <formula>NOT(ISERROR(A3))</formula>
    </cfRule>
  </conditionalFormatting>
  <conditionalFormatting sqref="A3:T7 A8 C8 E8 G8 I8 K8 M8 O8 Q8 S8 A9:T51">
    <cfRule type="notContainsBlanks" dxfId="220" priority="23">
      <formula>LEN(TRIM(A3))&gt;0</formula>
    </cfRule>
  </conditionalFormatting>
  <conditionalFormatting sqref="A3:T51">
    <cfRule type="containsErrors" dxfId="219" priority="1" stopIfTrue="1">
      <formula>ISERROR(A3)</formula>
    </cfRule>
  </conditionalFormatting>
  <conditionalFormatting sqref="B8">
    <cfRule type="notContainsBlanks" dxfId="218" priority="20">
      <formula>LEN(TRIM(B8))&gt;0</formula>
    </cfRule>
  </conditionalFormatting>
  <conditionalFormatting sqref="D8">
    <cfRule type="notContainsBlanks" dxfId="217" priority="18">
      <formula>LEN(TRIM(D8))&gt;0</formula>
    </cfRule>
  </conditionalFormatting>
  <conditionalFormatting sqref="F8">
    <cfRule type="notContainsBlanks" dxfId="216" priority="16">
      <formula>LEN(TRIM(F8))&gt;0</formula>
    </cfRule>
  </conditionalFormatting>
  <conditionalFormatting sqref="H8">
    <cfRule type="notContainsBlanks" dxfId="215" priority="14">
      <formula>LEN(TRIM(H8))&gt;0</formula>
    </cfRule>
  </conditionalFormatting>
  <conditionalFormatting sqref="J8">
    <cfRule type="notContainsBlanks" dxfId="214" priority="12">
      <formula>LEN(TRIM(J8))&gt;0</formula>
    </cfRule>
  </conditionalFormatting>
  <conditionalFormatting sqref="L8">
    <cfRule type="notContainsBlanks" dxfId="213" priority="10">
      <formula>LEN(TRIM(L8))&gt;0</formula>
    </cfRule>
  </conditionalFormatting>
  <conditionalFormatting sqref="N8">
    <cfRule type="notContainsBlanks" dxfId="212" priority="8">
      <formula>LEN(TRIM(N8))&gt;0</formula>
    </cfRule>
  </conditionalFormatting>
  <conditionalFormatting sqref="P8">
    <cfRule type="notContainsBlanks" dxfId="211" priority="6">
      <formula>LEN(TRIM(P8))&gt;0</formula>
    </cfRule>
  </conditionalFormatting>
  <conditionalFormatting sqref="R8">
    <cfRule type="notContainsBlanks" dxfId="210" priority="4">
      <formula>LEN(TRIM(R8))&gt;0</formula>
    </cfRule>
  </conditionalFormatting>
  <conditionalFormatting sqref="T8">
    <cfRule type="notContainsBlanks" dxfId="209" priority="2">
      <formula>LEN(TRIM(T8))&gt;0</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dimension ref="A1:T51"/>
  <sheetViews>
    <sheetView workbookViewId="0">
      <selection activeCell="Q3" sqref="Q3:Q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456</v>
      </c>
      <c r="B3" s="16" t="str">
        <f>TRIM(_xlfn.TEXTBEFORE(A3, ":"))</f>
        <v>Item Class</v>
      </c>
      <c r="C3" s="17" t="s">
        <v>1827</v>
      </c>
      <c r="D3" s="16" t="str">
        <f>TRIM(_xlfn.TEXTBEFORE(C3, ":"))</f>
        <v>Gegenstandsklasse</v>
      </c>
      <c r="E3" s="17" t="s">
        <v>2546</v>
      </c>
      <c r="F3" s="16" t="str">
        <f>TRIM(_xlfn.TEXTBEFORE(E3, ":"))</f>
        <v>Clase de objeto</v>
      </c>
      <c r="G3" s="17" t="s">
        <v>1094</v>
      </c>
      <c r="H3" s="16" t="str">
        <f>TRIM(_xlfn.TEXTBEFORE(G3, ":"))</f>
        <v>Classe d'objet</v>
      </c>
      <c r="I3" s="17" t="s">
        <v>3266</v>
      </c>
      <c r="J3" s="16" t="str">
        <f>TRIM(_xlfn.TEXTBEFORE(I3, ":"))</f>
        <v>アイテムクラス</v>
      </c>
      <c r="K3" s="17" t="s">
        <v>4012</v>
      </c>
      <c r="L3" s="16" t="str">
        <f>TRIM(_xlfn.TEXTBEFORE(K3, ":"))</f>
        <v>아이템 종류</v>
      </c>
      <c r="M3" s="17" t="s">
        <v>4739</v>
      </c>
      <c r="N3" s="16" t="str">
        <f>TRIM(_xlfn.TEXTBEFORE(M3, ":"))</f>
        <v>Classe do Item</v>
      </c>
      <c r="O3" s="17" t="s">
        <v>5426</v>
      </c>
      <c r="P3" s="16" t="str">
        <f>TRIM(_xlfn.TEXTBEFORE(O3, ":"))</f>
        <v>Класс предмета</v>
      </c>
      <c r="Q3" s="17" t="s">
        <v>6149</v>
      </c>
      <c r="R3" s="16" t="str">
        <f>TRIM(_xlfn.TEXTBEFORE(Q3, ":"))</f>
        <v>ชนิดไอเทม</v>
      </c>
      <c r="S3" s="17"/>
      <c r="T3" s="16" t="e">
        <f>TRIM(_xlfn.TEXTBEFORE(S3, ":"))</f>
        <v>#N/A</v>
      </c>
    </row>
    <row r="4" spans="1:20" ht="15.95" customHeight="1" x14ac:dyDescent="0.25">
      <c r="A4" s="18" t="s">
        <v>109</v>
      </c>
      <c r="B4" s="16" t="str">
        <f>TRIM(_xlfn.TEXTAFTER(A3, ":"))</f>
        <v>Body Armours</v>
      </c>
      <c r="C4" s="18" t="s">
        <v>1672</v>
      </c>
      <c r="D4" s="16" t="str">
        <f>TRIM(_xlfn.TEXTAFTER(C3, ":"))</f>
        <v>Körperrüstungen</v>
      </c>
      <c r="E4" s="18" t="s">
        <v>2392</v>
      </c>
      <c r="F4" s="16" t="str">
        <f>TRIM(_xlfn.TEXTAFTER(E3, ":"))</f>
        <v>Armaduras corporales</v>
      </c>
      <c r="G4" s="18" t="s">
        <v>1</v>
      </c>
      <c r="H4" s="16" t="str">
        <f>TRIM(_xlfn.TEXTAFTER(G3, ":"))</f>
        <v>Armures</v>
      </c>
      <c r="I4" s="18" t="s">
        <v>3107</v>
      </c>
      <c r="J4" s="16" t="str">
        <f>TRIM(_xlfn.TEXTAFTER(I3, ":"))</f>
        <v>鎧</v>
      </c>
      <c r="K4" s="18" t="s">
        <v>3857</v>
      </c>
      <c r="L4" s="16" t="str">
        <f>TRIM(_xlfn.TEXTAFTER(K3, ":"))</f>
        <v>갑옷</v>
      </c>
      <c r="M4" s="18" t="s">
        <v>4586</v>
      </c>
      <c r="N4" s="16" t="str">
        <f>TRIM(_xlfn.TEXTAFTER(M3, ":"))</f>
        <v>Peitorais</v>
      </c>
      <c r="O4" s="18" t="s">
        <v>5269</v>
      </c>
      <c r="P4" s="16" t="str">
        <f>TRIM(_xlfn.TEXTAFTER(O3, ":"))</f>
        <v>Доспехи</v>
      </c>
      <c r="Q4" s="18" t="s">
        <v>6006</v>
      </c>
      <c r="R4" s="16" t="str">
        <f>TRIM(_xlfn.TEXTAFTER(Q3, ":"))</f>
        <v>เสื้อเกราะ</v>
      </c>
      <c r="S4" s="18"/>
      <c r="T4" s="16" t="e">
        <f>TRIM(_xlfn.TEXTAFTER(S3, ":"))</f>
        <v>#N/A</v>
      </c>
    </row>
    <row r="5" spans="1:20" ht="15.95" customHeight="1" x14ac:dyDescent="0.25">
      <c r="A5" s="18" t="s">
        <v>457</v>
      </c>
      <c r="B5" s="16" t="str">
        <f>TRIM(_xlfn.TEXTBEFORE(A4, ":"))</f>
        <v>Rarity</v>
      </c>
      <c r="C5" s="18" t="s">
        <v>1828</v>
      </c>
      <c r="D5" s="16" t="str">
        <f>TRIM(_xlfn.TEXTBEFORE(C4, ":"))</f>
        <v>Seltenheit</v>
      </c>
      <c r="E5" s="18" t="s">
        <v>2547</v>
      </c>
      <c r="F5" s="16" t="str">
        <f>TRIM(_xlfn.TEXTBEFORE(E4, ":"))</f>
        <v>Rareza</v>
      </c>
      <c r="G5" s="18" t="s">
        <v>1095</v>
      </c>
      <c r="H5" s="16" t="str">
        <f>TRIM(_xlfn.TEXTBEFORE(G4, ":"))</f>
        <v>Rareté</v>
      </c>
      <c r="I5" s="18" t="s">
        <v>3267</v>
      </c>
      <c r="J5" s="16" t="str">
        <f>TRIM(_xlfn.TEXTBEFORE(I4, ":"))</f>
        <v>レアリティ</v>
      </c>
      <c r="K5" s="18" t="s">
        <v>4013</v>
      </c>
      <c r="L5" s="16" t="str">
        <f>TRIM(_xlfn.TEXTBEFORE(K4, ":"))</f>
        <v>아이템 희귀도</v>
      </c>
      <c r="M5" s="18" t="s">
        <v>4740</v>
      </c>
      <c r="N5" s="16" t="str">
        <f>TRIM(_xlfn.TEXTBEFORE(M4, ":"))</f>
        <v>Raridade</v>
      </c>
      <c r="O5" s="18" t="s">
        <v>5427</v>
      </c>
      <c r="P5" s="16" t="str">
        <f>TRIM(_xlfn.TEXTBEFORE(O4, ":"))</f>
        <v>Редкость</v>
      </c>
      <c r="Q5" s="18" t="s">
        <v>457</v>
      </c>
      <c r="R5" s="16" t="str">
        <f>TRIM(_xlfn.TEXTBEFORE(Q4, ":"))</f>
        <v>ความหายาก</v>
      </c>
      <c r="S5" s="18"/>
      <c r="T5" s="16" t="e">
        <f>TRIM(_xlfn.TEXTBEFORE(S4, ":"))</f>
        <v>#N/A</v>
      </c>
    </row>
    <row r="6" spans="1:20" ht="15.95" customHeight="1" x14ac:dyDescent="0.25">
      <c r="A6" s="18" t="s">
        <v>458</v>
      </c>
      <c r="B6" s="16" t="str">
        <f>TRIM(_xlfn.TEXTAFTER(A4,":"))</f>
        <v>Unique</v>
      </c>
      <c r="C6" s="18" t="s">
        <v>1829</v>
      </c>
      <c r="D6" s="16" t="str">
        <f>TRIM(_xlfn.TEXTAFTER(C4,":"))</f>
        <v>Einzigartig</v>
      </c>
      <c r="E6" s="18" t="s">
        <v>2548</v>
      </c>
      <c r="F6" s="16" t="str">
        <f>TRIM(_xlfn.TEXTAFTER(E4,":"))</f>
        <v>Único</v>
      </c>
      <c r="G6" s="18" t="s">
        <v>1096</v>
      </c>
      <c r="H6" s="16" t="str">
        <f>TRIM(_xlfn.TEXTAFTER(G4,":"))</f>
        <v>Unique</v>
      </c>
      <c r="I6" s="18" t="s">
        <v>3268</v>
      </c>
      <c r="J6" s="16" t="str">
        <f>TRIM(_xlfn.TEXTAFTER(I4,":"))</f>
        <v>ユニーク</v>
      </c>
      <c r="K6" s="18" t="s">
        <v>4014</v>
      </c>
      <c r="L6" s="16" t="str">
        <f>TRIM(_xlfn.TEXTAFTER(K4,":"))</f>
        <v>고유</v>
      </c>
      <c r="M6" s="18" t="s">
        <v>4741</v>
      </c>
      <c r="N6" s="16" t="str">
        <f>TRIM(_xlfn.TEXTAFTER(M4,":"))</f>
        <v>Único</v>
      </c>
      <c r="O6" s="18" t="s">
        <v>5428</v>
      </c>
      <c r="P6" s="16" t="str">
        <f>TRIM(_xlfn.TEXTAFTER(O4,":"))</f>
        <v>Уникальный</v>
      </c>
      <c r="Q6" s="18" t="s">
        <v>458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459</v>
      </c>
      <c r="B8" s="16" t="str">
        <f>TRIM(_xlfn.TEXTBEFORE(A8,":"))</f>
        <v>Evasion Rating</v>
      </c>
      <c r="C8" s="18" t="s">
        <v>1830</v>
      </c>
      <c r="D8" s="16" t="str">
        <f>TRIM(_xlfn.TEXTBEFORE(C8,":"))</f>
        <v>Ausweichwert</v>
      </c>
      <c r="E8" s="18" t="s">
        <v>2549</v>
      </c>
      <c r="F8" s="16" t="str">
        <f>TRIM(_xlfn.TEXTBEFORE(E8,":"))</f>
        <v>Evasión</v>
      </c>
      <c r="G8" s="18" t="s">
        <v>1097</v>
      </c>
      <c r="H8" s="16" t="str">
        <f>TRIM(_xlfn.TEXTBEFORE(G8,":"))</f>
        <v>Score d'Évasion</v>
      </c>
      <c r="I8" s="18" t="s">
        <v>3269</v>
      </c>
      <c r="J8" s="16" t="str">
        <f>TRIM(_xlfn.TEXTBEFORE(I8,":"))</f>
        <v>回避力</v>
      </c>
      <c r="K8" s="18" t="s">
        <v>4015</v>
      </c>
      <c r="L8" s="16" t="str">
        <f>TRIM(_xlfn.TEXTBEFORE(K8,":"))</f>
        <v>회피</v>
      </c>
      <c r="M8" s="18" t="s">
        <v>4742</v>
      </c>
      <c r="N8" s="16" t="str">
        <f>TRIM(_xlfn.TEXTBEFORE(M8,":"))</f>
        <v>Evasão</v>
      </c>
      <c r="O8" s="18" t="s">
        <v>5429</v>
      </c>
      <c r="P8" s="16" t="str">
        <f>TRIM(_xlfn.TEXTBEFORE(O8,":"))</f>
        <v>Уклонение</v>
      </c>
      <c r="Q8" s="18" t="s">
        <v>6150</v>
      </c>
      <c r="R8" s="16" t="str">
        <f>TRIM(_xlfn.TEXTBEFORE(Q8,":"))</f>
        <v>อัตราการหลบหลีก</v>
      </c>
      <c r="S8" s="18"/>
      <c r="T8" s="16" t="e">
        <f>TRIM(_xlfn.TEXTBEFORE(S8,":"))</f>
        <v>#N/A</v>
      </c>
    </row>
    <row r="9" spans="1:20" ht="15.95" customHeight="1" x14ac:dyDescent="0.25">
      <c r="A9" s="18" t="s">
        <v>460</v>
      </c>
      <c r="B9" s="16" t="str">
        <f>TRIM(_xlfn.TEXTBEFORE(A9,":"))</f>
        <v>Energy Shield</v>
      </c>
      <c r="C9" s="18" t="s">
        <v>1831</v>
      </c>
      <c r="D9" s="16" t="str">
        <f>TRIM(_xlfn.TEXTBEFORE(C9,":"))</f>
        <v>Energieschild</v>
      </c>
      <c r="E9" s="18" t="s">
        <v>2550</v>
      </c>
      <c r="F9" s="16" t="str">
        <f>TRIM(_xlfn.TEXTBEFORE(E9,":"))</f>
        <v>Escudo de energía</v>
      </c>
      <c r="G9" s="18" t="s">
        <v>1098</v>
      </c>
      <c r="H9" s="16" t="str">
        <f>TRIM(_xlfn.TEXTBEFORE(G9,":"))</f>
        <v>Bouclier d'énergie</v>
      </c>
      <c r="I9" s="18" t="s">
        <v>3270</v>
      </c>
      <c r="J9" s="16" t="str">
        <f>TRIM(_xlfn.TEXTBEFORE(I9,":"))</f>
        <v>エナジーシールド</v>
      </c>
      <c r="K9" s="18" t="s">
        <v>4016</v>
      </c>
      <c r="L9" s="16" t="str">
        <f>TRIM(_xlfn.TEXTBEFORE(K9,":"))</f>
        <v>에너지 보호막</v>
      </c>
      <c r="M9" s="18" t="s">
        <v>4743</v>
      </c>
      <c r="N9" s="16" t="str">
        <f>TRIM(_xlfn.TEXTBEFORE(M9,":"))</f>
        <v>Escudo de Energia</v>
      </c>
      <c r="O9" s="18" t="s">
        <v>5430</v>
      </c>
      <c r="P9" s="16" t="str">
        <f>TRIM(_xlfn.TEXTBEFORE(O9,":"))</f>
        <v>Энерг. щит</v>
      </c>
      <c r="Q9" s="18" t="s">
        <v>6151</v>
      </c>
      <c r="R9" s="16" t="str">
        <f>TRIM(_xlfn.TEXTBEFORE(Q9,":"))</f>
        <v>โล่พลังงาน</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110</v>
      </c>
      <c r="B11" s="16"/>
      <c r="C11" s="18" t="s">
        <v>1618</v>
      </c>
      <c r="D11" s="16"/>
      <c r="E11" s="18" t="s">
        <v>2337</v>
      </c>
      <c r="F11" s="16"/>
      <c r="G11" s="18" t="s">
        <v>5</v>
      </c>
      <c r="H11" s="16"/>
      <c r="I11" s="18" t="s">
        <v>3047</v>
      </c>
      <c r="J11" s="16"/>
      <c r="K11" s="18" t="s">
        <v>3801</v>
      </c>
      <c r="L11" s="16"/>
      <c r="M11" s="18" t="s">
        <v>2337</v>
      </c>
      <c r="N11" s="16"/>
      <c r="O11" s="18" t="s">
        <v>5212</v>
      </c>
      <c r="P11" s="16"/>
      <c r="Q11" s="18" t="s">
        <v>5957</v>
      </c>
      <c r="R11" s="16"/>
      <c r="S11" s="18"/>
      <c r="T11" s="16"/>
    </row>
    <row r="12" spans="1:20" ht="15.95" customHeight="1" x14ac:dyDescent="0.25">
      <c r="A12" s="18" t="s">
        <v>136</v>
      </c>
      <c r="B12" s="16"/>
      <c r="C12" s="18" t="s">
        <v>1619</v>
      </c>
      <c r="D12" s="16"/>
      <c r="E12" s="18" t="s">
        <v>2366</v>
      </c>
      <c r="F12" s="16"/>
      <c r="G12" s="18" t="s">
        <v>893</v>
      </c>
      <c r="H12" s="16"/>
      <c r="I12" s="18" t="s">
        <v>3080</v>
      </c>
      <c r="J12" s="16"/>
      <c r="K12" s="18" t="s">
        <v>3831</v>
      </c>
      <c r="L12" s="16"/>
      <c r="M12" s="18" t="s">
        <v>4559</v>
      </c>
      <c r="N12" s="16"/>
      <c r="O12" s="18" t="s">
        <v>5242</v>
      </c>
      <c r="P12" s="16"/>
      <c r="Q12" s="18" t="s">
        <v>5984</v>
      </c>
      <c r="R12" s="16"/>
      <c r="S12" s="18"/>
      <c r="T12" s="21"/>
    </row>
    <row r="13" spans="1:20" ht="15.95" customHeight="1" x14ac:dyDescent="0.25">
      <c r="A13" s="18" t="s">
        <v>258</v>
      </c>
      <c r="B13" s="16"/>
      <c r="C13" s="18" t="s">
        <v>1832</v>
      </c>
      <c r="D13" s="16"/>
      <c r="E13" s="18" t="s">
        <v>2551</v>
      </c>
      <c r="F13" s="16"/>
      <c r="G13" s="18" t="s">
        <v>258</v>
      </c>
      <c r="H13" s="16"/>
      <c r="I13" s="18" t="s">
        <v>3271</v>
      </c>
      <c r="J13" s="16"/>
      <c r="K13" s="18" t="s">
        <v>4017</v>
      </c>
      <c r="L13" s="16"/>
      <c r="M13" s="18" t="s">
        <v>2551</v>
      </c>
      <c r="N13" s="16"/>
      <c r="O13" s="18" t="s">
        <v>5431</v>
      </c>
      <c r="P13" s="16"/>
      <c r="Q13" s="18" t="s">
        <v>258</v>
      </c>
      <c r="R13" s="16"/>
      <c r="S13" s="18"/>
      <c r="T13" s="21"/>
    </row>
    <row r="14" spans="1:20" ht="15.95" customHeight="1" x14ac:dyDescent="0.25">
      <c r="A14" s="18" t="s">
        <v>461</v>
      </c>
      <c r="B14" s="16"/>
      <c r="C14" s="18" t="s">
        <v>461</v>
      </c>
      <c r="D14" s="16"/>
      <c r="E14" s="18" t="s">
        <v>461</v>
      </c>
      <c r="F14" s="16"/>
      <c r="G14" s="18" t="s">
        <v>461</v>
      </c>
      <c r="H14" s="16"/>
      <c r="I14" s="18" t="s">
        <v>3272</v>
      </c>
      <c r="J14" s="16"/>
      <c r="K14" s="18" t="s">
        <v>4018</v>
      </c>
      <c r="L14" s="16"/>
      <c r="M14" s="18" t="s">
        <v>461</v>
      </c>
      <c r="N14" s="16"/>
      <c r="O14" s="18" t="s">
        <v>5432</v>
      </c>
      <c r="P14" s="16"/>
      <c r="Q14" s="18" t="s">
        <v>461</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387</v>
      </c>
      <c r="B16" s="16"/>
      <c r="C16" s="18" t="s">
        <v>1833</v>
      </c>
      <c r="D16" s="16"/>
      <c r="E16" s="18" t="s">
        <v>2552</v>
      </c>
      <c r="F16" s="16"/>
      <c r="G16" s="18" t="s">
        <v>1099</v>
      </c>
      <c r="H16" s="16"/>
      <c r="I16" s="18" t="s">
        <v>3273</v>
      </c>
      <c r="J16" s="16"/>
      <c r="K16" s="18" t="s">
        <v>4019</v>
      </c>
      <c r="L16" s="16"/>
      <c r="M16" s="18" t="s">
        <v>4744</v>
      </c>
      <c r="N16" s="16"/>
      <c r="O16" s="18" t="s">
        <v>5433</v>
      </c>
      <c r="P16" s="16"/>
      <c r="Q16" s="18" t="s">
        <v>6152</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462</v>
      </c>
      <c r="B18" s="16"/>
      <c r="C18" s="18" t="s">
        <v>1728</v>
      </c>
      <c r="D18" s="16"/>
      <c r="E18" s="18" t="s">
        <v>2447</v>
      </c>
      <c r="F18" s="16"/>
      <c r="G18" s="18" t="s">
        <v>996</v>
      </c>
      <c r="H18" s="16"/>
      <c r="I18" s="18" t="s">
        <v>3165</v>
      </c>
      <c r="J18" s="16"/>
      <c r="K18" s="18" t="s">
        <v>3912</v>
      </c>
      <c r="L18" s="16"/>
      <c r="M18" s="18" t="s">
        <v>4641</v>
      </c>
      <c r="N18" s="16"/>
      <c r="O18" s="18" t="s">
        <v>5326</v>
      </c>
      <c r="P18" s="16"/>
      <c r="Q18" s="18" t="s">
        <v>6059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463</v>
      </c>
      <c r="B20" s="16"/>
      <c r="C20" s="18" t="s">
        <v>1834</v>
      </c>
      <c r="D20" s="16"/>
      <c r="E20" s="18" t="s">
        <v>2553</v>
      </c>
      <c r="F20" s="16"/>
      <c r="G20" s="18" t="s">
        <v>1100</v>
      </c>
      <c r="H20" s="16"/>
      <c r="I20" s="18" t="s">
        <v>3274</v>
      </c>
      <c r="J20" s="16"/>
      <c r="K20" s="18" t="s">
        <v>4020</v>
      </c>
      <c r="L20" s="16"/>
      <c r="M20" s="18" t="s">
        <v>4745</v>
      </c>
      <c r="N20" s="16"/>
      <c r="O20" s="18" t="s">
        <v>5434</v>
      </c>
      <c r="P20" s="16"/>
      <c r="Q20" s="18" t="s">
        <v>6153</v>
      </c>
      <c r="R20" s="16"/>
      <c r="S20" s="18"/>
      <c r="T20" s="21"/>
    </row>
    <row r="21" spans="1:20" ht="15.95" customHeight="1" x14ac:dyDescent="0.25">
      <c r="A21" s="18" t="s">
        <v>464</v>
      </c>
      <c r="B21" s="16"/>
      <c r="C21" s="18" t="s">
        <v>1835</v>
      </c>
      <c r="D21" s="16"/>
      <c r="E21" s="18" t="s">
        <v>2554</v>
      </c>
      <c r="F21" s="16"/>
      <c r="G21" s="18" t="s">
        <v>1101</v>
      </c>
      <c r="H21" s="16"/>
      <c r="I21" s="18" t="s">
        <v>3275</v>
      </c>
      <c r="J21" s="16"/>
      <c r="K21" s="18" t="s">
        <v>4021</v>
      </c>
      <c r="L21" s="16"/>
      <c r="M21" s="18" t="s">
        <v>4746</v>
      </c>
      <c r="N21" s="16"/>
      <c r="O21" s="18" t="s">
        <v>5435</v>
      </c>
      <c r="P21" s="16"/>
      <c r="Q21" s="18" t="s">
        <v>6154</v>
      </c>
      <c r="R21" s="16"/>
      <c r="S21" s="18"/>
      <c r="T21" s="21"/>
    </row>
    <row r="22" spans="1:20" ht="15.95" customHeight="1" x14ac:dyDescent="0.25">
      <c r="A22" s="18" t="s">
        <v>465</v>
      </c>
      <c r="B22" s="16"/>
      <c r="C22" s="18" t="s">
        <v>1836</v>
      </c>
      <c r="D22" s="16"/>
      <c r="E22" s="18" t="s">
        <v>2555</v>
      </c>
      <c r="F22" s="16"/>
      <c r="G22" s="18" t="s">
        <v>1102</v>
      </c>
      <c r="H22" s="16"/>
      <c r="I22" s="18" t="s">
        <v>3276</v>
      </c>
      <c r="J22" s="16"/>
      <c r="K22" s="18" t="s">
        <v>4022</v>
      </c>
      <c r="L22" s="16"/>
      <c r="M22" s="18" t="s">
        <v>4747</v>
      </c>
      <c r="N22" s="16"/>
      <c r="O22" s="18" t="s">
        <v>5436</v>
      </c>
      <c r="P22" s="16"/>
      <c r="Q22" s="18" t="s">
        <v>6155</v>
      </c>
      <c r="R22" s="16"/>
      <c r="S22" s="18"/>
      <c r="T22" s="21"/>
    </row>
    <row r="23" spans="1:20" ht="15.95" customHeight="1" x14ac:dyDescent="0.25">
      <c r="A23" s="18" t="s">
        <v>466</v>
      </c>
      <c r="B23" s="16"/>
      <c r="C23" s="18" t="s">
        <v>1837</v>
      </c>
      <c r="D23" s="16"/>
      <c r="E23" s="18" t="s">
        <v>2556</v>
      </c>
      <c r="F23" s="16"/>
      <c r="G23" s="18" t="s">
        <v>1103</v>
      </c>
      <c r="H23" s="16"/>
      <c r="I23" s="18" t="s">
        <v>3277</v>
      </c>
      <c r="J23" s="16"/>
      <c r="K23" s="18" t="s">
        <v>4023</v>
      </c>
      <c r="L23" s="16"/>
      <c r="M23" s="18" t="s">
        <v>4748</v>
      </c>
      <c r="N23" s="16"/>
      <c r="O23" s="18" t="s">
        <v>5437</v>
      </c>
      <c r="P23" s="16"/>
      <c r="Q23" s="18" t="s">
        <v>6156</v>
      </c>
      <c r="R23" s="16"/>
      <c r="S23" s="18"/>
      <c r="T23" s="21"/>
    </row>
    <row r="24" spans="1:20" ht="15.95" customHeight="1" x14ac:dyDescent="0.25">
      <c r="A24" s="18" t="s">
        <v>467</v>
      </c>
      <c r="B24" s="16"/>
      <c r="C24" s="18" t="s">
        <v>1838</v>
      </c>
      <c r="D24" s="16"/>
      <c r="E24" s="18" t="s">
        <v>2557</v>
      </c>
      <c r="F24" s="16"/>
      <c r="G24" s="18" t="s">
        <v>1104</v>
      </c>
      <c r="H24" s="16"/>
      <c r="I24" s="18" t="s">
        <v>3278</v>
      </c>
      <c r="J24" s="16"/>
      <c r="K24" s="18" t="s">
        <v>4024</v>
      </c>
      <c r="L24" s="16"/>
      <c r="M24" s="18" t="s">
        <v>4749</v>
      </c>
      <c r="N24" s="16"/>
      <c r="O24" s="18" t="s">
        <v>5438</v>
      </c>
      <c r="P24" s="16"/>
      <c r="Q24" s="18" t="s">
        <v>6157</v>
      </c>
      <c r="R24" s="16"/>
      <c r="S24" s="18"/>
      <c r="T24" s="21"/>
    </row>
    <row r="25" spans="1:20" ht="15.95" customHeight="1" x14ac:dyDescent="0.25">
      <c r="A25" s="18" t="s">
        <v>468</v>
      </c>
      <c r="B25" s="16"/>
      <c r="C25" s="18" t="s">
        <v>1839</v>
      </c>
      <c r="D25" s="16"/>
      <c r="E25" s="18" t="s">
        <v>2558</v>
      </c>
      <c r="F25" s="16"/>
      <c r="G25" s="18" t="s">
        <v>468</v>
      </c>
      <c r="H25" s="16"/>
      <c r="I25" s="18" t="s">
        <v>3279</v>
      </c>
      <c r="J25" s="16"/>
      <c r="K25" s="18" t="s">
        <v>4025</v>
      </c>
      <c r="L25" s="16"/>
      <c r="M25" s="18" t="s">
        <v>4750</v>
      </c>
      <c r="N25" s="16"/>
      <c r="O25" s="18" t="s">
        <v>5439</v>
      </c>
      <c r="P25" s="16"/>
      <c r="Q25" s="18" t="s">
        <v>6158</v>
      </c>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5.95" customHeight="1" x14ac:dyDescent="0.25">
      <c r="A27" s="18" t="s">
        <v>469</v>
      </c>
      <c r="B27" s="16"/>
      <c r="C27" s="18" t="s">
        <v>1840</v>
      </c>
      <c r="D27" s="16"/>
      <c r="E27" s="18" t="s">
        <v>2559</v>
      </c>
      <c r="F27" s="16"/>
      <c r="G27" s="18" t="s">
        <v>1105</v>
      </c>
      <c r="H27" s="16"/>
      <c r="I27" s="18" t="s">
        <v>3280</v>
      </c>
      <c r="J27" s="16"/>
      <c r="K27" s="18" t="s">
        <v>4026</v>
      </c>
      <c r="L27" s="16"/>
      <c r="M27" s="18" t="s">
        <v>4751</v>
      </c>
      <c r="N27" s="16"/>
      <c r="O27" s="18" t="s">
        <v>5440</v>
      </c>
      <c r="P27" s="16"/>
      <c r="Q27" s="18" t="s">
        <v>6159</v>
      </c>
      <c r="R27" s="16"/>
      <c r="S27" s="18"/>
      <c r="T27" s="21"/>
    </row>
    <row r="28" spans="1:20" ht="15.95" customHeight="1" x14ac:dyDescent="0.25">
      <c r="A28" s="18" t="s">
        <v>470</v>
      </c>
      <c r="B28" s="16"/>
      <c r="C28" s="18" t="s">
        <v>1841</v>
      </c>
      <c r="D28" s="16"/>
      <c r="E28" s="18" t="e" cm="1">
        <f t="array" ref="E28">- Diario de Malígaro</f>
        <v>#NAME?</v>
      </c>
      <c r="F28" s="16"/>
      <c r="G28" s="18" t="s">
        <v>1106</v>
      </c>
      <c r="H28" s="16"/>
      <c r="I28" s="18" t="s">
        <v>3281</v>
      </c>
      <c r="J28" s="16"/>
      <c r="K28" s="18" t="s">
        <v>4027</v>
      </c>
      <c r="L28" s="16"/>
      <c r="M28" s="18" t="e" cm="1">
        <f t="array" ref="M28">- Diário de Maligaro</f>
        <v>#NAME?</v>
      </c>
      <c r="N28" s="16"/>
      <c r="O28" s="18" t="s">
        <v>5441</v>
      </c>
      <c r="P28" s="16"/>
      <c r="Q28" s="18" t="e" cm="1">
        <f t="array" ref="Q28">- บันทึก​ของ​มาลิกาโร</f>
        <v>#NAME?</v>
      </c>
      <c r="R28" s="16"/>
      <c r="S28" s="18"/>
      <c r="T28" s="21"/>
    </row>
    <row r="29" spans="1:20" ht="15.95" customHeight="1" x14ac:dyDescent="0.25">
      <c r="A29" s="18"/>
      <c r="B29" s="16"/>
      <c r="C29" s="18"/>
      <c r="D29" s="16"/>
      <c r="E29" s="18"/>
      <c r="F29" s="16"/>
      <c r="G29" s="18" t="s">
        <v>1107</v>
      </c>
      <c r="H29" s="16"/>
      <c r="I29" s="18" t="s">
        <v>3282</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8" priority="42" stopIfTrue="1">
      <formula>NOT(ISERROR(A3))</formula>
    </cfRule>
  </conditionalFormatting>
  <conditionalFormatting sqref="A3:T7 A8:A9 C8:C9 E8:E9 G8:G9 I8:I9 K8:K9 M8:M9 O8:O9 Q8:Q9 S8:S9 A10:T51">
    <cfRule type="notContainsBlanks" dxfId="207" priority="43">
      <formula>LEN(TRIM(A3))&gt;0</formula>
    </cfRule>
  </conditionalFormatting>
  <conditionalFormatting sqref="A3:T51">
    <cfRule type="containsErrors" dxfId="206" priority="1" stopIfTrue="1">
      <formula>ISERROR(A3)</formula>
    </cfRule>
  </conditionalFormatting>
  <conditionalFormatting sqref="B8:B9">
    <cfRule type="notContainsBlanks" dxfId="205" priority="38">
      <formula>LEN(TRIM(B8))&gt;0</formula>
    </cfRule>
  </conditionalFormatting>
  <conditionalFormatting sqref="D8:D9">
    <cfRule type="notContainsBlanks" dxfId="204" priority="34">
      <formula>LEN(TRIM(D8))&gt;0</formula>
    </cfRule>
  </conditionalFormatting>
  <conditionalFormatting sqref="F8:F9">
    <cfRule type="notContainsBlanks" dxfId="203" priority="30">
      <formula>LEN(TRIM(F8))&gt;0</formula>
    </cfRule>
  </conditionalFormatting>
  <conditionalFormatting sqref="H8:H9">
    <cfRule type="notContainsBlanks" dxfId="202" priority="26">
      <formula>LEN(TRIM(H8))&gt;0</formula>
    </cfRule>
  </conditionalFormatting>
  <conditionalFormatting sqref="J8:J9">
    <cfRule type="notContainsBlanks" dxfId="201" priority="22">
      <formula>LEN(TRIM(J8))&gt;0</formula>
    </cfRule>
  </conditionalFormatting>
  <conditionalFormatting sqref="L8:L9">
    <cfRule type="notContainsBlanks" dxfId="200" priority="18">
      <formula>LEN(TRIM(L8))&gt;0</formula>
    </cfRule>
  </conditionalFormatting>
  <conditionalFormatting sqref="N8:N9">
    <cfRule type="notContainsBlanks" dxfId="199" priority="14">
      <formula>LEN(TRIM(N8))&gt;0</formula>
    </cfRule>
  </conditionalFormatting>
  <conditionalFormatting sqref="P8:P9">
    <cfRule type="notContainsBlanks" dxfId="198" priority="10">
      <formula>LEN(TRIM(P8))&gt;0</formula>
    </cfRule>
  </conditionalFormatting>
  <conditionalFormatting sqref="R8:R9">
    <cfRule type="notContainsBlanks" dxfId="197" priority="6">
      <formula>LEN(TRIM(R8))&gt;0</formula>
    </cfRule>
  </conditionalFormatting>
  <conditionalFormatting sqref="T8:T9">
    <cfRule type="notContainsBlanks" dxfId="196" priority="2">
      <formula>LEN(TRIM(T8))&gt;0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dimension ref="A1:T51"/>
  <sheetViews>
    <sheetView workbookViewId="0">
      <selection activeCell="Q3" sqref="Q3:Q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484</v>
      </c>
      <c r="B3" s="16" t="str">
        <f>TRIM(_xlfn.TEXTBEFORE(A3, ":"))</f>
        <v>Item Class</v>
      </c>
      <c r="C3" s="17" t="s">
        <v>1842</v>
      </c>
      <c r="D3" s="16" t="str">
        <f>TRIM(_xlfn.TEXTBEFORE(C3, ":"))</f>
        <v>Gegenstandsklasse</v>
      </c>
      <c r="E3" s="17" t="s">
        <v>2560</v>
      </c>
      <c r="F3" s="16" t="str">
        <f>TRIM(_xlfn.TEXTBEFORE(E3, ":"))</f>
        <v>Clase de objeto</v>
      </c>
      <c r="G3" s="17" t="s">
        <v>1108</v>
      </c>
      <c r="H3" s="16" t="str">
        <f>TRIM(_xlfn.TEXTBEFORE(G3, ":"))</f>
        <v>Classe d'objet</v>
      </c>
      <c r="I3" s="17" t="s">
        <v>3283</v>
      </c>
      <c r="J3" s="16" t="str">
        <f>TRIM(_xlfn.TEXTBEFORE(I3, ":"))</f>
        <v>アイテムクラス</v>
      </c>
      <c r="K3" s="17" t="s">
        <v>4028</v>
      </c>
      <c r="L3" s="16" t="str">
        <f>TRIM(_xlfn.TEXTBEFORE(K3, ":"))</f>
        <v>아이템 종류</v>
      </c>
      <c r="M3" s="17" t="s">
        <v>4752</v>
      </c>
      <c r="N3" s="16" t="str">
        <f>TRIM(_xlfn.TEXTBEFORE(M3, ":"))</f>
        <v>Classe do Item</v>
      </c>
      <c r="O3" s="17" t="s">
        <v>5442</v>
      </c>
      <c r="P3" s="16" t="str">
        <f>TRIM(_xlfn.TEXTBEFORE(O3, ":"))</f>
        <v>Класс предмета</v>
      </c>
      <c r="Q3" s="17" t="s">
        <v>6160</v>
      </c>
      <c r="R3" s="16" t="str">
        <f>TRIM(_xlfn.TEXTBEFORE(Q3, ":"))</f>
        <v>ชนิดไอเทม</v>
      </c>
      <c r="S3" s="17"/>
      <c r="T3" s="16" t="e">
        <f>TRIM(_xlfn.TEXTBEFORE(S3, ":"))</f>
        <v>#N/A</v>
      </c>
    </row>
    <row r="4" spans="1:20" ht="15.95" customHeight="1" x14ac:dyDescent="0.25">
      <c r="A4" s="18" t="s">
        <v>109</v>
      </c>
      <c r="B4" s="16" t="str">
        <f>TRIM(_xlfn.TEXTAFTER(A3, ":"))</f>
        <v>Shields</v>
      </c>
      <c r="C4" s="18" t="s">
        <v>1672</v>
      </c>
      <c r="D4" s="16" t="str">
        <f>TRIM(_xlfn.TEXTAFTER(C3, ":"))</f>
        <v>Schilde</v>
      </c>
      <c r="E4" s="18" t="s">
        <v>2392</v>
      </c>
      <c r="F4" s="16" t="str">
        <f>TRIM(_xlfn.TEXTAFTER(E3, ":"))</f>
        <v>Escudos</v>
      </c>
      <c r="G4" s="18" t="s">
        <v>1</v>
      </c>
      <c r="H4" s="16" t="str">
        <f>TRIM(_xlfn.TEXTAFTER(G3, ":"))</f>
        <v>Boucliers</v>
      </c>
      <c r="I4" s="18" t="s">
        <v>3107</v>
      </c>
      <c r="J4" s="16" t="str">
        <f>TRIM(_xlfn.TEXTAFTER(I3, ":"))</f>
        <v>盾</v>
      </c>
      <c r="K4" s="18" t="s">
        <v>3857</v>
      </c>
      <c r="L4" s="16" t="str">
        <f>TRIM(_xlfn.TEXTAFTER(K3, ":"))</f>
        <v>방패</v>
      </c>
      <c r="M4" s="18" t="s">
        <v>4586</v>
      </c>
      <c r="N4" s="16" t="str">
        <f>TRIM(_xlfn.TEXTAFTER(M3, ":"))</f>
        <v>Escudos</v>
      </c>
      <c r="O4" s="18" t="s">
        <v>5269</v>
      </c>
      <c r="P4" s="16" t="str">
        <f>TRIM(_xlfn.TEXTAFTER(O3, ":"))</f>
        <v>Щиты</v>
      </c>
      <c r="Q4" s="18" t="s">
        <v>6006</v>
      </c>
      <c r="R4" s="16" t="str">
        <f>TRIM(_xlfn.TEXTAFTER(Q3, ":"))</f>
        <v>โล่</v>
      </c>
      <c r="S4" s="18"/>
      <c r="T4" s="16" t="e">
        <f>TRIM(_xlfn.TEXTAFTER(S3, ":"))</f>
        <v>#N/A</v>
      </c>
    </row>
    <row r="5" spans="1:20" ht="15.95" customHeight="1" x14ac:dyDescent="0.25">
      <c r="A5" s="18" t="s">
        <v>485</v>
      </c>
      <c r="B5" s="16" t="str">
        <f>TRIM(_xlfn.TEXTBEFORE(A4, ":"))</f>
        <v>Rarity</v>
      </c>
      <c r="C5" s="18" t="s">
        <v>1843</v>
      </c>
      <c r="D5" s="16" t="str">
        <f>TRIM(_xlfn.TEXTBEFORE(C4, ":"))</f>
        <v>Seltenheit</v>
      </c>
      <c r="E5" s="18" t="s">
        <v>2561</v>
      </c>
      <c r="F5" s="16" t="str">
        <f>TRIM(_xlfn.TEXTBEFORE(E4, ":"))</f>
        <v>Rareza</v>
      </c>
      <c r="G5" s="18" t="s">
        <v>1109</v>
      </c>
      <c r="H5" s="16" t="str">
        <f>TRIM(_xlfn.TEXTBEFORE(G4, ":"))</f>
        <v>Rareté</v>
      </c>
      <c r="I5" s="18" t="s">
        <v>3284</v>
      </c>
      <c r="J5" s="16" t="str">
        <f>TRIM(_xlfn.TEXTBEFORE(I4, ":"))</f>
        <v>レアリティ</v>
      </c>
      <c r="K5" s="18" t="s">
        <v>4029</v>
      </c>
      <c r="L5" s="16" t="str">
        <f>TRIM(_xlfn.TEXTBEFORE(K4, ":"))</f>
        <v>아이템 희귀도</v>
      </c>
      <c r="M5" s="18" t="s">
        <v>4753</v>
      </c>
      <c r="N5" s="16" t="str">
        <f>TRIM(_xlfn.TEXTBEFORE(M4, ":"))</f>
        <v>Raridade</v>
      </c>
      <c r="O5" s="18" t="s">
        <v>5443</v>
      </c>
      <c r="P5" s="16" t="str">
        <f>TRIM(_xlfn.TEXTBEFORE(O4, ":"))</f>
        <v>Редкость</v>
      </c>
      <c r="Q5" s="18" t="s">
        <v>485</v>
      </c>
      <c r="R5" s="16" t="str">
        <f>TRIM(_xlfn.TEXTBEFORE(Q4, ":"))</f>
        <v>ความหายาก</v>
      </c>
      <c r="S5" s="18"/>
      <c r="T5" s="16" t="e">
        <f>TRIM(_xlfn.TEXTBEFORE(S4, ":"))</f>
        <v>#N/A</v>
      </c>
    </row>
    <row r="6" spans="1:20" ht="15.95" customHeight="1" x14ac:dyDescent="0.25">
      <c r="A6" s="18" t="s">
        <v>486</v>
      </c>
      <c r="B6" s="16" t="str">
        <f>TRIM(_xlfn.TEXTAFTER(A4,":"))</f>
        <v>Unique</v>
      </c>
      <c r="C6" s="18" t="s">
        <v>1844</v>
      </c>
      <c r="D6" s="16" t="str">
        <f>TRIM(_xlfn.TEXTAFTER(C4,":"))</f>
        <v>Einzigartig</v>
      </c>
      <c r="E6" s="18" t="s">
        <v>2562</v>
      </c>
      <c r="F6" s="16" t="str">
        <f>TRIM(_xlfn.TEXTAFTER(E4,":"))</f>
        <v>Único</v>
      </c>
      <c r="G6" s="18" t="s">
        <v>1110</v>
      </c>
      <c r="H6" s="16" t="str">
        <f>TRIM(_xlfn.TEXTAFTER(G4,":"))</f>
        <v>Unique</v>
      </c>
      <c r="I6" s="18" t="s">
        <v>3285</v>
      </c>
      <c r="J6" s="16" t="str">
        <f>TRIM(_xlfn.TEXTAFTER(I4,":"))</f>
        <v>ユニーク</v>
      </c>
      <c r="K6" s="18" t="s">
        <v>4030</v>
      </c>
      <c r="L6" s="16" t="str">
        <f>TRIM(_xlfn.TEXTAFTER(K4,":"))</f>
        <v>고유</v>
      </c>
      <c r="M6" s="18" t="s">
        <v>4754</v>
      </c>
      <c r="N6" s="16" t="str">
        <f>TRIM(_xlfn.TEXTAFTER(M4,":"))</f>
        <v>Único</v>
      </c>
      <c r="O6" s="18" t="s">
        <v>5444</v>
      </c>
      <c r="P6" s="16" t="str">
        <f>TRIM(_xlfn.TEXTAFTER(O4,":"))</f>
        <v>Уникальный</v>
      </c>
      <c r="Q6" s="18" t="s">
        <v>486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487</v>
      </c>
      <c r="B8" s="16" t="str">
        <f>TRIM(_xlfn.TEXTBEFORE(A8,":"))</f>
        <v>Chance to Block</v>
      </c>
      <c r="C8" s="18" t="s">
        <v>1845</v>
      </c>
      <c r="D8" s="16" t="str">
        <f>TRIM(_xlfn.TEXTBEFORE(C8,":"))</f>
        <v>Chance auf Blocken</v>
      </c>
      <c r="E8" s="18" t="s">
        <v>2563</v>
      </c>
      <c r="F8" s="16" t="str">
        <f>TRIM(_xlfn.TEXTBEFORE(E8,":"))</f>
        <v>Probabilidad de bloqueo</v>
      </c>
      <c r="G8" s="18" t="s">
        <v>1111</v>
      </c>
      <c r="H8" s="16" t="str">
        <f>TRIM(_xlfn.TEXTBEFORE(G8,":"))</f>
        <v>Chances de blocage</v>
      </c>
      <c r="I8" s="18" t="s">
        <v>3286</v>
      </c>
      <c r="J8" s="16" t="str">
        <f>TRIM(_xlfn.TEXTBEFORE(I8,":"))</f>
        <v>ブロック率</v>
      </c>
      <c r="K8" s="18" t="s">
        <v>4031</v>
      </c>
      <c r="L8" s="16" t="str">
        <f>TRIM(_xlfn.TEXTBEFORE(K8,":"))</f>
        <v>막기 확률</v>
      </c>
      <c r="M8" s="18" t="s">
        <v>4755</v>
      </c>
      <c r="N8" s="16" t="str">
        <f>TRIM(_xlfn.TEXTBEFORE(M8,":"))</f>
        <v>Chance de Bloquear</v>
      </c>
      <c r="O8" s="18" t="s">
        <v>5445</v>
      </c>
      <c r="P8" s="16" t="str">
        <f>TRIM(_xlfn.TEXTBEFORE(O8,":"))</f>
        <v>Шанс заблокировать удар</v>
      </c>
      <c r="Q8" s="18" t="s">
        <v>6161</v>
      </c>
      <c r="R8" s="16" t="str">
        <f>TRIM(_xlfn.TEXTBEFORE(Q8,":"))</f>
        <v>โอกาสบล็อค</v>
      </c>
      <c r="S8" s="18"/>
      <c r="T8" s="16" t="e">
        <f>TRIM(_xlfn.TEXTBEFORE(S8,":"))</f>
        <v>#N/A</v>
      </c>
    </row>
    <row r="9" spans="1:20" ht="15.95" customHeight="1" x14ac:dyDescent="0.25">
      <c r="A9" s="18" t="s">
        <v>488</v>
      </c>
      <c r="B9" s="16"/>
      <c r="C9" s="18" t="s">
        <v>1846</v>
      </c>
      <c r="D9" s="16"/>
      <c r="E9" s="18" t="s">
        <v>2564</v>
      </c>
      <c r="F9" s="16"/>
      <c r="G9" s="18" t="s">
        <v>1112</v>
      </c>
      <c r="H9" s="16"/>
      <c r="I9" s="18" t="s">
        <v>3287</v>
      </c>
      <c r="J9" s="16"/>
      <c r="K9" s="18" t="s">
        <v>4032</v>
      </c>
      <c r="L9" s="16"/>
      <c r="M9" s="18" t="s">
        <v>4756</v>
      </c>
      <c r="N9" s="16"/>
      <c r="O9" s="18" t="s">
        <v>5446</v>
      </c>
      <c r="P9" s="16"/>
      <c r="Q9" s="18" t="s">
        <v>6162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110</v>
      </c>
      <c r="B11" s="16"/>
      <c r="C11" s="18" t="s">
        <v>1618</v>
      </c>
      <c r="D11" s="16"/>
      <c r="E11" s="18" t="s">
        <v>2337</v>
      </c>
      <c r="F11" s="16"/>
      <c r="G11" s="18" t="s">
        <v>5</v>
      </c>
      <c r="H11" s="16"/>
      <c r="I11" s="18" t="s">
        <v>3047</v>
      </c>
      <c r="J11" s="16"/>
      <c r="K11" s="18" t="s">
        <v>3801</v>
      </c>
      <c r="L11" s="16"/>
      <c r="M11" s="18" t="s">
        <v>2337</v>
      </c>
      <c r="N11" s="16"/>
      <c r="O11" s="18" t="s">
        <v>5212</v>
      </c>
      <c r="P11" s="16"/>
      <c r="Q11" s="18" t="s">
        <v>5957</v>
      </c>
      <c r="R11" s="16"/>
      <c r="S11" s="18"/>
      <c r="T11" s="16"/>
    </row>
    <row r="12" spans="1:20" ht="15.95" customHeight="1" x14ac:dyDescent="0.25">
      <c r="A12" s="18" t="s">
        <v>475</v>
      </c>
      <c r="B12" s="16"/>
      <c r="C12" s="18" t="s">
        <v>1817</v>
      </c>
      <c r="D12" s="16"/>
      <c r="E12" s="18" t="s">
        <v>2536</v>
      </c>
      <c r="F12" s="16"/>
      <c r="G12" s="18" t="s">
        <v>1085</v>
      </c>
      <c r="H12" s="16"/>
      <c r="I12" s="18" t="s">
        <v>3256</v>
      </c>
      <c r="J12" s="16"/>
      <c r="K12" s="18" t="s">
        <v>4002</v>
      </c>
      <c r="L12" s="16"/>
      <c r="M12" s="18" t="s">
        <v>4729</v>
      </c>
      <c r="N12" s="16"/>
      <c r="O12" s="18" t="s">
        <v>5416</v>
      </c>
      <c r="P12" s="16"/>
      <c r="Q12" s="18" t="s">
        <v>6139</v>
      </c>
      <c r="R12" s="16"/>
      <c r="S12" s="18"/>
      <c r="T12" s="21"/>
    </row>
    <row r="13" spans="1:20" ht="15.95" customHeight="1" x14ac:dyDescent="0.25">
      <c r="A13" s="18" t="s">
        <v>489</v>
      </c>
      <c r="B13" s="16"/>
      <c r="C13" s="18" t="s">
        <v>1847</v>
      </c>
      <c r="D13" s="16"/>
      <c r="E13" s="18" t="s">
        <v>2565</v>
      </c>
      <c r="F13" s="16"/>
      <c r="G13" s="18" t="s">
        <v>489</v>
      </c>
      <c r="H13" s="16"/>
      <c r="I13" s="18" t="s">
        <v>3288</v>
      </c>
      <c r="J13" s="16"/>
      <c r="K13" s="18" t="s">
        <v>4033</v>
      </c>
      <c r="L13" s="16"/>
      <c r="M13" s="18" t="s">
        <v>2565</v>
      </c>
      <c r="N13" s="16"/>
      <c r="O13" s="18" t="s">
        <v>5447</v>
      </c>
      <c r="P13" s="16"/>
      <c r="Q13" s="18" t="s">
        <v>489</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320</v>
      </c>
      <c r="B15" s="16"/>
      <c r="C15" s="18" t="s">
        <v>1848</v>
      </c>
      <c r="D15" s="16"/>
      <c r="E15" s="18" t="s">
        <v>2566</v>
      </c>
      <c r="F15" s="16"/>
      <c r="G15" s="18" t="s">
        <v>1113</v>
      </c>
      <c r="H15" s="16"/>
      <c r="I15" s="18" t="s">
        <v>3289</v>
      </c>
      <c r="J15" s="16"/>
      <c r="K15" s="18" t="s">
        <v>4034</v>
      </c>
      <c r="L15" s="16"/>
      <c r="M15" s="18" t="s">
        <v>4757</v>
      </c>
      <c r="N15" s="16"/>
      <c r="O15" s="18" t="s">
        <v>5448</v>
      </c>
      <c r="P15" s="16"/>
      <c r="Q15" s="18" t="s">
        <v>6163</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283</v>
      </c>
      <c r="B17" s="16"/>
      <c r="C17" s="18" t="s">
        <v>1759</v>
      </c>
      <c r="D17" s="16"/>
      <c r="E17" s="18" t="s">
        <v>2478</v>
      </c>
      <c r="F17" s="16"/>
      <c r="G17" s="18" t="s">
        <v>1027</v>
      </c>
      <c r="H17" s="16"/>
      <c r="I17" s="18" t="s">
        <v>3196</v>
      </c>
      <c r="J17" s="16"/>
      <c r="K17" s="18" t="s">
        <v>3943</v>
      </c>
      <c r="L17" s="16"/>
      <c r="M17" s="18" t="s">
        <v>4672</v>
      </c>
      <c r="N17" s="16"/>
      <c r="O17" s="18" t="s">
        <v>5357</v>
      </c>
      <c r="P17" s="16"/>
      <c r="Q17" s="18" t="s">
        <v>6089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490</v>
      </c>
      <c r="B19" s="16"/>
      <c r="C19" s="18" t="s">
        <v>1849</v>
      </c>
      <c r="D19" s="16"/>
      <c r="E19" s="18" t="s">
        <v>2567</v>
      </c>
      <c r="F19" s="16"/>
      <c r="G19" s="18" t="s">
        <v>1114</v>
      </c>
      <c r="H19" s="16"/>
      <c r="I19" s="18" t="s">
        <v>3290</v>
      </c>
      <c r="J19" s="16"/>
      <c r="K19" s="18" t="s">
        <v>4035</v>
      </c>
      <c r="L19" s="16"/>
      <c r="M19" s="18" t="s">
        <v>4758</v>
      </c>
      <c r="N19" s="16"/>
      <c r="O19" s="18" t="s">
        <v>5449</v>
      </c>
      <c r="P19" s="16"/>
      <c r="Q19" s="18" t="s">
        <v>6164</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491</v>
      </c>
      <c r="B21" s="16"/>
      <c r="C21" s="18" t="s">
        <v>1850</v>
      </c>
      <c r="D21" s="16"/>
      <c r="E21" s="18" t="s">
        <v>2568</v>
      </c>
      <c r="F21" s="16"/>
      <c r="G21" s="18" t="s">
        <v>1115</v>
      </c>
      <c r="H21" s="16"/>
      <c r="I21" s="18" t="s">
        <v>3291</v>
      </c>
      <c r="J21" s="16"/>
      <c r="K21" s="18" t="s">
        <v>4036</v>
      </c>
      <c r="L21" s="16"/>
      <c r="M21" s="18" t="s">
        <v>4759</v>
      </c>
      <c r="N21" s="16"/>
      <c r="O21" s="18" t="s">
        <v>5450</v>
      </c>
      <c r="P21" s="16"/>
      <c r="Q21" s="18" t="s">
        <v>6165</v>
      </c>
      <c r="R21" s="16"/>
      <c r="S21" s="18"/>
      <c r="T21" s="21"/>
    </row>
    <row r="22" spans="1:20" ht="15.95" customHeight="1" x14ac:dyDescent="0.25">
      <c r="A22" s="18" t="s">
        <v>266</v>
      </c>
      <c r="B22" s="16"/>
      <c r="C22" s="18" t="s">
        <v>1851</v>
      </c>
      <c r="D22" s="16"/>
      <c r="E22" s="18" t="s">
        <v>2569</v>
      </c>
      <c r="F22" s="16"/>
      <c r="G22" s="18" t="s">
        <v>1116</v>
      </c>
      <c r="H22" s="16"/>
      <c r="I22" s="18" t="s">
        <v>3292</v>
      </c>
      <c r="J22" s="16"/>
      <c r="K22" s="18" t="s">
        <v>4037</v>
      </c>
      <c r="L22" s="16"/>
      <c r="M22" s="18" t="s">
        <v>4760</v>
      </c>
      <c r="N22" s="16"/>
      <c r="O22" s="18" t="s">
        <v>5451</v>
      </c>
      <c r="P22" s="16"/>
      <c r="Q22" s="18" t="s">
        <v>6166</v>
      </c>
      <c r="R22" s="16"/>
      <c r="S22" s="18"/>
      <c r="T22" s="21"/>
    </row>
    <row r="23" spans="1:20" ht="15.95" customHeight="1" x14ac:dyDescent="0.25">
      <c r="A23" s="18" t="s">
        <v>492</v>
      </c>
      <c r="B23" s="16"/>
      <c r="C23" s="18" t="s">
        <v>1852</v>
      </c>
      <c r="D23" s="16"/>
      <c r="E23" s="18" t="s">
        <v>2570</v>
      </c>
      <c r="F23" s="16"/>
      <c r="G23" s="18" t="s">
        <v>1117</v>
      </c>
      <c r="H23" s="16"/>
      <c r="I23" s="18" t="s">
        <v>3293</v>
      </c>
      <c r="J23" s="16"/>
      <c r="K23" s="18" t="s">
        <v>4038</v>
      </c>
      <c r="L23" s="16"/>
      <c r="M23" s="18" t="s">
        <v>4761</v>
      </c>
      <c r="N23" s="16"/>
      <c r="O23" s="18" t="s">
        <v>5452</v>
      </c>
      <c r="P23" s="16"/>
      <c r="Q23" s="18" t="s">
        <v>6167</v>
      </c>
      <c r="R23" s="16"/>
      <c r="S23" s="18"/>
      <c r="T23" s="21"/>
    </row>
    <row r="24" spans="1:20" ht="15.95" customHeight="1" x14ac:dyDescent="0.25">
      <c r="A24" s="18" t="s">
        <v>493</v>
      </c>
      <c r="B24" s="16"/>
      <c r="C24" s="18" t="s">
        <v>1853</v>
      </c>
      <c r="D24" s="16"/>
      <c r="E24" s="18" t="s">
        <v>2571</v>
      </c>
      <c r="F24" s="16"/>
      <c r="G24" s="18" t="s">
        <v>1118</v>
      </c>
      <c r="H24" s="16"/>
      <c r="I24" s="18" t="s">
        <v>3294</v>
      </c>
      <c r="J24" s="16"/>
      <c r="K24" s="18" t="s">
        <v>4039</v>
      </c>
      <c r="L24" s="16"/>
      <c r="M24" s="18" t="s">
        <v>4762</v>
      </c>
      <c r="N24" s="16"/>
      <c r="O24" s="18" t="s">
        <v>5453</v>
      </c>
      <c r="P24" s="16"/>
      <c r="Q24" s="18" t="s">
        <v>6168</v>
      </c>
      <c r="R24" s="16"/>
      <c r="S24" s="18"/>
      <c r="T24" s="21"/>
    </row>
    <row r="25" spans="1:20" ht="15.95" customHeight="1" x14ac:dyDescent="0.25">
      <c r="A25" s="18" t="s">
        <v>494</v>
      </c>
      <c r="B25" s="16"/>
      <c r="C25" s="18" t="s">
        <v>1854</v>
      </c>
      <c r="D25" s="16"/>
      <c r="E25" s="18" t="s">
        <v>2572</v>
      </c>
      <c r="F25" s="16"/>
      <c r="G25" s="18" t="s">
        <v>1119</v>
      </c>
      <c r="H25" s="16"/>
      <c r="I25" s="18" t="s">
        <v>3295</v>
      </c>
      <c r="J25" s="16"/>
      <c r="K25" s="18" t="s">
        <v>4040</v>
      </c>
      <c r="L25" s="16"/>
      <c r="M25" s="18" t="s">
        <v>4763</v>
      </c>
      <c r="N25" s="16"/>
      <c r="O25" s="18" t="s">
        <v>5454</v>
      </c>
      <c r="P25" s="16"/>
      <c r="Q25" s="18" t="s">
        <v>6169</v>
      </c>
      <c r="R25" s="16"/>
      <c r="S25" s="18"/>
      <c r="T25" s="21"/>
    </row>
    <row r="26" spans="1:20" ht="15.95" customHeight="1" x14ac:dyDescent="0.25">
      <c r="A26" s="18" t="s">
        <v>495</v>
      </c>
      <c r="B26" s="16"/>
      <c r="C26" s="18" t="s">
        <v>1855</v>
      </c>
      <c r="D26" s="16"/>
      <c r="E26" s="18" t="s">
        <v>2573</v>
      </c>
      <c r="F26" s="16"/>
      <c r="G26" s="18" t="s">
        <v>1120</v>
      </c>
      <c r="H26" s="16"/>
      <c r="I26" s="18" t="s">
        <v>3296</v>
      </c>
      <c r="J26" s="16"/>
      <c r="K26" s="18" t="s">
        <v>4041</v>
      </c>
      <c r="L26" s="16"/>
      <c r="M26" s="18" t="s">
        <v>4764</v>
      </c>
      <c r="N26" s="16"/>
      <c r="O26" s="18" t="s">
        <v>5455</v>
      </c>
      <c r="P26" s="16"/>
      <c r="Q26" s="18" t="s">
        <v>6170</v>
      </c>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5.95" customHeight="1" x14ac:dyDescent="0.25">
      <c r="A28" s="18" t="s">
        <v>496</v>
      </c>
      <c r="B28" s="16"/>
      <c r="C28" s="18" t="s">
        <v>1856</v>
      </c>
      <c r="D28" s="16"/>
      <c r="E28" s="18" t="s">
        <v>2574</v>
      </c>
      <c r="F28" s="16"/>
      <c r="G28" s="18" t="s">
        <v>1121</v>
      </c>
      <c r="H28" s="16"/>
      <c r="I28" s="18" t="s">
        <v>3297</v>
      </c>
      <c r="J28" s="16"/>
      <c r="K28" s="18" t="s">
        <v>4042</v>
      </c>
      <c r="L28" s="16"/>
      <c r="M28" s="18" t="s">
        <v>4765</v>
      </c>
      <c r="N28" s="16"/>
      <c r="O28" s="18" t="s">
        <v>5456</v>
      </c>
      <c r="P28" s="16"/>
      <c r="Q28" s="18" t="s">
        <v>6171</v>
      </c>
      <c r="R28" s="16"/>
      <c r="S28" s="18"/>
      <c r="T28" s="21"/>
    </row>
    <row r="29" spans="1:20" ht="15.95" customHeight="1" x14ac:dyDescent="0.25">
      <c r="A29" s="18" t="s">
        <v>497</v>
      </c>
      <c r="B29" s="16"/>
      <c r="C29" s="18" t="s">
        <v>1857</v>
      </c>
      <c r="D29" s="16"/>
      <c r="E29" s="18" t="s">
        <v>2575</v>
      </c>
      <c r="F29" s="16"/>
      <c r="G29" s="18" t="s">
        <v>1122</v>
      </c>
      <c r="H29" s="16"/>
      <c r="I29" s="18" t="s">
        <v>3298</v>
      </c>
      <c r="J29" s="16"/>
      <c r="K29" s="18" t="s">
        <v>4043</v>
      </c>
      <c r="L29" s="16"/>
      <c r="M29" s="18" t="s">
        <v>4766</v>
      </c>
      <c r="N29" s="16"/>
      <c r="O29" s="18" t="s">
        <v>5457</v>
      </c>
      <c r="P29" s="16"/>
      <c r="Q29" s="18" t="s">
        <v>6172</v>
      </c>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5" priority="22" stopIfTrue="1">
      <formula>NOT(ISERROR(A3))</formula>
    </cfRule>
  </conditionalFormatting>
  <conditionalFormatting sqref="A3:T7 A8 C8 E8 G8 I8 K8 M8 O8 Q8 S8 A9:T51">
    <cfRule type="notContainsBlanks" dxfId="194" priority="23">
      <formula>LEN(TRIM(A3))&gt;0</formula>
    </cfRule>
  </conditionalFormatting>
  <conditionalFormatting sqref="A3:T51">
    <cfRule type="containsErrors" dxfId="193" priority="1" stopIfTrue="1">
      <formula>ISERROR(A3)</formula>
    </cfRule>
  </conditionalFormatting>
  <conditionalFormatting sqref="B8">
    <cfRule type="notContainsBlanks" dxfId="192" priority="20">
      <formula>LEN(TRIM(B8))&gt;0</formula>
    </cfRule>
  </conditionalFormatting>
  <conditionalFormatting sqref="D8">
    <cfRule type="notContainsBlanks" dxfId="191" priority="18">
      <formula>LEN(TRIM(D8))&gt;0</formula>
    </cfRule>
  </conditionalFormatting>
  <conditionalFormatting sqref="F8">
    <cfRule type="notContainsBlanks" dxfId="190" priority="16">
      <formula>LEN(TRIM(F8))&gt;0</formula>
    </cfRule>
  </conditionalFormatting>
  <conditionalFormatting sqref="H8">
    <cfRule type="notContainsBlanks" dxfId="189" priority="14">
      <formula>LEN(TRIM(H8))&gt;0</formula>
    </cfRule>
  </conditionalFormatting>
  <conditionalFormatting sqref="J8">
    <cfRule type="notContainsBlanks" dxfId="188" priority="12">
      <formula>LEN(TRIM(J8))&gt;0</formula>
    </cfRule>
  </conditionalFormatting>
  <conditionalFormatting sqref="L8">
    <cfRule type="notContainsBlanks" dxfId="187" priority="10">
      <formula>LEN(TRIM(L8))&gt;0</formula>
    </cfRule>
  </conditionalFormatting>
  <conditionalFormatting sqref="N8">
    <cfRule type="notContainsBlanks" dxfId="186" priority="8">
      <formula>LEN(TRIM(N8))&gt;0</formula>
    </cfRule>
  </conditionalFormatting>
  <conditionalFormatting sqref="P8">
    <cfRule type="notContainsBlanks" dxfId="185" priority="6">
      <formula>LEN(TRIM(P8))&gt;0</formula>
    </cfRule>
  </conditionalFormatting>
  <conditionalFormatting sqref="R8">
    <cfRule type="notContainsBlanks" dxfId="184" priority="4">
      <formula>LEN(TRIM(R8))&gt;0</formula>
    </cfRule>
  </conditionalFormatting>
  <conditionalFormatting sqref="T8">
    <cfRule type="notContainsBlanks" dxfId="183" priority="2">
      <formula>LEN(TRIM(T8))&gt;0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149</v>
      </c>
      <c r="B3" s="16" t="str">
        <f>TRIM(_xlfn.TEXTBEFORE(A3, ":"))</f>
        <v>Item Class</v>
      </c>
      <c r="C3" s="17" t="s">
        <v>1858</v>
      </c>
      <c r="D3" s="16" t="str">
        <f>TRIM(_xlfn.TEXTBEFORE(C3, ":"))</f>
        <v>Gegenstandsklasse</v>
      </c>
      <c r="E3" s="17" t="s">
        <v>2576</v>
      </c>
      <c r="F3" s="16" t="str">
        <f>TRIM(_xlfn.TEXTBEFORE(E3, ":"))</f>
        <v>Clase de objeto</v>
      </c>
      <c r="G3" s="17" t="s">
        <v>1123</v>
      </c>
      <c r="H3" s="16" t="str">
        <f>TRIM(_xlfn.TEXTBEFORE(G3, ":"))</f>
        <v>Classe d'objet</v>
      </c>
      <c r="I3" s="17" t="s">
        <v>3299</v>
      </c>
      <c r="J3" s="16" t="str">
        <f>TRIM(_xlfn.TEXTBEFORE(I3, ":"))</f>
        <v>アイテムクラス</v>
      </c>
      <c r="K3" s="17" t="s">
        <v>4044</v>
      </c>
      <c r="L3" s="16" t="str">
        <f>TRIM(_xlfn.TEXTBEFORE(K3, ":"))</f>
        <v>아이템 종류</v>
      </c>
      <c r="M3" s="17" t="s">
        <v>4767</v>
      </c>
      <c r="N3" s="16" t="str">
        <f>TRIM(_xlfn.TEXTBEFORE(M3, ":"))</f>
        <v>Classe do Item</v>
      </c>
      <c r="O3" s="17" t="s">
        <v>5458</v>
      </c>
      <c r="P3" s="16" t="str">
        <f>TRIM(_xlfn.TEXTBEFORE(O3, ":"))</f>
        <v>Класс предмета</v>
      </c>
      <c r="Q3" s="17" t="s">
        <v>6173</v>
      </c>
      <c r="R3" s="16" t="str">
        <f>TRIM(_xlfn.TEXTBEFORE(Q3, ":"))</f>
        <v>ชนิดไอเทม</v>
      </c>
      <c r="S3" s="17"/>
      <c r="T3" s="16" t="e">
        <f>TRIM(_xlfn.TEXTBEFORE(S3, ":"))</f>
        <v>#N/A</v>
      </c>
    </row>
    <row r="4" spans="1:20" ht="15.95" customHeight="1" x14ac:dyDescent="0.25">
      <c r="A4" s="18" t="s">
        <v>109</v>
      </c>
      <c r="B4" s="16" t="str">
        <f>TRIM(_xlfn.TEXTAFTER(A3, ":"))</f>
        <v>Rune Daggers</v>
      </c>
      <c r="C4" s="18" t="s">
        <v>1672</v>
      </c>
      <c r="D4" s="16" t="str">
        <f>TRIM(_xlfn.TEXTAFTER(C3, ":"))</f>
        <v>Runendolche</v>
      </c>
      <c r="E4" s="18" t="s">
        <v>2392</v>
      </c>
      <c r="F4" s="16" t="str">
        <f>TRIM(_xlfn.TEXTAFTER(E3, ":"))</f>
        <v>Dagas rúnicas</v>
      </c>
      <c r="G4" s="18" t="s">
        <v>1</v>
      </c>
      <c r="H4" s="16" t="str">
        <f>TRIM(_xlfn.TEXTAFTER(G3, ":"))</f>
        <v>Dagues runiques</v>
      </c>
      <c r="I4" s="18" t="s">
        <v>3107</v>
      </c>
      <c r="J4" s="16" t="str">
        <f>TRIM(_xlfn.TEXTAFTER(I3, ":"))</f>
        <v>ルーンの短剣</v>
      </c>
      <c r="K4" s="18" t="s">
        <v>3857</v>
      </c>
      <c r="L4" s="16" t="str">
        <f>TRIM(_xlfn.TEXTAFTER(K3, ":"))</f>
        <v>룬 단검</v>
      </c>
      <c r="M4" s="18" t="s">
        <v>4586</v>
      </c>
      <c r="N4" s="16" t="str">
        <f>TRIM(_xlfn.TEXTAFTER(M3, ":"))</f>
        <v>Adagas Rúnicas</v>
      </c>
      <c r="O4" s="18" t="s">
        <v>5269</v>
      </c>
      <c r="P4" s="16" t="str">
        <f>TRIM(_xlfn.TEXTAFTER(O3, ":"))</f>
        <v>Рунические кинжалы</v>
      </c>
      <c r="Q4" s="18" t="s">
        <v>6006</v>
      </c>
      <c r="R4" s="16" t="str">
        <f>TRIM(_xlfn.TEXTAFTER(Q3, ":"))</f>
        <v>มีดอาคม</v>
      </c>
      <c r="S4" s="18"/>
      <c r="T4" s="16" t="e">
        <f>TRIM(_xlfn.TEXTAFTER(S3, ":"))</f>
        <v>#N/A</v>
      </c>
    </row>
    <row r="5" spans="1:20" ht="15.95" customHeight="1" x14ac:dyDescent="0.25">
      <c r="A5" s="18" t="s">
        <v>150</v>
      </c>
      <c r="B5" s="16" t="str">
        <f>TRIM(_xlfn.TEXTBEFORE(A4, ":"))</f>
        <v>Rarity</v>
      </c>
      <c r="C5" s="18" t="s">
        <v>1859</v>
      </c>
      <c r="D5" s="16" t="str">
        <f>TRIM(_xlfn.TEXTBEFORE(C4, ":"))</f>
        <v>Seltenheit</v>
      </c>
      <c r="E5" s="18" t="s">
        <v>2577</v>
      </c>
      <c r="F5" s="16" t="str">
        <f>TRIM(_xlfn.TEXTBEFORE(E4, ":"))</f>
        <v>Rareza</v>
      </c>
      <c r="G5" s="18" t="s">
        <v>1124</v>
      </c>
      <c r="H5" s="16" t="str">
        <f>TRIM(_xlfn.TEXTBEFORE(G4, ":"))</f>
        <v>Rareté</v>
      </c>
      <c r="I5" s="18" t="s">
        <v>3300</v>
      </c>
      <c r="J5" s="16" t="str">
        <f>TRIM(_xlfn.TEXTBEFORE(I4, ":"))</f>
        <v>レアリティ</v>
      </c>
      <c r="K5" s="18" t="s">
        <v>4045</v>
      </c>
      <c r="L5" s="16" t="str">
        <f>TRIM(_xlfn.TEXTBEFORE(K4, ":"))</f>
        <v>아이템 희귀도</v>
      </c>
      <c r="M5" s="18" t="s">
        <v>4768</v>
      </c>
      <c r="N5" s="16" t="str">
        <f>TRIM(_xlfn.TEXTBEFORE(M4, ":"))</f>
        <v>Raridade</v>
      </c>
      <c r="O5" s="18" t="s">
        <v>5459</v>
      </c>
      <c r="P5" s="16" t="str">
        <f>TRIM(_xlfn.TEXTBEFORE(O4, ":"))</f>
        <v>Редкость</v>
      </c>
      <c r="Q5" s="18" t="s">
        <v>150</v>
      </c>
      <c r="R5" s="16" t="str">
        <f>TRIM(_xlfn.TEXTBEFORE(Q4, ":"))</f>
        <v>ความหายาก</v>
      </c>
      <c r="S5" s="18"/>
      <c r="T5" s="16" t="e">
        <f>TRIM(_xlfn.TEXTBEFORE(S4, ":"))</f>
        <v>#N/A</v>
      </c>
    </row>
    <row r="6" spans="1:20" ht="15.95" customHeight="1" x14ac:dyDescent="0.25">
      <c r="A6" s="18" t="s">
        <v>151</v>
      </c>
      <c r="B6" s="16" t="str">
        <f>TRIM(_xlfn.TEXTAFTER(A4,":"))</f>
        <v>Unique</v>
      </c>
      <c r="C6" s="18" t="s">
        <v>1860</v>
      </c>
      <c r="D6" s="16" t="str">
        <f>TRIM(_xlfn.TEXTAFTER(C4,":"))</f>
        <v>Einzigartig</v>
      </c>
      <c r="E6" s="18" t="s">
        <v>2578</v>
      </c>
      <c r="F6" s="16" t="str">
        <f>TRIM(_xlfn.TEXTAFTER(E4,":"))</f>
        <v>Único</v>
      </c>
      <c r="G6" s="18" t="s">
        <v>1125</v>
      </c>
      <c r="H6" s="16" t="str">
        <f>TRIM(_xlfn.TEXTAFTER(G4,":"))</f>
        <v>Unique</v>
      </c>
      <c r="I6" s="18" t="s">
        <v>3301</v>
      </c>
      <c r="J6" s="16" t="str">
        <f>TRIM(_xlfn.TEXTAFTER(I4,":"))</f>
        <v>ユニーク</v>
      </c>
      <c r="K6" s="18" t="s">
        <v>4046</v>
      </c>
      <c r="L6" s="16" t="str">
        <f>TRIM(_xlfn.TEXTAFTER(K4,":"))</f>
        <v>고유</v>
      </c>
      <c r="M6" s="18" t="s">
        <v>4769</v>
      </c>
      <c r="N6" s="16" t="str">
        <f>TRIM(_xlfn.TEXTAFTER(M4,":"))</f>
        <v>Único</v>
      </c>
      <c r="O6" s="18" t="s">
        <v>5460</v>
      </c>
      <c r="P6" s="16" t="str">
        <f>TRIM(_xlfn.TEXTAFTER(O4,":"))</f>
        <v>Уникальный</v>
      </c>
      <c r="Q6" s="18" t="s">
        <v>151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152</v>
      </c>
      <c r="B8" s="16"/>
      <c r="C8" s="18" t="s">
        <v>1861</v>
      </c>
      <c r="D8" s="16"/>
      <c r="E8" s="18" t="s">
        <v>2579</v>
      </c>
      <c r="F8" s="16"/>
      <c r="G8" s="18" t="s">
        <v>1126</v>
      </c>
      <c r="H8" s="16"/>
      <c r="I8" s="18" t="s">
        <v>3302</v>
      </c>
      <c r="J8" s="16"/>
      <c r="K8" s="18" t="s">
        <v>4047</v>
      </c>
      <c r="L8" s="16"/>
      <c r="M8" s="18" t="s">
        <v>4770</v>
      </c>
      <c r="N8" s="16"/>
      <c r="O8" s="18" t="s">
        <v>5461</v>
      </c>
      <c r="P8" s="16"/>
      <c r="Q8" s="18" t="s">
        <v>6174</v>
      </c>
      <c r="R8" s="16"/>
      <c r="S8" s="18"/>
      <c r="T8" s="16"/>
    </row>
    <row r="9" spans="1:20" ht="15.95" customHeight="1" x14ac:dyDescent="0.25">
      <c r="A9" s="18" t="s">
        <v>153</v>
      </c>
      <c r="B9" s="16" t="str">
        <f>TRIM(_xlfn.TEXTBEFORE(A9,":"))</f>
        <v>Physical Damage</v>
      </c>
      <c r="C9" s="18" t="s">
        <v>1862</v>
      </c>
      <c r="D9" s="16" t="str">
        <f>TRIM(_xlfn.TEXTBEFORE(C9,":"))</f>
        <v>Physischer Schaden</v>
      </c>
      <c r="E9" s="18" t="s">
        <v>2580</v>
      </c>
      <c r="F9" s="16" t="str">
        <f>TRIM(_xlfn.TEXTBEFORE(E9,":"))</f>
        <v>Daño físico</v>
      </c>
      <c r="G9" s="18" t="s">
        <v>1127</v>
      </c>
      <c r="H9" s="16" t="str">
        <f>TRIM(_xlfn.TEXTBEFORE(G9,":"))</f>
        <v>Dégâts physiques</v>
      </c>
      <c r="I9" s="18" t="s">
        <v>3303</v>
      </c>
      <c r="J9" s="16" t="str">
        <f>TRIM(_xlfn.TEXTBEFORE(I9,":"))</f>
        <v>物理ダメージ</v>
      </c>
      <c r="K9" s="18" t="s">
        <v>4048</v>
      </c>
      <c r="L9" s="16" t="str">
        <f>TRIM(_xlfn.TEXTBEFORE(K9,":"))</f>
        <v>물리 피해</v>
      </c>
      <c r="M9" s="18" t="s">
        <v>4771</v>
      </c>
      <c r="N9" s="16" t="str">
        <f>TRIM(_xlfn.TEXTBEFORE(M9,":"))</f>
        <v>Dano Físico</v>
      </c>
      <c r="O9" s="18" t="s">
        <v>5462</v>
      </c>
      <c r="P9" s="16" t="str">
        <f>TRIM(_xlfn.TEXTBEFORE(O9,":"))</f>
        <v>Физический урон</v>
      </c>
      <c r="Q9" s="18" t="s">
        <v>6175</v>
      </c>
      <c r="R9" s="16" t="str">
        <f>TRIM(_xlfn.TEXTBEFORE(Q9,":"))</f>
        <v>ความเสียหายกายภาพ</v>
      </c>
      <c r="S9" s="18"/>
      <c r="T9" s="16" t="e">
        <f>TRIM(_xlfn.TEXTBEFORE(S9,":"))</f>
        <v>#N/A</v>
      </c>
    </row>
    <row r="10" spans="1:20" ht="15.95" customHeight="1" x14ac:dyDescent="0.25">
      <c r="A10" s="18" t="s">
        <v>154</v>
      </c>
      <c r="B10" s="16" t="str">
        <f>TRIM(_xlfn.TEXTBEFORE(A10,":"))</f>
        <v>Elemental Damage</v>
      </c>
      <c r="C10" s="18" t="s">
        <v>1863</v>
      </c>
      <c r="D10" s="16" t="str">
        <f>TRIM(_xlfn.TEXTBEFORE(C10,":"))</f>
        <v>Elementarschaden</v>
      </c>
      <c r="E10" s="18" t="s">
        <v>2581</v>
      </c>
      <c r="F10" s="16" t="str">
        <f>TRIM(_xlfn.TEXTBEFORE(E10,":"))</f>
        <v>Daño elemental</v>
      </c>
      <c r="G10" s="18" t="s">
        <v>1128</v>
      </c>
      <c r="H10" s="16" t="str">
        <f>TRIM(_xlfn.TEXTBEFORE(G10,":"))</f>
        <v>Dégâts élémentaires</v>
      </c>
      <c r="I10" s="18" t="s">
        <v>3304</v>
      </c>
      <c r="J10" s="16" t="str">
        <f>TRIM(_xlfn.TEXTBEFORE(I10,":"))</f>
        <v>元素ダメージ</v>
      </c>
      <c r="K10" s="18" t="s">
        <v>4049</v>
      </c>
      <c r="L10" s="16" t="str">
        <f>TRIM(_xlfn.TEXTBEFORE(K10,":"))</f>
        <v>원소 피해</v>
      </c>
      <c r="M10" s="18" t="s">
        <v>4772</v>
      </c>
      <c r="N10" s="16" t="str">
        <f>TRIM(_xlfn.TEXTBEFORE(M10,":"))</f>
        <v>Dano Elemental</v>
      </c>
      <c r="O10" s="18" t="s">
        <v>5463</v>
      </c>
      <c r="P10" s="16" t="str">
        <f>TRIM(_xlfn.TEXTBEFORE(O10,":"))</f>
        <v>Урон от стихий</v>
      </c>
      <c r="Q10" s="18" t="s">
        <v>6176</v>
      </c>
      <c r="R10" s="16" t="str">
        <f>TRIM(_xlfn.TEXTBEFORE(Q10,":"))</f>
        <v>ความเสียหายธาตุ</v>
      </c>
      <c r="S10" s="18"/>
      <c r="T10" s="16" t="e">
        <f>TRIM(_xlfn.TEXTBEFORE(S10,":"))</f>
        <v>#N/A</v>
      </c>
    </row>
    <row r="11" spans="1:20" ht="15.95" customHeight="1" x14ac:dyDescent="0.25">
      <c r="A11" s="18" t="s">
        <v>155</v>
      </c>
      <c r="B11" s="16" t="str">
        <f>TRIM(_xlfn.TEXTBEFORE(A11,":"))</f>
        <v>Critical Strike Chance</v>
      </c>
      <c r="C11" s="18" t="s">
        <v>1864</v>
      </c>
      <c r="D11" s="16" t="str">
        <f>TRIM(_xlfn.TEXTBEFORE(C11,":"))</f>
        <v>Kritische Trefferchance</v>
      </c>
      <c r="E11" s="18" t="s">
        <v>2582</v>
      </c>
      <c r="F11" s="16" t="str">
        <f>TRIM(_xlfn.TEXTBEFORE(E11,":"))</f>
        <v>Daño de golpe crítico</v>
      </c>
      <c r="G11" s="18" t="s">
        <v>1129</v>
      </c>
      <c r="H11" s="16" t="str">
        <f>TRIM(_xlfn.TEXTBEFORE(G11,":"))</f>
        <v>Chances de coup critique</v>
      </c>
      <c r="I11" s="18" t="s">
        <v>3305</v>
      </c>
      <c r="J11" s="16" t="str">
        <f>TRIM(_xlfn.TEXTBEFORE(I11,":"))</f>
        <v>クリティカル率</v>
      </c>
      <c r="K11" s="18" t="s">
        <v>4050</v>
      </c>
      <c r="L11" s="16" t="str">
        <f>TRIM(_xlfn.TEXTBEFORE(K11,":"))</f>
        <v>치명타 확률</v>
      </c>
      <c r="M11" s="18" t="s">
        <v>4773</v>
      </c>
      <c r="N11" s="16" t="str">
        <f>TRIM(_xlfn.TEXTBEFORE(M11,":"))</f>
        <v>Chance de Crítico</v>
      </c>
      <c r="O11" s="18" t="s">
        <v>5464</v>
      </c>
      <c r="P11" s="16" t="str">
        <f>TRIM(_xlfn.TEXTBEFORE(O11,":"))</f>
        <v>Шанс критического удара</v>
      </c>
      <c r="Q11" s="18" t="s">
        <v>6177</v>
      </c>
      <c r="R11" s="16" t="str">
        <f>TRIM(_xlfn.TEXTBEFORE(Q11,":"))</f>
        <v>โอกาสคริติคอล</v>
      </c>
      <c r="S11" s="18"/>
      <c r="T11" s="16" t="e">
        <f>TRIM(_xlfn.TEXTBEFORE(S11,":"))</f>
        <v>#N/A</v>
      </c>
    </row>
    <row r="12" spans="1:20" ht="15.95" customHeight="1" x14ac:dyDescent="0.25">
      <c r="A12" s="18" t="s">
        <v>134</v>
      </c>
      <c r="B12" s="16" t="str">
        <f>TRIM(_xlfn.TEXTBEFORE(A12,":"))</f>
        <v>Attacks per Second</v>
      </c>
      <c r="C12" s="18" t="s">
        <v>1865</v>
      </c>
      <c r="D12" s="16" t="str">
        <f>TRIM(_xlfn.TEXTBEFORE(C12,":"))</f>
        <v>Angriffe pro Sekunde</v>
      </c>
      <c r="E12" s="18" t="s">
        <v>2583</v>
      </c>
      <c r="F12" s="16" t="str">
        <f>TRIM(_xlfn.TEXTBEFORE(E12,":"))</f>
        <v>Ataques por segundo</v>
      </c>
      <c r="G12" s="18" t="s">
        <v>1130</v>
      </c>
      <c r="H12" s="16" t="str">
        <f>TRIM(_xlfn.TEXTBEFORE(G12,":"))</f>
        <v>Attaques par seconde</v>
      </c>
      <c r="I12" s="18" t="s">
        <v>3306</v>
      </c>
      <c r="J12" s="16" t="str">
        <f>TRIM(_xlfn.TEXTBEFORE(I12,":"))</f>
        <v>秒間アタック回数</v>
      </c>
      <c r="K12" s="18" t="s">
        <v>4051</v>
      </c>
      <c r="L12" s="16" t="str">
        <f>TRIM(_xlfn.TEXTBEFORE(K12,":"))</f>
        <v>초당 공격 횟수</v>
      </c>
      <c r="M12" s="18" t="s">
        <v>4774</v>
      </c>
      <c r="N12" s="16" t="str">
        <f>TRIM(_xlfn.TEXTBEFORE(M12,":"))</f>
        <v>Ataques por Segundo</v>
      </c>
      <c r="O12" s="18" t="s">
        <v>5465</v>
      </c>
      <c r="P12" s="16" t="str">
        <f>TRIM(_xlfn.TEXTBEFORE(O12,":"))</f>
        <v>Атак в секунду</v>
      </c>
      <c r="Q12" s="18" t="s">
        <v>6178</v>
      </c>
      <c r="R12" s="16" t="str">
        <f>TRIM(_xlfn.TEXTBEFORE(Q12,":"))</f>
        <v>จำนวนครั้งการโจมตีต่อวินาที</v>
      </c>
      <c r="S12" s="18"/>
      <c r="T12" s="16" t="e">
        <f>TRIM(_xlfn.TEXTBEFORE(S12,":"))</f>
        <v>#N/A</v>
      </c>
    </row>
    <row r="13" spans="1:20" ht="15.95" customHeight="1" x14ac:dyDescent="0.25">
      <c r="A13" s="18" t="s">
        <v>156</v>
      </c>
      <c r="B13" s="16"/>
      <c r="C13" s="18" t="s">
        <v>1866</v>
      </c>
      <c r="D13" s="16"/>
      <c r="E13" s="18" t="s">
        <v>2584</v>
      </c>
      <c r="F13" s="16"/>
      <c r="G13" s="18" t="s">
        <v>1131</v>
      </c>
      <c r="H13" s="16"/>
      <c r="I13" s="18" t="s">
        <v>3307</v>
      </c>
      <c r="J13" s="16"/>
      <c r="K13" s="18" t="s">
        <v>4052</v>
      </c>
      <c r="L13" s="16"/>
      <c r="M13" s="18" t="s">
        <v>4775</v>
      </c>
      <c r="N13" s="16"/>
      <c r="O13" s="18" t="s">
        <v>5466</v>
      </c>
      <c r="P13" s="16"/>
      <c r="Q13" s="18" t="s">
        <v>6179</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110</v>
      </c>
      <c r="B15" s="16" t="str">
        <f>TRIM(_xlfn.TEXTBEFORE(A15,":"))</f>
        <v>Requirements</v>
      </c>
      <c r="C15" s="18" t="s">
        <v>1618</v>
      </c>
      <c r="D15" s="16" t="str">
        <f>TRIM(_xlfn.TEXTBEFORE(C15,":"))</f>
        <v>Anforderungen</v>
      </c>
      <c r="E15" s="18" t="s">
        <v>2337</v>
      </c>
      <c r="F15" s="16" t="str">
        <f>TRIM(_xlfn.TEXTBEFORE(E15,":"))</f>
        <v>Requisitos</v>
      </c>
      <c r="G15" s="18" t="s">
        <v>5</v>
      </c>
      <c r="H15" s="16" t="str">
        <f>TRIM(_xlfn.TEXTBEFORE(G15,":"))</f>
        <v>Prérequis</v>
      </c>
      <c r="I15" s="18" t="s">
        <v>3047</v>
      </c>
      <c r="J15" s="16" t="str">
        <f>TRIM(_xlfn.TEXTBEFORE(I15,":"))</f>
        <v>装備要求</v>
      </c>
      <c r="K15" s="18" t="s">
        <v>3801</v>
      </c>
      <c r="L15" s="16" t="str">
        <f>TRIM(_xlfn.TEXTBEFORE(K15,":"))</f>
        <v>요구사항</v>
      </c>
      <c r="M15" s="18" t="s">
        <v>2337</v>
      </c>
      <c r="N15" s="16" t="str">
        <f>TRIM(_xlfn.TEXTBEFORE(M15,":"))</f>
        <v>Requisitos</v>
      </c>
      <c r="O15" s="18" t="s">
        <v>5212</v>
      </c>
      <c r="P15" s="16" t="str">
        <f>TRIM(_xlfn.TEXTBEFORE(O15,":"))</f>
        <v>Требования</v>
      </c>
      <c r="Q15" s="18" t="s">
        <v>5957</v>
      </c>
      <c r="R15" s="16" t="str">
        <f>TRIM(_xlfn.TEXTBEFORE(Q15,":"))</f>
        <v>เงื่อนไข</v>
      </c>
      <c r="S15" s="18"/>
      <c r="T15" s="16" t="e">
        <f>TRIM(_xlfn.TEXTBEFORE(S15,":"))</f>
        <v>#N/A</v>
      </c>
    </row>
    <row r="16" spans="1:20" ht="15.95" customHeight="1" x14ac:dyDescent="0.25">
      <c r="A16" s="18" t="s">
        <v>157</v>
      </c>
      <c r="B16" s="16"/>
      <c r="C16" s="18" t="s">
        <v>1867</v>
      </c>
      <c r="D16" s="16"/>
      <c r="E16" s="18" t="s">
        <v>2585</v>
      </c>
      <c r="F16" s="16"/>
      <c r="G16" s="18" t="s">
        <v>6</v>
      </c>
      <c r="H16" s="16"/>
      <c r="I16" s="18" t="s">
        <v>3308</v>
      </c>
      <c r="J16" s="16"/>
      <c r="K16" s="18" t="s">
        <v>4053</v>
      </c>
      <c r="L16" s="16"/>
      <c r="M16" s="18" t="s">
        <v>4776</v>
      </c>
      <c r="N16" s="16"/>
      <c r="O16" s="18" t="s">
        <v>5467</v>
      </c>
      <c r="P16" s="16"/>
      <c r="Q16" s="18" t="s">
        <v>6180</v>
      </c>
      <c r="R16" s="16"/>
      <c r="S16" s="18"/>
      <c r="T16" s="16"/>
    </row>
    <row r="17" spans="1:20" ht="15.95" customHeight="1" x14ac:dyDescent="0.25">
      <c r="A17" s="18" t="s">
        <v>158</v>
      </c>
      <c r="B17" s="16"/>
      <c r="C17" s="18" t="s">
        <v>1868</v>
      </c>
      <c r="D17" s="16"/>
      <c r="E17" s="18" t="s">
        <v>2586</v>
      </c>
      <c r="F17" s="16"/>
      <c r="G17" s="18" t="s">
        <v>158</v>
      </c>
      <c r="H17" s="16"/>
      <c r="I17" s="18" t="s">
        <v>3309</v>
      </c>
      <c r="J17" s="16"/>
      <c r="K17" s="18" t="s">
        <v>4054</v>
      </c>
      <c r="L17" s="16"/>
      <c r="M17" s="18" t="s">
        <v>2586</v>
      </c>
      <c r="N17" s="16"/>
      <c r="O17" s="18" t="s">
        <v>5468</v>
      </c>
      <c r="P17" s="16"/>
      <c r="Q17" s="18" t="s">
        <v>158</v>
      </c>
      <c r="R17" s="16"/>
      <c r="S17" s="18"/>
      <c r="T17" s="16"/>
    </row>
    <row r="18" spans="1:20" ht="15.95" customHeight="1" x14ac:dyDescent="0.25">
      <c r="A18" s="18" t="s">
        <v>159</v>
      </c>
      <c r="B18" s="16"/>
      <c r="C18" s="18" t="s">
        <v>159</v>
      </c>
      <c r="D18" s="16"/>
      <c r="E18" s="18" t="s">
        <v>159</v>
      </c>
      <c r="F18" s="16"/>
      <c r="G18" s="18" t="s">
        <v>159</v>
      </c>
      <c r="H18" s="16"/>
      <c r="I18" s="18" t="s">
        <v>3310</v>
      </c>
      <c r="J18" s="16"/>
      <c r="K18" s="18" t="s">
        <v>4055</v>
      </c>
      <c r="L18" s="16"/>
      <c r="M18" s="18" t="s">
        <v>159</v>
      </c>
      <c r="N18" s="16"/>
      <c r="O18" s="18" t="s">
        <v>5469</v>
      </c>
      <c r="P18" s="16"/>
      <c r="Q18" s="18" t="s">
        <v>159</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160</v>
      </c>
      <c r="B20" s="16" t="str">
        <f>TRIM(_xlfn.TEXTBEFORE(A20,":"))</f>
        <v>Sockets</v>
      </c>
      <c r="C20" s="18" t="s">
        <v>1869</v>
      </c>
      <c r="D20" s="16" t="str">
        <f>TRIM(_xlfn.TEXTBEFORE(C20,":"))</f>
        <v>Fassungen</v>
      </c>
      <c r="E20" s="18" t="s">
        <v>2587</v>
      </c>
      <c r="F20" s="16" t="str">
        <f>TRIM(_xlfn.TEXTBEFORE(E20,":"))</f>
        <v>Engarces</v>
      </c>
      <c r="G20" s="18" t="s">
        <v>1132</v>
      </c>
      <c r="H20" s="16" t="str">
        <f>TRIM(_xlfn.TEXTBEFORE(G20,":"))</f>
        <v>Châsses</v>
      </c>
      <c r="I20" s="18" t="s">
        <v>3311</v>
      </c>
      <c r="J20" s="16" t="str">
        <f>TRIM(_xlfn.TEXTBEFORE(I20,":"))</f>
        <v>ソケット</v>
      </c>
      <c r="K20" s="18" t="s">
        <v>4056</v>
      </c>
      <c r="L20" s="16" t="str">
        <f>TRIM(_xlfn.TEXTBEFORE(K20,":"))</f>
        <v>홈</v>
      </c>
      <c r="M20" s="18" t="s">
        <v>4777</v>
      </c>
      <c r="N20" s="16" t="str">
        <f>TRIM(_xlfn.TEXTBEFORE(M20,":"))</f>
        <v>Encaixes</v>
      </c>
      <c r="O20" s="18" t="s">
        <v>5470</v>
      </c>
      <c r="P20" s="16" t="str">
        <f>TRIM(_xlfn.TEXTBEFORE(O20,":"))</f>
        <v>Гнезда</v>
      </c>
      <c r="Q20" s="18" t="s">
        <v>6181</v>
      </c>
      <c r="R20" s="16" t="str">
        <f>TRIM(_xlfn.TEXTBEFORE(Q20,":"))</f>
        <v>รู</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117</v>
      </c>
      <c r="B22" s="16" t="str">
        <f>TRIM(_xlfn.TEXTBEFORE(A22,":"))</f>
        <v>Item Level</v>
      </c>
      <c r="C22" s="18" t="s">
        <v>1742</v>
      </c>
      <c r="D22" s="16" t="str">
        <f>TRIM(_xlfn.TEXTBEFORE(C22,":"))</f>
        <v>Gegenstandsstufe</v>
      </c>
      <c r="E22" s="18" t="s">
        <v>2461</v>
      </c>
      <c r="F22" s="16" t="str">
        <f>TRIM(_xlfn.TEXTBEFORE(E22,":"))</f>
        <v>Nivel de objeto</v>
      </c>
      <c r="G22" s="18" t="s">
        <v>1010</v>
      </c>
      <c r="H22" s="16" t="str">
        <f>TRIM(_xlfn.TEXTBEFORE(G22,":"))</f>
        <v>Niveau de l'objet</v>
      </c>
      <c r="I22" s="18" t="s">
        <v>3179</v>
      </c>
      <c r="J22" s="16" t="str">
        <f>TRIM(_xlfn.TEXTBEFORE(I22,":"))</f>
        <v>アイテムレベル</v>
      </c>
      <c r="K22" s="18" t="s">
        <v>3926</v>
      </c>
      <c r="L22" s="16" t="str">
        <f>TRIM(_xlfn.TEXTBEFORE(K22,":"))</f>
        <v>아이템 레벨</v>
      </c>
      <c r="M22" s="18" t="s">
        <v>4655</v>
      </c>
      <c r="N22" s="16" t="str">
        <f>TRIM(_xlfn.TEXTBEFORE(M22,":"))</f>
        <v>Nível do Item</v>
      </c>
      <c r="O22" s="18" t="s">
        <v>5340</v>
      </c>
      <c r="P22" s="16" t="str">
        <f>TRIM(_xlfn.TEXTBEFORE(O22,":"))</f>
        <v>Уровень предмета</v>
      </c>
      <c r="Q22" s="18" t="s">
        <v>6072</v>
      </c>
      <c r="R22" s="16" t="str">
        <f>TRIM(_xlfn.TEXTBEFORE(Q22,":"))</f>
        <v>เลเวลไอเทม</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5.95" customHeight="1" x14ac:dyDescent="0.25">
      <c r="A24" s="18" t="s">
        <v>161</v>
      </c>
      <c r="B24" s="16"/>
      <c r="C24" s="18" t="s">
        <v>1870</v>
      </c>
      <c r="D24" s="16"/>
      <c r="E24" s="18" t="s">
        <v>2588</v>
      </c>
      <c r="F24" s="16"/>
      <c r="G24" s="18" t="s">
        <v>1133</v>
      </c>
      <c r="H24" s="16"/>
      <c r="I24" s="18" t="s">
        <v>3312</v>
      </c>
      <c r="J24" s="16"/>
      <c r="K24" s="18" t="s">
        <v>4057</v>
      </c>
      <c r="L24" s="16"/>
      <c r="M24" s="18" t="s">
        <v>4778</v>
      </c>
      <c r="N24" s="16"/>
      <c r="O24" s="18" t="s">
        <v>5471</v>
      </c>
      <c r="P24" s="16"/>
      <c r="Q24" s="18" t="s">
        <v>6182</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162</v>
      </c>
      <c r="B26" s="16"/>
      <c r="C26" s="18" t="s">
        <v>1871</v>
      </c>
      <c r="D26" s="16"/>
      <c r="E26" s="18" t="s">
        <v>2589</v>
      </c>
      <c r="F26" s="16"/>
      <c r="G26" s="18" t="s">
        <v>1134</v>
      </c>
      <c r="H26" s="16"/>
      <c r="I26" s="18" t="s">
        <v>3313</v>
      </c>
      <c r="J26" s="16"/>
      <c r="K26" s="18" t="s">
        <v>4058</v>
      </c>
      <c r="L26" s="16"/>
      <c r="M26" s="18" t="s">
        <v>4779</v>
      </c>
      <c r="N26" s="16"/>
      <c r="O26" s="18" t="s">
        <v>5472</v>
      </c>
      <c r="P26" s="16"/>
      <c r="Q26" s="18" t="s">
        <v>6183</v>
      </c>
      <c r="R26" s="16"/>
      <c r="S26" s="18"/>
      <c r="T26" s="21"/>
    </row>
    <row r="27" spans="1:20" ht="15.95" customHeight="1" x14ac:dyDescent="0.25">
      <c r="A27" s="18" t="s">
        <v>163</v>
      </c>
      <c r="B27" s="16"/>
      <c r="C27" s="18" t="s">
        <v>1872</v>
      </c>
      <c r="D27" s="16"/>
      <c r="E27" s="18" t="s">
        <v>2590</v>
      </c>
      <c r="F27" s="16"/>
      <c r="G27" s="18" t="s">
        <v>1135</v>
      </c>
      <c r="H27" s="16"/>
      <c r="I27" s="18" t="s">
        <v>3314</v>
      </c>
      <c r="J27" s="16"/>
      <c r="K27" s="18" t="s">
        <v>4059</v>
      </c>
      <c r="L27" s="16"/>
      <c r="M27" s="18" t="s">
        <v>4780</v>
      </c>
      <c r="N27" s="16"/>
      <c r="O27" s="18" t="s">
        <v>5473</v>
      </c>
      <c r="P27" s="16"/>
      <c r="Q27" s="18" t="s">
        <v>6184</v>
      </c>
      <c r="R27" s="16"/>
      <c r="S27" s="18"/>
      <c r="T27" s="21"/>
    </row>
    <row r="28" spans="1:20" ht="15.95" customHeight="1" x14ac:dyDescent="0.25">
      <c r="A28" s="18" t="s">
        <v>164</v>
      </c>
      <c r="B28" s="16"/>
      <c r="C28" s="18" t="s">
        <v>1873</v>
      </c>
      <c r="D28" s="16"/>
      <c r="E28" s="18" t="s">
        <v>2591</v>
      </c>
      <c r="F28" s="16"/>
      <c r="G28" s="18" t="s">
        <v>1136</v>
      </c>
      <c r="H28" s="16"/>
      <c r="I28" s="18" t="s">
        <v>3315</v>
      </c>
      <c r="J28" s="16"/>
      <c r="K28" s="18" t="s">
        <v>4060</v>
      </c>
      <c r="L28" s="16"/>
      <c r="M28" s="18" t="s">
        <v>4781</v>
      </c>
      <c r="N28" s="16"/>
      <c r="O28" s="18" t="s">
        <v>5474</v>
      </c>
      <c r="P28" s="16"/>
      <c r="Q28" s="18" t="s">
        <v>6185</v>
      </c>
      <c r="R28" s="16"/>
      <c r="S28" s="18"/>
      <c r="T28" s="21"/>
    </row>
    <row r="29" spans="1:20" ht="15.95" customHeight="1" x14ac:dyDescent="0.25">
      <c r="A29" s="18" t="s">
        <v>165</v>
      </c>
      <c r="B29" s="16"/>
      <c r="C29" s="18" t="s">
        <v>1874</v>
      </c>
      <c r="D29" s="16"/>
      <c r="E29" s="18" t="s">
        <v>2592</v>
      </c>
      <c r="F29" s="16"/>
      <c r="G29" s="18" t="s">
        <v>1137</v>
      </c>
      <c r="H29" s="16"/>
      <c r="I29" s="18" t="s">
        <v>3316</v>
      </c>
      <c r="J29" s="16"/>
      <c r="K29" s="18" t="s">
        <v>4061</v>
      </c>
      <c r="L29" s="16"/>
      <c r="M29" s="18" t="s">
        <v>4782</v>
      </c>
      <c r="N29" s="16"/>
      <c r="O29" s="18" t="s">
        <v>5475</v>
      </c>
      <c r="P29" s="16"/>
      <c r="Q29" s="18" t="s">
        <v>6186</v>
      </c>
      <c r="R29" s="16"/>
      <c r="S29" s="18"/>
      <c r="T29" s="21"/>
    </row>
    <row r="30" spans="1:20" ht="15.95" customHeight="1" x14ac:dyDescent="0.25">
      <c r="A30" s="18" t="s">
        <v>166</v>
      </c>
      <c r="B30" s="16"/>
      <c r="C30" s="18" t="s">
        <v>1875</v>
      </c>
      <c r="D30" s="16"/>
      <c r="E30" s="18" t="s">
        <v>2593</v>
      </c>
      <c r="F30" s="16"/>
      <c r="G30" s="18" t="s">
        <v>1138</v>
      </c>
      <c r="H30" s="16"/>
      <c r="I30" s="18" t="s">
        <v>3317</v>
      </c>
      <c r="J30" s="16"/>
      <c r="K30" s="18" t="s">
        <v>4062</v>
      </c>
      <c r="L30" s="16"/>
      <c r="M30" s="18" t="s">
        <v>4783</v>
      </c>
      <c r="N30" s="16"/>
      <c r="O30" s="18" t="s">
        <v>5476</v>
      </c>
      <c r="P30" s="16"/>
      <c r="Q30" s="18" t="s">
        <v>6187</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167</v>
      </c>
      <c r="B32" s="16"/>
      <c r="C32" s="18" t="s">
        <v>1876</v>
      </c>
      <c r="D32" s="16"/>
      <c r="E32" s="18" t="s">
        <v>2594</v>
      </c>
      <c r="F32" s="16"/>
      <c r="G32" s="18" t="s">
        <v>1139</v>
      </c>
      <c r="H32" s="16"/>
      <c r="I32" s="18" t="s">
        <v>3318</v>
      </c>
      <c r="J32" s="16"/>
      <c r="K32" s="18" t="s">
        <v>4063</v>
      </c>
      <c r="L32" s="16"/>
      <c r="M32" s="18" t="s">
        <v>4784</v>
      </c>
      <c r="N32" s="16"/>
      <c r="O32" s="18" t="s">
        <v>5477</v>
      </c>
      <c r="P32" s="16"/>
      <c r="Q32" s="18" t="s">
        <v>6188</v>
      </c>
      <c r="R32" s="16"/>
      <c r="S32" s="18"/>
      <c r="T32" s="21"/>
    </row>
    <row r="33" spans="1:20" ht="15.95" customHeight="1" x14ac:dyDescent="0.25">
      <c r="A33" s="22" t="s">
        <v>168</v>
      </c>
      <c r="B33" s="16"/>
      <c r="C33" s="18" t="s">
        <v>1877</v>
      </c>
      <c r="D33" s="16"/>
      <c r="E33" s="18" t="s">
        <v>2595</v>
      </c>
      <c r="F33" s="16"/>
      <c r="G33" s="18" t="s">
        <v>1140</v>
      </c>
      <c r="H33" s="16"/>
      <c r="I33" s="18" t="s">
        <v>3319</v>
      </c>
      <c r="J33" s="16"/>
      <c r="K33" s="18" t="s">
        <v>4064</v>
      </c>
      <c r="L33" s="16"/>
      <c r="M33" s="18" t="s">
        <v>4785</v>
      </c>
      <c r="N33" s="16"/>
      <c r="O33" s="18" t="s">
        <v>5478</v>
      </c>
      <c r="P33" s="16"/>
      <c r="Q33" s="18" t="s">
        <v>6189</v>
      </c>
      <c r="R33" s="16"/>
      <c r="S33" s="18"/>
      <c r="T33" s="21"/>
    </row>
    <row r="34" spans="1:20" ht="15.95" customHeight="1" x14ac:dyDescent="0.25">
      <c r="A34" s="18" t="s">
        <v>169</v>
      </c>
      <c r="B34" s="16"/>
      <c r="C34" s="18" t="s">
        <v>1878</v>
      </c>
      <c r="D34" s="16"/>
      <c r="E34" s="18" t="s">
        <v>2596</v>
      </c>
      <c r="F34" s="16"/>
      <c r="G34" s="18" t="s">
        <v>1141</v>
      </c>
      <c r="H34" s="16"/>
      <c r="I34" s="18" t="s">
        <v>3320</v>
      </c>
      <c r="J34" s="16"/>
      <c r="K34" s="18" t="s">
        <v>4065</v>
      </c>
      <c r="L34" s="16"/>
      <c r="M34" s="18" t="s">
        <v>4786</v>
      </c>
      <c r="N34" s="16"/>
      <c r="O34" s="18" t="s">
        <v>5479</v>
      </c>
      <c r="P34" s="16"/>
      <c r="Q34" s="18" t="s">
        <v>6190</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82" priority="62" stopIfTrue="1">
      <formula>NOT(ISERROR(A3))</formula>
    </cfRule>
  </conditionalFormatting>
  <conditionalFormatting sqref="A3:T12 A13:D14 E13:E23 G13:G23 I13:I23 K13:K23 M13:M23 O13:O23 Q13:Q23 S13:S23 A15 C15 A16:D19 A20 C20 A21:D21 A22 C22 A23:D23 A24:T51">
    <cfRule type="notContainsBlanks" dxfId="181" priority="63">
      <formula>LEN(TRIM(A3))&gt;0</formula>
    </cfRule>
  </conditionalFormatting>
  <conditionalFormatting sqref="A3:T51">
    <cfRule type="containsErrors" dxfId="180" priority="1" stopIfTrue="1">
      <formula>ISERROR(A3)</formula>
    </cfRule>
  </conditionalFormatting>
  <conditionalFormatting sqref="B15">
    <cfRule type="notContainsBlanks" dxfId="179" priority="58">
      <formula>LEN(TRIM(B15))&gt;0</formula>
    </cfRule>
  </conditionalFormatting>
  <conditionalFormatting sqref="B20">
    <cfRule type="notContainsBlanks" dxfId="178" priority="56">
      <formula>LEN(TRIM(B20))&gt;0</formula>
    </cfRule>
  </conditionalFormatting>
  <conditionalFormatting sqref="B22">
    <cfRule type="notContainsBlanks" dxfId="177" priority="60">
      <formula>LEN(TRIM(B22))&gt;0</formula>
    </cfRule>
  </conditionalFormatting>
  <conditionalFormatting sqref="D15">
    <cfRule type="notContainsBlanks" dxfId="176" priority="52">
      <formula>LEN(TRIM(D15))&gt;0</formula>
    </cfRule>
  </conditionalFormatting>
  <conditionalFormatting sqref="D20">
    <cfRule type="notContainsBlanks" dxfId="175" priority="50">
      <formula>LEN(TRIM(D20))&gt;0</formula>
    </cfRule>
  </conditionalFormatting>
  <conditionalFormatting sqref="D22">
    <cfRule type="notContainsBlanks" dxfId="174" priority="54">
      <formula>LEN(TRIM(D22))&gt;0</formula>
    </cfRule>
  </conditionalFormatting>
  <conditionalFormatting sqref="F13:F23">
    <cfRule type="notContainsBlanks" dxfId="173" priority="44">
      <formula>LEN(TRIM(F13))&gt;0</formula>
    </cfRule>
  </conditionalFormatting>
  <conditionalFormatting sqref="H13:H23">
    <cfRule type="notContainsBlanks" dxfId="172" priority="38">
      <formula>LEN(TRIM(H13))&gt;0</formula>
    </cfRule>
  </conditionalFormatting>
  <conditionalFormatting sqref="J13:J23">
    <cfRule type="notContainsBlanks" dxfId="171" priority="32">
      <formula>LEN(TRIM(J13))&gt;0</formula>
    </cfRule>
  </conditionalFormatting>
  <conditionalFormatting sqref="L13:L23">
    <cfRule type="notContainsBlanks" dxfId="170" priority="26">
      <formula>LEN(TRIM(L13))&gt;0</formula>
    </cfRule>
  </conditionalFormatting>
  <conditionalFormatting sqref="N13:N23">
    <cfRule type="notContainsBlanks" dxfId="169" priority="20">
      <formula>LEN(TRIM(N13))&gt;0</formula>
    </cfRule>
  </conditionalFormatting>
  <conditionalFormatting sqref="P13:P23">
    <cfRule type="notContainsBlanks" dxfId="168" priority="14">
      <formula>LEN(TRIM(P13))&gt;0</formula>
    </cfRule>
  </conditionalFormatting>
  <conditionalFormatting sqref="R13:R23">
    <cfRule type="notContainsBlanks" dxfId="167" priority="8">
      <formula>LEN(TRIM(R13))&gt;0</formula>
    </cfRule>
  </conditionalFormatting>
  <conditionalFormatting sqref="T13:T23">
    <cfRule type="notContainsBlanks" dxfId="166" priority="2">
      <formula>LEN(TRIM(T13))&gt;0</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dimension ref="A1:T51"/>
  <sheetViews>
    <sheetView workbookViewId="0">
      <selection activeCell="Q3" sqref="Q3:Q2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649</v>
      </c>
      <c r="B3" s="16" t="str">
        <f>TRIM(_xlfn.TEXTBEFORE(A3, ":"))</f>
        <v>Item Class</v>
      </c>
      <c r="C3" s="17" t="s">
        <v>1797</v>
      </c>
      <c r="D3" s="16" t="str">
        <f>TRIM(_xlfn.TEXTBEFORE(C3, ":"))</f>
        <v>Gegenstandsklasse</v>
      </c>
      <c r="E3" s="17" t="s">
        <v>2516</v>
      </c>
      <c r="F3" s="16" t="str">
        <f>TRIM(_xlfn.TEXTBEFORE(E3, ":"))</f>
        <v>Clase de objeto</v>
      </c>
      <c r="G3" s="17" t="s">
        <v>1065</v>
      </c>
      <c r="H3" s="16" t="str">
        <f>TRIM(_xlfn.TEXTBEFORE(G3, ":"))</f>
        <v>Classe d'objet</v>
      </c>
      <c r="I3" s="17" t="s">
        <v>3235</v>
      </c>
      <c r="J3" s="16" t="str">
        <f>TRIM(_xlfn.TEXTBEFORE(I3, ":"))</f>
        <v>アイテムクラス</v>
      </c>
      <c r="K3" s="17" t="s">
        <v>3981</v>
      </c>
      <c r="L3" s="16" t="str">
        <f>TRIM(_xlfn.TEXTBEFORE(K3, ":"))</f>
        <v>아이템 종류</v>
      </c>
      <c r="M3" s="17" t="s">
        <v>4710</v>
      </c>
      <c r="N3" s="16" t="str">
        <f>TRIM(_xlfn.TEXTBEFORE(M3, ":"))</f>
        <v>Classe do Item</v>
      </c>
      <c r="O3" s="17" t="s">
        <v>5395</v>
      </c>
      <c r="P3" s="16" t="str">
        <f>TRIM(_xlfn.TEXTBEFORE(O3, ":"))</f>
        <v>Класс предмета</v>
      </c>
      <c r="Q3" s="17" t="s">
        <v>6123</v>
      </c>
      <c r="R3" s="16" t="str">
        <f>TRIM(_xlfn.TEXTBEFORE(Q3, ":"))</f>
        <v>ชนิดไอเทม</v>
      </c>
      <c r="S3" s="17"/>
      <c r="T3" s="20" t="e">
        <f>TRIM(_xlfn.TEXTBEFORE(S3, ":"))</f>
        <v>#N/A</v>
      </c>
    </row>
    <row r="4" spans="1:20" ht="15.95" customHeight="1" x14ac:dyDescent="0.25">
      <c r="A4" s="18" t="s">
        <v>513</v>
      </c>
      <c r="B4" s="16" t="str">
        <f>TRIM(_xlfn.TEXTAFTER(A3, ":"))</f>
        <v>Amulets</v>
      </c>
      <c r="C4" s="18" t="s">
        <v>1879</v>
      </c>
      <c r="D4" s="16" t="str">
        <f>TRIM(_xlfn.TEXTAFTER(C3, ":"))</f>
        <v>Amulette</v>
      </c>
      <c r="E4" s="18" t="s">
        <v>2597</v>
      </c>
      <c r="F4" s="16" t="str">
        <f>TRIM(_xlfn.TEXTAFTER(E3, ":"))</f>
        <v>Amuletos</v>
      </c>
      <c r="G4" s="18" t="s">
        <v>1142</v>
      </c>
      <c r="H4" s="16" t="str">
        <f>TRIM(_xlfn.TEXTAFTER(G3, ":"))</f>
        <v>Amulettes</v>
      </c>
      <c r="I4" s="18" t="s">
        <v>3321</v>
      </c>
      <c r="J4" s="16" t="str">
        <f>TRIM(_xlfn.TEXTAFTER(I3, ":"))</f>
        <v>アミュレット</v>
      </c>
      <c r="K4" s="18" t="s">
        <v>4066</v>
      </c>
      <c r="L4" s="16" t="str">
        <f>TRIM(_xlfn.TEXTAFTER(K3, ":"))</f>
        <v>목걸이</v>
      </c>
      <c r="M4" s="18" t="s">
        <v>4787</v>
      </c>
      <c r="N4" s="16" t="str">
        <f>TRIM(_xlfn.TEXTAFTER(M3, ":"))</f>
        <v>Amuletos</v>
      </c>
      <c r="O4" s="18" t="s">
        <v>5480</v>
      </c>
      <c r="P4" s="16" t="str">
        <f>TRIM(_xlfn.TEXTAFTER(O3, ":"))</f>
        <v>Амулеты</v>
      </c>
      <c r="Q4" s="18" t="s">
        <v>6191</v>
      </c>
      <c r="R4" s="16" t="str">
        <f>TRIM(_xlfn.TEXTAFTER(Q3, ":"))</f>
        <v>สร้อย</v>
      </c>
      <c r="S4" s="18"/>
      <c r="T4" s="20" t="e">
        <f>TRIM(_xlfn.TEXTAFTER(S3, ":"))</f>
        <v>#N/A</v>
      </c>
    </row>
    <row r="5" spans="1:20" ht="15.95" customHeight="1" x14ac:dyDescent="0.25">
      <c r="A5" s="18" t="s">
        <v>850</v>
      </c>
      <c r="B5" s="16" t="str">
        <f>TRIM(_xlfn.TEXTBEFORE(A4, ":"))</f>
        <v>Rarity</v>
      </c>
      <c r="C5" s="18" t="s">
        <v>1880</v>
      </c>
      <c r="D5" s="16" t="str">
        <f>TRIM(_xlfn.TEXTBEFORE(C4, ":"))</f>
        <v>Seltenheit</v>
      </c>
      <c r="E5" s="18" t="s">
        <v>2598</v>
      </c>
      <c r="F5" s="16" t="str">
        <f>TRIM(_xlfn.TEXTBEFORE(E4, ":"))</f>
        <v>Rareza</v>
      </c>
      <c r="G5" s="18" t="s">
        <v>1143</v>
      </c>
      <c r="H5" s="16" t="str">
        <f>TRIM(_xlfn.TEXTBEFORE(G4, ":"))</f>
        <v>Rareté</v>
      </c>
      <c r="I5" s="18" t="s">
        <v>3322</v>
      </c>
      <c r="J5" s="16" t="str">
        <f>TRIM(_xlfn.TEXTBEFORE(I4, ":"))</f>
        <v>レアリティ</v>
      </c>
      <c r="K5" s="18" t="s">
        <v>4067</v>
      </c>
      <c r="L5" s="16" t="str">
        <f>TRIM(_xlfn.TEXTBEFORE(K4, ":"))</f>
        <v>아이템 희귀도</v>
      </c>
      <c r="M5" s="18" t="s">
        <v>4788</v>
      </c>
      <c r="N5" s="16" t="str">
        <f>TRIM(_xlfn.TEXTBEFORE(M4, ":"))</f>
        <v>Raridade</v>
      </c>
      <c r="O5" s="18" t="s">
        <v>5481</v>
      </c>
      <c r="P5" s="16" t="str">
        <f>TRIM(_xlfn.TEXTBEFORE(O4, ":"))</f>
        <v>Редкость</v>
      </c>
      <c r="Q5" s="18" t="s">
        <v>850</v>
      </c>
      <c r="R5" s="16" t="str">
        <f>TRIM(_xlfn.TEXTBEFORE(Q4, ":"))</f>
        <v>ความหายาก</v>
      </c>
      <c r="S5" s="18"/>
      <c r="T5" s="20" t="e">
        <f>TRIM(_xlfn.TEXTBEFORE(S4, ":"))</f>
        <v>#N/A</v>
      </c>
    </row>
    <row r="6" spans="1:20" ht="15.95" customHeight="1" x14ac:dyDescent="0.25">
      <c r="A6" s="18" t="s">
        <v>851</v>
      </c>
      <c r="B6" s="16" t="str">
        <f>TRIM(_xlfn.TEXTAFTER(A4,":"))</f>
        <v>Rare</v>
      </c>
      <c r="C6" s="18" t="s">
        <v>1881</v>
      </c>
      <c r="D6" s="16" t="str">
        <f>TRIM(_xlfn.TEXTAFTER(C4,":"))</f>
        <v>Selten</v>
      </c>
      <c r="E6" s="18" t="s">
        <v>2599</v>
      </c>
      <c r="F6" s="16" t="str">
        <f>TRIM(_xlfn.TEXTAFTER(E4,":"))</f>
        <v>Raro</v>
      </c>
      <c r="G6" s="18" t="s">
        <v>1144</v>
      </c>
      <c r="H6" s="16" t="str">
        <f>TRIM(_xlfn.TEXTAFTER(G4,":"))</f>
        <v>Rare</v>
      </c>
      <c r="I6" s="18" t="s">
        <v>3323</v>
      </c>
      <c r="J6" s="16" t="str">
        <f>TRIM(_xlfn.TEXTAFTER(I4,":"))</f>
        <v>レア</v>
      </c>
      <c r="K6" s="18" t="s">
        <v>4068</v>
      </c>
      <c r="L6" s="16" t="str">
        <f>TRIM(_xlfn.TEXTAFTER(K4,":"))</f>
        <v>희귀</v>
      </c>
      <c r="M6" s="18" t="s">
        <v>4789</v>
      </c>
      <c r="N6" s="16" t="str">
        <f>TRIM(_xlfn.TEXTAFTER(M4,":"))</f>
        <v>Raro</v>
      </c>
      <c r="O6" s="18" t="s">
        <v>5482</v>
      </c>
      <c r="P6" s="16" t="str">
        <f>TRIM(_xlfn.TEXTAFTER(O4,":"))</f>
        <v>Редкий</v>
      </c>
      <c r="Q6" s="18" t="s">
        <v>851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t="s">
        <v>5212</v>
      </c>
      <c r="P8" s="16"/>
      <c r="Q8" s="18" t="s">
        <v>5957</v>
      </c>
      <c r="R8" s="16"/>
      <c r="S8" s="18"/>
      <c r="T8" s="20"/>
    </row>
    <row r="9" spans="1:20" ht="15.95" customHeight="1" x14ac:dyDescent="0.25">
      <c r="A9" s="18" t="s">
        <v>337</v>
      </c>
      <c r="B9" s="16"/>
      <c r="C9" s="18" t="s">
        <v>1882</v>
      </c>
      <c r="D9" s="16"/>
      <c r="E9" s="18" t="s">
        <v>2600</v>
      </c>
      <c r="F9" s="16"/>
      <c r="G9" s="18" t="s">
        <v>1145</v>
      </c>
      <c r="H9" s="16"/>
      <c r="I9" s="18" t="s">
        <v>3324</v>
      </c>
      <c r="J9" s="16"/>
      <c r="K9" s="18" t="s">
        <v>4069</v>
      </c>
      <c r="L9" s="16"/>
      <c r="M9" s="18" t="s">
        <v>4790</v>
      </c>
      <c r="N9" s="16"/>
      <c r="O9" s="18" t="s">
        <v>5483</v>
      </c>
      <c r="P9" s="16"/>
      <c r="Q9" s="18" t="s">
        <v>6192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111</v>
      </c>
      <c r="B11" s="16"/>
      <c r="C11" s="18" t="s">
        <v>1691</v>
      </c>
      <c r="D11" s="16"/>
      <c r="E11" s="18" t="s">
        <v>2325</v>
      </c>
      <c r="F11" s="16"/>
      <c r="G11" s="18" t="s">
        <v>958</v>
      </c>
      <c r="H11" s="16"/>
      <c r="I11" s="18" t="s">
        <v>3127</v>
      </c>
      <c r="J11" s="16"/>
      <c r="K11" s="18" t="s">
        <v>3787</v>
      </c>
      <c r="L11" s="16"/>
      <c r="M11" s="18" t="s">
        <v>4605</v>
      </c>
      <c r="N11" s="16"/>
      <c r="O11" s="18" t="s">
        <v>5288</v>
      </c>
      <c r="P11" s="16"/>
      <c r="Q11" s="18" t="s">
        <v>5943</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852</v>
      </c>
      <c r="B13" s="16"/>
      <c r="C13" s="18" t="s">
        <v>1883</v>
      </c>
      <c r="D13" s="16"/>
      <c r="E13" s="18" t="s">
        <v>2601</v>
      </c>
      <c r="F13" s="16"/>
      <c r="G13" s="18" t="s">
        <v>1146</v>
      </c>
      <c r="H13" s="16"/>
      <c r="I13" s="18" t="s">
        <v>3325</v>
      </c>
      <c r="J13" s="16"/>
      <c r="K13" s="18" t="s">
        <v>4070</v>
      </c>
      <c r="L13" s="16"/>
      <c r="M13" s="18" t="s">
        <v>4791</v>
      </c>
      <c r="N13" s="16"/>
      <c r="O13" s="18" t="s">
        <v>5484</v>
      </c>
      <c r="P13" s="16"/>
      <c r="Q13" s="18" t="s">
        <v>6193</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853</v>
      </c>
      <c r="B15" s="16"/>
      <c r="C15" s="18" t="s">
        <v>1884</v>
      </c>
      <c r="D15" s="16"/>
      <c r="E15" s="18" t="s">
        <v>2602</v>
      </c>
      <c r="F15" s="16"/>
      <c r="G15" s="18" t="s">
        <v>1147</v>
      </c>
      <c r="H15" s="16"/>
      <c r="I15" s="18" t="s">
        <v>3326</v>
      </c>
      <c r="J15" s="16"/>
      <c r="K15" s="18" t="s">
        <v>4071</v>
      </c>
      <c r="L15" s="16"/>
      <c r="M15" s="18" t="s">
        <v>4792</v>
      </c>
      <c r="N15" s="16"/>
      <c r="O15" s="18" t="s">
        <v>5485</v>
      </c>
      <c r="P15" s="16"/>
      <c r="Q15" s="18" t="s">
        <v>6194</v>
      </c>
      <c r="R15" s="16"/>
      <c r="S15" s="18"/>
      <c r="T15" s="20"/>
    </row>
    <row r="16" spans="1:20" ht="15.95" customHeight="1" x14ac:dyDescent="0.25">
      <c r="A16" s="18" t="s">
        <v>854</v>
      </c>
      <c r="B16" s="16"/>
      <c r="C16" s="18" t="s">
        <v>1885</v>
      </c>
      <c r="D16" s="16"/>
      <c r="E16" s="18" t="s">
        <v>2603</v>
      </c>
      <c r="F16" s="16"/>
      <c r="G16" s="18" t="s">
        <v>1148</v>
      </c>
      <c r="H16" s="16"/>
      <c r="I16" s="18" t="s">
        <v>3327</v>
      </c>
      <c r="J16" s="16"/>
      <c r="K16" s="18" t="s">
        <v>4072</v>
      </c>
      <c r="L16" s="16"/>
      <c r="M16" s="18" t="s">
        <v>4793</v>
      </c>
      <c r="N16" s="16"/>
      <c r="O16" s="18" t="s">
        <v>5486</v>
      </c>
      <c r="P16" s="16"/>
      <c r="Q16" s="18" t="s">
        <v>6195</v>
      </c>
      <c r="R16" s="16"/>
      <c r="S16" s="18"/>
      <c r="T16" s="20"/>
    </row>
    <row r="17" spans="1:20" ht="15.95" customHeight="1" x14ac:dyDescent="0.25">
      <c r="A17" s="18" t="s">
        <v>855</v>
      </c>
      <c r="B17" s="16"/>
      <c r="C17" s="18" t="s">
        <v>1886</v>
      </c>
      <c r="D17" s="16"/>
      <c r="E17" s="18" t="s">
        <v>2604</v>
      </c>
      <c r="F17" s="16"/>
      <c r="G17" s="18" t="s">
        <v>1149</v>
      </c>
      <c r="H17" s="16"/>
      <c r="I17" s="18" t="s">
        <v>3328</v>
      </c>
      <c r="J17" s="16"/>
      <c r="K17" s="18" t="s">
        <v>4073</v>
      </c>
      <c r="L17" s="16"/>
      <c r="M17" s="18" t="s">
        <v>4794</v>
      </c>
      <c r="N17" s="16"/>
      <c r="O17" s="18" t="s">
        <v>5487</v>
      </c>
      <c r="P17" s="16"/>
      <c r="Q17" s="18" t="s">
        <v>6196</v>
      </c>
      <c r="R17" s="16"/>
      <c r="S17" s="18"/>
      <c r="T17" s="20"/>
    </row>
    <row r="18" spans="1:20" ht="15.95" customHeight="1" x14ac:dyDescent="0.25">
      <c r="A18" s="18" t="s">
        <v>856</v>
      </c>
      <c r="B18" s="16"/>
      <c r="C18" s="18" t="s">
        <v>1887</v>
      </c>
      <c r="D18" s="16"/>
      <c r="E18" s="18" t="s">
        <v>2605</v>
      </c>
      <c r="F18" s="16"/>
      <c r="G18" s="18" t="s">
        <v>1150</v>
      </c>
      <c r="H18" s="16"/>
      <c r="I18" s="18" t="s">
        <v>3329</v>
      </c>
      <c r="J18" s="16"/>
      <c r="K18" s="18" t="s">
        <v>4074</v>
      </c>
      <c r="L18" s="16"/>
      <c r="M18" s="18" t="s">
        <v>4795</v>
      </c>
      <c r="N18" s="16"/>
      <c r="O18" s="18" t="s">
        <v>5488</v>
      </c>
      <c r="P18" s="16"/>
      <c r="Q18" s="18" t="s">
        <v>6197</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857</v>
      </c>
      <c r="B20" s="16" t="str">
        <f>A20</f>
        <v>Crusader Item</v>
      </c>
      <c r="C20" s="18" t="s">
        <v>1888</v>
      </c>
      <c r="D20" s="16" t="str">
        <f>C20</f>
        <v>Kreuzritter-Gegenstand</v>
      </c>
      <c r="E20" s="18" t="s">
        <v>2606</v>
      </c>
      <c r="F20" s="16" t="str">
        <f>E20</f>
        <v>Objeto del Cruzado</v>
      </c>
      <c r="G20" s="18" t="s">
        <v>1151</v>
      </c>
      <c r="H20" s="16" t="str">
        <f>G20</f>
        <v>Objet du Croisé</v>
      </c>
      <c r="I20" s="18" t="s">
        <v>3330</v>
      </c>
      <c r="J20" s="16" t="str">
        <f>I20</f>
        <v>クルセイダーアイテム</v>
      </c>
      <c r="K20" s="18" t="s">
        <v>4075</v>
      </c>
      <c r="L20" s="16" t="str">
        <f>K20</f>
        <v>십자군 아이템</v>
      </c>
      <c r="M20" s="18" t="s">
        <v>4796</v>
      </c>
      <c r="N20" s="16" t="str">
        <f>M20</f>
        <v>Item do Cruzado</v>
      </c>
      <c r="O20" s="18" t="s">
        <v>5489</v>
      </c>
      <c r="P20" s="16" t="str">
        <f>O20</f>
        <v>Предмет Крестоносца</v>
      </c>
      <c r="Q20" s="18" t="s">
        <v>6198</v>
      </c>
      <c r="R20" s="16" t="str">
        <f>Q20</f>
        <v>ไอเทมผู้พิชิตอธรรม</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65" priority="2" stopIfTrue="1">
      <formula>NOT(ISERROR(A3))</formula>
    </cfRule>
  </conditionalFormatting>
  <conditionalFormatting sqref="A3:T51">
    <cfRule type="containsErrors" dxfId="164" priority="1" stopIfTrue="1">
      <formula>ISERROR(A3)</formula>
    </cfRule>
    <cfRule type="notContainsBlanks" dxfId="163"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444</v>
      </c>
      <c r="B3" s="16" t="str">
        <f>TRIM(_xlfn.TEXTBEFORE(A3, ":"))</f>
        <v>Item Class</v>
      </c>
      <c r="C3" s="17" t="s">
        <v>1889</v>
      </c>
      <c r="D3" s="16" t="str">
        <f>TRIM(_xlfn.TEXTBEFORE(C3, ":"))</f>
        <v>Gegenstandsklasse</v>
      </c>
      <c r="E3" s="17" t="s">
        <v>2607</v>
      </c>
      <c r="F3" s="16" t="str">
        <f>TRIM(_xlfn.TEXTBEFORE(E3, ":"))</f>
        <v>Clase de objeto</v>
      </c>
      <c r="G3" s="17" t="s">
        <v>1152</v>
      </c>
      <c r="H3" s="16" t="str">
        <f>TRIM(_xlfn.TEXTBEFORE(G3, ":"))</f>
        <v>Classe d'objet</v>
      </c>
      <c r="I3" s="17" t="s">
        <v>3331</v>
      </c>
      <c r="J3" s="16" t="str">
        <f>TRIM(_xlfn.TEXTBEFORE(I3, ":"))</f>
        <v>アイテムクラス</v>
      </c>
      <c r="K3" s="17" t="s">
        <v>4076</v>
      </c>
      <c r="L3" s="16" t="str">
        <f>TRIM(_xlfn.TEXTBEFORE(K3, ":"))</f>
        <v>아이템 종류</v>
      </c>
      <c r="M3" s="17" t="s">
        <v>4797</v>
      </c>
      <c r="N3" s="16" t="str">
        <f>TRIM(_xlfn.TEXTBEFORE(M3, ":"))</f>
        <v>Classe do Item</v>
      </c>
      <c r="O3" s="17" t="s">
        <v>5490</v>
      </c>
      <c r="P3" s="16" t="str">
        <f>TRIM(_xlfn.TEXTBEFORE(O3, ":"))</f>
        <v>Класс предмета</v>
      </c>
      <c r="Q3" s="17" t="s">
        <v>6199</v>
      </c>
      <c r="R3" s="16" t="str">
        <f>TRIM(_xlfn.TEXTBEFORE(Q3, ":"))</f>
        <v>ชนิดไอเทม</v>
      </c>
      <c r="S3" s="17"/>
      <c r="T3" s="20" t="e">
        <f>TRIM(_xlfn.TEXTBEFORE(S3, ":"))</f>
        <v>#N/A</v>
      </c>
    </row>
    <row r="4" spans="1:20" ht="15.95" customHeight="1" x14ac:dyDescent="0.25">
      <c r="A4" s="18" t="s">
        <v>513</v>
      </c>
      <c r="B4" s="16" t="str">
        <f>TRIM(_xlfn.TEXTAFTER(A3, ":"))</f>
        <v>Boots</v>
      </c>
      <c r="C4" s="18" t="s">
        <v>1879</v>
      </c>
      <c r="D4" s="16" t="str">
        <f>TRIM(_xlfn.TEXTAFTER(C3, ":"))</f>
        <v>Stiefel</v>
      </c>
      <c r="E4" s="18" t="s">
        <v>2597</v>
      </c>
      <c r="F4" s="16" t="str">
        <f>TRIM(_xlfn.TEXTAFTER(E3, ":"))</f>
        <v>Botas</v>
      </c>
      <c r="G4" s="18" t="s">
        <v>1142</v>
      </c>
      <c r="H4" s="16" t="str">
        <f>TRIM(_xlfn.TEXTAFTER(G3, ":"))</f>
        <v>Bottes</v>
      </c>
      <c r="I4" s="18" t="s">
        <v>3321</v>
      </c>
      <c r="J4" s="16" t="str">
        <f>TRIM(_xlfn.TEXTAFTER(I3, ":"))</f>
        <v>靴</v>
      </c>
      <c r="K4" s="18" t="s">
        <v>4066</v>
      </c>
      <c r="L4" s="16" t="str">
        <f>TRIM(_xlfn.TEXTAFTER(K3, ":"))</f>
        <v>장화</v>
      </c>
      <c r="M4" s="18" t="s">
        <v>4787</v>
      </c>
      <c r="N4" s="16" t="str">
        <f>TRIM(_xlfn.TEXTAFTER(M3, ":"))</f>
        <v>Botas</v>
      </c>
      <c r="O4" s="18" t="s">
        <v>5480</v>
      </c>
      <c r="P4" s="16" t="str">
        <f>TRIM(_xlfn.TEXTAFTER(O3, ":"))</f>
        <v>Обувь</v>
      </c>
      <c r="Q4" s="18" t="s">
        <v>6191</v>
      </c>
      <c r="R4" s="16" t="str">
        <f>TRIM(_xlfn.TEXTAFTER(Q3, ":"))</f>
        <v>รองเท้า</v>
      </c>
      <c r="S4" s="18"/>
      <c r="T4" s="20" t="e">
        <f>TRIM(_xlfn.TEXTAFTER(S3, ":"))</f>
        <v>#N/A</v>
      </c>
    </row>
    <row r="5" spans="1:20" ht="15.95" customHeight="1" x14ac:dyDescent="0.25">
      <c r="A5" s="18" t="s">
        <v>826</v>
      </c>
      <c r="B5" s="16" t="str">
        <f>TRIM(_xlfn.TEXTBEFORE(A4, ":"))</f>
        <v>Rarity</v>
      </c>
      <c r="C5" s="18" t="s">
        <v>1890</v>
      </c>
      <c r="D5" s="16" t="str">
        <f>TRIM(_xlfn.TEXTBEFORE(C4, ":"))</f>
        <v>Seltenheit</v>
      </c>
      <c r="E5" s="18" t="s">
        <v>2608</v>
      </c>
      <c r="F5" s="16" t="str">
        <f>TRIM(_xlfn.TEXTBEFORE(E4, ":"))</f>
        <v>Rareza</v>
      </c>
      <c r="G5" s="18" t="s">
        <v>1153</v>
      </c>
      <c r="H5" s="16" t="str">
        <f>TRIM(_xlfn.TEXTBEFORE(G4, ":"))</f>
        <v>Rareté</v>
      </c>
      <c r="I5" s="18" t="s">
        <v>3332</v>
      </c>
      <c r="J5" s="16" t="str">
        <f>TRIM(_xlfn.TEXTBEFORE(I4, ":"))</f>
        <v>レアリティ</v>
      </c>
      <c r="K5" s="18" t="s">
        <v>4077</v>
      </c>
      <c r="L5" s="16" t="str">
        <f>TRIM(_xlfn.TEXTBEFORE(K4, ":"))</f>
        <v>아이템 희귀도</v>
      </c>
      <c r="M5" s="18" t="s">
        <v>4798</v>
      </c>
      <c r="N5" s="16" t="str">
        <f>TRIM(_xlfn.TEXTBEFORE(M4, ":"))</f>
        <v>Raridade</v>
      </c>
      <c r="O5" s="18" t="s">
        <v>5491</v>
      </c>
      <c r="P5" s="16" t="str">
        <f>TRIM(_xlfn.TEXTBEFORE(O4, ":"))</f>
        <v>Редкость</v>
      </c>
      <c r="Q5" s="18" t="s">
        <v>826</v>
      </c>
      <c r="R5" s="16" t="str">
        <f>TRIM(_xlfn.TEXTBEFORE(Q4, ":"))</f>
        <v>ความหายาก</v>
      </c>
      <c r="S5" s="18"/>
      <c r="T5" s="20" t="e">
        <f>TRIM(_xlfn.TEXTBEFORE(S4, ":"))</f>
        <v>#N/A</v>
      </c>
    </row>
    <row r="6" spans="1:20" ht="15.95" customHeight="1" x14ac:dyDescent="0.25">
      <c r="A6" s="18" t="s">
        <v>827</v>
      </c>
      <c r="B6" s="16" t="str">
        <f>TRIM(_xlfn.TEXTAFTER(A4,":"))</f>
        <v>Rare</v>
      </c>
      <c r="C6" s="18" t="s">
        <v>1891</v>
      </c>
      <c r="D6" s="16" t="str">
        <f>TRIM(_xlfn.TEXTAFTER(C4,":"))</f>
        <v>Selten</v>
      </c>
      <c r="E6" s="18" t="s">
        <v>2609</v>
      </c>
      <c r="F6" s="16" t="str">
        <f>TRIM(_xlfn.TEXTAFTER(E4,":"))</f>
        <v>Raro</v>
      </c>
      <c r="G6" s="18" t="s">
        <v>1154</v>
      </c>
      <c r="H6" s="16" t="str">
        <f>TRIM(_xlfn.TEXTAFTER(G4,":"))</f>
        <v>Rare</v>
      </c>
      <c r="I6" s="18" t="s">
        <v>3333</v>
      </c>
      <c r="J6" s="16" t="str">
        <f>TRIM(_xlfn.TEXTAFTER(I4,":"))</f>
        <v>レア</v>
      </c>
      <c r="K6" s="18" t="s">
        <v>4078</v>
      </c>
      <c r="L6" s="16" t="str">
        <f>TRIM(_xlfn.TEXTAFTER(K4,":"))</f>
        <v>희귀</v>
      </c>
      <c r="M6" s="18" t="s">
        <v>4799</v>
      </c>
      <c r="N6" s="16" t="str">
        <f>TRIM(_xlfn.TEXTAFTER(M4,":"))</f>
        <v>Raro</v>
      </c>
      <c r="O6" s="18" t="s">
        <v>5492</v>
      </c>
      <c r="P6" s="16" t="str">
        <f>TRIM(_xlfn.TEXTAFTER(O4,":"))</f>
        <v>Редкий</v>
      </c>
      <c r="Q6" s="18" t="s">
        <v>827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828</v>
      </c>
      <c r="B8" s="16"/>
      <c r="C8" s="18" t="s">
        <v>1892</v>
      </c>
      <c r="D8" s="16"/>
      <c r="E8" s="18" t="s">
        <v>2610</v>
      </c>
      <c r="F8" s="16"/>
      <c r="G8" s="18" t="s">
        <v>1155</v>
      </c>
      <c r="H8" s="16"/>
      <c r="I8" s="18" t="s">
        <v>3334</v>
      </c>
      <c r="J8" s="16"/>
      <c r="K8" s="18" t="s">
        <v>4079</v>
      </c>
      <c r="L8" s="16"/>
      <c r="M8" s="18" t="s">
        <v>4800</v>
      </c>
      <c r="N8" s="16"/>
      <c r="O8" s="18" t="s">
        <v>5493</v>
      </c>
      <c r="P8" s="16"/>
      <c r="Q8" s="18" t="s">
        <v>6200</v>
      </c>
      <c r="R8" s="16"/>
      <c r="S8" s="18"/>
      <c r="T8" s="20"/>
    </row>
    <row r="9" spans="1:20" ht="15.95" customHeight="1" x14ac:dyDescent="0.25">
      <c r="A9" s="18" t="s">
        <v>829</v>
      </c>
      <c r="B9" s="16"/>
      <c r="C9" s="18" t="s">
        <v>1893</v>
      </c>
      <c r="D9" s="16"/>
      <c r="E9" s="18" t="s">
        <v>2611</v>
      </c>
      <c r="F9" s="16"/>
      <c r="G9" s="18" t="s">
        <v>1156</v>
      </c>
      <c r="H9" s="16"/>
      <c r="I9" s="18" t="s">
        <v>3335</v>
      </c>
      <c r="J9" s="16"/>
      <c r="K9" s="18" t="s">
        <v>4080</v>
      </c>
      <c r="L9" s="16"/>
      <c r="M9" s="18" t="s">
        <v>4801</v>
      </c>
      <c r="N9" s="16"/>
      <c r="O9" s="18" t="s">
        <v>5494</v>
      </c>
      <c r="P9" s="16"/>
      <c r="Q9" s="18" t="s">
        <v>6201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110</v>
      </c>
      <c r="B11" s="16"/>
      <c r="C11" s="18" t="s">
        <v>1618</v>
      </c>
      <c r="D11" s="16"/>
      <c r="E11" s="18" t="s">
        <v>2337</v>
      </c>
      <c r="F11" s="16"/>
      <c r="G11" s="18" t="s">
        <v>5</v>
      </c>
      <c r="H11" s="16"/>
      <c r="I11" s="18" t="s">
        <v>3047</v>
      </c>
      <c r="J11" s="16"/>
      <c r="K11" s="18" t="s">
        <v>3801</v>
      </c>
      <c r="L11" s="16"/>
      <c r="M11" s="18" t="s">
        <v>2337</v>
      </c>
      <c r="N11" s="16"/>
      <c r="O11" s="18" t="s">
        <v>5212</v>
      </c>
      <c r="P11" s="16"/>
      <c r="Q11" s="18" t="s">
        <v>5957</v>
      </c>
      <c r="R11" s="16"/>
      <c r="S11" s="18"/>
      <c r="T11" s="20"/>
    </row>
    <row r="12" spans="1:20" ht="15.95" customHeight="1" x14ac:dyDescent="0.25">
      <c r="A12" s="18" t="s">
        <v>818</v>
      </c>
      <c r="B12" s="16"/>
      <c r="C12" s="18" t="s">
        <v>1894</v>
      </c>
      <c r="D12" s="16"/>
      <c r="E12" s="18" t="s">
        <v>2612</v>
      </c>
      <c r="F12" s="16"/>
      <c r="G12" s="18" t="s">
        <v>1157</v>
      </c>
      <c r="H12" s="16"/>
      <c r="I12" s="18" t="s">
        <v>3336</v>
      </c>
      <c r="J12" s="16"/>
      <c r="K12" s="18" t="s">
        <v>4081</v>
      </c>
      <c r="L12" s="16"/>
      <c r="M12" s="18" t="s">
        <v>4802</v>
      </c>
      <c r="N12" s="16"/>
      <c r="O12" s="18" t="s">
        <v>5495</v>
      </c>
      <c r="P12" s="16"/>
      <c r="Q12" s="18" t="s">
        <v>6202</v>
      </c>
      <c r="R12" s="16"/>
      <c r="S12" s="18"/>
      <c r="T12" s="20"/>
    </row>
    <row r="13" spans="1:20" ht="15.95" customHeight="1" x14ac:dyDescent="0.25">
      <c r="A13" s="18" t="s">
        <v>830</v>
      </c>
      <c r="B13" s="16"/>
      <c r="C13" s="18" t="s">
        <v>1895</v>
      </c>
      <c r="D13" s="16"/>
      <c r="E13" s="18" t="s">
        <v>2613</v>
      </c>
      <c r="F13" s="16"/>
      <c r="G13" s="18" t="s">
        <v>830</v>
      </c>
      <c r="H13" s="16"/>
      <c r="I13" s="18" t="s">
        <v>3337</v>
      </c>
      <c r="J13" s="16"/>
      <c r="K13" s="18" t="s">
        <v>4082</v>
      </c>
      <c r="L13" s="16"/>
      <c r="M13" s="18" t="s">
        <v>2613</v>
      </c>
      <c r="N13" s="16"/>
      <c r="O13" s="18" t="s">
        <v>5496</v>
      </c>
      <c r="P13" s="16"/>
      <c r="Q13" s="18" t="s">
        <v>830</v>
      </c>
      <c r="R13" s="16"/>
      <c r="S13" s="18"/>
      <c r="T13" s="20"/>
    </row>
    <row r="14" spans="1:20" ht="15.95" customHeight="1" x14ac:dyDescent="0.25">
      <c r="A14" s="18" t="s">
        <v>831</v>
      </c>
      <c r="B14" s="16"/>
      <c r="C14" s="18" t="s">
        <v>831</v>
      </c>
      <c r="D14" s="16"/>
      <c r="E14" s="18" t="s">
        <v>831</v>
      </c>
      <c r="F14" s="16"/>
      <c r="G14" s="18" t="s">
        <v>831</v>
      </c>
      <c r="H14" s="16"/>
      <c r="I14" s="18" t="s">
        <v>3338</v>
      </c>
      <c r="J14" s="16"/>
      <c r="K14" s="18" t="s">
        <v>4083</v>
      </c>
      <c r="L14" s="16"/>
      <c r="M14" s="18" t="s">
        <v>831</v>
      </c>
      <c r="N14" s="16"/>
      <c r="O14" s="18" t="s">
        <v>5497</v>
      </c>
      <c r="P14" s="16"/>
      <c r="Q14" s="18" t="s">
        <v>831</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832</v>
      </c>
      <c r="B16" s="16"/>
      <c r="C16" s="18" t="s">
        <v>1896</v>
      </c>
      <c r="D16" s="16"/>
      <c r="E16" s="18" t="s">
        <v>2614</v>
      </c>
      <c r="F16" s="16"/>
      <c r="G16" s="18" t="s">
        <v>1158</v>
      </c>
      <c r="H16" s="16"/>
      <c r="I16" s="18" t="s">
        <v>3339</v>
      </c>
      <c r="J16" s="16"/>
      <c r="K16" s="18" t="s">
        <v>4084</v>
      </c>
      <c r="L16" s="16"/>
      <c r="M16" s="18" t="s">
        <v>4803</v>
      </c>
      <c r="N16" s="16"/>
      <c r="O16" s="18" t="s">
        <v>5498</v>
      </c>
      <c r="P16" s="16"/>
      <c r="Q16" s="18" t="s">
        <v>6203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283</v>
      </c>
      <c r="B18" s="16"/>
      <c r="C18" s="18" t="s">
        <v>1759</v>
      </c>
      <c r="D18" s="16"/>
      <c r="E18" s="18" t="s">
        <v>2478</v>
      </c>
      <c r="F18" s="16"/>
      <c r="G18" s="18" t="s">
        <v>1027</v>
      </c>
      <c r="H18" s="16"/>
      <c r="I18" s="18" t="s">
        <v>3196</v>
      </c>
      <c r="J18" s="16"/>
      <c r="K18" s="18" t="s">
        <v>3943</v>
      </c>
      <c r="L18" s="16"/>
      <c r="M18" s="18" t="s">
        <v>4672</v>
      </c>
      <c r="N18" s="16"/>
      <c r="O18" s="18" t="s">
        <v>5357</v>
      </c>
      <c r="P18" s="16"/>
      <c r="Q18" s="18" t="s">
        <v>6089</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833</v>
      </c>
      <c r="B20" s="16"/>
      <c r="C20" s="18" t="s">
        <v>1897</v>
      </c>
      <c r="D20" s="16"/>
      <c r="E20" s="18" t="s">
        <v>2615</v>
      </c>
      <c r="F20" s="16"/>
      <c r="G20" s="18" t="s">
        <v>1159</v>
      </c>
      <c r="H20" s="16"/>
      <c r="I20" s="18" t="s">
        <v>3340</v>
      </c>
      <c r="J20" s="16"/>
      <c r="K20" s="18" t="s">
        <v>4085</v>
      </c>
      <c r="L20" s="16"/>
      <c r="M20" s="18" t="s">
        <v>4804</v>
      </c>
      <c r="N20" s="16"/>
      <c r="O20" s="18" t="s">
        <v>5499</v>
      </c>
      <c r="P20" s="16"/>
      <c r="Q20" s="18" t="s">
        <v>6204</v>
      </c>
      <c r="R20" s="16"/>
      <c r="S20" s="18"/>
      <c r="T20" s="20"/>
    </row>
    <row r="21" spans="1:20" ht="15.95" customHeight="1" x14ac:dyDescent="0.25">
      <c r="A21" s="18" t="s">
        <v>834</v>
      </c>
      <c r="B21" s="16"/>
      <c r="C21" s="18" t="s">
        <v>1898</v>
      </c>
      <c r="D21" s="16"/>
      <c r="E21" s="18" t="s">
        <v>2616</v>
      </c>
      <c r="F21" s="16"/>
      <c r="G21" s="18" t="s">
        <v>1160</v>
      </c>
      <c r="H21" s="16"/>
      <c r="I21" s="18" t="s">
        <v>3341</v>
      </c>
      <c r="J21" s="16"/>
      <c r="K21" s="18" t="s">
        <v>4086</v>
      </c>
      <c r="L21" s="16"/>
      <c r="M21" s="18" t="s">
        <v>4805</v>
      </c>
      <c r="N21" s="16"/>
      <c r="O21" s="18" t="s">
        <v>5500</v>
      </c>
      <c r="P21" s="16"/>
      <c r="Q21" s="18" t="s">
        <v>6205</v>
      </c>
      <c r="R21" s="16"/>
      <c r="S21" s="18"/>
      <c r="T21" s="20"/>
    </row>
    <row r="22" spans="1:20" ht="15.95" customHeight="1" x14ac:dyDescent="0.25">
      <c r="A22" s="18" t="s">
        <v>835</v>
      </c>
      <c r="B22" s="16"/>
      <c r="C22" s="18" t="s">
        <v>1899</v>
      </c>
      <c r="D22" s="16"/>
      <c r="E22" s="18" t="s">
        <v>2617</v>
      </c>
      <c r="F22" s="16"/>
      <c r="G22" s="18" t="s">
        <v>1161</v>
      </c>
      <c r="H22" s="16"/>
      <c r="I22" s="18" t="s">
        <v>3342</v>
      </c>
      <c r="J22" s="16"/>
      <c r="K22" s="18" t="s">
        <v>4087</v>
      </c>
      <c r="L22" s="16"/>
      <c r="M22" s="18" t="s">
        <v>4806</v>
      </c>
      <c r="N22" s="16"/>
      <c r="O22" s="18" t="s">
        <v>5501</v>
      </c>
      <c r="P22" s="16"/>
      <c r="Q22" s="18" t="s">
        <v>6206</v>
      </c>
      <c r="R22" s="16"/>
      <c r="S22" s="18"/>
      <c r="T22" s="20"/>
    </row>
    <row r="23" spans="1:20" ht="15.95" customHeight="1" x14ac:dyDescent="0.25">
      <c r="A23" s="18" t="s">
        <v>836</v>
      </c>
      <c r="B23" s="16"/>
      <c r="C23" s="18" t="s">
        <v>1900</v>
      </c>
      <c r="D23" s="16"/>
      <c r="E23" s="18" t="s">
        <v>2618</v>
      </c>
      <c r="F23" s="16"/>
      <c r="G23" s="18" t="s">
        <v>1162</v>
      </c>
      <c r="H23" s="16"/>
      <c r="I23" s="18" t="s">
        <v>3343</v>
      </c>
      <c r="J23" s="16"/>
      <c r="K23" s="18" t="s">
        <v>4088</v>
      </c>
      <c r="L23" s="16"/>
      <c r="M23" s="18" t="s">
        <v>4807</v>
      </c>
      <c r="N23" s="16"/>
      <c r="O23" s="18" t="s">
        <v>5502</v>
      </c>
      <c r="P23" s="16"/>
      <c r="Q23" s="18" t="s">
        <v>6207</v>
      </c>
      <c r="R23" s="16"/>
      <c r="S23" s="18"/>
      <c r="T23" s="20"/>
    </row>
    <row r="24" spans="1:20" ht="15.95" customHeight="1" x14ac:dyDescent="0.25">
      <c r="A24" s="18" t="s">
        <v>837</v>
      </c>
      <c r="B24" s="16"/>
      <c r="C24" s="18" t="s">
        <v>1901</v>
      </c>
      <c r="D24" s="16"/>
      <c r="E24" s="18" t="s">
        <v>2619</v>
      </c>
      <c r="F24" s="16"/>
      <c r="G24" s="18" t="s">
        <v>1163</v>
      </c>
      <c r="H24" s="16"/>
      <c r="I24" s="18" t="s">
        <v>3344</v>
      </c>
      <c r="J24" s="16"/>
      <c r="K24" s="18" t="s">
        <v>4089</v>
      </c>
      <c r="L24" s="16"/>
      <c r="M24" s="18" t="s">
        <v>4808</v>
      </c>
      <c r="N24" s="16"/>
      <c r="O24" s="18" t="s">
        <v>5503</v>
      </c>
      <c r="P24" s="16"/>
      <c r="Q24" s="18" t="s">
        <v>6208</v>
      </c>
      <c r="R24" s="16"/>
      <c r="S24" s="18"/>
      <c r="T24" s="20"/>
    </row>
    <row r="25" spans="1:20" ht="15.95" customHeight="1" x14ac:dyDescent="0.25">
      <c r="A25" s="18" t="s">
        <v>838</v>
      </c>
      <c r="B25" s="16"/>
      <c r="C25" s="18" t="s">
        <v>1902</v>
      </c>
      <c r="D25" s="16"/>
      <c r="E25" s="18" t="s">
        <v>2620</v>
      </c>
      <c r="F25" s="16"/>
      <c r="G25" s="18" t="s">
        <v>1164</v>
      </c>
      <c r="H25" s="16"/>
      <c r="I25" s="18" t="s">
        <v>3345</v>
      </c>
      <c r="J25" s="16"/>
      <c r="K25" s="18" t="s">
        <v>4090</v>
      </c>
      <c r="L25" s="16"/>
      <c r="M25" s="18" t="s">
        <v>4809</v>
      </c>
      <c r="N25" s="16"/>
      <c r="O25" s="18" t="s">
        <v>5504</v>
      </c>
      <c r="P25" s="16"/>
      <c r="Q25" s="18" t="s">
        <v>6209</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839</v>
      </c>
      <c r="B27" s="16" t="str">
        <f>A27</f>
        <v>Elder Item</v>
      </c>
      <c r="C27" s="18" t="s">
        <v>1903</v>
      </c>
      <c r="D27" s="16" t="str">
        <f>C27</f>
        <v>Ältesten-Gegenstand</v>
      </c>
      <c r="E27" s="18" t="s">
        <v>2621</v>
      </c>
      <c r="F27" s="16" t="str">
        <f>E27</f>
        <v>Objeto del Antiguo</v>
      </c>
      <c r="G27" s="18" t="s">
        <v>1165</v>
      </c>
      <c r="H27" s="16" t="str">
        <f>G27</f>
        <v>Objet de l'Ancien</v>
      </c>
      <c r="I27" s="18" t="s">
        <v>3346</v>
      </c>
      <c r="J27" s="16" t="str">
        <f>I27</f>
        <v>エルダーアイテム</v>
      </c>
      <c r="K27" s="18" t="s">
        <v>4091</v>
      </c>
      <c r="L27" s="16" t="str">
        <f>K27</f>
        <v>엘더 아이템</v>
      </c>
      <c r="M27" s="18" t="s">
        <v>4810</v>
      </c>
      <c r="N27" s="16" t="str">
        <f>M27</f>
        <v>Item do Ancião</v>
      </c>
      <c r="O27" s="18" t="s">
        <v>5505</v>
      </c>
      <c r="P27" s="16" t="str">
        <f>O27</f>
        <v>Древний предмет</v>
      </c>
      <c r="Q27" s="18" t="s">
        <v>6210</v>
      </c>
      <c r="R27" s="16" t="str">
        <f>Q27</f>
        <v>ไอเทมเอลเดอร์</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62" priority="2" stopIfTrue="1">
      <formula>NOT(ISERROR(A3))</formula>
    </cfRule>
  </conditionalFormatting>
  <conditionalFormatting sqref="A3:T51">
    <cfRule type="containsErrors" dxfId="161" priority="1" stopIfTrue="1">
      <formula>ISERROR(A3)</formula>
    </cfRule>
    <cfRule type="notContainsBlanks" dxfId="160"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444</v>
      </c>
      <c r="B3" s="16" t="str">
        <f>TRIM(_xlfn.TEXTBEFORE(A3, ":"))</f>
        <v>Item Class</v>
      </c>
      <c r="C3" s="17" t="s">
        <v>1889</v>
      </c>
      <c r="D3" s="16" t="str">
        <f>TRIM(_xlfn.TEXTBEFORE(C3, ":"))</f>
        <v>Gegenstandsklasse</v>
      </c>
      <c r="E3" s="17" t="s">
        <v>2607</v>
      </c>
      <c r="F3" s="16" t="str">
        <f>TRIM(_xlfn.TEXTBEFORE(E3, ":"))</f>
        <v>Clase de objeto</v>
      </c>
      <c r="G3" s="17" t="s">
        <v>1152</v>
      </c>
      <c r="H3" s="16" t="str">
        <f>TRIM(_xlfn.TEXTBEFORE(G3, ":"))</f>
        <v>Classe d'objet</v>
      </c>
      <c r="I3" s="17" t="s">
        <v>3331</v>
      </c>
      <c r="J3" s="16" t="str">
        <f>TRIM(_xlfn.TEXTBEFORE(I3, ":"))</f>
        <v>アイテムクラス</v>
      </c>
      <c r="K3" s="17" t="s">
        <v>4076</v>
      </c>
      <c r="L3" s="16" t="str">
        <f>TRIM(_xlfn.TEXTBEFORE(K3, ":"))</f>
        <v>아이템 종류</v>
      </c>
      <c r="M3" s="17" t="s">
        <v>4797</v>
      </c>
      <c r="N3" s="16" t="str">
        <f>TRIM(_xlfn.TEXTBEFORE(M3, ":"))</f>
        <v>Classe do Item</v>
      </c>
      <c r="O3" s="17" t="s">
        <v>5490</v>
      </c>
      <c r="P3" s="16" t="str">
        <f>TRIM(_xlfn.TEXTBEFORE(O3, ":"))</f>
        <v>Класс предмета</v>
      </c>
      <c r="Q3" s="17" t="s">
        <v>6199</v>
      </c>
      <c r="R3" s="16" t="str">
        <f>TRIM(_xlfn.TEXTBEFORE(Q3, ":"))</f>
        <v>ชนิดไอเทม</v>
      </c>
      <c r="S3" s="17"/>
      <c r="T3" s="20" t="e">
        <f>TRIM(_xlfn.TEXTBEFORE(S3, ":"))</f>
        <v>#N/A</v>
      </c>
    </row>
    <row r="4" spans="1:20" ht="15.95" customHeight="1" x14ac:dyDescent="0.25">
      <c r="A4" s="18" t="s">
        <v>513</v>
      </c>
      <c r="B4" s="16" t="str">
        <f>TRIM(_xlfn.TEXTAFTER(A3, ":"))</f>
        <v>Boots</v>
      </c>
      <c r="C4" s="18" t="s">
        <v>1879</v>
      </c>
      <c r="D4" s="16" t="str">
        <f>TRIM(_xlfn.TEXTAFTER(C3, ":"))</f>
        <v>Stiefel</v>
      </c>
      <c r="E4" s="18" t="s">
        <v>2597</v>
      </c>
      <c r="F4" s="16" t="str">
        <f>TRIM(_xlfn.TEXTAFTER(E3, ":"))</f>
        <v>Botas</v>
      </c>
      <c r="G4" s="18" t="s">
        <v>1142</v>
      </c>
      <c r="H4" s="16" t="str">
        <f>TRIM(_xlfn.TEXTAFTER(G3, ":"))</f>
        <v>Bottes</v>
      </c>
      <c r="I4" s="18" t="s">
        <v>3321</v>
      </c>
      <c r="J4" s="16" t="str">
        <f>TRIM(_xlfn.TEXTAFTER(I3, ":"))</f>
        <v>靴</v>
      </c>
      <c r="K4" s="18" t="s">
        <v>4066</v>
      </c>
      <c r="L4" s="16" t="str">
        <f>TRIM(_xlfn.TEXTAFTER(K3, ":"))</f>
        <v>장화</v>
      </c>
      <c r="M4" s="18" t="s">
        <v>4787</v>
      </c>
      <c r="N4" s="16" t="str">
        <f>TRIM(_xlfn.TEXTAFTER(M3, ":"))</f>
        <v>Botas</v>
      </c>
      <c r="O4" s="18" t="s">
        <v>5480</v>
      </c>
      <c r="P4" s="16" t="str">
        <f>TRIM(_xlfn.TEXTAFTER(O3, ":"))</f>
        <v>Обувь</v>
      </c>
      <c r="Q4" s="18" t="s">
        <v>6191</v>
      </c>
      <c r="R4" s="16" t="str">
        <f>TRIM(_xlfn.TEXTAFTER(Q3, ":"))</f>
        <v>รองเท้า</v>
      </c>
      <c r="S4" s="18"/>
      <c r="T4" s="20" t="e">
        <f>TRIM(_xlfn.TEXTAFTER(S3, ":"))</f>
        <v>#N/A</v>
      </c>
    </row>
    <row r="5" spans="1:20" ht="15.95" customHeight="1" x14ac:dyDescent="0.25">
      <c r="A5" s="18" t="s">
        <v>815</v>
      </c>
      <c r="B5" s="16" t="str">
        <f>TRIM(_xlfn.TEXTBEFORE(A4, ":"))</f>
        <v>Rarity</v>
      </c>
      <c r="C5" s="18" t="s">
        <v>1904</v>
      </c>
      <c r="D5" s="16" t="str">
        <f>TRIM(_xlfn.TEXTBEFORE(C4, ":"))</f>
        <v>Seltenheit</v>
      </c>
      <c r="E5" s="18" t="s">
        <v>2622</v>
      </c>
      <c r="F5" s="16" t="str">
        <f>TRIM(_xlfn.TEXTBEFORE(E4, ":"))</f>
        <v>Rareza</v>
      </c>
      <c r="G5" s="18" t="s">
        <v>1166</v>
      </c>
      <c r="H5" s="16" t="str">
        <f>TRIM(_xlfn.TEXTBEFORE(G4, ":"))</f>
        <v>Rareté</v>
      </c>
      <c r="I5" s="18" t="s">
        <v>3347</v>
      </c>
      <c r="J5" s="16" t="str">
        <f>TRIM(_xlfn.TEXTBEFORE(I4, ":"))</f>
        <v>レアリティ</v>
      </c>
      <c r="K5" s="18" t="s">
        <v>4092</v>
      </c>
      <c r="L5" s="16" t="str">
        <f>TRIM(_xlfn.TEXTBEFORE(K4, ":"))</f>
        <v>아이템 희귀도</v>
      </c>
      <c r="M5" s="18" t="s">
        <v>4811</v>
      </c>
      <c r="N5" s="16" t="str">
        <f>TRIM(_xlfn.TEXTBEFORE(M4, ":"))</f>
        <v>Raridade</v>
      </c>
      <c r="O5" s="18" t="s">
        <v>5506</v>
      </c>
      <c r="P5" s="16" t="str">
        <f>TRIM(_xlfn.TEXTBEFORE(O4, ":"))</f>
        <v>Редкость</v>
      </c>
      <c r="Q5" s="18" t="s">
        <v>815</v>
      </c>
      <c r="R5" s="16" t="str">
        <f>TRIM(_xlfn.TEXTBEFORE(Q4, ":"))</f>
        <v>ความหายาก</v>
      </c>
      <c r="S5" s="18"/>
      <c r="T5" s="20" t="e">
        <f>TRIM(_xlfn.TEXTBEFORE(S4, ":"))</f>
        <v>#N/A</v>
      </c>
    </row>
    <row r="6" spans="1:20" ht="15.95" customHeight="1" x14ac:dyDescent="0.25">
      <c r="A6" s="18" t="s">
        <v>816</v>
      </c>
      <c r="B6" s="16" t="str">
        <f>TRIM(_xlfn.TEXTAFTER(A4,":"))</f>
        <v>Rare</v>
      </c>
      <c r="C6" s="18" t="s">
        <v>1905</v>
      </c>
      <c r="D6" s="16" t="str">
        <f>TRIM(_xlfn.TEXTAFTER(C4,":"))</f>
        <v>Selten</v>
      </c>
      <c r="E6" s="18" t="s">
        <v>2623</v>
      </c>
      <c r="F6" s="16" t="str">
        <f>TRIM(_xlfn.TEXTAFTER(E4,":"))</f>
        <v>Raro</v>
      </c>
      <c r="G6" s="18" t="s">
        <v>1167</v>
      </c>
      <c r="H6" s="16" t="str">
        <f>TRIM(_xlfn.TEXTAFTER(G4,":"))</f>
        <v>Rare</v>
      </c>
      <c r="I6" s="18" t="s">
        <v>3348</v>
      </c>
      <c r="J6" s="16" t="str">
        <f>TRIM(_xlfn.TEXTAFTER(I4,":"))</f>
        <v>レア</v>
      </c>
      <c r="K6" s="18" t="s">
        <v>4093</v>
      </c>
      <c r="L6" s="16" t="str">
        <f>TRIM(_xlfn.TEXTAFTER(K4,":"))</f>
        <v>희귀</v>
      </c>
      <c r="M6" s="18" t="s">
        <v>4812</v>
      </c>
      <c r="N6" s="16" t="str">
        <f>TRIM(_xlfn.TEXTAFTER(M4,":"))</f>
        <v>Raro</v>
      </c>
      <c r="O6" s="18" t="s">
        <v>5507</v>
      </c>
      <c r="P6" s="16" t="str">
        <f>TRIM(_xlfn.TEXTAFTER(O4,":"))</f>
        <v>Редкий</v>
      </c>
      <c r="Q6" s="18" t="s">
        <v>816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817</v>
      </c>
      <c r="B8" s="16"/>
      <c r="C8" s="18" t="s">
        <v>1906</v>
      </c>
      <c r="D8" s="16"/>
      <c r="E8" s="18" t="s">
        <v>2624</v>
      </c>
      <c r="F8" s="16"/>
      <c r="G8" s="18" t="s">
        <v>1168</v>
      </c>
      <c r="H8" s="16"/>
      <c r="I8" s="18" t="s">
        <v>3349</v>
      </c>
      <c r="J8" s="16"/>
      <c r="K8" s="18" t="s">
        <v>4094</v>
      </c>
      <c r="L8" s="16"/>
      <c r="M8" s="18" t="s">
        <v>4813</v>
      </c>
      <c r="N8" s="16"/>
      <c r="O8" s="18" t="s">
        <v>5508</v>
      </c>
      <c r="P8" s="16"/>
      <c r="Q8" s="18" t="s">
        <v>6211</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t="s">
        <v>5212</v>
      </c>
      <c r="P10" s="16"/>
      <c r="Q10" s="18" t="s">
        <v>5957</v>
      </c>
      <c r="R10" s="16"/>
      <c r="S10" s="18"/>
      <c r="T10" s="20"/>
    </row>
    <row r="11" spans="1:20" ht="15.95" customHeight="1" x14ac:dyDescent="0.25">
      <c r="A11" s="18" t="s">
        <v>818</v>
      </c>
      <c r="B11" s="16"/>
      <c r="C11" s="18" t="s">
        <v>1894</v>
      </c>
      <c r="D11" s="16"/>
      <c r="E11" s="18" t="s">
        <v>2612</v>
      </c>
      <c r="F11" s="16"/>
      <c r="G11" s="18" t="s">
        <v>1157</v>
      </c>
      <c r="H11" s="16"/>
      <c r="I11" s="18" t="s">
        <v>3336</v>
      </c>
      <c r="J11" s="16"/>
      <c r="K11" s="18" t="s">
        <v>4081</v>
      </c>
      <c r="L11" s="16"/>
      <c r="M11" s="18" t="s">
        <v>4802</v>
      </c>
      <c r="N11" s="16"/>
      <c r="O11" s="18" t="s">
        <v>5495</v>
      </c>
      <c r="P11" s="16"/>
      <c r="Q11" s="18" t="s">
        <v>6202</v>
      </c>
      <c r="R11" s="16"/>
      <c r="S11" s="18"/>
      <c r="T11" s="20"/>
    </row>
    <row r="12" spans="1:20" ht="15.95" customHeight="1" x14ac:dyDescent="0.25">
      <c r="A12" s="18" t="s">
        <v>819</v>
      </c>
      <c r="B12" s="16"/>
      <c r="C12" s="18" t="s">
        <v>1907</v>
      </c>
      <c r="D12" s="16"/>
      <c r="E12" s="18" t="s">
        <v>2625</v>
      </c>
      <c r="F12" s="16"/>
      <c r="G12" s="18" t="s">
        <v>819</v>
      </c>
      <c r="H12" s="16"/>
      <c r="I12" s="18" t="s">
        <v>3350</v>
      </c>
      <c r="J12" s="16"/>
      <c r="K12" s="18" t="s">
        <v>4095</v>
      </c>
      <c r="L12" s="16"/>
      <c r="M12" s="18" t="s">
        <v>2625</v>
      </c>
      <c r="N12" s="16"/>
      <c r="O12" s="18" t="s">
        <v>5509</v>
      </c>
      <c r="P12" s="16"/>
      <c r="Q12" s="18" t="s">
        <v>819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820</v>
      </c>
      <c r="B14" s="16"/>
      <c r="C14" s="18" t="s">
        <v>1908</v>
      </c>
      <c r="D14" s="16"/>
      <c r="E14" s="18" t="s">
        <v>2626</v>
      </c>
      <c r="F14" s="16"/>
      <c r="G14" s="18" t="s">
        <v>1169</v>
      </c>
      <c r="H14" s="16"/>
      <c r="I14" s="18" t="s">
        <v>3351</v>
      </c>
      <c r="J14" s="16"/>
      <c r="K14" s="18" t="s">
        <v>4096</v>
      </c>
      <c r="L14" s="16"/>
      <c r="M14" s="18" t="s">
        <v>4814</v>
      </c>
      <c r="N14" s="16"/>
      <c r="O14" s="18" t="s">
        <v>5510</v>
      </c>
      <c r="P14" s="16"/>
      <c r="Q14" s="18" t="s">
        <v>6212</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340</v>
      </c>
      <c r="B16" s="16"/>
      <c r="C16" s="18" t="s">
        <v>1909</v>
      </c>
      <c r="D16" s="16"/>
      <c r="E16" s="18" t="s">
        <v>2627</v>
      </c>
      <c r="F16" s="16"/>
      <c r="G16" s="18" t="s">
        <v>1170</v>
      </c>
      <c r="H16" s="16"/>
      <c r="I16" s="18" t="s">
        <v>3352</v>
      </c>
      <c r="J16" s="16"/>
      <c r="K16" s="18" t="s">
        <v>4097</v>
      </c>
      <c r="L16" s="16"/>
      <c r="M16" s="18" t="s">
        <v>4815</v>
      </c>
      <c r="N16" s="16"/>
      <c r="O16" s="18" t="s">
        <v>5511</v>
      </c>
      <c r="P16" s="16"/>
      <c r="Q16" s="18" t="s">
        <v>6213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821</v>
      </c>
      <c r="B18" s="16"/>
      <c r="C18" s="18" t="s">
        <v>1910</v>
      </c>
      <c r="D18" s="16"/>
      <c r="E18" s="18" t="s">
        <v>2628</v>
      </c>
      <c r="F18" s="16"/>
      <c r="G18" s="18" t="s">
        <v>1171</v>
      </c>
      <c r="H18" s="16"/>
      <c r="I18" s="18" t="s">
        <v>3353</v>
      </c>
      <c r="J18" s="16"/>
      <c r="K18" s="18" t="s">
        <v>4098</v>
      </c>
      <c r="L18" s="16"/>
      <c r="M18" s="18" t="s">
        <v>4816</v>
      </c>
      <c r="N18" s="16"/>
      <c r="O18" s="18" t="s">
        <v>5512</v>
      </c>
      <c r="P18" s="16"/>
      <c r="Q18" s="18" t="s">
        <v>6214</v>
      </c>
      <c r="R18" s="16"/>
      <c r="S18" s="18"/>
      <c r="T18" s="20"/>
    </row>
    <row r="19" spans="1:20" ht="15.95" customHeight="1" x14ac:dyDescent="0.25">
      <c r="A19" s="18" t="s">
        <v>822</v>
      </c>
      <c r="B19" s="16"/>
      <c r="C19" s="18" t="s">
        <v>1911</v>
      </c>
      <c r="D19" s="16"/>
      <c r="E19" s="18" t="s">
        <v>2629</v>
      </c>
      <c r="F19" s="16"/>
      <c r="G19" s="18" t="s">
        <v>1172</v>
      </c>
      <c r="H19" s="16"/>
      <c r="I19" s="18" t="s">
        <v>3354</v>
      </c>
      <c r="J19" s="16"/>
      <c r="K19" s="18" t="s">
        <v>4099</v>
      </c>
      <c r="L19" s="16"/>
      <c r="M19" s="18" t="s">
        <v>4817</v>
      </c>
      <c r="N19" s="16"/>
      <c r="O19" s="18" t="s">
        <v>5513</v>
      </c>
      <c r="P19" s="16"/>
      <c r="Q19" s="18" t="s">
        <v>6215</v>
      </c>
      <c r="R19" s="16"/>
      <c r="S19" s="18"/>
      <c r="T19" s="20"/>
    </row>
    <row r="20" spans="1:20" ht="15.95" customHeight="1" x14ac:dyDescent="0.25">
      <c r="A20" s="18" t="s">
        <v>823</v>
      </c>
      <c r="B20" s="16"/>
      <c r="C20" s="18" t="s">
        <v>1912</v>
      </c>
      <c r="D20" s="16"/>
      <c r="E20" s="18" t="s">
        <v>2630</v>
      </c>
      <c r="F20" s="16"/>
      <c r="G20" s="18" t="s">
        <v>1173</v>
      </c>
      <c r="H20" s="16"/>
      <c r="I20" s="18" t="s">
        <v>3355</v>
      </c>
      <c r="J20" s="16"/>
      <c r="K20" s="18" t="s">
        <v>4100</v>
      </c>
      <c r="L20" s="16"/>
      <c r="M20" s="18" t="s">
        <v>4818</v>
      </c>
      <c r="N20" s="16"/>
      <c r="O20" s="18" t="s">
        <v>5514</v>
      </c>
      <c r="P20" s="16"/>
      <c r="Q20" s="18" t="s">
        <v>6216</v>
      </c>
      <c r="R20" s="16"/>
      <c r="S20" s="18"/>
      <c r="T20" s="20"/>
    </row>
    <row r="21" spans="1:20" ht="15.95" customHeight="1" x14ac:dyDescent="0.25">
      <c r="A21" s="18" t="s">
        <v>824</v>
      </c>
      <c r="B21" s="16"/>
      <c r="C21" s="18" t="s">
        <v>1913</v>
      </c>
      <c r="D21" s="16"/>
      <c r="E21" s="18" t="s">
        <v>2631</v>
      </c>
      <c r="F21" s="16"/>
      <c r="G21" s="18" t="s">
        <v>1174</v>
      </c>
      <c r="H21" s="16"/>
      <c r="I21" s="18" t="s">
        <v>3356</v>
      </c>
      <c r="J21" s="16"/>
      <c r="K21" s="18" t="s">
        <v>4101</v>
      </c>
      <c r="L21" s="16"/>
      <c r="M21" s="18" t="s">
        <v>4819</v>
      </c>
      <c r="N21" s="16"/>
      <c r="O21" s="18" t="s">
        <v>5515</v>
      </c>
      <c r="P21" s="16"/>
      <c r="Q21" s="18" t="s">
        <v>6217</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825</v>
      </c>
      <c r="B23" s="16" t="str">
        <f>A23</f>
        <v>Hunter Item</v>
      </c>
      <c r="C23" s="18" t="s">
        <v>1914</v>
      </c>
      <c r="D23" s="16" t="str">
        <f>C23</f>
        <v>Jäger-Gegenstand</v>
      </c>
      <c r="E23" s="18" t="s">
        <v>2632</v>
      </c>
      <c r="F23" s="16" t="str">
        <f>E23</f>
        <v>Objeto del Cazador</v>
      </c>
      <c r="G23" s="18" t="s">
        <v>1175</v>
      </c>
      <c r="H23" s="16" t="str">
        <f>G23</f>
        <v>Objet du Chasseur</v>
      </c>
      <c r="I23" s="18" t="s">
        <v>3357</v>
      </c>
      <c r="J23" s="16" t="str">
        <f>I23</f>
        <v>ハンターアイテム</v>
      </c>
      <c r="K23" s="18" t="s">
        <v>4102</v>
      </c>
      <c r="L23" s="16" t="str">
        <f>K23</f>
        <v>사냥꾼 아이템</v>
      </c>
      <c r="M23" s="18" t="s">
        <v>4820</v>
      </c>
      <c r="N23" s="16" t="str">
        <f>M23</f>
        <v>Item do Caçador</v>
      </c>
      <c r="O23" s="18" t="s">
        <v>5516</v>
      </c>
      <c r="P23" s="16" t="str">
        <f>O23</f>
        <v>Предмет Охотника</v>
      </c>
      <c r="Q23" s="18" t="s">
        <v>6218</v>
      </c>
      <c r="R23" s="16" t="str">
        <f>Q23</f>
        <v>ไอเทมผู้พิชิตเหยื่อ</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59" priority="2" stopIfTrue="1">
      <formula>NOT(ISERROR(A3))</formula>
    </cfRule>
  </conditionalFormatting>
  <conditionalFormatting sqref="A3:T51">
    <cfRule type="containsErrors" dxfId="158" priority="1" stopIfTrue="1">
      <formula>ISERROR(A3)</formula>
    </cfRule>
    <cfRule type="notContainsBlanks" dxfId="157"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542</v>
      </c>
      <c r="B3" s="16" t="str">
        <f>TRIM(_xlfn.TEXTBEFORE(A3, ":"))</f>
        <v>Item Class</v>
      </c>
      <c r="C3" s="17" t="s">
        <v>1810</v>
      </c>
      <c r="D3" s="16" t="str">
        <f>TRIM(_xlfn.TEXTBEFORE(C3, ":"))</f>
        <v>Gegenstandsklasse</v>
      </c>
      <c r="E3" s="17" t="s">
        <v>2529</v>
      </c>
      <c r="F3" s="16" t="str">
        <f>TRIM(_xlfn.TEXTBEFORE(E3, ":"))</f>
        <v>Clase de objeto</v>
      </c>
      <c r="G3" s="17" t="s">
        <v>1078</v>
      </c>
      <c r="H3" s="16" t="str">
        <f>TRIM(_xlfn.TEXTBEFORE(G3, ":"))</f>
        <v>Classe d'objet</v>
      </c>
      <c r="I3" s="17" t="s">
        <v>3248</v>
      </c>
      <c r="J3" s="16" t="str">
        <f>TRIM(_xlfn.TEXTBEFORE(I3, ":"))</f>
        <v>アイテムクラス</v>
      </c>
      <c r="K3" s="17" t="s">
        <v>3994</v>
      </c>
      <c r="L3" s="16" t="str">
        <f>TRIM(_xlfn.TEXTBEFORE(K3, ":"))</f>
        <v>아이템 종류</v>
      </c>
      <c r="M3" s="17" t="s">
        <v>4723</v>
      </c>
      <c r="N3" s="16" t="str">
        <f>TRIM(_xlfn.TEXTBEFORE(M3, ":"))</f>
        <v>Classe do Item</v>
      </c>
      <c r="O3" s="17" t="s">
        <v>5408</v>
      </c>
      <c r="P3" s="16" t="str">
        <f>TRIM(_xlfn.TEXTBEFORE(O3, ":"))</f>
        <v>Класс предмета</v>
      </c>
      <c r="Q3" s="17" t="s">
        <v>6134</v>
      </c>
      <c r="R3" s="16" t="str">
        <f>TRIM(_xlfn.TEXTBEFORE(Q3, ":"))</f>
        <v>ชนิดไอเทม</v>
      </c>
      <c r="S3" s="17"/>
      <c r="T3" s="20" t="e">
        <f>TRIM(_xlfn.TEXTBEFORE(S3, ":"))</f>
        <v>#N/A</v>
      </c>
    </row>
    <row r="4" spans="1:20" ht="15.95" customHeight="1" x14ac:dyDescent="0.25">
      <c r="A4" s="18" t="s">
        <v>513</v>
      </c>
      <c r="B4" s="16" t="str">
        <f>TRIM(_xlfn.TEXTAFTER(A3, ":"))</f>
        <v>Rings</v>
      </c>
      <c r="C4" s="18" t="s">
        <v>1879</v>
      </c>
      <c r="D4" s="16" t="str">
        <f>TRIM(_xlfn.TEXTAFTER(C3, ":"))</f>
        <v>Ringe</v>
      </c>
      <c r="E4" s="18" t="s">
        <v>2597</v>
      </c>
      <c r="F4" s="16" t="str">
        <f>TRIM(_xlfn.TEXTAFTER(E3, ":"))</f>
        <v>Anillos</v>
      </c>
      <c r="G4" s="18" t="s">
        <v>1142</v>
      </c>
      <c r="H4" s="16" t="str">
        <f>TRIM(_xlfn.TEXTAFTER(G3, ":"))</f>
        <v>Bagues</v>
      </c>
      <c r="I4" s="18" t="s">
        <v>3321</v>
      </c>
      <c r="J4" s="16" t="str">
        <f>TRIM(_xlfn.TEXTAFTER(I3, ":"))</f>
        <v>指輪</v>
      </c>
      <c r="K4" s="18" t="s">
        <v>4066</v>
      </c>
      <c r="L4" s="16" t="str">
        <f>TRIM(_xlfn.TEXTAFTER(K3, ":"))</f>
        <v>반지</v>
      </c>
      <c r="M4" s="18" t="s">
        <v>4787</v>
      </c>
      <c r="N4" s="16" t="str">
        <f>TRIM(_xlfn.TEXTAFTER(M3, ":"))</f>
        <v>Anéis</v>
      </c>
      <c r="O4" s="18" t="s">
        <v>5480</v>
      </c>
      <c r="P4" s="16" t="str">
        <f>TRIM(_xlfn.TEXTAFTER(O3, ":"))</f>
        <v>Кольца</v>
      </c>
      <c r="Q4" s="18" t="s">
        <v>6191</v>
      </c>
      <c r="R4" s="16" t="str">
        <f>TRIM(_xlfn.TEXTAFTER(Q3, ":"))</f>
        <v>แหวน</v>
      </c>
      <c r="S4" s="18"/>
      <c r="T4" s="20" t="e">
        <f>TRIM(_xlfn.TEXTAFTER(S3, ":"))</f>
        <v>#N/A</v>
      </c>
    </row>
    <row r="5" spans="1:20" ht="15.95" customHeight="1" x14ac:dyDescent="0.25">
      <c r="A5" s="18" t="s">
        <v>840</v>
      </c>
      <c r="B5" s="16" t="str">
        <f>TRIM(_xlfn.TEXTBEFORE(A4, ":"))</f>
        <v>Rarity</v>
      </c>
      <c r="C5" s="18" t="s">
        <v>1915</v>
      </c>
      <c r="D5" s="16" t="str">
        <f>TRIM(_xlfn.TEXTBEFORE(C4, ":"))</f>
        <v>Seltenheit</v>
      </c>
      <c r="E5" s="18" t="s">
        <v>2633</v>
      </c>
      <c r="F5" s="16" t="str">
        <f>TRIM(_xlfn.TEXTBEFORE(E4, ":"))</f>
        <v>Rareza</v>
      </c>
      <c r="G5" s="18" t="s">
        <v>1176</v>
      </c>
      <c r="H5" s="16" t="str">
        <f>TRIM(_xlfn.TEXTBEFORE(G4, ":"))</f>
        <v>Rareté</v>
      </c>
      <c r="I5" s="18" t="s">
        <v>3358</v>
      </c>
      <c r="J5" s="16" t="str">
        <f>TRIM(_xlfn.TEXTBEFORE(I4, ":"))</f>
        <v>レアリティ</v>
      </c>
      <c r="K5" s="18" t="s">
        <v>4103</v>
      </c>
      <c r="L5" s="16" t="str">
        <f>TRIM(_xlfn.TEXTBEFORE(K4, ":"))</f>
        <v>아이템 희귀도</v>
      </c>
      <c r="M5" s="18" t="s">
        <v>4821</v>
      </c>
      <c r="N5" s="16" t="str">
        <f>TRIM(_xlfn.TEXTBEFORE(M4, ":"))</f>
        <v>Raridade</v>
      </c>
      <c r="O5" s="18" t="s">
        <v>5517</v>
      </c>
      <c r="P5" s="16" t="str">
        <f>TRIM(_xlfn.TEXTBEFORE(O4, ":"))</f>
        <v>Редкость</v>
      </c>
      <c r="Q5" s="18" t="s">
        <v>840</v>
      </c>
      <c r="R5" s="16" t="str">
        <f>TRIM(_xlfn.TEXTBEFORE(Q4, ":"))</f>
        <v>ความหายาก</v>
      </c>
      <c r="S5" s="18"/>
      <c r="T5" s="20" t="e">
        <f>TRIM(_xlfn.TEXTBEFORE(S4, ":"))</f>
        <v>#N/A</v>
      </c>
    </row>
    <row r="6" spans="1:20" ht="15.95" customHeight="1" x14ac:dyDescent="0.25">
      <c r="A6" s="18" t="s">
        <v>841</v>
      </c>
      <c r="B6" s="16" t="str">
        <f>TRIM(_xlfn.TEXTAFTER(A4,":"))</f>
        <v>Rare</v>
      </c>
      <c r="C6" s="18" t="s">
        <v>1916</v>
      </c>
      <c r="D6" s="16" t="str">
        <f>TRIM(_xlfn.TEXTAFTER(C4,":"))</f>
        <v>Selten</v>
      </c>
      <c r="E6" s="18" t="s">
        <v>2634</v>
      </c>
      <c r="F6" s="16" t="str">
        <f>TRIM(_xlfn.TEXTAFTER(E4,":"))</f>
        <v>Raro</v>
      </c>
      <c r="G6" s="18" t="s">
        <v>1177</v>
      </c>
      <c r="H6" s="16" t="str">
        <f>TRIM(_xlfn.TEXTAFTER(G4,":"))</f>
        <v>Rare</v>
      </c>
      <c r="I6" s="18" t="s">
        <v>3359</v>
      </c>
      <c r="J6" s="16" t="str">
        <f>TRIM(_xlfn.TEXTAFTER(I4,":"))</f>
        <v>レア</v>
      </c>
      <c r="K6" s="18" t="s">
        <v>4104</v>
      </c>
      <c r="L6" s="16" t="str">
        <f>TRIM(_xlfn.TEXTAFTER(K4,":"))</f>
        <v>희귀</v>
      </c>
      <c r="M6" s="18" t="s">
        <v>4822</v>
      </c>
      <c r="N6" s="16" t="str">
        <f>TRIM(_xlfn.TEXTAFTER(M4,":"))</f>
        <v>Raro</v>
      </c>
      <c r="O6" s="18" t="s">
        <v>5518</v>
      </c>
      <c r="P6" s="16" t="str">
        <f>TRIM(_xlfn.TEXTAFTER(O4,":"))</f>
        <v>Редкий</v>
      </c>
      <c r="Q6" s="18" t="s">
        <v>841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t="s">
        <v>5212</v>
      </c>
      <c r="P8" s="16"/>
      <c r="Q8" s="18" t="s">
        <v>5957</v>
      </c>
      <c r="R8" s="16"/>
      <c r="S8" s="18"/>
      <c r="T8" s="20"/>
    </row>
    <row r="9" spans="1:20" ht="15.95" customHeight="1" x14ac:dyDescent="0.25">
      <c r="A9" s="18" t="s">
        <v>842</v>
      </c>
      <c r="B9" s="16"/>
      <c r="C9" s="18" t="s">
        <v>1917</v>
      </c>
      <c r="D9" s="16"/>
      <c r="E9" s="18" t="s">
        <v>2635</v>
      </c>
      <c r="F9" s="16"/>
      <c r="G9" s="18" t="s">
        <v>1178</v>
      </c>
      <c r="H9" s="16"/>
      <c r="I9" s="18" t="s">
        <v>3360</v>
      </c>
      <c r="J9" s="16"/>
      <c r="K9" s="18" t="s">
        <v>4105</v>
      </c>
      <c r="L9" s="16"/>
      <c r="M9" s="18" t="s">
        <v>4823</v>
      </c>
      <c r="N9" s="16"/>
      <c r="O9" s="18" t="s">
        <v>5519</v>
      </c>
      <c r="P9" s="16"/>
      <c r="Q9" s="18" t="s">
        <v>6219</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117</v>
      </c>
      <c r="B11" s="16"/>
      <c r="C11" s="18" t="s">
        <v>1742</v>
      </c>
      <c r="D11" s="16"/>
      <c r="E11" s="18" t="s">
        <v>2461</v>
      </c>
      <c r="F11" s="16"/>
      <c r="G11" s="18" t="s">
        <v>1010</v>
      </c>
      <c r="H11" s="16"/>
      <c r="I11" s="18" t="s">
        <v>3179</v>
      </c>
      <c r="J11" s="16"/>
      <c r="K11" s="18" t="s">
        <v>3926</v>
      </c>
      <c r="L11" s="16"/>
      <c r="M11" s="18" t="s">
        <v>4655</v>
      </c>
      <c r="N11" s="16"/>
      <c r="O11" s="18" t="s">
        <v>5340</v>
      </c>
      <c r="P11" s="16"/>
      <c r="Q11" s="18" t="s">
        <v>6072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843</v>
      </c>
      <c r="B13" s="16"/>
      <c r="C13" s="18" t="s">
        <v>1918</v>
      </c>
      <c r="D13" s="16"/>
      <c r="E13" s="18" t="s">
        <v>2636</v>
      </c>
      <c r="F13" s="16"/>
      <c r="G13" s="18" t="s">
        <v>1179</v>
      </c>
      <c r="H13" s="16"/>
      <c r="I13" s="18" t="s">
        <v>3361</v>
      </c>
      <c r="J13" s="16"/>
      <c r="K13" s="18" t="s">
        <v>4106</v>
      </c>
      <c r="L13" s="16"/>
      <c r="M13" s="18" t="s">
        <v>4824</v>
      </c>
      <c r="N13" s="16"/>
      <c r="O13" s="18" t="s">
        <v>5520</v>
      </c>
      <c r="P13" s="16"/>
      <c r="Q13" s="18" t="s">
        <v>6220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844</v>
      </c>
      <c r="B15" s="16"/>
      <c r="C15" s="18" t="s">
        <v>1919</v>
      </c>
      <c r="D15" s="16"/>
      <c r="E15" s="18" t="s">
        <v>2637</v>
      </c>
      <c r="F15" s="16"/>
      <c r="G15" s="18" t="s">
        <v>1180</v>
      </c>
      <c r="H15" s="16"/>
      <c r="I15" s="18" t="s">
        <v>3362</v>
      </c>
      <c r="J15" s="16"/>
      <c r="K15" s="18" t="s">
        <v>4107</v>
      </c>
      <c r="L15" s="16"/>
      <c r="M15" s="18" t="s">
        <v>4825</v>
      </c>
      <c r="N15" s="16"/>
      <c r="O15" s="18" t="s">
        <v>5521</v>
      </c>
      <c r="P15" s="16"/>
      <c r="Q15" s="18" t="s">
        <v>6221</v>
      </c>
      <c r="R15" s="16"/>
      <c r="S15" s="18"/>
      <c r="T15" s="20"/>
    </row>
    <row r="16" spans="1:20" ht="15.95" customHeight="1" x14ac:dyDescent="0.25">
      <c r="A16" s="18" t="s">
        <v>845</v>
      </c>
      <c r="B16" s="16"/>
      <c r="C16" s="18" t="s">
        <v>1920</v>
      </c>
      <c r="D16" s="16"/>
      <c r="E16" s="18" t="s">
        <v>2638</v>
      </c>
      <c r="F16" s="16"/>
      <c r="G16" s="18" t="s">
        <v>1181</v>
      </c>
      <c r="H16" s="16"/>
      <c r="I16" s="18" t="s">
        <v>3363</v>
      </c>
      <c r="J16" s="16"/>
      <c r="K16" s="18" t="s">
        <v>4108</v>
      </c>
      <c r="L16" s="16"/>
      <c r="M16" s="18" t="s">
        <v>4826</v>
      </c>
      <c r="N16" s="16"/>
      <c r="O16" s="18" t="s">
        <v>5522</v>
      </c>
      <c r="P16" s="16"/>
      <c r="Q16" s="18" t="s">
        <v>6222</v>
      </c>
      <c r="R16" s="16"/>
      <c r="S16" s="18"/>
      <c r="T16" s="20"/>
    </row>
    <row r="17" spans="1:20" ht="15.95" customHeight="1" x14ac:dyDescent="0.25">
      <c r="A17" s="18" t="s">
        <v>846</v>
      </c>
      <c r="B17" s="16"/>
      <c r="C17" s="18" t="s">
        <v>1921</v>
      </c>
      <c r="D17" s="16"/>
      <c r="E17" s="18" t="s">
        <v>2639</v>
      </c>
      <c r="F17" s="16"/>
      <c r="G17" s="18" t="s">
        <v>1182</v>
      </c>
      <c r="H17" s="16"/>
      <c r="I17" s="18" t="s">
        <v>3364</v>
      </c>
      <c r="J17" s="16"/>
      <c r="K17" s="18" t="s">
        <v>4109</v>
      </c>
      <c r="L17" s="16"/>
      <c r="M17" s="18" t="s">
        <v>4827</v>
      </c>
      <c r="N17" s="16"/>
      <c r="O17" s="18" t="s">
        <v>5523</v>
      </c>
      <c r="P17" s="16"/>
      <c r="Q17" s="18" t="s">
        <v>6223</v>
      </c>
      <c r="R17" s="16"/>
      <c r="S17" s="18"/>
      <c r="T17" s="20"/>
    </row>
    <row r="18" spans="1:20" ht="15.95" customHeight="1" x14ac:dyDescent="0.25">
      <c r="A18" s="18" t="s">
        <v>847</v>
      </c>
      <c r="B18" s="16"/>
      <c r="C18" s="18" t="s">
        <v>1922</v>
      </c>
      <c r="D18" s="16"/>
      <c r="E18" s="18" t="s">
        <v>2640</v>
      </c>
      <c r="F18" s="16"/>
      <c r="G18" s="18" t="s">
        <v>1183</v>
      </c>
      <c r="H18" s="16"/>
      <c r="I18" s="18" t="s">
        <v>3365</v>
      </c>
      <c r="J18" s="16"/>
      <c r="K18" s="18" t="s">
        <v>4110</v>
      </c>
      <c r="L18" s="16"/>
      <c r="M18" s="18" t="s">
        <v>4828</v>
      </c>
      <c r="N18" s="16"/>
      <c r="O18" s="18" t="s">
        <v>5524</v>
      </c>
      <c r="P18" s="16"/>
      <c r="Q18" s="18" t="s">
        <v>6224</v>
      </c>
      <c r="R18" s="16"/>
      <c r="S18" s="18"/>
      <c r="T18" s="20"/>
    </row>
    <row r="19" spans="1:20" ht="15.95" customHeight="1" x14ac:dyDescent="0.25">
      <c r="A19" s="18" t="s">
        <v>848</v>
      </c>
      <c r="B19" s="16"/>
      <c r="C19" s="18" t="s">
        <v>1923</v>
      </c>
      <c r="D19" s="16"/>
      <c r="E19" s="18" t="s">
        <v>2641</v>
      </c>
      <c r="F19" s="16"/>
      <c r="G19" s="18" t="s">
        <v>1184</v>
      </c>
      <c r="H19" s="16"/>
      <c r="I19" s="18" t="s">
        <v>3366</v>
      </c>
      <c r="J19" s="16"/>
      <c r="K19" s="18" t="s">
        <v>4111</v>
      </c>
      <c r="L19" s="16"/>
      <c r="M19" s="18" t="s">
        <v>4829</v>
      </c>
      <c r="N19" s="16"/>
      <c r="O19" s="18" t="s">
        <v>5525</v>
      </c>
      <c r="P19" s="16"/>
      <c r="Q19" s="18" t="s">
        <v>6225</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849</v>
      </c>
      <c r="B21" s="16" t="str">
        <f>A21</f>
        <v>Redeemer Item</v>
      </c>
      <c r="C21" s="18" t="s">
        <v>1924</v>
      </c>
      <c r="D21" s="16" t="str">
        <f>C21</f>
        <v>Erlöserin-Gegenstand</v>
      </c>
      <c r="E21" s="18" t="s">
        <v>2642</v>
      </c>
      <c r="F21" s="16" t="str">
        <f>E21</f>
        <v>Objeto de la Redentora</v>
      </c>
      <c r="G21" s="18" t="s">
        <v>1185</v>
      </c>
      <c r="H21" s="16" t="str">
        <f>G21</f>
        <v>Objet de la Rédemptrice</v>
      </c>
      <c r="I21" s="18" t="s">
        <v>3367</v>
      </c>
      <c r="J21" s="16" t="str">
        <f>I21</f>
        <v>レディーマーアイテム</v>
      </c>
      <c r="K21" s="18" t="s">
        <v>4112</v>
      </c>
      <c r="L21" s="16" t="str">
        <f>K21</f>
        <v>대속자 아이템</v>
      </c>
      <c r="M21" s="18" t="s">
        <v>4830</v>
      </c>
      <c r="N21" s="16" t="str">
        <f>M21</f>
        <v>Item do Redentor</v>
      </c>
      <c r="O21" s="18" t="s">
        <v>5526</v>
      </c>
      <c r="P21" s="16" t="str">
        <f>O21</f>
        <v>Предмет Избавительницы</v>
      </c>
      <c r="Q21" s="18" t="s">
        <v>6226</v>
      </c>
      <c r="R21" s="16" t="str">
        <f>Q21</f>
        <v>ไอเทมผู้พิชิตบาป</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56" priority="2" stopIfTrue="1">
      <formula>NOT(ISERROR(A3))</formula>
    </cfRule>
  </conditionalFormatting>
  <conditionalFormatting sqref="A3:T51">
    <cfRule type="containsErrors" dxfId="155" priority="1" stopIfTrue="1">
      <formula>ISERROR(A3)</formula>
    </cfRule>
    <cfRule type="notContainsBlanks" dxfId="154"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484</v>
      </c>
      <c r="B3" s="16" t="str">
        <f>TRIM(_xlfn.TEXTBEFORE(A3, ":"))</f>
        <v>Item Class</v>
      </c>
      <c r="C3" s="17" t="s">
        <v>1842</v>
      </c>
      <c r="D3" s="16" t="str">
        <f>TRIM(_xlfn.TEXTBEFORE(C3, ":"))</f>
        <v>Gegenstandsklasse</v>
      </c>
      <c r="E3" s="17" t="s">
        <v>2560</v>
      </c>
      <c r="F3" s="16" t="str">
        <f>TRIM(_xlfn.TEXTBEFORE(E3, ":"))</f>
        <v>Clase de objeto</v>
      </c>
      <c r="G3" s="17" t="s">
        <v>1108</v>
      </c>
      <c r="H3" s="16" t="str">
        <f>TRIM(_xlfn.TEXTBEFORE(G3, ":"))</f>
        <v>Classe d'objet</v>
      </c>
      <c r="I3" s="17" t="s">
        <v>3283</v>
      </c>
      <c r="J3" s="16" t="str">
        <f>TRIM(_xlfn.TEXTBEFORE(I3, ":"))</f>
        <v>アイテムクラス</v>
      </c>
      <c r="K3" s="17" t="s">
        <v>4028</v>
      </c>
      <c r="L3" s="16" t="str">
        <f>TRIM(_xlfn.TEXTBEFORE(K3, ":"))</f>
        <v>아이템 종류</v>
      </c>
      <c r="M3" s="17" t="s">
        <v>4752</v>
      </c>
      <c r="N3" s="16" t="str">
        <f>TRIM(_xlfn.TEXTBEFORE(M3, ":"))</f>
        <v>Classe do Item</v>
      </c>
      <c r="O3" s="17" t="s">
        <v>5442</v>
      </c>
      <c r="P3" s="16" t="str">
        <f>TRIM(_xlfn.TEXTBEFORE(O3, ":"))</f>
        <v>Класс предмета</v>
      </c>
      <c r="Q3" s="17" t="s">
        <v>6160</v>
      </c>
      <c r="R3" s="16" t="str">
        <f>TRIM(_xlfn.TEXTBEFORE(Q3, ":"))</f>
        <v>ชนิดไอเทม</v>
      </c>
      <c r="S3" s="17"/>
      <c r="T3" s="20" t="e">
        <f>TRIM(_xlfn.TEXTBEFORE(S3, ":"))</f>
        <v>#N/A</v>
      </c>
    </row>
    <row r="4" spans="1:20" ht="15.95" customHeight="1" x14ac:dyDescent="0.25">
      <c r="A4" s="18" t="s">
        <v>513</v>
      </c>
      <c r="B4" s="16" t="str">
        <f>TRIM(_xlfn.TEXTAFTER(A3, ":"))</f>
        <v>Shields</v>
      </c>
      <c r="C4" s="18" t="s">
        <v>1879</v>
      </c>
      <c r="D4" s="16" t="str">
        <f>TRIM(_xlfn.TEXTAFTER(C3, ":"))</f>
        <v>Schilde</v>
      </c>
      <c r="E4" s="18" t="s">
        <v>2597</v>
      </c>
      <c r="F4" s="16" t="str">
        <f>TRIM(_xlfn.TEXTAFTER(E3, ":"))</f>
        <v>Escudos</v>
      </c>
      <c r="G4" s="18" t="s">
        <v>1142</v>
      </c>
      <c r="H4" s="16" t="str">
        <f>TRIM(_xlfn.TEXTAFTER(G3, ":"))</f>
        <v>Boucliers</v>
      </c>
      <c r="I4" s="18" t="s">
        <v>3321</v>
      </c>
      <c r="J4" s="16" t="str">
        <f>TRIM(_xlfn.TEXTAFTER(I3, ":"))</f>
        <v>盾</v>
      </c>
      <c r="K4" s="18" t="s">
        <v>4066</v>
      </c>
      <c r="L4" s="16" t="str">
        <f>TRIM(_xlfn.TEXTAFTER(K3, ":"))</f>
        <v>방패</v>
      </c>
      <c r="M4" s="18" t="s">
        <v>4787</v>
      </c>
      <c r="N4" s="16" t="str">
        <f>TRIM(_xlfn.TEXTAFTER(M3, ":"))</f>
        <v>Escudos</v>
      </c>
      <c r="O4" s="18" t="s">
        <v>5480</v>
      </c>
      <c r="P4" s="16" t="str">
        <f>TRIM(_xlfn.TEXTAFTER(O3, ":"))</f>
        <v>Щиты</v>
      </c>
      <c r="Q4" s="18" t="s">
        <v>6191</v>
      </c>
      <c r="R4" s="16" t="str">
        <f>TRIM(_xlfn.TEXTAFTER(Q3, ":"))</f>
        <v>โล่</v>
      </c>
      <c r="S4" s="18"/>
      <c r="T4" s="20" t="e">
        <f>TRIM(_xlfn.TEXTAFTER(S3, ":"))</f>
        <v>#N/A</v>
      </c>
    </row>
    <row r="5" spans="1:20" ht="15.95" customHeight="1" x14ac:dyDescent="0.25">
      <c r="A5" s="18" t="s">
        <v>807</v>
      </c>
      <c r="B5" s="16" t="str">
        <f>TRIM(_xlfn.TEXTBEFORE(A4, ":"))</f>
        <v>Rarity</v>
      </c>
      <c r="C5" s="18" t="s">
        <v>1925</v>
      </c>
      <c r="D5" s="16" t="str">
        <f>TRIM(_xlfn.TEXTBEFORE(C4, ":"))</f>
        <v>Seltenheit</v>
      </c>
      <c r="E5" s="18" t="s">
        <v>2643</v>
      </c>
      <c r="F5" s="16" t="str">
        <f>TRIM(_xlfn.TEXTBEFORE(E4, ":"))</f>
        <v>Rareza</v>
      </c>
      <c r="G5" s="18" t="s">
        <v>1186</v>
      </c>
      <c r="H5" s="16" t="str">
        <f>TRIM(_xlfn.TEXTBEFORE(G4, ":"))</f>
        <v>Rareté</v>
      </c>
      <c r="I5" s="18" t="s">
        <v>3368</v>
      </c>
      <c r="J5" s="16" t="str">
        <f>TRIM(_xlfn.TEXTBEFORE(I4, ":"))</f>
        <v>レアリティ</v>
      </c>
      <c r="K5" s="18" t="s">
        <v>4113</v>
      </c>
      <c r="L5" s="16" t="str">
        <f>TRIM(_xlfn.TEXTBEFORE(K4, ":"))</f>
        <v>아이템 희귀도</v>
      </c>
      <c r="M5" s="18" t="s">
        <v>4831</v>
      </c>
      <c r="N5" s="16" t="str">
        <f>TRIM(_xlfn.TEXTBEFORE(M4, ":"))</f>
        <v>Raridade</v>
      </c>
      <c r="O5" s="18" t="s">
        <v>5527</v>
      </c>
      <c r="P5" s="16" t="str">
        <f>TRIM(_xlfn.TEXTBEFORE(O4, ":"))</f>
        <v>Редкость</v>
      </c>
      <c r="Q5" s="18" t="s">
        <v>807</v>
      </c>
      <c r="R5" s="16" t="str">
        <f>TRIM(_xlfn.TEXTBEFORE(Q4, ":"))</f>
        <v>ความหายาก</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5.95" customHeight="1" x14ac:dyDescent="0.25">
      <c r="A7" s="18" t="s">
        <v>808</v>
      </c>
      <c r="B7" s="16"/>
      <c r="C7" s="18" t="s">
        <v>1926</v>
      </c>
      <c r="D7" s="16"/>
      <c r="E7" s="18" t="s">
        <v>2644</v>
      </c>
      <c r="F7" s="16"/>
      <c r="G7" s="18" t="s">
        <v>1187</v>
      </c>
      <c r="H7" s="16"/>
      <c r="I7" s="18" t="s">
        <v>3369</v>
      </c>
      <c r="J7" s="16"/>
      <c r="K7" s="18" t="s">
        <v>4114</v>
      </c>
      <c r="L7" s="16"/>
      <c r="M7" s="18" t="s">
        <v>4832</v>
      </c>
      <c r="N7" s="16"/>
      <c r="O7" s="18" t="s">
        <v>5528</v>
      </c>
      <c r="P7" s="16"/>
      <c r="Q7" s="18" t="s">
        <v>6227</v>
      </c>
      <c r="R7" s="16"/>
      <c r="S7" s="18"/>
      <c r="T7" s="20"/>
    </row>
    <row r="8" spans="1:20" ht="15.95" customHeight="1" x14ac:dyDescent="0.25">
      <c r="A8" s="18" t="s">
        <v>809</v>
      </c>
      <c r="B8" s="16"/>
      <c r="C8" s="18" t="s">
        <v>1927</v>
      </c>
      <c r="D8" s="16"/>
      <c r="E8" s="18" t="s">
        <v>2645</v>
      </c>
      <c r="F8" s="16"/>
      <c r="G8" s="18" t="s">
        <v>1188</v>
      </c>
      <c r="H8" s="16"/>
      <c r="I8" s="18" t="s">
        <v>3370</v>
      </c>
      <c r="J8" s="16"/>
      <c r="K8" s="18" t="s">
        <v>4115</v>
      </c>
      <c r="L8" s="16"/>
      <c r="M8" s="18" t="s">
        <v>2645</v>
      </c>
      <c r="N8" s="16"/>
      <c r="O8" s="18" t="s">
        <v>5529</v>
      </c>
      <c r="P8" s="16"/>
      <c r="Q8" s="18" t="s">
        <v>6228</v>
      </c>
      <c r="R8" s="16"/>
      <c r="S8" s="18"/>
      <c r="T8" s="20"/>
    </row>
    <row r="9" spans="1:20" ht="15.95" customHeight="1" x14ac:dyDescent="0.25">
      <c r="A9" s="18" t="s">
        <v>810</v>
      </c>
      <c r="B9" s="16"/>
      <c r="C9" s="18" t="s">
        <v>1928</v>
      </c>
      <c r="D9" s="16"/>
      <c r="E9" s="18" t="s">
        <v>2646</v>
      </c>
      <c r="F9" s="16"/>
      <c r="G9" s="18" t="s">
        <v>1189</v>
      </c>
      <c r="H9" s="16"/>
      <c r="I9" s="18" t="s">
        <v>3371</v>
      </c>
      <c r="J9" s="16"/>
      <c r="K9" s="18" t="s">
        <v>4116</v>
      </c>
      <c r="L9" s="16"/>
      <c r="M9" s="18" t="s">
        <v>4833</v>
      </c>
      <c r="N9" s="16"/>
      <c r="O9" s="18" t="s">
        <v>5530</v>
      </c>
      <c r="P9" s="16"/>
      <c r="Q9" s="18" t="s">
        <v>6229</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110</v>
      </c>
      <c r="B11" s="16"/>
      <c r="C11" s="18" t="s">
        <v>1618</v>
      </c>
      <c r="D11" s="16"/>
      <c r="E11" s="18" t="s">
        <v>2337</v>
      </c>
      <c r="F11" s="16"/>
      <c r="G11" s="18" t="s">
        <v>5</v>
      </c>
      <c r="H11" s="16"/>
      <c r="I11" s="18" t="s">
        <v>3047</v>
      </c>
      <c r="J11" s="16"/>
      <c r="K11" s="18" t="s">
        <v>3801</v>
      </c>
      <c r="L11" s="16"/>
      <c r="M11" s="18" t="s">
        <v>2337</v>
      </c>
      <c r="N11" s="16"/>
      <c r="O11" s="18" t="s">
        <v>5212</v>
      </c>
      <c r="P11" s="16"/>
      <c r="Q11" s="18" t="s">
        <v>5957</v>
      </c>
      <c r="R11" s="16"/>
      <c r="S11" s="18"/>
      <c r="T11" s="20"/>
    </row>
    <row r="12" spans="1:20" ht="15.95" customHeight="1" x14ac:dyDescent="0.25">
      <c r="A12" s="18" t="s">
        <v>811</v>
      </c>
      <c r="B12" s="16"/>
      <c r="C12" s="18" t="s">
        <v>811</v>
      </c>
      <c r="D12" s="16"/>
      <c r="E12" s="18" t="s">
        <v>2647</v>
      </c>
      <c r="F12" s="16"/>
      <c r="G12" s="18" t="s">
        <v>1190</v>
      </c>
      <c r="H12" s="16"/>
      <c r="I12" s="18" t="s">
        <v>3372</v>
      </c>
      <c r="J12" s="16"/>
      <c r="K12" s="18" t="s">
        <v>4117</v>
      </c>
      <c r="L12" s="16"/>
      <c r="M12" s="18" t="s">
        <v>1190</v>
      </c>
      <c r="N12" s="16"/>
      <c r="O12" s="18" t="s">
        <v>5531</v>
      </c>
      <c r="P12" s="16"/>
      <c r="Q12" s="18" t="s">
        <v>811</v>
      </c>
      <c r="R12" s="16"/>
      <c r="S12" s="18"/>
      <c r="T12" s="20"/>
    </row>
    <row r="13" spans="1:20" ht="15.95" customHeight="1" x14ac:dyDescent="0.25">
      <c r="A13" s="18" t="s">
        <v>812</v>
      </c>
      <c r="B13" s="16"/>
      <c r="C13" s="18" t="s">
        <v>812</v>
      </c>
      <c r="D13" s="16"/>
      <c r="E13" s="18" t="s">
        <v>812</v>
      </c>
      <c r="F13" s="16"/>
      <c r="G13" s="18" t="s">
        <v>812</v>
      </c>
      <c r="H13" s="16"/>
      <c r="I13" s="18" t="s">
        <v>3373</v>
      </c>
      <c r="J13" s="16"/>
      <c r="K13" s="18" t="s">
        <v>4118</v>
      </c>
      <c r="L13" s="16"/>
      <c r="M13" s="18" t="s">
        <v>812</v>
      </c>
      <c r="N13" s="16"/>
      <c r="O13" s="18" t="s">
        <v>5532</v>
      </c>
      <c r="P13" s="16"/>
      <c r="Q13" s="18" t="s">
        <v>812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813</v>
      </c>
      <c r="B15" s="16"/>
      <c r="C15" s="18" t="s">
        <v>1929</v>
      </c>
      <c r="D15" s="16"/>
      <c r="E15" s="18" t="s">
        <v>2648</v>
      </c>
      <c r="F15" s="16"/>
      <c r="G15" s="18" t="s">
        <v>1191</v>
      </c>
      <c r="H15" s="16"/>
      <c r="I15" s="18" t="s">
        <v>3374</v>
      </c>
      <c r="J15" s="16"/>
      <c r="K15" s="18" t="s">
        <v>4119</v>
      </c>
      <c r="L15" s="16"/>
      <c r="M15" s="18" t="s">
        <v>4834</v>
      </c>
      <c r="N15" s="16"/>
      <c r="O15" s="18" t="s">
        <v>5533</v>
      </c>
      <c r="P15" s="16"/>
      <c r="Q15" s="18" t="s">
        <v>6230</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117</v>
      </c>
      <c r="B17" s="16"/>
      <c r="C17" s="18" t="s">
        <v>1742</v>
      </c>
      <c r="D17" s="16"/>
      <c r="E17" s="18" t="s">
        <v>2461</v>
      </c>
      <c r="F17" s="16"/>
      <c r="G17" s="18" t="s">
        <v>1010</v>
      </c>
      <c r="H17" s="16"/>
      <c r="I17" s="18" t="s">
        <v>3179</v>
      </c>
      <c r="J17" s="16"/>
      <c r="K17" s="18" t="s">
        <v>3926</v>
      </c>
      <c r="L17" s="16"/>
      <c r="M17" s="18" t="s">
        <v>4655</v>
      </c>
      <c r="N17" s="16"/>
      <c r="O17" s="18" t="s">
        <v>5340</v>
      </c>
      <c r="P17" s="16"/>
      <c r="Q17" s="18" t="s">
        <v>6072</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802</v>
      </c>
      <c r="B19" s="16"/>
      <c r="C19" s="18" t="s">
        <v>1930</v>
      </c>
      <c r="D19" s="16"/>
      <c r="E19" s="18" t="s">
        <v>2649</v>
      </c>
      <c r="F19" s="16"/>
      <c r="G19" s="18" t="s">
        <v>1192</v>
      </c>
      <c r="H19" s="16"/>
      <c r="I19" s="18" t="s">
        <v>3375</v>
      </c>
      <c r="J19" s="16"/>
      <c r="K19" s="18" t="s">
        <v>4120</v>
      </c>
      <c r="L19" s="16"/>
      <c r="M19" s="18" t="s">
        <v>4835</v>
      </c>
      <c r="N19" s="16"/>
      <c r="O19" s="18" t="s">
        <v>5534</v>
      </c>
      <c r="P19" s="16"/>
      <c r="Q19" s="18" t="s">
        <v>6231</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75</v>
      </c>
      <c r="B21" s="16"/>
      <c r="C21" s="18" t="s">
        <v>1813</v>
      </c>
      <c r="D21" s="16"/>
      <c r="E21" s="18" t="s">
        <v>2532</v>
      </c>
      <c r="F21" s="16"/>
      <c r="G21" s="18" t="s">
        <v>1081</v>
      </c>
      <c r="H21" s="16"/>
      <c r="I21" s="18" t="s">
        <v>3251</v>
      </c>
      <c r="J21" s="16"/>
      <c r="K21" s="18" t="s">
        <v>3997</v>
      </c>
      <c r="L21" s="16"/>
      <c r="M21" s="18" t="s">
        <v>4726</v>
      </c>
      <c r="N21" s="16"/>
      <c r="O21" s="18" t="s">
        <v>5411</v>
      </c>
      <c r="P21" s="16"/>
      <c r="Q21" s="18" t="s">
        <v>6136</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814</v>
      </c>
      <c r="B23" s="16" t="str">
        <f>A23</f>
        <v>Shaper Item</v>
      </c>
      <c r="C23" s="18" t="s">
        <v>1931</v>
      </c>
      <c r="D23" s="16" t="str">
        <f>C23</f>
        <v>Schöpfer-Gegenstand</v>
      </c>
      <c r="E23" s="18" t="s">
        <v>2650</v>
      </c>
      <c r="F23" s="16" t="str">
        <f>E23</f>
        <v>Objeto del Creador</v>
      </c>
      <c r="G23" s="18" t="s">
        <v>1193</v>
      </c>
      <c r="H23" s="16" t="str">
        <f>G23</f>
        <v>Objet du Façonneur</v>
      </c>
      <c r="I23" s="18" t="s">
        <v>3376</v>
      </c>
      <c r="J23" s="16" t="str">
        <f>I23</f>
        <v>シェイパーアイテム</v>
      </c>
      <c r="K23" s="18" t="s">
        <v>4121</v>
      </c>
      <c r="L23" s="16" t="str">
        <f>K23</f>
        <v>쉐이퍼 아이템</v>
      </c>
      <c r="M23" s="18" t="s">
        <v>4836</v>
      </c>
      <c r="N23" s="16" t="str">
        <f>M23</f>
        <v>Item do Criador</v>
      </c>
      <c r="O23" s="18" t="s">
        <v>5535</v>
      </c>
      <c r="P23" s="16" t="str">
        <f>O23</f>
        <v>Предмет Создателя</v>
      </c>
      <c r="Q23" s="18" t="s">
        <v>6232</v>
      </c>
      <c r="R23" s="16" t="str">
        <f>Q23</f>
        <v>ไอเทมเชปเปอร์</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53" priority="2" stopIfTrue="1">
      <formula>NOT(ISERROR(A3))</formula>
    </cfRule>
  </conditionalFormatting>
  <conditionalFormatting sqref="A3:T51">
    <cfRule type="containsErrors" dxfId="152" priority="1" stopIfTrue="1">
      <formula>ISERROR(A3)</formula>
    </cfRule>
    <cfRule type="notContainsBlanks" dxfId="151" priority="3">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6" t="s">
        <v>456</v>
      </c>
      <c r="B3" s="16" t="str">
        <f>TRIM(_xlfn.TEXTBEFORE(A3, ":"))</f>
        <v>Item Class</v>
      </c>
      <c r="C3" s="17" t="s">
        <v>1827</v>
      </c>
      <c r="D3" s="16" t="str">
        <f>TRIM(_xlfn.TEXTBEFORE(C3, ":"))</f>
        <v>Gegenstandsklasse</v>
      </c>
      <c r="E3" s="17" t="s">
        <v>2546</v>
      </c>
      <c r="F3" s="16" t="str">
        <f>TRIM(_xlfn.TEXTBEFORE(E3, ":"))</f>
        <v>Clase de objeto</v>
      </c>
      <c r="G3" s="17" t="s">
        <v>1094</v>
      </c>
      <c r="H3" s="16" t="str">
        <f>TRIM(_xlfn.TEXTBEFORE(G3, ":"))</f>
        <v>Classe d'objet</v>
      </c>
      <c r="I3" s="17" t="s">
        <v>3266</v>
      </c>
      <c r="J3" s="16" t="str">
        <f>TRIM(_xlfn.TEXTBEFORE(I3, ":"))</f>
        <v>アイテムクラス</v>
      </c>
      <c r="K3" s="17" t="s">
        <v>4012</v>
      </c>
      <c r="L3" s="16" t="str">
        <f>TRIM(_xlfn.TEXTBEFORE(K3, ":"))</f>
        <v>아이템 종류</v>
      </c>
      <c r="M3" s="17" t="s">
        <v>4739</v>
      </c>
      <c r="N3" s="16" t="str">
        <f>TRIM(_xlfn.TEXTBEFORE(M3, ":"))</f>
        <v>Classe do Item</v>
      </c>
      <c r="O3" s="17" t="s">
        <v>5426</v>
      </c>
      <c r="P3" s="16" t="str">
        <f>TRIM(_xlfn.TEXTBEFORE(O3, ":"))</f>
        <v>Класс предмета</v>
      </c>
      <c r="Q3" s="17" t="s">
        <v>6149</v>
      </c>
      <c r="R3" s="16" t="str">
        <f>TRIM(_xlfn.TEXTBEFORE(Q3, ":"))</f>
        <v>ชนิดไอเทม</v>
      </c>
      <c r="S3" s="17"/>
      <c r="T3" s="20" t="e">
        <f>TRIM(_xlfn.TEXTBEFORE(S3, ":"))</f>
        <v>#N/A</v>
      </c>
    </row>
    <row r="4" spans="1:20" ht="15.95" customHeight="1" x14ac:dyDescent="0.25">
      <c r="A4" s="18" t="s">
        <v>499</v>
      </c>
      <c r="B4" s="16" t="str">
        <f>TRIM(_xlfn.TEXTAFTER(A3, ":"))</f>
        <v>Body Armours</v>
      </c>
      <c r="C4" s="18" t="s">
        <v>1710</v>
      </c>
      <c r="D4" s="16" t="str">
        <f>TRIM(_xlfn.TEXTAFTER(C3, ":"))</f>
        <v>Körperrüstungen</v>
      </c>
      <c r="E4" s="18" t="s">
        <v>2429</v>
      </c>
      <c r="F4" s="16" t="str">
        <f>TRIM(_xlfn.TEXTAFTER(E3, ":"))</f>
        <v>Armaduras corporales</v>
      </c>
      <c r="G4" s="18" t="s">
        <v>977</v>
      </c>
      <c r="H4" s="16" t="str">
        <f>TRIM(_xlfn.TEXTAFTER(G3, ":"))</f>
        <v>Armures</v>
      </c>
      <c r="I4" s="18" t="s">
        <v>3147</v>
      </c>
      <c r="J4" s="16" t="str">
        <f>TRIM(_xlfn.TEXTAFTER(I3, ":"))</f>
        <v>鎧</v>
      </c>
      <c r="K4" s="18" t="s">
        <v>3894</v>
      </c>
      <c r="L4" s="16" t="str">
        <f>TRIM(_xlfn.TEXTAFTER(K3, ":"))</f>
        <v>갑옷</v>
      </c>
      <c r="M4" s="18" t="s">
        <v>4624</v>
      </c>
      <c r="N4" s="16" t="str">
        <f>TRIM(_xlfn.TEXTAFTER(M3, ":"))</f>
        <v>Peitorais</v>
      </c>
      <c r="O4" s="18" t="s">
        <v>5307</v>
      </c>
      <c r="P4" s="16" t="str">
        <f>TRIM(_xlfn.TEXTAFTER(O3, ":"))</f>
        <v>Доспехи</v>
      </c>
      <c r="Q4" s="18" t="s">
        <v>6041</v>
      </c>
      <c r="R4" s="16" t="str">
        <f>TRIM(_xlfn.TEXTAFTER(Q3, ":"))</f>
        <v>เสื้อเกราะ</v>
      </c>
      <c r="S4" s="18"/>
      <c r="T4" s="20" t="e">
        <f>TRIM(_xlfn.TEXTAFTER(S3, ":"))</f>
        <v>#N/A</v>
      </c>
    </row>
    <row r="5" spans="1:20" ht="15.95" customHeight="1" x14ac:dyDescent="0.25">
      <c r="A5" s="18" t="s">
        <v>796</v>
      </c>
      <c r="B5" s="16" t="str">
        <f>TRIM(_xlfn.TEXTBEFORE(A4, ":"))</f>
        <v>Rarity</v>
      </c>
      <c r="C5" s="18" t="s">
        <v>1932</v>
      </c>
      <c r="D5" s="16" t="str">
        <f>TRIM(_xlfn.TEXTBEFORE(C4, ":"))</f>
        <v>Seltenheit</v>
      </c>
      <c r="E5" s="18" t="s">
        <v>2651</v>
      </c>
      <c r="F5" s="16" t="str">
        <f>TRIM(_xlfn.TEXTBEFORE(E4, ":"))</f>
        <v>Rareza</v>
      </c>
      <c r="G5" s="18" t="s">
        <v>1194</v>
      </c>
      <c r="H5" s="16" t="str">
        <f>TRIM(_xlfn.TEXTBEFORE(G4, ":"))</f>
        <v>Rareté</v>
      </c>
      <c r="I5" s="18" t="s">
        <v>3377</v>
      </c>
      <c r="J5" s="16" t="str">
        <f>TRIM(_xlfn.TEXTBEFORE(I4, ":"))</f>
        <v>レアリティ</v>
      </c>
      <c r="K5" s="18" t="s">
        <v>4122</v>
      </c>
      <c r="L5" s="16" t="str">
        <f>TRIM(_xlfn.TEXTBEFORE(K4, ":"))</f>
        <v>아이템 희귀도</v>
      </c>
      <c r="M5" s="18" t="s">
        <v>4837</v>
      </c>
      <c r="N5" s="16" t="str">
        <f>TRIM(_xlfn.TEXTBEFORE(M4, ":"))</f>
        <v>Raridade</v>
      </c>
      <c r="O5" s="18" t="s">
        <v>5536</v>
      </c>
      <c r="P5" s="16" t="str">
        <f>TRIM(_xlfn.TEXTBEFORE(O4, ":"))</f>
        <v>Редкость</v>
      </c>
      <c r="Q5" s="18" t="s">
        <v>796</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797</v>
      </c>
      <c r="B7" s="16"/>
      <c r="C7" s="18" t="s">
        <v>1933</v>
      </c>
      <c r="D7" s="16"/>
      <c r="E7" s="18" t="s">
        <v>2652</v>
      </c>
      <c r="F7" s="16"/>
      <c r="G7" s="18" t="s">
        <v>1195</v>
      </c>
      <c r="H7" s="16"/>
      <c r="I7" s="18" t="s">
        <v>3378</v>
      </c>
      <c r="J7" s="16"/>
      <c r="K7" s="18" t="s">
        <v>4123</v>
      </c>
      <c r="L7" s="16"/>
      <c r="M7" s="18" t="s">
        <v>4838</v>
      </c>
      <c r="N7" s="16"/>
      <c r="O7" s="18" t="s">
        <v>5537</v>
      </c>
      <c r="P7" s="16"/>
      <c r="Q7" s="18" t="s">
        <v>6233</v>
      </c>
      <c r="R7" s="16"/>
      <c r="S7" s="18"/>
      <c r="T7" s="20"/>
    </row>
    <row r="8" spans="1:20" ht="15.95" customHeight="1" x14ac:dyDescent="0.25">
      <c r="A8" s="18" t="s">
        <v>798</v>
      </c>
      <c r="B8" s="16"/>
      <c r="C8" s="18" t="s">
        <v>1934</v>
      </c>
      <c r="D8" s="16"/>
      <c r="E8" s="18" t="s">
        <v>2653</v>
      </c>
      <c r="F8" s="16"/>
      <c r="G8" s="18" t="s">
        <v>1196</v>
      </c>
      <c r="H8" s="16"/>
      <c r="I8" s="18" t="s">
        <v>3379</v>
      </c>
      <c r="J8" s="16"/>
      <c r="K8" s="18" t="s">
        <v>4124</v>
      </c>
      <c r="L8" s="16"/>
      <c r="M8" s="18" t="s">
        <v>2653</v>
      </c>
      <c r="N8" s="16"/>
      <c r="O8" s="18" t="s">
        <v>5538</v>
      </c>
      <c r="P8" s="16"/>
      <c r="Q8" s="18" t="s">
        <v>6234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t="s">
        <v>5212</v>
      </c>
      <c r="P10" s="16"/>
      <c r="Q10" s="18" t="s">
        <v>5957</v>
      </c>
      <c r="R10" s="16"/>
      <c r="S10" s="18"/>
      <c r="T10" s="20"/>
    </row>
    <row r="11" spans="1:20" ht="15.95" customHeight="1" x14ac:dyDescent="0.25">
      <c r="A11" s="18" t="s">
        <v>136</v>
      </c>
      <c r="B11" s="16"/>
      <c r="C11" s="18" t="s">
        <v>1619</v>
      </c>
      <c r="D11" s="16"/>
      <c r="E11" s="18" t="s">
        <v>2366</v>
      </c>
      <c r="F11" s="16"/>
      <c r="G11" s="18" t="s">
        <v>893</v>
      </c>
      <c r="H11" s="16"/>
      <c r="I11" s="18" t="s">
        <v>3080</v>
      </c>
      <c r="J11" s="16"/>
      <c r="K11" s="18" t="s">
        <v>3831</v>
      </c>
      <c r="L11" s="16"/>
      <c r="M11" s="18" t="s">
        <v>4559</v>
      </c>
      <c r="N11" s="16"/>
      <c r="O11" s="18" t="s">
        <v>5242</v>
      </c>
      <c r="P11" s="16"/>
      <c r="Q11" s="18" t="s">
        <v>5984</v>
      </c>
      <c r="R11" s="16"/>
      <c r="S11" s="18"/>
      <c r="T11" s="20"/>
    </row>
    <row r="12" spans="1:20" ht="15.95" customHeight="1" x14ac:dyDescent="0.25">
      <c r="A12" s="18" t="s">
        <v>799</v>
      </c>
      <c r="B12" s="16"/>
      <c r="C12" s="18" t="s">
        <v>799</v>
      </c>
      <c r="D12" s="16"/>
      <c r="E12" s="18" t="s">
        <v>2654</v>
      </c>
      <c r="F12" s="16"/>
      <c r="G12" s="18" t="s">
        <v>1197</v>
      </c>
      <c r="H12" s="16"/>
      <c r="I12" s="18" t="s">
        <v>3380</v>
      </c>
      <c r="J12" s="16"/>
      <c r="K12" s="18" t="s">
        <v>4125</v>
      </c>
      <c r="L12" s="16"/>
      <c r="M12" s="18" t="s">
        <v>1197</v>
      </c>
      <c r="N12" s="16"/>
      <c r="O12" s="18" t="s">
        <v>5539</v>
      </c>
      <c r="P12" s="16"/>
      <c r="Q12" s="18" t="s">
        <v>799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800</v>
      </c>
      <c r="B14" s="16"/>
      <c r="C14" s="18" t="s">
        <v>1935</v>
      </c>
      <c r="D14" s="16"/>
      <c r="E14" s="18" t="s">
        <v>2655</v>
      </c>
      <c r="F14" s="16"/>
      <c r="G14" s="18" t="s">
        <v>1198</v>
      </c>
      <c r="H14" s="16"/>
      <c r="I14" s="18" t="s">
        <v>3381</v>
      </c>
      <c r="J14" s="16"/>
      <c r="K14" s="18" t="s">
        <v>4126</v>
      </c>
      <c r="L14" s="16"/>
      <c r="M14" s="18" t="s">
        <v>4839</v>
      </c>
      <c r="N14" s="16"/>
      <c r="O14" s="18" t="s">
        <v>5540</v>
      </c>
      <c r="P14" s="16"/>
      <c r="Q14" s="18" t="s">
        <v>6235</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801</v>
      </c>
      <c r="B16" s="16"/>
      <c r="C16" s="18" t="s">
        <v>1936</v>
      </c>
      <c r="D16" s="16"/>
      <c r="E16" s="18" t="s">
        <v>2656</v>
      </c>
      <c r="F16" s="16"/>
      <c r="G16" s="18" t="s">
        <v>1199</v>
      </c>
      <c r="H16" s="16"/>
      <c r="I16" s="18" t="s">
        <v>3382</v>
      </c>
      <c r="J16" s="16"/>
      <c r="K16" s="18" t="s">
        <v>4127</v>
      </c>
      <c r="L16" s="16"/>
      <c r="M16" s="18" t="s">
        <v>4840</v>
      </c>
      <c r="N16" s="16"/>
      <c r="O16" s="18" t="s">
        <v>5541</v>
      </c>
      <c r="P16" s="16"/>
      <c r="Q16" s="18" t="s">
        <v>6236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802</v>
      </c>
      <c r="B18" s="16"/>
      <c r="C18" s="18" t="s">
        <v>1930</v>
      </c>
      <c r="D18" s="16"/>
      <c r="E18" s="18" t="s">
        <v>2649</v>
      </c>
      <c r="F18" s="16"/>
      <c r="G18" s="18" t="s">
        <v>1192</v>
      </c>
      <c r="H18" s="16"/>
      <c r="I18" s="18" t="s">
        <v>3375</v>
      </c>
      <c r="J18" s="16"/>
      <c r="K18" s="18" t="s">
        <v>4120</v>
      </c>
      <c r="L18" s="16"/>
      <c r="M18" s="18" t="s">
        <v>4835</v>
      </c>
      <c r="N18" s="16"/>
      <c r="O18" s="18" t="s">
        <v>5534</v>
      </c>
      <c r="P18" s="16"/>
      <c r="Q18" s="18" t="s">
        <v>6231</v>
      </c>
      <c r="R18" s="16"/>
      <c r="S18" s="18"/>
      <c r="T18" s="20"/>
    </row>
    <row r="19" spans="1:20" ht="15.95" customHeight="1" x14ac:dyDescent="0.25">
      <c r="A19" s="18" t="s">
        <v>803</v>
      </c>
      <c r="B19" s="16"/>
      <c r="C19" s="18" t="s">
        <v>1937</v>
      </c>
      <c r="D19" s="16"/>
      <c r="E19" s="18" t="s">
        <v>2657</v>
      </c>
      <c r="F19" s="16"/>
      <c r="G19" s="18" t="s">
        <v>1200</v>
      </c>
      <c r="H19" s="16"/>
      <c r="I19" s="18" t="s">
        <v>3383</v>
      </c>
      <c r="J19" s="16"/>
      <c r="K19" s="18" t="s">
        <v>4128</v>
      </c>
      <c r="L19" s="16"/>
      <c r="M19" s="18" t="s">
        <v>4841</v>
      </c>
      <c r="N19" s="16"/>
      <c r="O19" s="18" t="s">
        <v>5542</v>
      </c>
      <c r="P19" s="16"/>
      <c r="Q19" s="18" t="s">
        <v>6237</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804</v>
      </c>
      <c r="B21" s="16"/>
      <c r="C21" s="18" t="s">
        <v>1938</v>
      </c>
      <c r="D21" s="16"/>
      <c r="E21" s="18" t="s">
        <v>2658</v>
      </c>
      <c r="F21" s="16"/>
      <c r="G21" s="18" t="s">
        <v>1201</v>
      </c>
      <c r="H21" s="16"/>
      <c r="I21" s="18" t="s">
        <v>3384</v>
      </c>
      <c r="J21" s="16"/>
      <c r="K21" s="18" t="s">
        <v>4129</v>
      </c>
      <c r="L21" s="16"/>
      <c r="M21" s="18" t="s">
        <v>4842</v>
      </c>
      <c r="N21" s="16"/>
      <c r="O21" s="18" t="s">
        <v>5543</v>
      </c>
      <c r="P21" s="16"/>
      <c r="Q21" s="18" t="s">
        <v>6238</v>
      </c>
      <c r="R21" s="16"/>
      <c r="S21" s="18"/>
      <c r="T21" s="20"/>
    </row>
    <row r="22" spans="1:20" ht="15.95" customHeight="1" x14ac:dyDescent="0.25">
      <c r="A22" s="18" t="s">
        <v>805</v>
      </c>
      <c r="B22" s="16"/>
      <c r="C22" s="18" t="s">
        <v>1939</v>
      </c>
      <c r="D22" s="16"/>
      <c r="E22" s="18" t="s">
        <v>2659</v>
      </c>
      <c r="F22" s="16"/>
      <c r="G22" s="18" t="s">
        <v>1202</v>
      </c>
      <c r="H22" s="16"/>
      <c r="I22" s="18" t="s">
        <v>3385</v>
      </c>
      <c r="J22" s="16"/>
      <c r="K22" s="18" t="s">
        <v>4130</v>
      </c>
      <c r="L22" s="16"/>
      <c r="M22" s="18" t="s">
        <v>4843</v>
      </c>
      <c r="N22" s="16"/>
      <c r="O22" s="18" t="s">
        <v>5544</v>
      </c>
      <c r="P22" s="16"/>
      <c r="Q22" s="18" t="s">
        <v>6239</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806</v>
      </c>
      <c r="B24" s="16" t="str">
        <f>A24</f>
        <v>Warlord Item</v>
      </c>
      <c r="C24" s="18" t="s">
        <v>1940</v>
      </c>
      <c r="D24" s="16" t="str">
        <f>C24</f>
        <v>Kriegsfürst-Gegenstand</v>
      </c>
      <c r="E24" s="18" t="s">
        <v>2660</v>
      </c>
      <c r="F24" s="16" t="str">
        <f>E24</f>
        <v>Objeto del Jefe de guerra</v>
      </c>
      <c r="G24" s="18" t="s">
        <v>1203</v>
      </c>
      <c r="H24" s="16" t="str">
        <f>G24</f>
        <v>Objet du Seigneur de guerre</v>
      </c>
      <c r="I24" s="18" t="s">
        <v>3386</v>
      </c>
      <c r="J24" s="16" t="str">
        <f>I24</f>
        <v>ウォーロードアイテム</v>
      </c>
      <c r="K24" s="18" t="s">
        <v>4131</v>
      </c>
      <c r="L24" s="16" t="str">
        <f>K24</f>
        <v>전쟁군주 아이템</v>
      </c>
      <c r="M24" s="18" t="s">
        <v>4844</v>
      </c>
      <c r="N24" s="16" t="str">
        <f>M24</f>
        <v>Item do Senhor da Guerra</v>
      </c>
      <c r="O24" s="18" t="s">
        <v>5545</v>
      </c>
      <c r="P24" s="16" t="str">
        <f>O24</f>
        <v>Предмет Вождя</v>
      </c>
      <c r="Q24" s="18" t="s">
        <v>6240</v>
      </c>
      <c r="R24" s="16" t="str">
        <f>Q24</f>
        <v>ไอเทมผู้พิชิตศึก</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50" priority="2" stopIfTrue="1">
      <formula>NOT(ISERROR(A3))</formula>
    </cfRule>
  </conditionalFormatting>
  <conditionalFormatting sqref="A3:T51">
    <cfRule type="containsErrors" dxfId="149" priority="1" stopIfTrue="1">
      <formula>ISERROR(A3)</formula>
    </cfRule>
    <cfRule type="notContainsBlanks" dxfId="148"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858</v>
      </c>
      <c r="B3" s="16" t="str">
        <f>TRIM(_xlfn.TEXTBEFORE(A3, ":"))</f>
        <v>Item Class</v>
      </c>
      <c r="C3" s="17" t="s">
        <v>1941</v>
      </c>
      <c r="D3" s="16" t="str">
        <f>TRIM(_xlfn.TEXTBEFORE(C3, ":"))</f>
        <v>Gegenstandsklasse</v>
      </c>
      <c r="E3" s="17" t="s">
        <v>2661</v>
      </c>
      <c r="F3" s="16" t="str">
        <f>TRIM(_xlfn.TEXTBEFORE(E3, ":"))</f>
        <v>Clase de objeto</v>
      </c>
      <c r="G3" s="17" t="s">
        <v>1204</v>
      </c>
      <c r="H3" s="16" t="str">
        <f>TRIM(_xlfn.TEXTBEFORE(G3, ":"))</f>
        <v>Classe d'objet</v>
      </c>
      <c r="I3" s="17" t="s">
        <v>3387</v>
      </c>
      <c r="J3" s="16" t="str">
        <f>TRIM(_xlfn.TEXTBEFORE(I3, ":"))</f>
        <v>アイテムクラス</v>
      </c>
      <c r="K3" s="17" t="s">
        <v>4132</v>
      </c>
      <c r="L3" s="16" t="str">
        <f>TRIM(_xlfn.TEXTBEFORE(K3, ":"))</f>
        <v>아이템 종류</v>
      </c>
      <c r="M3" s="17" t="s">
        <v>4845</v>
      </c>
      <c r="N3" s="16" t="str">
        <f>TRIM(_xlfn.TEXTBEFORE(M3, ":"))</f>
        <v>Classe do Item</v>
      </c>
      <c r="O3" s="17" t="s">
        <v>5546</v>
      </c>
      <c r="P3" s="16" t="str">
        <f>TRIM(_xlfn.TEXTBEFORE(O3, ":"))</f>
        <v>Класс предмета</v>
      </c>
      <c r="Q3" s="17" t="s">
        <v>6241</v>
      </c>
      <c r="R3" s="16" t="str">
        <f>TRIM(_xlfn.TEXTBEFORE(Q3, ":"))</f>
        <v>ชนิดไอเทม</v>
      </c>
      <c r="S3" s="17"/>
      <c r="T3" s="20" t="e">
        <f>TRIM(_xlfn.TEXTBEFORE(S3, ":"))</f>
        <v>#N/A</v>
      </c>
    </row>
    <row r="4" spans="1:20" ht="15.95" customHeight="1" x14ac:dyDescent="0.25">
      <c r="A4" s="18" t="s">
        <v>513</v>
      </c>
      <c r="B4" s="16" t="str">
        <f>TRIM(_xlfn.TEXTAFTER(A3, ":"))</f>
        <v>Abyss Jewels</v>
      </c>
      <c r="C4" s="18" t="s">
        <v>1879</v>
      </c>
      <c r="D4" s="16" t="str">
        <f>TRIM(_xlfn.TEXTAFTER(C3, ":"))</f>
        <v>Abgrund-Juwelen</v>
      </c>
      <c r="E4" s="18" t="s">
        <v>2597</v>
      </c>
      <c r="F4" s="16" t="str">
        <f>TRIM(_xlfn.TEXTAFTER(E3, ":"))</f>
        <v>Joyas de abismo</v>
      </c>
      <c r="G4" s="18" t="s">
        <v>1142</v>
      </c>
      <c r="H4" s="16" t="str">
        <f>TRIM(_xlfn.TEXTAFTER(G3, ":"))</f>
        <v>Joyaux abyssaux</v>
      </c>
      <c r="I4" s="18" t="s">
        <v>3321</v>
      </c>
      <c r="J4" s="16" t="str">
        <f>TRIM(_xlfn.TEXTAFTER(I3, ":"))</f>
        <v>アビスジュエル</v>
      </c>
      <c r="K4" s="18" t="s">
        <v>4066</v>
      </c>
      <c r="L4" s="16" t="str">
        <f>TRIM(_xlfn.TEXTAFTER(K3, ":"))</f>
        <v>심연 주얼</v>
      </c>
      <c r="M4" s="18" t="s">
        <v>4787</v>
      </c>
      <c r="N4" s="16" t="str">
        <f>TRIM(_xlfn.TEXTAFTER(M3, ":"))</f>
        <v>Joias Abissais</v>
      </c>
      <c r="O4" s="18" t="s">
        <v>5480</v>
      </c>
      <c r="P4" s="16" t="str">
        <f>TRIM(_xlfn.TEXTAFTER(O3, ":"))</f>
        <v>Самоцветы Бездны</v>
      </c>
      <c r="Q4" s="18" t="s">
        <v>6191</v>
      </c>
      <c r="R4" s="16" t="str">
        <f>TRIM(_xlfn.TEXTAFTER(Q3, ":"))</f>
        <v>จิวเวลอะบิส</v>
      </c>
      <c r="S4" s="18"/>
      <c r="T4" s="20" t="e">
        <f>TRIM(_xlfn.TEXTAFTER(S3, ":"))</f>
        <v>#N/A</v>
      </c>
    </row>
    <row r="5" spans="1:20" ht="15.95" customHeight="1" x14ac:dyDescent="0.25">
      <c r="A5" s="18" t="s">
        <v>859</v>
      </c>
      <c r="B5" s="16" t="str">
        <f>TRIM(_xlfn.TEXTBEFORE(A4, ":"))</f>
        <v>Rarity</v>
      </c>
      <c r="C5" s="18" t="s">
        <v>1942</v>
      </c>
      <c r="D5" s="16" t="str">
        <f>TRIM(_xlfn.TEXTBEFORE(C4, ":"))</f>
        <v>Seltenheit</v>
      </c>
      <c r="E5" s="18" t="s">
        <v>2662</v>
      </c>
      <c r="F5" s="16" t="str">
        <f>TRIM(_xlfn.TEXTBEFORE(E4, ":"))</f>
        <v>Rareza</v>
      </c>
      <c r="G5" s="18" t="s">
        <v>1205</v>
      </c>
      <c r="H5" s="16" t="str">
        <f>TRIM(_xlfn.TEXTBEFORE(G4, ":"))</f>
        <v>Rareté</v>
      </c>
      <c r="I5" s="18" t="s">
        <v>3388</v>
      </c>
      <c r="J5" s="16" t="str">
        <f>TRIM(_xlfn.TEXTBEFORE(I4, ":"))</f>
        <v>レアリティ</v>
      </c>
      <c r="K5" s="18" t="s">
        <v>4133</v>
      </c>
      <c r="L5" s="16" t="str">
        <f>TRIM(_xlfn.TEXTBEFORE(K4, ":"))</f>
        <v>아이템 희귀도</v>
      </c>
      <c r="M5" s="18" t="s">
        <v>4846</v>
      </c>
      <c r="N5" s="16" t="str">
        <f>TRIM(_xlfn.TEXTBEFORE(M4, ":"))</f>
        <v>Raridade</v>
      </c>
      <c r="O5" s="18" t="s">
        <v>5547</v>
      </c>
      <c r="P5" s="16" t="str">
        <f>TRIM(_xlfn.TEXTBEFORE(O4, ":"))</f>
        <v>Редкость</v>
      </c>
      <c r="Q5" s="18" t="s">
        <v>859</v>
      </c>
      <c r="R5" s="16" t="str">
        <f>TRIM(_xlfn.TEXTBEFORE(Q4, ":"))</f>
        <v>ความหายาก</v>
      </c>
      <c r="S5" s="18"/>
      <c r="T5" s="20" t="e">
        <f>TRIM(_xlfn.TEXTBEFORE(S4, ":"))</f>
        <v>#N/A</v>
      </c>
    </row>
    <row r="6" spans="1:20" ht="15.95" customHeight="1" x14ac:dyDescent="0.25">
      <c r="A6" s="18" t="s">
        <v>860</v>
      </c>
      <c r="B6" s="16" t="str">
        <f>TRIM(_xlfn.TEXTAFTER(A4,":"))</f>
        <v>Rare</v>
      </c>
      <c r="C6" s="18" t="s">
        <v>1943</v>
      </c>
      <c r="D6" s="16" t="str">
        <f>TRIM(_xlfn.TEXTAFTER(C4,":"))</f>
        <v>Selten</v>
      </c>
      <c r="E6" s="18" t="s">
        <v>2663</v>
      </c>
      <c r="F6" s="16" t="str">
        <f>TRIM(_xlfn.TEXTAFTER(E4,":"))</f>
        <v>Raro</v>
      </c>
      <c r="G6" s="18" t="s">
        <v>1206</v>
      </c>
      <c r="H6" s="16" t="str">
        <f>TRIM(_xlfn.TEXTAFTER(G4,":"))</f>
        <v>Rare</v>
      </c>
      <c r="I6" s="18" t="s">
        <v>3389</v>
      </c>
      <c r="J6" s="16" t="str">
        <f>TRIM(_xlfn.TEXTAFTER(I4,":"))</f>
        <v>レア</v>
      </c>
      <c r="K6" s="18" t="s">
        <v>4134</v>
      </c>
      <c r="L6" s="16" t="str">
        <f>TRIM(_xlfn.TEXTAFTER(K4,":"))</f>
        <v>희귀</v>
      </c>
      <c r="M6" s="18" t="s">
        <v>4847</v>
      </c>
      <c r="N6" s="16" t="str">
        <f>TRIM(_xlfn.TEXTAFTER(M4,":"))</f>
        <v>Raro</v>
      </c>
      <c r="O6" s="18" t="s">
        <v>5548</v>
      </c>
      <c r="P6" s="16" t="str">
        <f>TRIM(_xlfn.TEXTAFTER(O4,":"))</f>
        <v>Редкий</v>
      </c>
      <c r="Q6" s="18" t="s">
        <v>860</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861</v>
      </c>
      <c r="B8" s="16"/>
      <c r="C8" s="18" t="s">
        <v>1944</v>
      </c>
      <c r="D8" s="16"/>
      <c r="E8" s="18" t="s">
        <v>2664</v>
      </c>
      <c r="F8" s="16"/>
      <c r="G8" s="18" t="s">
        <v>1207</v>
      </c>
      <c r="H8" s="16"/>
      <c r="I8" s="18" t="s">
        <v>3390</v>
      </c>
      <c r="J8" s="16"/>
      <c r="K8" s="18" t="s">
        <v>4135</v>
      </c>
      <c r="L8" s="16"/>
      <c r="M8" s="18" t="s">
        <v>4848</v>
      </c>
      <c r="N8" s="16"/>
      <c r="O8" s="18" t="s">
        <v>5413</v>
      </c>
      <c r="P8" s="16"/>
      <c r="Q8" s="18" t="s">
        <v>6242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t="s">
        <v>5212</v>
      </c>
      <c r="P10" s="16"/>
      <c r="Q10" s="18" t="s">
        <v>5957</v>
      </c>
      <c r="R10" s="16"/>
      <c r="S10" s="18"/>
      <c r="T10" s="20"/>
    </row>
    <row r="11" spans="1:20" ht="15.95" customHeight="1" x14ac:dyDescent="0.25">
      <c r="A11" s="18" t="s">
        <v>475</v>
      </c>
      <c r="B11" s="16"/>
      <c r="C11" s="18" t="s">
        <v>1817</v>
      </c>
      <c r="D11" s="16"/>
      <c r="E11" s="18" t="s">
        <v>2536</v>
      </c>
      <c r="F11" s="16"/>
      <c r="G11" s="18" t="s">
        <v>1085</v>
      </c>
      <c r="H11" s="16"/>
      <c r="I11" s="18" t="s">
        <v>3256</v>
      </c>
      <c r="J11" s="16"/>
      <c r="K11" s="18" t="s">
        <v>4002</v>
      </c>
      <c r="L11" s="16"/>
      <c r="M11" s="18" t="s">
        <v>4729</v>
      </c>
      <c r="N11" s="16"/>
      <c r="O11" s="18" t="s">
        <v>5416</v>
      </c>
      <c r="P11" s="16"/>
      <c r="Q11" s="18" t="s">
        <v>6139</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283</v>
      </c>
      <c r="B13" s="16"/>
      <c r="C13" s="18" t="s">
        <v>1759</v>
      </c>
      <c r="D13" s="16"/>
      <c r="E13" s="18" t="s">
        <v>2478</v>
      </c>
      <c r="F13" s="16"/>
      <c r="G13" s="18" t="s">
        <v>1027</v>
      </c>
      <c r="H13" s="16"/>
      <c r="I13" s="18" t="s">
        <v>3196</v>
      </c>
      <c r="J13" s="16"/>
      <c r="K13" s="18" t="s">
        <v>3943</v>
      </c>
      <c r="L13" s="16"/>
      <c r="M13" s="18" t="s">
        <v>4672</v>
      </c>
      <c r="N13" s="16"/>
      <c r="O13" s="18" t="s">
        <v>5357</v>
      </c>
      <c r="P13" s="16"/>
      <c r="Q13" s="18" t="s">
        <v>6089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862</v>
      </c>
      <c r="B15" s="16"/>
      <c r="C15" s="18" t="s">
        <v>1945</v>
      </c>
      <c r="D15" s="16"/>
      <c r="E15" s="18" t="s">
        <v>2665</v>
      </c>
      <c r="F15" s="16"/>
      <c r="G15" s="18" t="s">
        <v>1208</v>
      </c>
      <c r="H15" s="16"/>
      <c r="I15" s="18" t="s">
        <v>3391</v>
      </c>
      <c r="J15" s="16"/>
      <c r="K15" s="18" t="s">
        <v>4136</v>
      </c>
      <c r="L15" s="16"/>
      <c r="M15" s="18" t="s">
        <v>4849</v>
      </c>
      <c r="N15" s="16"/>
      <c r="O15" s="18" t="s">
        <v>5549</v>
      </c>
      <c r="P15" s="16"/>
      <c r="Q15" s="18" t="s">
        <v>6243</v>
      </c>
      <c r="R15" s="16"/>
      <c r="S15" s="18"/>
      <c r="T15" s="20"/>
    </row>
    <row r="16" spans="1:20" ht="15.95" customHeight="1" x14ac:dyDescent="0.25">
      <c r="A16" s="18" t="s">
        <v>863</v>
      </c>
      <c r="B16" s="16"/>
      <c r="C16" s="18" t="s">
        <v>1946</v>
      </c>
      <c r="D16" s="16"/>
      <c r="E16" s="18" t="s">
        <v>2666</v>
      </c>
      <c r="F16" s="16"/>
      <c r="G16" s="18" t="s">
        <v>1209</v>
      </c>
      <c r="H16" s="16"/>
      <c r="I16" s="18" t="s">
        <v>3392</v>
      </c>
      <c r="J16" s="16"/>
      <c r="K16" s="18" t="s">
        <v>4137</v>
      </c>
      <c r="L16" s="16"/>
      <c r="M16" s="18" t="s">
        <v>4850</v>
      </c>
      <c r="N16" s="16"/>
      <c r="O16" s="18" t="s">
        <v>5550</v>
      </c>
      <c r="P16" s="16"/>
      <c r="Q16" s="18" t="s">
        <v>6244</v>
      </c>
      <c r="R16" s="16"/>
      <c r="S16" s="18"/>
      <c r="T16" s="20"/>
    </row>
    <row r="17" spans="1:20" ht="15.95" customHeight="1" x14ac:dyDescent="0.25">
      <c r="A17" s="18" t="s">
        <v>864</v>
      </c>
      <c r="B17" s="16"/>
      <c r="C17" s="18" t="s">
        <v>1947</v>
      </c>
      <c r="D17" s="16"/>
      <c r="E17" s="18" t="s">
        <v>2667</v>
      </c>
      <c r="F17" s="16"/>
      <c r="G17" s="18" t="s">
        <v>1210</v>
      </c>
      <c r="H17" s="16"/>
      <c r="I17" s="18" t="s">
        <v>3393</v>
      </c>
      <c r="J17" s="16"/>
      <c r="K17" s="18" t="s">
        <v>4138</v>
      </c>
      <c r="L17" s="16"/>
      <c r="M17" s="18" t="s">
        <v>4851</v>
      </c>
      <c r="N17" s="16"/>
      <c r="O17" s="18" t="s">
        <v>5551</v>
      </c>
      <c r="P17" s="16"/>
      <c r="Q17" s="18" t="s">
        <v>6245</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865</v>
      </c>
      <c r="B19" s="16"/>
      <c r="C19" s="18" t="s">
        <v>1948</v>
      </c>
      <c r="D19" s="16"/>
      <c r="E19" s="18" t="s">
        <v>2668</v>
      </c>
      <c r="F19" s="16"/>
      <c r="G19" s="18" t="s">
        <v>1211</v>
      </c>
      <c r="H19" s="16"/>
      <c r="I19" s="18" t="s">
        <v>3394</v>
      </c>
      <c r="J19" s="16"/>
      <c r="K19" s="18" t="s">
        <v>4139</v>
      </c>
      <c r="L19" s="16"/>
      <c r="M19" s="18" t="s">
        <v>4852</v>
      </c>
      <c r="N19" s="16"/>
      <c r="O19" s="18" t="s">
        <v>5552</v>
      </c>
      <c r="P19" s="16"/>
      <c r="Q19" s="18" t="s">
        <v>6246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866</v>
      </c>
      <c r="B21" s="16"/>
      <c r="C21" s="18" t="s">
        <v>1949</v>
      </c>
      <c r="D21" s="16"/>
      <c r="E21" s="18" t="s">
        <v>2669</v>
      </c>
      <c r="F21" s="16"/>
      <c r="G21" s="18" t="s">
        <v>1212</v>
      </c>
      <c r="H21" s="16"/>
      <c r="I21" s="18" t="s">
        <v>3395</v>
      </c>
      <c r="J21" s="16"/>
      <c r="K21" s="18" t="s">
        <v>4140</v>
      </c>
      <c r="L21" s="16"/>
      <c r="M21" s="18" t="s">
        <v>4853</v>
      </c>
      <c r="N21" s="16"/>
      <c r="O21" s="18" t="s">
        <v>5553</v>
      </c>
      <c r="P21" s="16"/>
      <c r="Q21" s="18" t="s">
        <v>6247</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7" priority="2" stopIfTrue="1">
      <formula>NOT(ISERROR(A3))</formula>
    </cfRule>
  </conditionalFormatting>
  <conditionalFormatting sqref="A3:T51">
    <cfRule type="containsErrors" dxfId="146" priority="1" stopIfTrue="1">
      <formula>ISERROR(A3)</formula>
    </cfRule>
    <cfRule type="notContainsBlanks" dxfId="145"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108</v>
      </c>
      <c r="B3" s="16" t="str">
        <f>TRIM(_xlfn.TEXTBEFORE(A3, ":"))</f>
        <v>Item Class</v>
      </c>
      <c r="C3" s="17" t="s">
        <v>1950</v>
      </c>
      <c r="D3" s="16" t="str">
        <f>TRIM(_xlfn.TEXTBEFORE(C3, ":"))</f>
        <v>Gegenstandsklasse</v>
      </c>
      <c r="E3" s="17" t="s">
        <v>2670</v>
      </c>
      <c r="F3" s="16" t="str">
        <f>TRIM(_xlfn.TEXTBEFORE(E3, ":"))</f>
        <v>Clase de objeto</v>
      </c>
      <c r="G3" s="17" t="s">
        <v>0</v>
      </c>
      <c r="H3" s="16" t="str">
        <f>TRIM(_xlfn.TEXTBEFORE(G3, ":"))</f>
        <v>Classe d'objet</v>
      </c>
      <c r="I3" s="17" t="s">
        <v>3396</v>
      </c>
      <c r="J3" s="16" t="str">
        <f>TRIM(_xlfn.TEXTBEFORE(I3, ":"))</f>
        <v>アイテムクラス</v>
      </c>
      <c r="K3" s="17" t="s">
        <v>4141</v>
      </c>
      <c r="L3" s="16" t="str">
        <f>TRIM(_xlfn.TEXTBEFORE(K3, ":"))</f>
        <v>아이템 종류</v>
      </c>
      <c r="M3" s="17" t="s">
        <v>4854</v>
      </c>
      <c r="N3" s="16" t="str">
        <f>TRIM(_xlfn.TEXTBEFORE(M3, ":"))</f>
        <v>Classe do Item</v>
      </c>
      <c r="O3" s="17" t="s">
        <v>5554</v>
      </c>
      <c r="P3" s="16" t="str">
        <f>TRIM(_xlfn.TEXTBEFORE(O3, ":"))</f>
        <v>Класс предмета</v>
      </c>
      <c r="Q3" s="17" t="s">
        <v>6248</v>
      </c>
      <c r="R3" s="16" t="str">
        <f>TRIM(_xlfn.TEXTBEFORE(Q3, ":"))</f>
        <v>ชนิดไอเทม</v>
      </c>
      <c r="S3" s="17"/>
      <c r="T3" s="16" t="e">
        <f>TRIM(_xlfn.TEXTBEFORE(S3, ":"))</f>
        <v>#N/A</v>
      </c>
    </row>
    <row r="4" spans="1:20" ht="15.95" customHeight="1" x14ac:dyDescent="0.25">
      <c r="A4" s="18" t="s">
        <v>109</v>
      </c>
      <c r="B4" s="16" t="str">
        <f>TRIM(_xlfn.TEXTAFTER(A3, ":"))</f>
        <v>Belts</v>
      </c>
      <c r="C4" s="18" t="s">
        <v>1672</v>
      </c>
      <c r="D4" s="16" t="str">
        <f>TRIM(_xlfn.TEXTAFTER(C3, ":"))</f>
        <v>Gürtel</v>
      </c>
      <c r="E4" s="18" t="s">
        <v>2392</v>
      </c>
      <c r="F4" s="16" t="str">
        <f>TRIM(_xlfn.TEXTAFTER(E3, ":"))</f>
        <v>Cinturones</v>
      </c>
      <c r="G4" s="18" t="s">
        <v>1</v>
      </c>
      <c r="H4" s="16" t="str">
        <f>TRIM(_xlfn.TEXTAFTER(G3, ":"))</f>
        <v>Ceintures</v>
      </c>
      <c r="I4" s="18" t="s">
        <v>3107</v>
      </c>
      <c r="J4" s="16" t="str">
        <f>TRIM(_xlfn.TEXTAFTER(I3, ":"))</f>
        <v>ベルト</v>
      </c>
      <c r="K4" s="18" t="s">
        <v>3857</v>
      </c>
      <c r="L4" s="16" t="str">
        <f>TRIM(_xlfn.TEXTAFTER(K3, ":"))</f>
        <v>허리띠</v>
      </c>
      <c r="M4" s="18" t="s">
        <v>4586</v>
      </c>
      <c r="N4" s="16" t="str">
        <f>TRIM(_xlfn.TEXTAFTER(M3, ":"))</f>
        <v>Cintos</v>
      </c>
      <c r="O4" s="18" t="s">
        <v>5269</v>
      </c>
      <c r="P4" s="16" t="str">
        <f>TRIM(_xlfn.TEXTAFTER(O3, ":"))</f>
        <v>Пояса</v>
      </c>
      <c r="Q4" s="18" t="s">
        <v>6006</v>
      </c>
      <c r="R4" s="16" t="str">
        <f>TRIM(_xlfn.TEXTAFTER(Q3, ":"))</f>
        <v>เข็มขัด</v>
      </c>
      <c r="S4" s="18"/>
      <c r="T4" s="16" t="e">
        <f>TRIM(_xlfn.TEXTAFTER(S3, ":"))</f>
        <v>#N/A</v>
      </c>
    </row>
    <row r="5" spans="1:20" ht="15.95" customHeight="1" x14ac:dyDescent="0.25">
      <c r="A5" s="18" t="s">
        <v>114</v>
      </c>
      <c r="B5" s="16" t="str">
        <f>TRIM(_xlfn.TEXTBEFORE(A4, ":"))</f>
        <v>Rarity</v>
      </c>
      <c r="C5" s="18" t="s">
        <v>1951</v>
      </c>
      <c r="D5" s="16" t="str">
        <f>TRIM(_xlfn.TEXTBEFORE(C4, ":"))</f>
        <v>Seltenheit</v>
      </c>
      <c r="E5" s="18" t="s">
        <v>2671</v>
      </c>
      <c r="F5" s="16" t="str">
        <f>TRIM(_xlfn.TEXTBEFORE(E4, ":"))</f>
        <v>Rareza</v>
      </c>
      <c r="G5" s="18" t="s">
        <v>2</v>
      </c>
      <c r="H5" s="16" t="str">
        <f>TRIM(_xlfn.TEXTBEFORE(G4, ":"))</f>
        <v>Rareté</v>
      </c>
      <c r="I5" s="18" t="s">
        <v>3397</v>
      </c>
      <c r="J5" s="16" t="str">
        <f>TRIM(_xlfn.TEXTBEFORE(I4, ":"))</f>
        <v>レアリティ</v>
      </c>
      <c r="K5" s="18" t="s">
        <v>4142</v>
      </c>
      <c r="L5" s="16" t="str">
        <f>TRIM(_xlfn.TEXTBEFORE(K4, ":"))</f>
        <v>아이템 희귀도</v>
      </c>
      <c r="M5" s="18" t="s">
        <v>4855</v>
      </c>
      <c r="N5" s="16" t="str">
        <f>TRIM(_xlfn.TEXTBEFORE(M4, ":"))</f>
        <v>Raridade</v>
      </c>
      <c r="O5" s="18" t="s">
        <v>5555</v>
      </c>
      <c r="P5" s="16" t="str">
        <f>TRIM(_xlfn.TEXTBEFORE(O4, ":"))</f>
        <v>Редкость</v>
      </c>
      <c r="Q5" s="18" t="s">
        <v>114</v>
      </c>
      <c r="R5" s="16" t="str">
        <f>TRIM(_xlfn.TEXTBEFORE(Q4, ":"))</f>
        <v>ความหายาก</v>
      </c>
      <c r="S5" s="18"/>
      <c r="T5" s="16" t="e">
        <f>TRIM(_xlfn.TEXTBEFORE(S4, ":"))</f>
        <v>#N/A</v>
      </c>
    </row>
    <row r="6" spans="1:20" ht="15.95" customHeight="1" x14ac:dyDescent="0.25">
      <c r="A6" s="18" t="s">
        <v>115</v>
      </c>
      <c r="B6" s="16" t="str">
        <f>TRIM(_xlfn.TEXTAFTER(A4,":"))</f>
        <v>Unique</v>
      </c>
      <c r="C6" s="18" t="s">
        <v>1952</v>
      </c>
      <c r="D6" s="16" t="str">
        <f>TRIM(_xlfn.TEXTAFTER(C4,":"))</f>
        <v>Einzigartig</v>
      </c>
      <c r="E6" s="18" t="s">
        <v>2672</v>
      </c>
      <c r="F6" s="16" t="str">
        <f>TRIM(_xlfn.TEXTAFTER(E4,":"))</f>
        <v>Único</v>
      </c>
      <c r="G6" s="18" t="s">
        <v>3</v>
      </c>
      <c r="H6" s="16" t="str">
        <f>TRIM(_xlfn.TEXTAFTER(G4,":"))</f>
        <v>Unique</v>
      </c>
      <c r="I6" s="18" t="s">
        <v>3398</v>
      </c>
      <c r="J6" s="16" t="str">
        <f>TRIM(_xlfn.TEXTAFTER(I4,":"))</f>
        <v>ユニーク</v>
      </c>
      <c r="K6" s="18" t="s">
        <v>4143</v>
      </c>
      <c r="L6" s="16" t="str">
        <f>TRIM(_xlfn.TEXTAFTER(K4,":"))</f>
        <v>고유</v>
      </c>
      <c r="M6" s="18" t="s">
        <v>4856</v>
      </c>
      <c r="N6" s="16" t="str">
        <f>TRIM(_xlfn.TEXTAFTER(M4,":"))</f>
        <v>Único</v>
      </c>
      <c r="O6" s="18" t="s">
        <v>5556</v>
      </c>
      <c r="P6" s="16" t="str">
        <f>TRIM(_xlfn.TEXTAFTER(O4,":"))</f>
        <v>Уникальный</v>
      </c>
      <c r="Q6" s="18" t="s">
        <v>115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t="s">
        <v>5212</v>
      </c>
      <c r="P8" s="16"/>
      <c r="Q8" s="18" t="s">
        <v>5957</v>
      </c>
      <c r="R8" s="16"/>
      <c r="S8" s="18"/>
      <c r="T8" s="16"/>
    </row>
    <row r="9" spans="1:20" ht="15.95" customHeight="1" x14ac:dyDescent="0.25">
      <c r="A9" s="18" t="s">
        <v>116</v>
      </c>
      <c r="B9" s="16"/>
      <c r="C9" s="18" t="s">
        <v>1953</v>
      </c>
      <c r="D9" s="16"/>
      <c r="E9" s="18" t="s">
        <v>2673</v>
      </c>
      <c r="F9" s="16"/>
      <c r="G9" s="18" t="s">
        <v>1213</v>
      </c>
      <c r="H9" s="16"/>
      <c r="I9" s="18" t="s">
        <v>3399</v>
      </c>
      <c r="J9" s="16"/>
      <c r="K9" s="18" t="s">
        <v>4144</v>
      </c>
      <c r="L9" s="16"/>
      <c r="M9" s="18" t="s">
        <v>4857</v>
      </c>
      <c r="N9" s="16"/>
      <c r="O9" s="18" t="s">
        <v>5557</v>
      </c>
      <c r="P9" s="16"/>
      <c r="Q9" s="18" t="s">
        <v>6249</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117</v>
      </c>
      <c r="B11" s="16"/>
      <c r="C11" s="18" t="s">
        <v>1742</v>
      </c>
      <c r="D11" s="16"/>
      <c r="E11" s="18" t="s">
        <v>2461</v>
      </c>
      <c r="F11" s="16"/>
      <c r="G11" s="18" t="s">
        <v>1010</v>
      </c>
      <c r="H11" s="16"/>
      <c r="I11" s="18" t="s">
        <v>3179</v>
      </c>
      <c r="J11" s="16"/>
      <c r="K11" s="18" t="s">
        <v>3926</v>
      </c>
      <c r="L11" s="16"/>
      <c r="M11" s="18" t="s">
        <v>4655</v>
      </c>
      <c r="N11" s="16"/>
      <c r="O11" s="18" t="s">
        <v>5340</v>
      </c>
      <c r="P11" s="16"/>
      <c r="Q11" s="18" t="s">
        <v>6072</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118</v>
      </c>
      <c r="B13" s="16"/>
      <c r="C13" s="18" t="s">
        <v>1954</v>
      </c>
      <c r="D13" s="16"/>
      <c r="E13" s="18" t="s">
        <v>2674</v>
      </c>
      <c r="F13" s="16"/>
      <c r="G13" s="18" t="s">
        <v>1214</v>
      </c>
      <c r="H13" s="16"/>
      <c r="I13" s="18" t="s">
        <v>3400</v>
      </c>
      <c r="J13" s="16"/>
      <c r="K13" s="18" t="s">
        <v>4145</v>
      </c>
      <c r="L13" s="16"/>
      <c r="M13" s="18" t="s">
        <v>4858</v>
      </c>
      <c r="N13" s="16"/>
      <c r="O13" s="18" t="s">
        <v>5558</v>
      </c>
      <c r="P13" s="16"/>
      <c r="Q13" s="18" t="s">
        <v>6250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119</v>
      </c>
      <c r="B15" s="16"/>
      <c r="C15" s="18" t="s">
        <v>1955</v>
      </c>
      <c r="D15" s="16"/>
      <c r="E15" s="18" t="s">
        <v>2675</v>
      </c>
      <c r="F15" s="16"/>
      <c r="G15" s="18" t="s">
        <v>1215</v>
      </c>
      <c r="H15" s="16"/>
      <c r="I15" s="18" t="s">
        <v>3401</v>
      </c>
      <c r="J15" s="16"/>
      <c r="K15" s="18" t="s">
        <v>4146</v>
      </c>
      <c r="L15" s="16"/>
      <c r="M15" s="18" t="s">
        <v>4859</v>
      </c>
      <c r="N15" s="16"/>
      <c r="O15" s="18" t="s">
        <v>5559</v>
      </c>
      <c r="P15" s="16"/>
      <c r="Q15" s="18" t="s">
        <v>6251</v>
      </c>
      <c r="R15" s="16"/>
      <c r="S15" s="18"/>
      <c r="T15" s="21"/>
    </row>
    <row r="16" spans="1:20" ht="15.95" customHeight="1" x14ac:dyDescent="0.25">
      <c r="A16" s="18" t="s">
        <v>120</v>
      </c>
      <c r="B16" s="16"/>
      <c r="C16" s="18" t="s">
        <v>1956</v>
      </c>
      <c r="D16" s="16"/>
      <c r="E16" s="18" t="s">
        <v>2676</v>
      </c>
      <c r="F16" s="16"/>
      <c r="G16" s="18" t="s">
        <v>1216</v>
      </c>
      <c r="H16" s="16"/>
      <c r="I16" s="18" t="s">
        <v>3402</v>
      </c>
      <c r="J16" s="16"/>
      <c r="K16" s="18" t="s">
        <v>4147</v>
      </c>
      <c r="L16" s="16"/>
      <c r="M16" s="18" t="s">
        <v>4860</v>
      </c>
      <c r="N16" s="16"/>
      <c r="O16" s="18" t="s">
        <v>5560</v>
      </c>
      <c r="P16" s="16"/>
      <c r="Q16" s="18" t="s">
        <v>6252</v>
      </c>
      <c r="R16" s="16"/>
      <c r="S16" s="18"/>
      <c r="T16" s="21"/>
    </row>
    <row r="17" spans="1:20" ht="15.95" customHeight="1" x14ac:dyDescent="0.25">
      <c r="A17" s="18" t="s">
        <v>121</v>
      </c>
      <c r="B17" s="16"/>
      <c r="C17" s="18" t="s">
        <v>1957</v>
      </c>
      <c r="D17" s="16"/>
      <c r="E17" s="18" t="s">
        <v>2677</v>
      </c>
      <c r="F17" s="16"/>
      <c r="G17" s="18" t="s">
        <v>1217</v>
      </c>
      <c r="H17" s="16"/>
      <c r="I17" s="18" t="s">
        <v>3403</v>
      </c>
      <c r="J17" s="16"/>
      <c r="K17" s="18" t="s">
        <v>4148</v>
      </c>
      <c r="L17" s="16"/>
      <c r="M17" s="18" t="s">
        <v>4861</v>
      </c>
      <c r="N17" s="16"/>
      <c r="O17" s="18" t="s">
        <v>5561</v>
      </c>
      <c r="P17" s="16"/>
      <c r="Q17" s="18" t="s">
        <v>6253</v>
      </c>
      <c r="R17" s="16"/>
      <c r="S17" s="18"/>
      <c r="T17" s="21"/>
    </row>
    <row r="18" spans="1:20" ht="15.95" customHeight="1" x14ac:dyDescent="0.25">
      <c r="A18" s="18" t="s">
        <v>122</v>
      </c>
      <c r="B18" s="16"/>
      <c r="C18" s="18" t="s">
        <v>1958</v>
      </c>
      <c r="D18" s="16"/>
      <c r="E18" s="18" t="s">
        <v>2678</v>
      </c>
      <c r="F18" s="16"/>
      <c r="G18" s="18" t="s">
        <v>8</v>
      </c>
      <c r="H18" s="16"/>
      <c r="I18" s="18" t="s">
        <v>3404</v>
      </c>
      <c r="J18" s="16"/>
      <c r="K18" s="18" t="s">
        <v>4149</v>
      </c>
      <c r="L18" s="16"/>
      <c r="M18" s="18" t="s">
        <v>4862</v>
      </c>
      <c r="N18" s="16"/>
      <c r="O18" s="18" t="s">
        <v>5562</v>
      </c>
      <c r="P18" s="16"/>
      <c r="Q18" s="18" t="s">
        <v>6254</v>
      </c>
      <c r="R18" s="16"/>
      <c r="S18" s="18"/>
      <c r="T18" s="21"/>
    </row>
    <row r="19" spans="1:20" ht="15.95" customHeight="1" x14ac:dyDescent="0.25">
      <c r="A19" s="18" t="s">
        <v>123</v>
      </c>
      <c r="B19" s="16"/>
      <c r="C19" s="18" t="s">
        <v>1959</v>
      </c>
      <c r="D19" s="16"/>
      <c r="E19" s="18" t="s">
        <v>2679</v>
      </c>
      <c r="F19" s="16"/>
      <c r="G19" s="18" t="s">
        <v>1218</v>
      </c>
      <c r="H19" s="16"/>
      <c r="I19" s="18" t="s">
        <v>3405</v>
      </c>
      <c r="J19" s="16"/>
      <c r="K19" s="18" t="s">
        <v>4150</v>
      </c>
      <c r="L19" s="16"/>
      <c r="M19" s="18" t="s">
        <v>4863</v>
      </c>
      <c r="N19" s="16"/>
      <c r="O19" s="18" t="s">
        <v>5563</v>
      </c>
      <c r="P19" s="16"/>
      <c r="Q19" s="18" t="s">
        <v>6255</v>
      </c>
      <c r="R19" s="16"/>
      <c r="S19" s="18"/>
      <c r="T19" s="21"/>
    </row>
    <row r="20" spans="1:20" ht="15.95" customHeight="1" x14ac:dyDescent="0.25">
      <c r="A20" s="18" t="s">
        <v>124</v>
      </c>
      <c r="B20" s="16"/>
      <c r="C20" s="18" t="s">
        <v>1960</v>
      </c>
      <c r="D20" s="16"/>
      <c r="E20" s="18" t="s">
        <v>2680</v>
      </c>
      <c r="F20" s="16"/>
      <c r="G20" s="18" t="s">
        <v>9</v>
      </c>
      <c r="H20" s="16"/>
      <c r="I20" s="18" t="s">
        <v>3406</v>
      </c>
      <c r="J20" s="16"/>
      <c r="K20" s="18" t="s">
        <v>4151</v>
      </c>
      <c r="L20" s="16"/>
      <c r="M20" s="18" t="s">
        <v>4864</v>
      </c>
      <c r="N20" s="16"/>
      <c r="O20" s="18" t="s">
        <v>5564</v>
      </c>
      <c r="P20" s="16"/>
      <c r="Q20" s="18" t="s">
        <v>6256</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125</v>
      </c>
      <c r="B22" s="16"/>
      <c r="C22" s="18" t="s">
        <v>1961</v>
      </c>
      <c r="D22" s="16"/>
      <c r="E22" s="18" t="s">
        <v>2681</v>
      </c>
      <c r="F22" s="16"/>
      <c r="G22" s="18" t="s">
        <v>10</v>
      </c>
      <c r="H22" s="16"/>
      <c r="I22" s="18" t="s">
        <v>3407</v>
      </c>
      <c r="J22" s="16"/>
      <c r="K22" s="18" t="s">
        <v>4152</v>
      </c>
      <c r="L22" s="16"/>
      <c r="M22" s="18" t="s">
        <v>4865</v>
      </c>
      <c r="N22" s="16"/>
      <c r="O22" s="18" t="s">
        <v>5565</v>
      </c>
      <c r="P22" s="16"/>
      <c r="Q22" s="18" t="s">
        <v>6257</v>
      </c>
      <c r="R22" s="16"/>
      <c r="S22" s="18"/>
      <c r="T22" s="21"/>
    </row>
    <row r="23" spans="1:20" ht="15.95" customHeight="1" x14ac:dyDescent="0.25">
      <c r="A23" s="18" t="s">
        <v>126</v>
      </c>
      <c r="B23" s="16"/>
      <c r="C23" s="18" t="s">
        <v>1962</v>
      </c>
      <c r="D23" s="16"/>
      <c r="E23" s="18" t="s">
        <v>2682</v>
      </c>
      <c r="F23" s="16"/>
      <c r="G23" s="18" t="s">
        <v>11</v>
      </c>
      <c r="H23" s="16"/>
      <c r="I23" s="18" t="s">
        <v>3408</v>
      </c>
      <c r="J23" s="16"/>
      <c r="K23" s="18" t="s">
        <v>4153</v>
      </c>
      <c r="L23" s="16"/>
      <c r="M23" s="18" t="s">
        <v>4866</v>
      </c>
      <c r="N23" s="16"/>
      <c r="O23" s="18" t="s">
        <v>5566</v>
      </c>
      <c r="P23" s="16"/>
      <c r="Q23" s="18" t="s">
        <v>6258</v>
      </c>
      <c r="R23" s="16"/>
      <c r="S23" s="18"/>
      <c r="T23" s="21"/>
    </row>
    <row r="24" spans="1:20" ht="15.95" customHeight="1" x14ac:dyDescent="0.25">
      <c r="A24" s="18" t="s">
        <v>127</v>
      </c>
      <c r="B24" s="16"/>
      <c r="C24" s="18" t="s">
        <v>1963</v>
      </c>
      <c r="D24" s="16"/>
      <c r="E24" s="18" t="s">
        <v>2683</v>
      </c>
      <c r="F24" s="16"/>
      <c r="G24" s="18" t="s">
        <v>12</v>
      </c>
      <c r="H24" s="16"/>
      <c r="I24" s="18" t="s">
        <v>3409</v>
      </c>
      <c r="J24" s="16"/>
      <c r="K24" s="18" t="s">
        <v>4154</v>
      </c>
      <c r="L24" s="16"/>
      <c r="M24" s="18" t="s">
        <v>4867</v>
      </c>
      <c r="N24" s="16"/>
      <c r="O24" s="18" t="s">
        <v>5567</v>
      </c>
      <c r="P24" s="16"/>
      <c r="Q24" s="18" t="s">
        <v>6259</v>
      </c>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4" priority="1" stopIfTrue="1">
      <formula>NOT(ISERROR(A3))</formula>
    </cfRule>
  </conditionalFormatting>
  <conditionalFormatting sqref="A3:T51">
    <cfRule type="containsErrors" dxfId="143" priority="4" stopIfTrue="1">
      <formula>ISERROR(A3)</formula>
    </cfRule>
    <cfRule type="notContainsBlanks" dxfId="142" priority="5">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dimension ref="A1:T51"/>
  <sheetViews>
    <sheetView workbookViewId="0">
      <selection activeCell="Q3" sqref="Q3:Q2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444</v>
      </c>
      <c r="B3" s="16" t="str">
        <f>TRIM(_xlfn.TEXTBEFORE(A3, ":"))</f>
        <v>Item Class</v>
      </c>
      <c r="C3" s="17" t="s">
        <v>1889</v>
      </c>
      <c r="D3" s="16" t="str">
        <f>TRIM(_xlfn.TEXTBEFORE(C3, ":"))</f>
        <v>Gegenstandsklasse</v>
      </c>
      <c r="E3" s="17" t="s">
        <v>2607</v>
      </c>
      <c r="F3" s="16" t="str">
        <f>TRIM(_xlfn.TEXTBEFORE(E3, ":"))</f>
        <v>Clase de objeto</v>
      </c>
      <c r="G3" s="17" t="s">
        <v>1152</v>
      </c>
      <c r="H3" s="16" t="str">
        <f>TRIM(_xlfn.TEXTBEFORE(G3, ":"))</f>
        <v>Classe d'objet</v>
      </c>
      <c r="I3" s="17" t="s">
        <v>3331</v>
      </c>
      <c r="J3" s="16" t="str">
        <f>TRIM(_xlfn.TEXTBEFORE(I3, ":"))</f>
        <v>アイテムクラス</v>
      </c>
      <c r="K3" s="17" t="s">
        <v>4076</v>
      </c>
      <c r="L3" s="16" t="str">
        <f>TRIM(_xlfn.TEXTBEFORE(K3, ":"))</f>
        <v>아이템 종류</v>
      </c>
      <c r="M3" s="17" t="s">
        <v>4797</v>
      </c>
      <c r="N3" s="16" t="str">
        <f>TRIM(_xlfn.TEXTBEFORE(M3, ":"))</f>
        <v>Classe do Item</v>
      </c>
      <c r="O3" s="17" t="s">
        <v>5490</v>
      </c>
      <c r="P3" s="16" t="str">
        <f>TRIM(_xlfn.TEXTBEFORE(O3, ":"))</f>
        <v>Класс предмета</v>
      </c>
      <c r="Q3" s="17" t="s">
        <v>6199</v>
      </c>
      <c r="R3" s="16" t="str">
        <f>TRIM(_xlfn.TEXTBEFORE(Q3, ":"))</f>
        <v>ชนิดไอเทม</v>
      </c>
      <c r="S3" s="17"/>
      <c r="T3" s="16" t="e">
        <f>TRIM(_xlfn.TEXTBEFORE(S3, ":"))</f>
        <v>#N/A</v>
      </c>
    </row>
    <row r="4" spans="1:20" ht="15.95" customHeight="1" x14ac:dyDescent="0.25">
      <c r="A4" s="18" t="s">
        <v>109</v>
      </c>
      <c r="B4" s="16" t="str">
        <f>TRIM(_xlfn.TEXTAFTER(A3, ":"))</f>
        <v>Boots</v>
      </c>
      <c r="C4" s="18" t="s">
        <v>1672</v>
      </c>
      <c r="D4" s="16" t="str">
        <f>TRIM(_xlfn.TEXTAFTER(C3, ":"))</f>
        <v>Stiefel</v>
      </c>
      <c r="E4" s="18" t="s">
        <v>2392</v>
      </c>
      <c r="F4" s="16" t="str">
        <f>TRIM(_xlfn.TEXTAFTER(E3, ":"))</f>
        <v>Botas</v>
      </c>
      <c r="G4" s="18" t="s">
        <v>1</v>
      </c>
      <c r="H4" s="16" t="str">
        <f>TRIM(_xlfn.TEXTAFTER(G3, ":"))</f>
        <v>Bottes</v>
      </c>
      <c r="I4" s="18" t="s">
        <v>3107</v>
      </c>
      <c r="J4" s="16" t="str">
        <f>TRIM(_xlfn.TEXTAFTER(I3, ":"))</f>
        <v>靴</v>
      </c>
      <c r="K4" s="18" t="s">
        <v>3857</v>
      </c>
      <c r="L4" s="16" t="str">
        <f>TRIM(_xlfn.TEXTAFTER(K3, ":"))</f>
        <v>장화</v>
      </c>
      <c r="M4" s="18" t="s">
        <v>4586</v>
      </c>
      <c r="N4" s="16" t="str">
        <f>TRIM(_xlfn.TEXTAFTER(M3, ":"))</f>
        <v>Botas</v>
      </c>
      <c r="O4" s="18" t="s">
        <v>5269</v>
      </c>
      <c r="P4" s="16" t="str">
        <f>TRIM(_xlfn.TEXTAFTER(O3, ":"))</f>
        <v>Обувь</v>
      </c>
      <c r="Q4" s="18" t="s">
        <v>6006</v>
      </c>
      <c r="R4" s="16" t="str">
        <f>TRIM(_xlfn.TEXTAFTER(Q3, ":"))</f>
        <v>รองเท้า</v>
      </c>
      <c r="S4" s="18"/>
      <c r="T4" s="16" t="e">
        <f>TRIM(_xlfn.TEXTAFTER(S3, ":"))</f>
        <v>#N/A</v>
      </c>
    </row>
    <row r="5" spans="1:20" ht="15.95" customHeight="1" x14ac:dyDescent="0.25">
      <c r="A5" s="18" t="s">
        <v>445</v>
      </c>
      <c r="B5" s="16" t="str">
        <f>TRIM(_xlfn.TEXTBEFORE(A4, ":"))</f>
        <v>Rarity</v>
      </c>
      <c r="C5" s="18" t="s">
        <v>445</v>
      </c>
      <c r="D5" s="16" t="str">
        <f>TRIM(_xlfn.TEXTBEFORE(C4, ":"))</f>
        <v>Seltenheit</v>
      </c>
      <c r="E5" s="18" t="s">
        <v>2684</v>
      </c>
      <c r="F5" s="16" t="str">
        <f>TRIM(_xlfn.TEXTBEFORE(E4, ":"))</f>
        <v>Rareza</v>
      </c>
      <c r="G5" s="18" t="s">
        <v>1219</v>
      </c>
      <c r="H5" s="16" t="str">
        <f>TRIM(_xlfn.TEXTBEFORE(G4, ":"))</f>
        <v>Rareté</v>
      </c>
      <c r="I5" s="18" t="s">
        <v>3410</v>
      </c>
      <c r="J5" s="16" t="str">
        <f>TRIM(_xlfn.TEXTBEFORE(I4, ":"))</f>
        <v>レアリティ</v>
      </c>
      <c r="K5" s="18" t="s">
        <v>4155</v>
      </c>
      <c r="L5" s="16" t="str">
        <f>TRIM(_xlfn.TEXTBEFORE(K4, ":"))</f>
        <v>아이템 희귀도</v>
      </c>
      <c r="M5" s="18" t="s">
        <v>4868</v>
      </c>
      <c r="N5" s="16" t="str">
        <f>TRIM(_xlfn.TEXTBEFORE(M4, ":"))</f>
        <v>Raridade</v>
      </c>
      <c r="O5" s="18" t="s">
        <v>5568</v>
      </c>
      <c r="P5" s="16" t="str">
        <f>TRIM(_xlfn.TEXTBEFORE(O4, ":"))</f>
        <v>Редкость</v>
      </c>
      <c r="Q5" s="18" t="s">
        <v>445</v>
      </c>
      <c r="R5" s="16" t="str">
        <f>TRIM(_xlfn.TEXTBEFORE(Q4, ":"))</f>
        <v>ความหายาก</v>
      </c>
      <c r="S5" s="18"/>
      <c r="T5" s="16" t="e">
        <f>TRIM(_xlfn.TEXTBEFORE(S4, ":"))</f>
        <v>#N/A</v>
      </c>
    </row>
    <row r="6" spans="1:20" ht="15.95" customHeight="1" x14ac:dyDescent="0.25">
      <c r="A6" s="18" t="s">
        <v>446</v>
      </c>
      <c r="B6" s="16" t="str">
        <f>TRIM(_xlfn.TEXTAFTER(A4,":"))</f>
        <v>Unique</v>
      </c>
      <c r="C6" s="18" t="s">
        <v>1964</v>
      </c>
      <c r="D6" s="16" t="str">
        <f>TRIM(_xlfn.TEXTAFTER(C4,":"))</f>
        <v>Einzigartig</v>
      </c>
      <c r="E6" s="18" t="s">
        <v>2685</v>
      </c>
      <c r="F6" s="16" t="str">
        <f>TRIM(_xlfn.TEXTAFTER(E4,":"))</f>
        <v>Único</v>
      </c>
      <c r="G6" s="18" t="s">
        <v>1220</v>
      </c>
      <c r="H6" s="16" t="str">
        <f>TRIM(_xlfn.TEXTAFTER(G4,":"))</f>
        <v>Unique</v>
      </c>
      <c r="I6" s="18" t="s">
        <v>3411</v>
      </c>
      <c r="J6" s="16" t="str">
        <f>TRIM(_xlfn.TEXTAFTER(I4,":"))</f>
        <v>ユニーク</v>
      </c>
      <c r="K6" s="18" t="s">
        <v>4156</v>
      </c>
      <c r="L6" s="16" t="str">
        <f>TRIM(_xlfn.TEXTAFTER(K4,":"))</f>
        <v>고유</v>
      </c>
      <c r="M6" s="18" t="s">
        <v>4869</v>
      </c>
      <c r="N6" s="16" t="str">
        <f>TRIM(_xlfn.TEXTAFTER(M4,":"))</f>
        <v>Único</v>
      </c>
      <c r="O6" s="18" t="s">
        <v>5569</v>
      </c>
      <c r="P6" s="16" t="str">
        <f>TRIM(_xlfn.TEXTAFTER(O4,":"))</f>
        <v>Уникальный</v>
      </c>
      <c r="Q6" s="18" t="s">
        <v>446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447</v>
      </c>
      <c r="B8" s="16"/>
      <c r="C8" s="18" t="s">
        <v>1965</v>
      </c>
      <c r="D8" s="16"/>
      <c r="E8" s="18" t="s">
        <v>2686</v>
      </c>
      <c r="F8" s="16"/>
      <c r="G8" s="18" t="s">
        <v>1221</v>
      </c>
      <c r="H8" s="16"/>
      <c r="I8" s="18" t="s">
        <v>3412</v>
      </c>
      <c r="J8" s="16"/>
      <c r="K8" s="18" t="s">
        <v>4157</v>
      </c>
      <c r="L8" s="16"/>
      <c r="M8" s="18" t="s">
        <v>4870</v>
      </c>
      <c r="N8" s="16"/>
      <c r="O8" s="18" t="s">
        <v>5570</v>
      </c>
      <c r="P8" s="16"/>
      <c r="Q8" s="18" t="s">
        <v>6260</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448</v>
      </c>
      <c r="B10" s="16"/>
      <c r="C10" s="18" t="s">
        <v>1966</v>
      </c>
      <c r="D10" s="16"/>
      <c r="E10" s="18" t="s">
        <v>2687</v>
      </c>
      <c r="F10" s="16"/>
      <c r="G10" s="18" t="s">
        <v>1222</v>
      </c>
      <c r="H10" s="16"/>
      <c r="I10" s="18" t="s">
        <v>3413</v>
      </c>
      <c r="J10" s="16"/>
      <c r="K10" s="18" t="s">
        <v>4158</v>
      </c>
      <c r="L10" s="16"/>
      <c r="M10" s="18" t="s">
        <v>4871</v>
      </c>
      <c r="N10" s="16"/>
      <c r="O10" s="18" t="s">
        <v>5571</v>
      </c>
      <c r="P10" s="16"/>
      <c r="Q10" s="18" t="s">
        <v>6261</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449</v>
      </c>
      <c r="B12" s="16"/>
      <c r="C12" s="18" t="s">
        <v>1819</v>
      </c>
      <c r="D12" s="16"/>
      <c r="E12" s="18" t="s">
        <v>2538</v>
      </c>
      <c r="F12" s="16"/>
      <c r="G12" s="18" t="s">
        <v>7</v>
      </c>
      <c r="H12" s="16"/>
      <c r="I12" s="18" t="s">
        <v>3258</v>
      </c>
      <c r="J12" s="16"/>
      <c r="K12" s="18" t="s">
        <v>4004</v>
      </c>
      <c r="L12" s="16"/>
      <c r="M12" s="18" t="s">
        <v>4731</v>
      </c>
      <c r="N12" s="16"/>
      <c r="O12" s="18" t="s">
        <v>5418</v>
      </c>
      <c r="P12" s="16"/>
      <c r="Q12" s="18" t="s">
        <v>6141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450</v>
      </c>
      <c r="B14" s="16"/>
      <c r="C14" s="18" t="s">
        <v>1967</v>
      </c>
      <c r="D14" s="16"/>
      <c r="E14" s="18" t="s">
        <v>2688</v>
      </c>
      <c r="F14" s="16"/>
      <c r="G14" s="18" t="s">
        <v>1223</v>
      </c>
      <c r="H14" s="16"/>
      <c r="I14" s="18" t="s">
        <v>3414</v>
      </c>
      <c r="J14" s="16"/>
      <c r="K14" s="18" t="s">
        <v>4159</v>
      </c>
      <c r="L14" s="16"/>
      <c r="M14" s="18" t="s">
        <v>4872</v>
      </c>
      <c r="N14" s="16"/>
      <c r="O14" s="18" t="s">
        <v>5572</v>
      </c>
      <c r="P14" s="16"/>
      <c r="Q14" s="18" t="s">
        <v>6262</v>
      </c>
      <c r="R14" s="16"/>
      <c r="S14" s="18"/>
      <c r="T14" s="21"/>
    </row>
    <row r="15" spans="1:20" ht="15.95" customHeight="1" x14ac:dyDescent="0.25">
      <c r="A15" s="18" t="s">
        <v>451</v>
      </c>
      <c r="B15" s="16"/>
      <c r="C15" s="18" t="s">
        <v>1968</v>
      </c>
      <c r="D15" s="16"/>
      <c r="E15" s="18" t="s">
        <v>2689</v>
      </c>
      <c r="F15" s="16"/>
      <c r="G15" s="18" t="s">
        <v>1224</v>
      </c>
      <c r="H15" s="16"/>
      <c r="I15" s="18" t="s">
        <v>3415</v>
      </c>
      <c r="J15" s="16"/>
      <c r="K15" s="18" t="s">
        <v>4160</v>
      </c>
      <c r="L15" s="16"/>
      <c r="M15" s="18" t="s">
        <v>4873</v>
      </c>
      <c r="N15" s="16"/>
      <c r="O15" s="18" t="s">
        <v>5573</v>
      </c>
      <c r="P15" s="16"/>
      <c r="Q15" s="18" t="s">
        <v>6263</v>
      </c>
      <c r="R15" s="16"/>
      <c r="S15" s="18"/>
      <c r="T15" s="21"/>
    </row>
    <row r="16" spans="1:20" ht="15.95" customHeight="1" x14ac:dyDescent="0.25">
      <c r="A16" s="18" t="s">
        <v>452</v>
      </c>
      <c r="B16" s="16"/>
      <c r="C16" s="18" t="s">
        <v>1969</v>
      </c>
      <c r="D16" s="16"/>
      <c r="E16" s="18" t="s">
        <v>2690</v>
      </c>
      <c r="F16" s="16"/>
      <c r="G16" s="18" t="s">
        <v>1225</v>
      </c>
      <c r="H16" s="16"/>
      <c r="I16" s="18" t="s">
        <v>3416</v>
      </c>
      <c r="J16" s="16"/>
      <c r="K16" s="18" t="s">
        <v>4161</v>
      </c>
      <c r="L16" s="16"/>
      <c r="M16" s="18" t="s">
        <v>4874</v>
      </c>
      <c r="N16" s="16"/>
      <c r="O16" s="18" t="s">
        <v>5574</v>
      </c>
      <c r="P16" s="16"/>
      <c r="Q16" s="18" t="s">
        <v>6264</v>
      </c>
      <c r="R16" s="16"/>
      <c r="S16" s="18"/>
      <c r="T16" s="21"/>
    </row>
    <row r="17" spans="1:20" ht="15.95" customHeight="1" x14ac:dyDescent="0.25">
      <c r="A17" s="18" t="s">
        <v>453</v>
      </c>
      <c r="B17" s="16"/>
      <c r="C17" s="18" t="s">
        <v>1970</v>
      </c>
      <c r="D17" s="16"/>
      <c r="E17" s="18" t="s">
        <v>2691</v>
      </c>
      <c r="F17" s="16"/>
      <c r="G17" s="18" t="s">
        <v>1226</v>
      </c>
      <c r="H17" s="16"/>
      <c r="I17" s="18" t="s">
        <v>3417</v>
      </c>
      <c r="J17" s="16"/>
      <c r="K17" s="18" t="s">
        <v>4162</v>
      </c>
      <c r="L17" s="16"/>
      <c r="M17" s="18" t="s">
        <v>4875</v>
      </c>
      <c r="N17" s="16"/>
      <c r="O17" s="18" t="s">
        <v>5575</v>
      </c>
      <c r="P17" s="16"/>
      <c r="Q17" s="18" t="s">
        <v>6265</v>
      </c>
      <c r="R17" s="16"/>
      <c r="S17" s="18"/>
      <c r="T17" s="21"/>
    </row>
    <row r="18" spans="1:20" ht="15.95" customHeight="1" x14ac:dyDescent="0.25">
      <c r="A18" s="18" t="s">
        <v>454</v>
      </c>
      <c r="B18" s="16"/>
      <c r="C18" s="18" t="s">
        <v>1971</v>
      </c>
      <c r="D18" s="16"/>
      <c r="E18" s="18" t="s">
        <v>2692</v>
      </c>
      <c r="F18" s="16"/>
      <c r="G18" s="18" t="s">
        <v>1227</v>
      </c>
      <c r="H18" s="16"/>
      <c r="I18" s="18" t="s">
        <v>3418</v>
      </c>
      <c r="J18" s="16"/>
      <c r="K18" s="18" t="s">
        <v>4163</v>
      </c>
      <c r="L18" s="16"/>
      <c r="M18" s="18" t="s">
        <v>4876</v>
      </c>
      <c r="N18" s="16"/>
      <c r="O18" s="18" t="s">
        <v>5576</v>
      </c>
      <c r="P18" s="16"/>
      <c r="Q18" s="18" t="s">
        <v>6266</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455</v>
      </c>
      <c r="B20" s="16"/>
      <c r="C20" s="18" t="s">
        <v>1972</v>
      </c>
      <c r="D20" s="16"/>
      <c r="E20" s="18" t="s">
        <v>2693</v>
      </c>
      <c r="F20" s="16"/>
      <c r="G20" s="18" t="s">
        <v>1228</v>
      </c>
      <c r="H20" s="16"/>
      <c r="I20" s="18" t="s">
        <v>3419</v>
      </c>
      <c r="J20" s="16"/>
      <c r="K20" s="18" t="s">
        <v>4164</v>
      </c>
      <c r="L20" s="16"/>
      <c r="M20" s="18" t="s">
        <v>4877</v>
      </c>
      <c r="N20" s="16"/>
      <c r="O20" s="18" t="s">
        <v>5577</v>
      </c>
      <c r="P20" s="16"/>
      <c r="Q20" s="18" t="s">
        <v>6267</v>
      </c>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1" priority="2" stopIfTrue="1">
      <formula>NOT(ISERROR(A3))</formula>
    </cfRule>
  </conditionalFormatting>
  <conditionalFormatting sqref="A3:T51">
    <cfRule type="containsErrors" dxfId="140" priority="1" stopIfTrue="1">
      <formula>ISERROR(A3)</formula>
    </cfRule>
    <cfRule type="notContainsBlanks" dxfId="139"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dimension ref="A1:T51"/>
  <sheetViews>
    <sheetView workbookViewId="0">
      <selection activeCell="Q3" sqref="Q3:Q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427</v>
      </c>
      <c r="B3" s="16" t="str">
        <f>TRIM(_xlfn.TEXTBEFORE(A3, ":"))</f>
        <v>Item Class</v>
      </c>
      <c r="C3" s="17" t="s">
        <v>1973</v>
      </c>
      <c r="D3" s="16" t="str">
        <f>TRIM(_xlfn.TEXTBEFORE(C3, ":"))</f>
        <v>Gegenstandsklasse</v>
      </c>
      <c r="E3" s="17" t="s">
        <v>2694</v>
      </c>
      <c r="F3" s="16" t="str">
        <f>TRIM(_xlfn.TEXTBEFORE(E3, ":"))</f>
        <v>Clase de objeto</v>
      </c>
      <c r="G3" s="17" t="s">
        <v>1229</v>
      </c>
      <c r="H3" s="16" t="str">
        <f>TRIM(_xlfn.TEXTBEFORE(G3, ":"))</f>
        <v>Classe d'objet</v>
      </c>
      <c r="I3" s="17" t="s">
        <v>3420</v>
      </c>
      <c r="J3" s="16" t="str">
        <f>TRIM(_xlfn.TEXTBEFORE(I3, ":"))</f>
        <v>アイテムクラス</v>
      </c>
      <c r="K3" s="17" t="s">
        <v>4165</v>
      </c>
      <c r="L3" s="16" t="str">
        <f>TRIM(_xlfn.TEXTBEFORE(K3, ":"))</f>
        <v>아이템 종류</v>
      </c>
      <c r="M3" s="17" t="s">
        <v>4878</v>
      </c>
      <c r="N3" s="16" t="str">
        <f>TRIM(_xlfn.TEXTBEFORE(M3, ":"))</f>
        <v>Classe do Item</v>
      </c>
      <c r="O3" s="17" t="s">
        <v>5578</v>
      </c>
      <c r="P3" s="16" t="str">
        <f>TRIM(_xlfn.TEXTBEFORE(O3, ":"))</f>
        <v>Класс предмета</v>
      </c>
      <c r="Q3" s="17" t="s">
        <v>6268</v>
      </c>
      <c r="R3" s="16" t="str">
        <f>TRIM(_xlfn.TEXTBEFORE(Q3, ":"))</f>
        <v>ชนิดไอเทม</v>
      </c>
      <c r="S3" s="17"/>
      <c r="T3" s="16" t="e">
        <f>TRIM(_xlfn.TEXTBEFORE(S3, ":"))</f>
        <v>#N/A</v>
      </c>
    </row>
    <row r="4" spans="1:20" ht="15.95" customHeight="1" x14ac:dyDescent="0.25">
      <c r="A4" s="18" t="s">
        <v>109</v>
      </c>
      <c r="B4" s="16" t="str">
        <f>TRIM(_xlfn.TEXTAFTER(A3, ":"))</f>
        <v>Gloves</v>
      </c>
      <c r="C4" s="18" t="s">
        <v>1672</v>
      </c>
      <c r="D4" s="16" t="str">
        <f>TRIM(_xlfn.TEXTAFTER(C3, ":"))</f>
        <v>Handschuhe</v>
      </c>
      <c r="E4" s="18" t="s">
        <v>2392</v>
      </c>
      <c r="F4" s="16" t="str">
        <f>TRIM(_xlfn.TEXTAFTER(E3, ":"))</f>
        <v>Guantes</v>
      </c>
      <c r="G4" s="18" t="s">
        <v>1</v>
      </c>
      <c r="H4" s="16" t="str">
        <f>TRIM(_xlfn.TEXTAFTER(G3, ":"))</f>
        <v>Gants</v>
      </c>
      <c r="I4" s="18" t="s">
        <v>3107</v>
      </c>
      <c r="J4" s="16" t="str">
        <f>TRIM(_xlfn.TEXTAFTER(I3, ":"))</f>
        <v>手袋</v>
      </c>
      <c r="K4" s="18" t="s">
        <v>3857</v>
      </c>
      <c r="L4" s="16" t="str">
        <f>TRIM(_xlfn.TEXTAFTER(K3, ":"))</f>
        <v>장갑</v>
      </c>
      <c r="M4" s="18" t="s">
        <v>4586</v>
      </c>
      <c r="N4" s="16" t="str">
        <f>TRIM(_xlfn.TEXTAFTER(M3, ":"))</f>
        <v>Luvas</v>
      </c>
      <c r="O4" s="18" t="s">
        <v>5269</v>
      </c>
      <c r="P4" s="16" t="str">
        <f>TRIM(_xlfn.TEXTAFTER(O3, ":"))</f>
        <v>Перчатки</v>
      </c>
      <c r="Q4" s="18" t="s">
        <v>6006</v>
      </c>
      <c r="R4" s="16" t="str">
        <f>TRIM(_xlfn.TEXTAFTER(Q3, ":"))</f>
        <v>ถุงมือ</v>
      </c>
      <c r="S4" s="18"/>
      <c r="T4" s="16" t="e">
        <f>TRIM(_xlfn.TEXTAFTER(S3, ":"))</f>
        <v>#N/A</v>
      </c>
    </row>
    <row r="5" spans="1:20" ht="15.95" customHeight="1" x14ac:dyDescent="0.25">
      <c r="A5" s="18" t="s">
        <v>428</v>
      </c>
      <c r="B5" s="16" t="str">
        <f>TRIM(_xlfn.TEXTBEFORE(A4, ":"))</f>
        <v>Rarity</v>
      </c>
      <c r="C5" s="18" t="s">
        <v>1974</v>
      </c>
      <c r="D5" s="16" t="str">
        <f>TRIM(_xlfn.TEXTBEFORE(C4, ":"))</f>
        <v>Seltenheit</v>
      </c>
      <c r="E5" s="18" t="s">
        <v>2695</v>
      </c>
      <c r="F5" s="16" t="str">
        <f>TRIM(_xlfn.TEXTBEFORE(E4, ":"))</f>
        <v>Rareza</v>
      </c>
      <c r="G5" s="18" t="s">
        <v>1230</v>
      </c>
      <c r="H5" s="16" t="str">
        <f>TRIM(_xlfn.TEXTBEFORE(G4, ":"))</f>
        <v>Rareté</v>
      </c>
      <c r="I5" s="18" t="s">
        <v>3421</v>
      </c>
      <c r="J5" s="16" t="str">
        <f>TRIM(_xlfn.TEXTBEFORE(I4, ":"))</f>
        <v>レアリティ</v>
      </c>
      <c r="K5" s="18" t="s">
        <v>4166</v>
      </c>
      <c r="L5" s="16" t="str">
        <f>TRIM(_xlfn.TEXTBEFORE(K4, ":"))</f>
        <v>아이템 희귀도</v>
      </c>
      <c r="M5" s="18" t="s">
        <v>2695</v>
      </c>
      <c r="N5" s="16" t="str">
        <f>TRIM(_xlfn.TEXTBEFORE(M4, ":"))</f>
        <v>Raridade</v>
      </c>
      <c r="O5" s="18" t="s">
        <v>5579</v>
      </c>
      <c r="P5" s="16" t="str">
        <f>TRIM(_xlfn.TEXTBEFORE(O4, ":"))</f>
        <v>Редкость</v>
      </c>
      <c r="Q5" s="18" t="s">
        <v>428</v>
      </c>
      <c r="R5" s="16" t="str">
        <f>TRIM(_xlfn.TEXTBEFORE(Q4, ":"))</f>
        <v>ความหายาก</v>
      </c>
      <c r="S5" s="18"/>
      <c r="T5" s="16" t="e">
        <f>TRIM(_xlfn.TEXTBEFORE(S4, ":"))</f>
        <v>#N/A</v>
      </c>
    </row>
    <row r="6" spans="1:20" ht="15.95" customHeight="1" x14ac:dyDescent="0.25">
      <c r="A6" s="18" t="s">
        <v>429</v>
      </c>
      <c r="B6" s="16" t="str">
        <f>TRIM(_xlfn.TEXTAFTER(A4,":"))</f>
        <v>Unique</v>
      </c>
      <c r="C6" s="18" t="s">
        <v>1975</v>
      </c>
      <c r="D6" s="16" t="str">
        <f>TRIM(_xlfn.TEXTAFTER(C4,":"))</f>
        <v>Einzigartig</v>
      </c>
      <c r="E6" s="18" t="s">
        <v>2696</v>
      </c>
      <c r="F6" s="16" t="str">
        <f>TRIM(_xlfn.TEXTAFTER(E4,":"))</f>
        <v>Único</v>
      </c>
      <c r="G6" s="18" t="s">
        <v>1231</v>
      </c>
      <c r="H6" s="16" t="str">
        <f>TRIM(_xlfn.TEXTAFTER(G4,":"))</f>
        <v>Unique</v>
      </c>
      <c r="I6" s="18" t="s">
        <v>3422</v>
      </c>
      <c r="J6" s="16" t="str">
        <f>TRIM(_xlfn.TEXTAFTER(I4,":"))</f>
        <v>ユニーク</v>
      </c>
      <c r="K6" s="18" t="s">
        <v>4167</v>
      </c>
      <c r="L6" s="16" t="str">
        <f>TRIM(_xlfn.TEXTAFTER(K4,":"))</f>
        <v>고유</v>
      </c>
      <c r="M6" s="18" t="s">
        <v>4879</v>
      </c>
      <c r="N6" s="16" t="str">
        <f>TRIM(_xlfn.TEXTAFTER(M4,":"))</f>
        <v>Único</v>
      </c>
      <c r="O6" s="18" t="s">
        <v>5580</v>
      </c>
      <c r="P6" s="16" t="str">
        <f>TRIM(_xlfn.TEXTAFTER(O4,":"))</f>
        <v>Уникальный</v>
      </c>
      <c r="Q6" s="18" t="s">
        <v>429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430</v>
      </c>
      <c r="B8" s="16"/>
      <c r="C8" s="18" t="s">
        <v>1976</v>
      </c>
      <c r="D8" s="16"/>
      <c r="E8" s="18" t="s">
        <v>2697</v>
      </c>
      <c r="F8" s="16"/>
      <c r="G8" s="18" t="s">
        <v>1232</v>
      </c>
      <c r="H8" s="16"/>
      <c r="I8" s="18" t="s">
        <v>3423</v>
      </c>
      <c r="J8" s="16"/>
      <c r="K8" s="18" t="s">
        <v>4168</v>
      </c>
      <c r="L8" s="16"/>
      <c r="M8" s="18" t="s">
        <v>2697</v>
      </c>
      <c r="N8" s="16"/>
      <c r="O8" s="18" t="s">
        <v>5581</v>
      </c>
      <c r="P8" s="16"/>
      <c r="Q8" s="18" t="s">
        <v>6269</v>
      </c>
      <c r="R8" s="16"/>
      <c r="S8" s="18"/>
      <c r="T8" s="16"/>
    </row>
    <row r="9" spans="1:20" ht="15.95" customHeight="1" x14ac:dyDescent="0.25">
      <c r="A9" s="18" t="s">
        <v>431</v>
      </c>
      <c r="B9" s="16"/>
      <c r="C9" s="18" t="s">
        <v>1977</v>
      </c>
      <c r="D9" s="16"/>
      <c r="E9" s="18" t="s">
        <v>2698</v>
      </c>
      <c r="F9" s="16"/>
      <c r="G9" s="18" t="s">
        <v>1233</v>
      </c>
      <c r="H9" s="16"/>
      <c r="I9" s="18" t="s">
        <v>3424</v>
      </c>
      <c r="J9" s="16"/>
      <c r="K9" s="18" t="s">
        <v>4169</v>
      </c>
      <c r="L9" s="16"/>
      <c r="M9" s="18" t="s">
        <v>4880</v>
      </c>
      <c r="N9" s="16"/>
      <c r="O9" s="18" t="s">
        <v>5582</v>
      </c>
      <c r="P9" s="16"/>
      <c r="Q9" s="18" t="s">
        <v>6270</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110</v>
      </c>
      <c r="B11" s="16"/>
      <c r="C11" s="18" t="s">
        <v>1618</v>
      </c>
      <c r="D11" s="16"/>
      <c r="E11" s="18" t="s">
        <v>2337</v>
      </c>
      <c r="F11" s="16"/>
      <c r="G11" s="18" t="s">
        <v>5</v>
      </c>
      <c r="H11" s="16"/>
      <c r="I11" s="18" t="s">
        <v>3047</v>
      </c>
      <c r="J11" s="16"/>
      <c r="K11" s="18" t="s">
        <v>3801</v>
      </c>
      <c r="L11" s="16"/>
      <c r="M11" s="18" t="s">
        <v>2337</v>
      </c>
      <c r="N11" s="16"/>
      <c r="O11" s="18" t="s">
        <v>5212</v>
      </c>
      <c r="P11" s="16"/>
      <c r="Q11" s="18" t="s">
        <v>5957</v>
      </c>
      <c r="R11" s="16"/>
      <c r="S11" s="18"/>
      <c r="T11" s="16"/>
    </row>
    <row r="12" spans="1:20" ht="15.95" customHeight="1" x14ac:dyDescent="0.25">
      <c r="A12" s="18" t="s">
        <v>432</v>
      </c>
      <c r="B12" s="16"/>
      <c r="C12" s="18" t="s">
        <v>1978</v>
      </c>
      <c r="D12" s="16"/>
      <c r="E12" s="18" t="s">
        <v>2699</v>
      </c>
      <c r="F12" s="16"/>
      <c r="G12" s="18" t="s">
        <v>1234</v>
      </c>
      <c r="H12" s="16"/>
      <c r="I12" s="18" t="s">
        <v>3425</v>
      </c>
      <c r="J12" s="16"/>
      <c r="K12" s="18" t="s">
        <v>4170</v>
      </c>
      <c r="L12" s="16"/>
      <c r="M12" s="18" t="s">
        <v>4881</v>
      </c>
      <c r="N12" s="16"/>
      <c r="O12" s="18" t="s">
        <v>5583</v>
      </c>
      <c r="P12" s="16"/>
      <c r="Q12" s="18" t="s">
        <v>6271</v>
      </c>
      <c r="R12" s="16"/>
      <c r="S12" s="18"/>
      <c r="T12" s="21"/>
    </row>
    <row r="13" spans="1:20" ht="15.95" customHeight="1" x14ac:dyDescent="0.25">
      <c r="A13" s="18" t="s">
        <v>433</v>
      </c>
      <c r="B13" s="16"/>
      <c r="C13" s="18" t="s">
        <v>433</v>
      </c>
      <c r="D13" s="16"/>
      <c r="E13" s="18" t="s">
        <v>2700</v>
      </c>
      <c r="F13" s="16"/>
      <c r="G13" s="18" t="s">
        <v>1235</v>
      </c>
      <c r="H13" s="16"/>
      <c r="I13" s="18" t="s">
        <v>3426</v>
      </c>
      <c r="J13" s="16"/>
      <c r="K13" s="18" t="s">
        <v>4171</v>
      </c>
      <c r="L13" s="16"/>
      <c r="M13" s="18" t="s">
        <v>1235</v>
      </c>
      <c r="N13" s="16"/>
      <c r="O13" s="18" t="s">
        <v>5584</v>
      </c>
      <c r="P13" s="16"/>
      <c r="Q13" s="18" t="s">
        <v>433</v>
      </c>
      <c r="R13" s="16"/>
      <c r="S13" s="18"/>
      <c r="T13" s="21"/>
    </row>
    <row r="14" spans="1:20" ht="15.95" customHeight="1" x14ac:dyDescent="0.25">
      <c r="A14" s="18" t="s">
        <v>434</v>
      </c>
      <c r="B14" s="16"/>
      <c r="C14" s="18" t="s">
        <v>1979</v>
      </c>
      <c r="D14" s="16"/>
      <c r="E14" s="18" t="s">
        <v>2701</v>
      </c>
      <c r="F14" s="16"/>
      <c r="G14" s="18" t="s">
        <v>434</v>
      </c>
      <c r="H14" s="16"/>
      <c r="I14" s="18" t="s">
        <v>3427</v>
      </c>
      <c r="J14" s="16"/>
      <c r="K14" s="18" t="s">
        <v>4172</v>
      </c>
      <c r="L14" s="16"/>
      <c r="M14" s="18" t="s">
        <v>2701</v>
      </c>
      <c r="N14" s="16"/>
      <c r="O14" s="18" t="s">
        <v>5585</v>
      </c>
      <c r="P14" s="16"/>
      <c r="Q14" s="18" t="s">
        <v>434</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435</v>
      </c>
      <c r="B16" s="16"/>
      <c r="C16" s="18" t="s">
        <v>1980</v>
      </c>
      <c r="D16" s="16"/>
      <c r="E16" s="18" t="s">
        <v>2702</v>
      </c>
      <c r="F16" s="16"/>
      <c r="G16" s="18" t="s">
        <v>1236</v>
      </c>
      <c r="H16" s="16"/>
      <c r="I16" s="18" t="s">
        <v>3428</v>
      </c>
      <c r="J16" s="16"/>
      <c r="K16" s="18" t="s">
        <v>4173</v>
      </c>
      <c r="L16" s="16"/>
      <c r="M16" s="18" t="s">
        <v>4882</v>
      </c>
      <c r="N16" s="16"/>
      <c r="O16" s="18" t="s">
        <v>5586</v>
      </c>
      <c r="P16" s="16"/>
      <c r="Q16" s="18" t="s">
        <v>6272</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283</v>
      </c>
      <c r="B18" s="16"/>
      <c r="C18" s="18" t="s">
        <v>1759</v>
      </c>
      <c r="D18" s="16"/>
      <c r="E18" s="18" t="s">
        <v>2478</v>
      </c>
      <c r="F18" s="16"/>
      <c r="G18" s="18" t="s">
        <v>1027</v>
      </c>
      <c r="H18" s="16"/>
      <c r="I18" s="18" t="s">
        <v>3196</v>
      </c>
      <c r="J18" s="16"/>
      <c r="K18" s="18" t="s">
        <v>3943</v>
      </c>
      <c r="L18" s="16"/>
      <c r="M18" s="18" t="s">
        <v>4672</v>
      </c>
      <c r="N18" s="16"/>
      <c r="O18" s="18" t="s">
        <v>5357</v>
      </c>
      <c r="P18" s="16"/>
      <c r="Q18" s="18" t="s">
        <v>6089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436</v>
      </c>
      <c r="B20" s="16"/>
      <c r="C20" s="18" t="s">
        <v>1981</v>
      </c>
      <c r="D20" s="16"/>
      <c r="E20" s="18" t="s">
        <v>2703</v>
      </c>
      <c r="F20" s="16"/>
      <c r="G20" s="18" t="s">
        <v>1237</v>
      </c>
      <c r="H20" s="16"/>
      <c r="I20" s="18" t="s">
        <v>3429</v>
      </c>
      <c r="J20" s="16"/>
      <c r="K20" s="18" t="s">
        <v>4174</v>
      </c>
      <c r="L20" s="16"/>
      <c r="M20" s="18" t="s">
        <v>4883</v>
      </c>
      <c r="N20" s="16"/>
      <c r="O20" s="18" t="s">
        <v>5587</v>
      </c>
      <c r="P20" s="16"/>
      <c r="Q20" s="18" t="s">
        <v>6273</v>
      </c>
      <c r="R20" s="16"/>
      <c r="S20" s="18"/>
      <c r="T20" s="21"/>
    </row>
    <row r="21" spans="1:20" ht="15.95" customHeight="1" x14ac:dyDescent="0.25">
      <c r="A21" s="18" t="s">
        <v>437</v>
      </c>
      <c r="B21" s="16"/>
      <c r="C21" s="18" t="s">
        <v>1982</v>
      </c>
      <c r="D21" s="16"/>
      <c r="E21" s="18" t="s">
        <v>2704</v>
      </c>
      <c r="F21" s="16"/>
      <c r="G21" s="18" t="s">
        <v>1238</v>
      </c>
      <c r="H21" s="16"/>
      <c r="I21" s="18" t="s">
        <v>3430</v>
      </c>
      <c r="J21" s="16"/>
      <c r="K21" s="18" t="s">
        <v>4175</v>
      </c>
      <c r="L21" s="16"/>
      <c r="M21" s="18" t="s">
        <v>4884</v>
      </c>
      <c r="N21" s="16"/>
      <c r="O21" s="18" t="s">
        <v>5588</v>
      </c>
      <c r="P21" s="16"/>
      <c r="Q21" s="18" t="s">
        <v>6274</v>
      </c>
      <c r="R21" s="16"/>
      <c r="S21" s="18"/>
      <c r="T21" s="21"/>
    </row>
    <row r="22" spans="1:20" ht="15.95" customHeight="1" x14ac:dyDescent="0.25">
      <c r="A22" s="18" t="s">
        <v>438</v>
      </c>
      <c r="B22" s="16"/>
      <c r="C22" s="18" t="s">
        <v>1983</v>
      </c>
      <c r="D22" s="16"/>
      <c r="E22" s="18" t="s">
        <v>2705</v>
      </c>
      <c r="F22" s="16"/>
      <c r="G22" s="18" t="s">
        <v>1239</v>
      </c>
      <c r="H22" s="16"/>
      <c r="I22" s="18" t="s">
        <v>3431</v>
      </c>
      <c r="J22" s="16"/>
      <c r="K22" s="18" t="s">
        <v>4176</v>
      </c>
      <c r="L22" s="16"/>
      <c r="M22" s="18" t="s">
        <v>4885</v>
      </c>
      <c r="N22" s="16"/>
      <c r="O22" s="18" t="s">
        <v>5589</v>
      </c>
      <c r="P22" s="16"/>
      <c r="Q22" s="18" t="s">
        <v>6275</v>
      </c>
      <c r="R22" s="16"/>
      <c r="S22" s="18"/>
      <c r="T22" s="21"/>
    </row>
    <row r="23" spans="1:20" ht="15.95" customHeight="1" x14ac:dyDescent="0.25">
      <c r="A23" s="18" t="s">
        <v>439</v>
      </c>
      <c r="B23" s="16"/>
      <c r="C23" s="18" t="s">
        <v>1984</v>
      </c>
      <c r="D23" s="16"/>
      <c r="E23" s="18" t="s">
        <v>2706</v>
      </c>
      <c r="F23" s="16"/>
      <c r="G23" s="18" t="s">
        <v>1240</v>
      </c>
      <c r="H23" s="16"/>
      <c r="I23" s="18" t="s">
        <v>3432</v>
      </c>
      <c r="J23" s="16"/>
      <c r="K23" s="18" t="s">
        <v>4177</v>
      </c>
      <c r="L23" s="16"/>
      <c r="M23" s="18" t="s">
        <v>4886</v>
      </c>
      <c r="N23" s="16"/>
      <c r="O23" s="18" t="s">
        <v>5590</v>
      </c>
      <c r="P23" s="16"/>
      <c r="Q23" s="18" t="s">
        <v>6276</v>
      </c>
      <c r="R23" s="16"/>
      <c r="S23" s="18"/>
      <c r="T23" s="21"/>
    </row>
    <row r="24" spans="1:20" ht="15.95" customHeight="1" x14ac:dyDescent="0.25">
      <c r="A24" s="18" t="s">
        <v>440</v>
      </c>
      <c r="B24" s="16"/>
      <c r="C24" s="18" t="s">
        <v>1985</v>
      </c>
      <c r="D24" s="16"/>
      <c r="E24" s="18" t="s">
        <v>2707</v>
      </c>
      <c r="F24" s="16"/>
      <c r="G24" s="18" t="s">
        <v>1241</v>
      </c>
      <c r="H24" s="16"/>
      <c r="I24" s="18" t="s">
        <v>3433</v>
      </c>
      <c r="J24" s="16"/>
      <c r="K24" s="18" t="s">
        <v>4178</v>
      </c>
      <c r="L24" s="16"/>
      <c r="M24" s="18" t="s">
        <v>4887</v>
      </c>
      <c r="N24" s="16"/>
      <c r="O24" s="18" t="s">
        <v>5591</v>
      </c>
      <c r="P24" s="16"/>
      <c r="Q24" s="18" t="s">
        <v>6277</v>
      </c>
      <c r="R24" s="16"/>
      <c r="S24" s="18"/>
      <c r="T24" s="21"/>
    </row>
    <row r="25" spans="1:20" ht="15.95" customHeight="1" x14ac:dyDescent="0.25">
      <c r="A25" s="18" t="s">
        <v>441</v>
      </c>
      <c r="B25" s="16"/>
      <c r="C25" s="18" t="s">
        <v>1986</v>
      </c>
      <c r="D25" s="16"/>
      <c r="E25" s="18" t="s">
        <v>2708</v>
      </c>
      <c r="F25" s="16"/>
      <c r="G25" s="18" t="s">
        <v>1242</v>
      </c>
      <c r="H25" s="16"/>
      <c r="I25" s="18" t="s">
        <v>3434</v>
      </c>
      <c r="J25" s="16"/>
      <c r="K25" s="18" t="s">
        <v>4179</v>
      </c>
      <c r="L25" s="16"/>
      <c r="M25" s="18" t="s">
        <v>4888</v>
      </c>
      <c r="N25" s="16"/>
      <c r="O25" s="18" t="s">
        <v>5592</v>
      </c>
      <c r="P25" s="16"/>
      <c r="Q25" s="18" t="s">
        <v>6278</v>
      </c>
      <c r="R25" s="16"/>
      <c r="S25" s="18"/>
      <c r="T25" s="21"/>
    </row>
    <row r="26" spans="1:20" ht="15.95" customHeight="1" x14ac:dyDescent="0.25">
      <c r="A26" s="18" t="s">
        <v>442</v>
      </c>
      <c r="B26" s="16"/>
      <c r="C26" s="18" t="s">
        <v>1987</v>
      </c>
      <c r="D26" s="16"/>
      <c r="E26" s="18" t="s">
        <v>2709</v>
      </c>
      <c r="F26" s="16"/>
      <c r="G26" s="18" t="s">
        <v>1243</v>
      </c>
      <c r="H26" s="16"/>
      <c r="I26" s="18" t="s">
        <v>4</v>
      </c>
      <c r="J26" s="16"/>
      <c r="K26" s="18" t="s">
        <v>4180</v>
      </c>
      <c r="L26" s="16"/>
      <c r="M26" s="18" t="s">
        <v>4889</v>
      </c>
      <c r="N26" s="16"/>
      <c r="O26" s="18" t="s">
        <v>5593</v>
      </c>
      <c r="P26" s="16"/>
      <c r="Q26" s="18" t="s">
        <v>6279</v>
      </c>
      <c r="R26" s="16"/>
      <c r="S26" s="18"/>
      <c r="T26" s="21"/>
    </row>
    <row r="27" spans="1:20" ht="15.95" customHeight="1" x14ac:dyDescent="0.25">
      <c r="A27" s="18" t="s">
        <v>4</v>
      </c>
      <c r="B27" s="16"/>
      <c r="C27" s="18" t="s">
        <v>4</v>
      </c>
      <c r="D27" s="16"/>
      <c r="E27" s="18" t="s">
        <v>4</v>
      </c>
      <c r="F27" s="16"/>
      <c r="G27" s="18" t="s">
        <v>4</v>
      </c>
      <c r="H27" s="16"/>
      <c r="I27" s="18" t="s">
        <v>3435</v>
      </c>
      <c r="J27" s="16"/>
      <c r="K27" s="18" t="s">
        <v>4</v>
      </c>
      <c r="L27" s="16"/>
      <c r="M27" s="18" t="s">
        <v>4</v>
      </c>
      <c r="N27" s="16"/>
      <c r="O27" s="18" t="s">
        <v>4</v>
      </c>
      <c r="P27" s="16"/>
      <c r="Q27" s="18" t="s">
        <v>4</v>
      </c>
      <c r="R27" s="16"/>
      <c r="S27" s="18"/>
      <c r="T27" s="21"/>
    </row>
    <row r="28" spans="1:20" ht="15.95" customHeight="1" x14ac:dyDescent="0.25">
      <c r="A28" s="18" t="s">
        <v>443</v>
      </c>
      <c r="B28" s="16"/>
      <c r="C28" s="18" t="s">
        <v>1988</v>
      </c>
      <c r="D28" s="16"/>
      <c r="E28" s="18" t="s">
        <v>2710</v>
      </c>
      <c r="F28" s="16"/>
      <c r="G28" s="18" t="s">
        <v>1244</v>
      </c>
      <c r="H28" s="16"/>
      <c r="I28" s="18" t="s">
        <v>3436</v>
      </c>
      <c r="J28" s="16"/>
      <c r="K28" s="18" t="s">
        <v>4181</v>
      </c>
      <c r="L28" s="16"/>
      <c r="M28" s="18" t="s">
        <v>4890</v>
      </c>
      <c r="N28" s="16"/>
      <c r="O28" s="18" t="s">
        <v>5594</v>
      </c>
      <c r="P28" s="16"/>
      <c r="Q28" s="18" t="s">
        <v>6280</v>
      </c>
      <c r="R28" s="16"/>
      <c r="S28" s="18"/>
      <c r="T28" s="21"/>
    </row>
    <row r="29" spans="1:20" ht="15.95" customHeight="1" x14ac:dyDescent="0.25">
      <c r="A29" s="18" t="e">
        <f>- Coralito, Brotherhood of Silence</f>
        <v>#NAME?</v>
      </c>
      <c r="B29" s="16"/>
      <c r="C29" s="18" t="s">
        <v>1989</v>
      </c>
      <c r="D29" s="16"/>
      <c r="E29" s="18" t="e">
        <f>- Coralito, Hermandad del Silencio</f>
        <v>#NAME?</v>
      </c>
      <c r="F29" s="16"/>
      <c r="G29" s="18" t="s">
        <v>1245</v>
      </c>
      <c r="H29" s="16"/>
      <c r="I29" s="18" t="s">
        <v>3437</v>
      </c>
      <c r="J29" s="16"/>
      <c r="K29" s="18" t="e" cm="1">
        <f t="array" ref="K29">- 침묵의 형제단 코랄리토</f>
        <v>#NAME?</v>
      </c>
      <c r="L29" s="16"/>
      <c r="M29" s="18" t="e">
        <f>- Coralito, Irmandade do Silêncio</f>
        <v>#NAME?</v>
      </c>
      <c r="N29" s="16"/>
      <c r="O29" s="18" t="s">
        <v>5595</v>
      </c>
      <c r="P29" s="16"/>
      <c r="Q29" s="18" t="e" cm="1">
        <f t="array" ref="Q29">- โครอลลิโต ภราดร​แห่ง​ความเงียบงัน</f>
        <v>#NAME?</v>
      </c>
      <c r="R29" s="16"/>
      <c r="S29" s="18"/>
      <c r="T29" s="21"/>
    </row>
    <row r="30" spans="1:20" ht="15.95" customHeight="1" x14ac:dyDescent="0.25">
      <c r="A30" s="18"/>
      <c r="B30" s="16"/>
      <c r="C30" s="18"/>
      <c r="D30" s="16"/>
      <c r="E30" s="18"/>
      <c r="F30" s="16"/>
      <c r="G30" s="18" t="s">
        <v>1246</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8" priority="2" stopIfTrue="1">
      <formula>NOT(ISERROR(A3))</formula>
    </cfRule>
  </conditionalFormatting>
  <conditionalFormatting sqref="A3:T51">
    <cfRule type="containsErrors" dxfId="137" priority="1" stopIfTrue="1">
      <formula>ISERROR(A3)</formula>
    </cfRule>
    <cfRule type="notContainsBlanks" dxfId="136"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368</v>
      </c>
      <c r="B3" s="16" t="str">
        <f>TRIM(_xlfn.TEXTBEFORE(A3, ":"))</f>
        <v>Item Class</v>
      </c>
      <c r="C3" s="17" t="s">
        <v>1990</v>
      </c>
      <c r="D3" s="16" t="str">
        <f>TRIM(_xlfn.TEXTBEFORE(C3, ":"))</f>
        <v>Gegenstandsklasse</v>
      </c>
      <c r="E3" s="17" t="s">
        <v>2711</v>
      </c>
      <c r="F3" s="16" t="str">
        <f>TRIM(_xlfn.TEXTBEFORE(E3, ":"))</f>
        <v>Clase de objeto</v>
      </c>
      <c r="G3" s="17" t="s">
        <v>1247</v>
      </c>
      <c r="H3" s="16" t="str">
        <f>TRIM(_xlfn.TEXTBEFORE(G3, ":"))</f>
        <v>Classe d'objet</v>
      </c>
      <c r="I3" s="17" t="s">
        <v>3438</v>
      </c>
      <c r="J3" s="16" t="str">
        <f>TRIM(_xlfn.TEXTBEFORE(I3, ":"))</f>
        <v>アイテムクラス</v>
      </c>
      <c r="K3" s="17" t="s">
        <v>4182</v>
      </c>
      <c r="L3" s="16" t="str">
        <f>TRIM(_xlfn.TEXTBEFORE(K3, ":"))</f>
        <v>아이템 종류</v>
      </c>
      <c r="M3" s="17" t="s">
        <v>4891</v>
      </c>
      <c r="N3" s="16" t="str">
        <f>TRIM(_xlfn.TEXTBEFORE(M3, ":"))</f>
        <v>Classe do Item</v>
      </c>
      <c r="O3" s="17" t="s">
        <v>5596</v>
      </c>
      <c r="P3" s="16" t="str">
        <f>TRIM(_xlfn.TEXTBEFORE(O3, ":"))</f>
        <v>Класс предмета</v>
      </c>
      <c r="Q3" s="17" t="s">
        <v>6281</v>
      </c>
      <c r="R3" s="16" t="str">
        <f>TRIM(_xlfn.TEXTBEFORE(Q3, ":"))</f>
        <v>ชนิดไอเทม</v>
      </c>
      <c r="S3" s="17"/>
      <c r="T3" s="16" t="e">
        <f>TRIM(_xlfn.TEXTBEFORE(S3, ":"))</f>
        <v>#N/A</v>
      </c>
    </row>
    <row r="4" spans="1:20" ht="15.95" customHeight="1" x14ac:dyDescent="0.25">
      <c r="A4" s="18" t="s">
        <v>109</v>
      </c>
      <c r="B4" s="16" t="str">
        <f>TRIM(_xlfn.TEXTAFTER(A3, ":"))</f>
        <v>Bows</v>
      </c>
      <c r="C4" s="18" t="s">
        <v>1672</v>
      </c>
      <c r="D4" s="16" t="str">
        <f>TRIM(_xlfn.TEXTAFTER(C3, ":"))</f>
        <v>Bögen</v>
      </c>
      <c r="E4" s="18" t="s">
        <v>2392</v>
      </c>
      <c r="F4" s="16" t="str">
        <f>TRIM(_xlfn.TEXTAFTER(E3, ":"))</f>
        <v>Arcos</v>
      </c>
      <c r="G4" s="18" t="s">
        <v>1</v>
      </c>
      <c r="H4" s="16" t="str">
        <f>TRIM(_xlfn.TEXTAFTER(G3, ":"))</f>
        <v>Arcs</v>
      </c>
      <c r="I4" s="18" t="s">
        <v>3107</v>
      </c>
      <c r="J4" s="16" t="str">
        <f>TRIM(_xlfn.TEXTAFTER(I3, ":"))</f>
        <v>弓</v>
      </c>
      <c r="K4" s="18" t="s">
        <v>3857</v>
      </c>
      <c r="L4" s="16" t="str">
        <f>TRIM(_xlfn.TEXTAFTER(K3, ":"))</f>
        <v>활</v>
      </c>
      <c r="M4" s="18" t="s">
        <v>4586</v>
      </c>
      <c r="N4" s="16" t="str">
        <f>TRIM(_xlfn.TEXTAFTER(M3, ":"))</f>
        <v>Arcos</v>
      </c>
      <c r="O4" s="18" t="s">
        <v>5269</v>
      </c>
      <c r="P4" s="16" t="str">
        <f>TRIM(_xlfn.TEXTAFTER(O3, ":"))</f>
        <v>Луки</v>
      </c>
      <c r="Q4" s="18" t="s">
        <v>6006</v>
      </c>
      <c r="R4" s="16" t="str">
        <f>TRIM(_xlfn.TEXTAFTER(Q3, ":"))</f>
        <v>ธนู</v>
      </c>
      <c r="S4" s="18"/>
      <c r="T4" s="16" t="e">
        <f>TRIM(_xlfn.TEXTAFTER(S3, ":"))</f>
        <v>#N/A</v>
      </c>
    </row>
    <row r="5" spans="1:20" ht="15.95" customHeight="1" x14ac:dyDescent="0.25">
      <c r="A5" s="18" t="s">
        <v>369</v>
      </c>
      <c r="B5" s="16" t="str">
        <f>TRIM(_xlfn.TEXTBEFORE(A4, ":"))</f>
        <v>Rarity</v>
      </c>
      <c r="C5" s="18" t="s">
        <v>1991</v>
      </c>
      <c r="D5" s="16" t="str">
        <f>TRIM(_xlfn.TEXTBEFORE(C4, ":"))</f>
        <v>Seltenheit</v>
      </c>
      <c r="E5" s="18" t="s">
        <v>2712</v>
      </c>
      <c r="F5" s="16" t="str">
        <f>TRIM(_xlfn.TEXTBEFORE(E4, ":"))</f>
        <v>Rareza</v>
      </c>
      <c r="G5" s="18" t="s">
        <v>1248</v>
      </c>
      <c r="H5" s="16" t="str">
        <f>TRIM(_xlfn.TEXTBEFORE(G4, ":"))</f>
        <v>Rareté</v>
      </c>
      <c r="I5" s="18" t="s">
        <v>3439</v>
      </c>
      <c r="J5" s="16" t="str">
        <f>TRIM(_xlfn.TEXTBEFORE(I4, ":"))</f>
        <v>レアリティ</v>
      </c>
      <c r="K5" s="18" t="s">
        <v>4183</v>
      </c>
      <c r="L5" s="16" t="str">
        <f>TRIM(_xlfn.TEXTBEFORE(K4, ":"))</f>
        <v>아이템 희귀도</v>
      </c>
      <c r="M5" s="18" t="s">
        <v>4892</v>
      </c>
      <c r="N5" s="16" t="str">
        <f>TRIM(_xlfn.TEXTBEFORE(M4, ":"))</f>
        <v>Raridade</v>
      </c>
      <c r="O5" s="18" t="s">
        <v>5597</v>
      </c>
      <c r="P5" s="16" t="str">
        <f>TRIM(_xlfn.TEXTBEFORE(O4, ":"))</f>
        <v>Редкость</v>
      </c>
      <c r="Q5" s="18" t="s">
        <v>369</v>
      </c>
      <c r="R5" s="16" t="str">
        <f>TRIM(_xlfn.TEXTBEFORE(Q4, ":"))</f>
        <v>ความหายาก</v>
      </c>
      <c r="S5" s="18"/>
      <c r="T5" s="16" t="e">
        <f>TRIM(_xlfn.TEXTBEFORE(S4, ":"))</f>
        <v>#N/A</v>
      </c>
    </row>
    <row r="6" spans="1:20" ht="15.95" customHeight="1" x14ac:dyDescent="0.25">
      <c r="A6" s="18" t="s">
        <v>370</v>
      </c>
      <c r="B6" s="16" t="str">
        <f>TRIM(_xlfn.TEXTAFTER(A4,":"))</f>
        <v>Unique</v>
      </c>
      <c r="C6" s="18" t="s">
        <v>1992</v>
      </c>
      <c r="D6" s="16" t="str">
        <f>TRIM(_xlfn.TEXTAFTER(C4,":"))</f>
        <v>Einzigartig</v>
      </c>
      <c r="E6" s="18" t="s">
        <v>2713</v>
      </c>
      <c r="F6" s="16" t="str">
        <f>TRIM(_xlfn.TEXTAFTER(E4,":"))</f>
        <v>Único</v>
      </c>
      <c r="G6" s="18" t="s">
        <v>1249</v>
      </c>
      <c r="H6" s="16" t="str">
        <f>TRIM(_xlfn.TEXTAFTER(G4,":"))</f>
        <v>Unique</v>
      </c>
      <c r="I6" s="18" t="s">
        <v>3440</v>
      </c>
      <c r="J6" s="16" t="str">
        <f>TRIM(_xlfn.TEXTAFTER(I4,":"))</f>
        <v>ユニーク</v>
      </c>
      <c r="K6" s="18" t="s">
        <v>4184</v>
      </c>
      <c r="L6" s="16" t="str">
        <f>TRIM(_xlfn.TEXTAFTER(K4,":"))</f>
        <v>고유</v>
      </c>
      <c r="M6" s="18" t="s">
        <v>4893</v>
      </c>
      <c r="N6" s="16" t="str">
        <f>TRIM(_xlfn.TEXTAFTER(M4,":"))</f>
        <v>Único</v>
      </c>
      <c r="O6" s="18" t="s">
        <v>5598</v>
      </c>
      <c r="P6" s="16" t="str">
        <f>TRIM(_xlfn.TEXTAFTER(O4,":"))</f>
        <v>Уникальный</v>
      </c>
      <c r="Q6" s="18" t="s">
        <v>370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371</v>
      </c>
      <c r="B8" s="16"/>
      <c r="C8" s="18" t="s">
        <v>1993</v>
      </c>
      <c r="D8" s="16"/>
      <c r="E8" s="18" t="s">
        <v>2714</v>
      </c>
      <c r="F8" s="16"/>
      <c r="G8" s="18" t="s">
        <v>1250</v>
      </c>
      <c r="H8" s="16"/>
      <c r="I8" s="18" t="s">
        <v>3441</v>
      </c>
      <c r="J8" s="16"/>
      <c r="K8" s="18" t="s">
        <v>4185</v>
      </c>
      <c r="L8" s="16"/>
      <c r="M8" s="18" t="s">
        <v>2714</v>
      </c>
      <c r="N8" s="16"/>
      <c r="O8" s="18" t="s">
        <v>5599</v>
      </c>
      <c r="P8" s="16"/>
      <c r="Q8" s="18" t="s">
        <v>6282</v>
      </c>
      <c r="R8" s="16"/>
      <c r="S8" s="18"/>
      <c r="T8" s="16"/>
    </row>
    <row r="9" spans="1:20" ht="15.95" customHeight="1" x14ac:dyDescent="0.25">
      <c r="A9" s="18" t="s">
        <v>372</v>
      </c>
      <c r="B9" s="16"/>
      <c r="C9" s="18" t="s">
        <v>1994</v>
      </c>
      <c r="D9" s="16"/>
      <c r="E9" s="18" t="s">
        <v>2715</v>
      </c>
      <c r="F9" s="16"/>
      <c r="G9" s="18" t="s">
        <v>1251</v>
      </c>
      <c r="H9" s="16"/>
      <c r="I9" s="18" t="s">
        <v>3442</v>
      </c>
      <c r="J9" s="16"/>
      <c r="K9" s="18" t="s">
        <v>4186</v>
      </c>
      <c r="L9" s="16"/>
      <c r="M9" s="18" t="s">
        <v>4894</v>
      </c>
      <c r="N9" s="16"/>
      <c r="O9" s="18" t="s">
        <v>5600</v>
      </c>
      <c r="P9" s="16"/>
      <c r="Q9" s="18" t="s">
        <v>6283</v>
      </c>
      <c r="R9" s="16"/>
      <c r="S9" s="18"/>
      <c r="T9" s="16"/>
    </row>
    <row r="10" spans="1:20" ht="15.95" customHeight="1" x14ac:dyDescent="0.25">
      <c r="A10" s="18" t="s">
        <v>133</v>
      </c>
      <c r="B10" s="16"/>
      <c r="C10" s="18" t="s">
        <v>1995</v>
      </c>
      <c r="D10" s="16"/>
      <c r="E10" s="18" t="s">
        <v>2716</v>
      </c>
      <c r="F10" s="16"/>
      <c r="G10" s="18" t="s">
        <v>1252</v>
      </c>
      <c r="H10" s="16"/>
      <c r="I10" s="18" t="s">
        <v>3443</v>
      </c>
      <c r="J10" s="16"/>
      <c r="K10" s="18" t="s">
        <v>4187</v>
      </c>
      <c r="L10" s="16"/>
      <c r="M10" s="18" t="s">
        <v>4895</v>
      </c>
      <c r="N10" s="16"/>
      <c r="O10" s="18" t="s">
        <v>5601</v>
      </c>
      <c r="P10" s="16"/>
      <c r="Q10" s="18" t="s">
        <v>6284</v>
      </c>
      <c r="R10" s="16"/>
      <c r="S10" s="18"/>
      <c r="T10" s="16"/>
    </row>
    <row r="11" spans="1:20" ht="15.95" customHeight="1" x14ac:dyDescent="0.25">
      <c r="A11" s="18" t="s">
        <v>373</v>
      </c>
      <c r="B11" s="16"/>
      <c r="C11" s="18" t="s">
        <v>1996</v>
      </c>
      <c r="D11" s="16"/>
      <c r="E11" s="18" t="s">
        <v>2717</v>
      </c>
      <c r="F11" s="16"/>
      <c r="G11" s="18" t="s">
        <v>1253</v>
      </c>
      <c r="H11" s="16"/>
      <c r="I11" s="18" t="s">
        <v>3444</v>
      </c>
      <c r="J11" s="16"/>
      <c r="K11" s="18" t="s">
        <v>4188</v>
      </c>
      <c r="L11" s="16"/>
      <c r="M11" s="18" t="s">
        <v>4896</v>
      </c>
      <c r="N11" s="16"/>
      <c r="O11" s="18" t="s">
        <v>5602</v>
      </c>
      <c r="P11" s="16"/>
      <c r="Q11" s="18" t="s">
        <v>6285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110</v>
      </c>
      <c r="B13" s="16"/>
      <c r="C13" s="18" t="s">
        <v>1618</v>
      </c>
      <c r="D13" s="16"/>
      <c r="E13" s="18" t="s">
        <v>2337</v>
      </c>
      <c r="F13" s="16"/>
      <c r="G13" s="18" t="s">
        <v>5</v>
      </c>
      <c r="H13" s="16"/>
      <c r="I13" s="18" t="s">
        <v>3047</v>
      </c>
      <c r="J13" s="16"/>
      <c r="K13" s="18" t="s">
        <v>3801</v>
      </c>
      <c r="L13" s="16"/>
      <c r="M13" s="18" t="s">
        <v>2337</v>
      </c>
      <c r="N13" s="16"/>
      <c r="O13" s="18" t="s">
        <v>5212</v>
      </c>
      <c r="P13" s="16"/>
      <c r="Q13" s="18" t="s">
        <v>5957</v>
      </c>
      <c r="R13" s="16"/>
      <c r="S13" s="18"/>
      <c r="T13" s="21"/>
    </row>
    <row r="14" spans="1:20" ht="15.95" customHeight="1" x14ac:dyDescent="0.25">
      <c r="A14" s="18" t="s">
        <v>374</v>
      </c>
      <c r="B14" s="16"/>
      <c r="C14" s="18" t="s">
        <v>1997</v>
      </c>
      <c r="D14" s="16"/>
      <c r="E14" s="18" t="s">
        <v>2718</v>
      </c>
      <c r="F14" s="16"/>
      <c r="G14" s="18" t="s">
        <v>1254</v>
      </c>
      <c r="H14" s="16"/>
      <c r="I14" s="18" t="s">
        <v>3445</v>
      </c>
      <c r="J14" s="16"/>
      <c r="K14" s="18" t="s">
        <v>4189</v>
      </c>
      <c r="L14" s="16"/>
      <c r="M14" s="18" t="s">
        <v>4897</v>
      </c>
      <c r="N14" s="16"/>
      <c r="O14" s="18" t="s">
        <v>5603</v>
      </c>
      <c r="P14" s="16"/>
      <c r="Q14" s="18" t="s">
        <v>6286</v>
      </c>
      <c r="R14" s="16"/>
      <c r="S14" s="18"/>
      <c r="T14" s="21"/>
    </row>
    <row r="15" spans="1:20" ht="15.95" customHeight="1" x14ac:dyDescent="0.25">
      <c r="A15" s="18" t="s">
        <v>375</v>
      </c>
      <c r="B15" s="16"/>
      <c r="C15" s="18" t="s">
        <v>1998</v>
      </c>
      <c r="D15" s="16"/>
      <c r="E15" s="18" t="s">
        <v>2719</v>
      </c>
      <c r="F15" s="16"/>
      <c r="G15" s="18" t="s">
        <v>375</v>
      </c>
      <c r="H15" s="16"/>
      <c r="I15" s="18" t="s">
        <v>3446</v>
      </c>
      <c r="J15" s="16"/>
      <c r="K15" s="18" t="s">
        <v>4190</v>
      </c>
      <c r="L15" s="16"/>
      <c r="M15" s="18" t="s">
        <v>2719</v>
      </c>
      <c r="N15" s="16"/>
      <c r="O15" s="18" t="s">
        <v>5604</v>
      </c>
      <c r="P15" s="16"/>
      <c r="Q15" s="18" t="s">
        <v>375</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197</v>
      </c>
      <c r="B17" s="16"/>
      <c r="C17" s="18" t="s">
        <v>1999</v>
      </c>
      <c r="D17" s="16"/>
      <c r="E17" s="18" t="s">
        <v>2720</v>
      </c>
      <c r="F17" s="16"/>
      <c r="G17" s="18" t="s">
        <v>1255</v>
      </c>
      <c r="H17" s="16"/>
      <c r="I17" s="18" t="s">
        <v>3447</v>
      </c>
      <c r="J17" s="16"/>
      <c r="K17" s="18" t="s">
        <v>4191</v>
      </c>
      <c r="L17" s="16"/>
      <c r="M17" s="18" t="s">
        <v>4898</v>
      </c>
      <c r="N17" s="16"/>
      <c r="O17" s="18" t="s">
        <v>5605</v>
      </c>
      <c r="P17" s="16"/>
      <c r="Q17" s="18" t="s">
        <v>6287</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240</v>
      </c>
      <c r="B19" s="16"/>
      <c r="C19" s="18" t="s">
        <v>2000</v>
      </c>
      <c r="D19" s="16"/>
      <c r="E19" s="18" t="s">
        <v>2721</v>
      </c>
      <c r="F19" s="16"/>
      <c r="G19" s="18" t="s">
        <v>1256</v>
      </c>
      <c r="H19" s="16"/>
      <c r="I19" s="18" t="s">
        <v>3448</v>
      </c>
      <c r="J19" s="16"/>
      <c r="K19" s="18" t="s">
        <v>4192</v>
      </c>
      <c r="L19" s="16"/>
      <c r="M19" s="18" t="s">
        <v>4899</v>
      </c>
      <c r="N19" s="16"/>
      <c r="O19" s="18" t="s">
        <v>5606</v>
      </c>
      <c r="P19" s="16"/>
      <c r="Q19" s="18" t="s">
        <v>6288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376</v>
      </c>
      <c r="B21" s="16"/>
      <c r="C21" s="18" t="s">
        <v>2001</v>
      </c>
      <c r="D21" s="16"/>
      <c r="E21" s="18" t="s">
        <v>2722</v>
      </c>
      <c r="F21" s="16"/>
      <c r="G21" s="18" t="s">
        <v>1257</v>
      </c>
      <c r="H21" s="16"/>
      <c r="I21" s="18" t="s">
        <v>3449</v>
      </c>
      <c r="J21" s="16"/>
      <c r="K21" s="18" t="s">
        <v>4193</v>
      </c>
      <c r="L21" s="16"/>
      <c r="M21" s="18" t="s">
        <v>4900</v>
      </c>
      <c r="N21" s="16"/>
      <c r="O21" s="18" t="s">
        <v>5607</v>
      </c>
      <c r="P21" s="16"/>
      <c r="Q21" s="18" t="s">
        <v>6289</v>
      </c>
      <c r="R21" s="16"/>
      <c r="S21" s="18"/>
      <c r="T21" s="21"/>
    </row>
    <row r="22" spans="1:20" ht="15.95" customHeight="1" x14ac:dyDescent="0.25">
      <c r="A22" s="18" t="s">
        <v>377</v>
      </c>
      <c r="B22" s="16"/>
      <c r="C22" s="18" t="s">
        <v>2002</v>
      </c>
      <c r="D22" s="16"/>
      <c r="E22" s="18" t="s">
        <v>2723</v>
      </c>
      <c r="F22" s="16"/>
      <c r="G22" s="18" t="s">
        <v>1258</v>
      </c>
      <c r="H22" s="16"/>
      <c r="I22" s="18" t="s">
        <v>3450</v>
      </c>
      <c r="J22" s="16"/>
      <c r="K22" s="18" t="s">
        <v>4194</v>
      </c>
      <c r="L22" s="16"/>
      <c r="M22" s="18" t="s">
        <v>4901</v>
      </c>
      <c r="N22" s="16"/>
      <c r="O22" s="18" t="s">
        <v>5608</v>
      </c>
      <c r="P22" s="16"/>
      <c r="Q22" s="18" t="s">
        <v>6290</v>
      </c>
      <c r="R22" s="16"/>
      <c r="S22" s="18"/>
      <c r="T22" s="21"/>
    </row>
    <row r="23" spans="1:20" ht="15.95" customHeight="1" x14ac:dyDescent="0.25">
      <c r="A23" s="18" t="s">
        <v>378</v>
      </c>
      <c r="B23" s="16"/>
      <c r="C23" s="18" t="s">
        <v>2003</v>
      </c>
      <c r="D23" s="16"/>
      <c r="E23" s="18" t="s">
        <v>2724</v>
      </c>
      <c r="F23" s="16"/>
      <c r="G23" s="18" t="s">
        <v>1259</v>
      </c>
      <c r="H23" s="16"/>
      <c r="I23" s="18" t="s">
        <v>3451</v>
      </c>
      <c r="J23" s="16"/>
      <c r="K23" s="18" t="s">
        <v>4195</v>
      </c>
      <c r="L23" s="16"/>
      <c r="M23" s="18" t="s">
        <v>4902</v>
      </c>
      <c r="N23" s="16"/>
      <c r="O23" s="18" t="s">
        <v>5609</v>
      </c>
      <c r="P23" s="16"/>
      <c r="Q23" s="18" t="s">
        <v>6291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379</v>
      </c>
      <c r="B25" s="16"/>
      <c r="C25" s="18" t="s">
        <v>2004</v>
      </c>
      <c r="D25" s="16"/>
      <c r="E25" s="18" t="s">
        <v>2725</v>
      </c>
      <c r="F25" s="16"/>
      <c r="G25" s="18" t="s">
        <v>1260</v>
      </c>
      <c r="H25" s="16"/>
      <c r="I25" s="18" t="s">
        <v>3452</v>
      </c>
      <c r="J25" s="16"/>
      <c r="K25" s="18" t="s">
        <v>4196</v>
      </c>
      <c r="L25" s="16"/>
      <c r="M25" s="18" t="s">
        <v>4903</v>
      </c>
      <c r="N25" s="16"/>
      <c r="O25" s="18" t="s">
        <v>5610</v>
      </c>
      <c r="P25" s="16"/>
      <c r="Q25" s="18" t="s">
        <v>6292</v>
      </c>
      <c r="R25" s="16"/>
      <c r="S25" s="18"/>
      <c r="T25" s="21"/>
    </row>
    <row r="26" spans="1:20" ht="15.95" customHeight="1" x14ac:dyDescent="0.25">
      <c r="A26" s="18" t="s">
        <v>380</v>
      </c>
      <c r="B26" s="16"/>
      <c r="C26" s="18" t="s">
        <v>2005</v>
      </c>
      <c r="D26" s="16"/>
      <c r="E26" s="18" t="s">
        <v>2726</v>
      </c>
      <c r="F26" s="16"/>
      <c r="G26" s="18" t="s">
        <v>1261</v>
      </c>
      <c r="H26" s="16"/>
      <c r="I26" s="18" t="s">
        <v>3453</v>
      </c>
      <c r="J26" s="16"/>
      <c r="K26" s="18" t="s">
        <v>4197</v>
      </c>
      <c r="L26" s="16"/>
      <c r="M26" s="18" t="s">
        <v>4904</v>
      </c>
      <c r="N26" s="16"/>
      <c r="O26" s="18" t="s">
        <v>5611</v>
      </c>
      <c r="P26" s="16"/>
      <c r="Q26" s="18" t="s">
        <v>6293</v>
      </c>
      <c r="R26" s="16"/>
      <c r="S26" s="18"/>
      <c r="T26" s="21"/>
    </row>
    <row r="27" spans="1:20" ht="15.95" customHeight="1" x14ac:dyDescent="0.25">
      <c r="A27" s="18" t="s">
        <v>381</v>
      </c>
      <c r="B27" s="16"/>
      <c r="C27" s="18" t="s">
        <v>2006</v>
      </c>
      <c r="D27" s="16"/>
      <c r="E27" s="18" t="s">
        <v>2727</v>
      </c>
      <c r="F27" s="16"/>
      <c r="G27" s="18" t="s">
        <v>1262</v>
      </c>
      <c r="H27" s="16"/>
      <c r="I27" s="18" t="s">
        <v>3454</v>
      </c>
      <c r="J27" s="16"/>
      <c r="K27" s="18" t="s">
        <v>4198</v>
      </c>
      <c r="L27" s="16"/>
      <c r="M27" s="18" t="s">
        <v>4905</v>
      </c>
      <c r="N27" s="16"/>
      <c r="O27" s="18" t="s">
        <v>5612</v>
      </c>
      <c r="P27" s="16"/>
      <c r="Q27" s="18" t="s">
        <v>6294</v>
      </c>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5" priority="2" stopIfTrue="1">
      <formula>NOT(ISERROR(A3))</formula>
    </cfRule>
  </conditionalFormatting>
  <conditionalFormatting sqref="A3:T51">
    <cfRule type="containsErrors" dxfId="134" priority="1" stopIfTrue="1">
      <formula>ISERROR(A3)</formula>
    </cfRule>
    <cfRule type="notContainsBlanks" dxfId="133"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128</v>
      </c>
      <c r="B3" s="16" t="str">
        <f>TRIM(_xlfn.TEXTBEFORE(A3, ":"))</f>
        <v>Item Class</v>
      </c>
      <c r="C3" s="17" t="s">
        <v>2007</v>
      </c>
      <c r="D3" s="16" t="str">
        <f>TRIM(_xlfn.TEXTBEFORE(C3, ":"))</f>
        <v>Gegenstandsklasse</v>
      </c>
      <c r="E3" s="17" t="s">
        <v>2728</v>
      </c>
      <c r="F3" s="16" t="str">
        <f>TRIM(_xlfn.TEXTBEFORE(E3, ":"))</f>
        <v>Clase de objeto</v>
      </c>
      <c r="G3" s="17" t="s">
        <v>1263</v>
      </c>
      <c r="H3" s="16" t="str">
        <f>TRIM(_xlfn.TEXTBEFORE(G3, ":"))</f>
        <v>Classe d'objet</v>
      </c>
      <c r="I3" s="17" t="s">
        <v>3455</v>
      </c>
      <c r="J3" s="16" t="str">
        <f>TRIM(_xlfn.TEXTBEFORE(I3, ":"))</f>
        <v>アイテムクラス</v>
      </c>
      <c r="K3" s="17" t="s">
        <v>4199</v>
      </c>
      <c r="L3" s="16" t="str">
        <f>TRIM(_xlfn.TEXTBEFORE(K3, ":"))</f>
        <v>아이템 종류</v>
      </c>
      <c r="M3" s="17" t="s">
        <v>5189</v>
      </c>
      <c r="N3" s="16" t="str">
        <f>TRIM(_xlfn.TEXTBEFORE(M3, ":"))</f>
        <v>Classe do Item</v>
      </c>
      <c r="O3" s="17" t="s">
        <v>5613</v>
      </c>
      <c r="P3" s="16" t="str">
        <f>TRIM(_xlfn.TEXTBEFORE(O3, ":"))</f>
        <v>Класс предмета</v>
      </c>
      <c r="Q3" s="17" t="s">
        <v>6295</v>
      </c>
      <c r="R3" s="16" t="str">
        <f>TRIM(_xlfn.TEXTBEFORE(Q3, ":"))</f>
        <v>ชนิดไอเทม</v>
      </c>
      <c r="S3" s="17"/>
      <c r="T3" s="16" t="e">
        <f>TRIM(_xlfn.TEXTBEFORE(S3, ":"))</f>
        <v>#N/A</v>
      </c>
    </row>
    <row r="4" spans="1:20" ht="15.95" customHeight="1" x14ac:dyDescent="0.25">
      <c r="A4" s="18" t="s">
        <v>109</v>
      </c>
      <c r="B4" s="16" t="str">
        <f>TRIM(_xlfn.TEXTAFTER(A3, ":"))</f>
        <v>Claws</v>
      </c>
      <c r="C4" s="18" t="s">
        <v>1672</v>
      </c>
      <c r="D4" s="16" t="str">
        <f>TRIM(_xlfn.TEXTAFTER(C3, ":"))</f>
        <v>Klauen</v>
      </c>
      <c r="E4" s="18" t="s">
        <v>2392</v>
      </c>
      <c r="F4" s="16" t="str">
        <f>TRIM(_xlfn.TEXTAFTER(E3, ":"))</f>
        <v>Garras</v>
      </c>
      <c r="G4" s="18" t="s">
        <v>1</v>
      </c>
      <c r="H4" s="16" t="str">
        <f>TRIM(_xlfn.TEXTAFTER(G3, ":"))</f>
        <v>Griffes</v>
      </c>
      <c r="I4" s="18" t="s">
        <v>3107</v>
      </c>
      <c r="J4" s="16" t="str">
        <f>TRIM(_xlfn.TEXTAFTER(I3, ":"))</f>
        <v>鉤爪</v>
      </c>
      <c r="K4" s="18" t="s">
        <v>3857</v>
      </c>
      <c r="L4" s="16" t="str">
        <f>TRIM(_xlfn.TEXTAFTER(K3, ":"))</f>
        <v>클로</v>
      </c>
      <c r="M4" s="18" t="s">
        <v>4586</v>
      </c>
      <c r="N4" s="16" t="str">
        <f>TRIM(_xlfn.TEXTAFTER(M3, ":"))</f>
        <v>Garras</v>
      </c>
      <c r="O4" s="18" t="s">
        <v>5269</v>
      </c>
      <c r="P4" s="16" t="str">
        <f>TRIM(_xlfn.TEXTAFTER(O3, ":"))</f>
        <v>Когти</v>
      </c>
      <c r="Q4" s="18" t="s">
        <v>6006</v>
      </c>
      <c r="R4" s="16" t="str">
        <f>TRIM(_xlfn.TEXTAFTER(Q3, ":"))</f>
        <v>กรงเล็บ</v>
      </c>
      <c r="S4" s="18"/>
      <c r="T4" s="16" t="e">
        <f>TRIM(_xlfn.TEXTAFTER(S3, ":"))</f>
        <v>#N/A</v>
      </c>
    </row>
    <row r="5" spans="1:20" ht="15.95" customHeight="1" x14ac:dyDescent="0.25">
      <c r="A5" s="18" t="s">
        <v>129</v>
      </c>
      <c r="B5" s="16" t="str">
        <f>TRIM(_xlfn.TEXTBEFORE(A4, ":"))</f>
        <v>Rarity</v>
      </c>
      <c r="C5" s="18" t="s">
        <v>2008</v>
      </c>
      <c r="D5" s="16" t="str">
        <f>TRIM(_xlfn.TEXTBEFORE(C4, ":"))</f>
        <v>Seltenheit</v>
      </c>
      <c r="E5" s="18" t="s">
        <v>2729</v>
      </c>
      <c r="F5" s="16" t="str">
        <f>TRIM(_xlfn.TEXTBEFORE(E4, ":"))</f>
        <v>Rareza</v>
      </c>
      <c r="G5" s="18" t="s">
        <v>1264</v>
      </c>
      <c r="H5" s="16" t="str">
        <f>TRIM(_xlfn.TEXTBEFORE(G4, ":"))</f>
        <v>Rareté</v>
      </c>
      <c r="I5" s="18" t="s">
        <v>3456</v>
      </c>
      <c r="J5" s="16" t="str">
        <f>TRIM(_xlfn.TEXTBEFORE(I4, ":"))</f>
        <v>レアリティ</v>
      </c>
      <c r="K5" s="18" t="s">
        <v>4200</v>
      </c>
      <c r="L5" s="16" t="str">
        <f>TRIM(_xlfn.TEXTBEFORE(K4, ":"))</f>
        <v>아이템 희귀도</v>
      </c>
      <c r="M5" s="18" t="s">
        <v>5190</v>
      </c>
      <c r="N5" s="16" t="str">
        <f>TRIM(_xlfn.TEXTBEFORE(M4, ":"))</f>
        <v>Raridade</v>
      </c>
      <c r="O5" s="18" t="s">
        <v>5614</v>
      </c>
      <c r="P5" s="16" t="str">
        <f>TRIM(_xlfn.TEXTBEFORE(O4, ":"))</f>
        <v>Редкость</v>
      </c>
      <c r="Q5" s="18" t="s">
        <v>129</v>
      </c>
      <c r="R5" s="16" t="str">
        <f>TRIM(_xlfn.TEXTBEFORE(Q4, ":"))</f>
        <v>ความหายาก</v>
      </c>
      <c r="S5" s="18"/>
      <c r="T5" s="16" t="e">
        <f>TRIM(_xlfn.TEXTBEFORE(S4, ":"))</f>
        <v>#N/A</v>
      </c>
    </row>
    <row r="6" spans="1:20" ht="15.95" customHeight="1" x14ac:dyDescent="0.25">
      <c r="A6" s="18" t="s">
        <v>130</v>
      </c>
      <c r="B6" s="16" t="str">
        <f>TRIM(_xlfn.TEXTAFTER(A4,":"))</f>
        <v>Unique</v>
      </c>
      <c r="C6" s="18" t="s">
        <v>2009</v>
      </c>
      <c r="D6" s="16" t="str">
        <f>TRIM(_xlfn.TEXTAFTER(C4,":"))</f>
        <v>Einzigartig</v>
      </c>
      <c r="E6" s="18" t="s">
        <v>2730</v>
      </c>
      <c r="F6" s="16" t="str">
        <f>TRIM(_xlfn.TEXTAFTER(E4,":"))</f>
        <v>Único</v>
      </c>
      <c r="G6" s="18" t="s">
        <v>1265</v>
      </c>
      <c r="H6" s="16" t="str">
        <f>TRIM(_xlfn.TEXTAFTER(G4,":"))</f>
        <v>Unique</v>
      </c>
      <c r="I6" s="18" t="s">
        <v>3457</v>
      </c>
      <c r="J6" s="16" t="str">
        <f>TRIM(_xlfn.TEXTAFTER(I4,":"))</f>
        <v>ユニーク</v>
      </c>
      <c r="K6" s="18" t="s">
        <v>4201</v>
      </c>
      <c r="L6" s="16" t="str">
        <f>TRIM(_xlfn.TEXTAFTER(K4,":"))</f>
        <v>고유</v>
      </c>
      <c r="M6" s="18" t="s">
        <v>5191</v>
      </c>
      <c r="N6" s="16" t="str">
        <f>TRIM(_xlfn.TEXTAFTER(M4,":"))</f>
        <v>Único</v>
      </c>
      <c r="O6" s="18" t="s">
        <v>5615</v>
      </c>
      <c r="P6" s="16" t="str">
        <f>TRIM(_xlfn.TEXTAFTER(O4,":"))</f>
        <v>Уникальный</v>
      </c>
      <c r="Q6" s="18" t="s">
        <v>130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131</v>
      </c>
      <c r="B8" s="16"/>
      <c r="C8" s="18" t="s">
        <v>2010</v>
      </c>
      <c r="D8" s="16"/>
      <c r="E8" s="18" t="s">
        <v>2731</v>
      </c>
      <c r="F8" s="16"/>
      <c r="G8" s="18" t="s">
        <v>1266</v>
      </c>
      <c r="H8" s="16"/>
      <c r="I8" s="18" t="s">
        <v>3458</v>
      </c>
      <c r="J8" s="16"/>
      <c r="K8" s="18" t="s">
        <v>4202</v>
      </c>
      <c r="L8" s="16"/>
      <c r="M8" s="18" t="s">
        <v>2731</v>
      </c>
      <c r="N8" s="16"/>
      <c r="O8" s="18" t="s">
        <v>5616</v>
      </c>
      <c r="P8" s="16"/>
      <c r="Q8" s="18" t="s">
        <v>6296</v>
      </c>
      <c r="R8" s="16"/>
      <c r="S8" s="18"/>
      <c r="T8" s="16"/>
    </row>
    <row r="9" spans="1:20" ht="15.95" customHeight="1" x14ac:dyDescent="0.25">
      <c r="A9" s="18" t="s">
        <v>132</v>
      </c>
      <c r="B9" s="16"/>
      <c r="C9" s="18" t="s">
        <v>2011</v>
      </c>
      <c r="D9" s="16"/>
      <c r="E9" s="18" t="s">
        <v>2732</v>
      </c>
      <c r="F9" s="16"/>
      <c r="G9" s="18" t="s">
        <v>1267</v>
      </c>
      <c r="H9" s="16"/>
      <c r="I9" s="18" t="s">
        <v>3459</v>
      </c>
      <c r="J9" s="16"/>
      <c r="K9" s="18" t="s">
        <v>4203</v>
      </c>
      <c r="L9" s="16"/>
      <c r="M9" s="18" t="s">
        <v>5192</v>
      </c>
      <c r="N9" s="16"/>
      <c r="O9" s="18" t="s">
        <v>5617</v>
      </c>
      <c r="P9" s="16"/>
      <c r="Q9" s="18" t="s">
        <v>6297</v>
      </c>
      <c r="R9" s="16"/>
      <c r="S9" s="18"/>
      <c r="T9" s="16"/>
    </row>
    <row r="10" spans="1:20" ht="15.95" customHeight="1" x14ac:dyDescent="0.25">
      <c r="A10" s="18" t="s">
        <v>133</v>
      </c>
      <c r="B10" s="16"/>
      <c r="C10" s="18" t="s">
        <v>1995</v>
      </c>
      <c r="D10" s="16"/>
      <c r="E10" s="18" t="s">
        <v>2716</v>
      </c>
      <c r="F10" s="16"/>
      <c r="G10" s="18" t="s">
        <v>1252</v>
      </c>
      <c r="H10" s="16"/>
      <c r="I10" s="18" t="s">
        <v>3443</v>
      </c>
      <c r="J10" s="16"/>
      <c r="K10" s="18" t="s">
        <v>4187</v>
      </c>
      <c r="L10" s="16"/>
      <c r="M10" s="18" t="s">
        <v>4895</v>
      </c>
      <c r="N10" s="16"/>
      <c r="O10" s="18" t="s">
        <v>5601</v>
      </c>
      <c r="P10" s="16"/>
      <c r="Q10" s="18" t="s">
        <v>6284</v>
      </c>
      <c r="R10" s="16"/>
      <c r="S10" s="18"/>
      <c r="T10" s="16"/>
    </row>
    <row r="11" spans="1:20" ht="15.95" customHeight="1" x14ac:dyDescent="0.25">
      <c r="A11" s="18" t="s">
        <v>134</v>
      </c>
      <c r="B11" s="16"/>
      <c r="C11" s="18" t="s">
        <v>1865</v>
      </c>
      <c r="D11" s="16"/>
      <c r="E11" s="18" t="s">
        <v>2583</v>
      </c>
      <c r="F11" s="16"/>
      <c r="G11" s="18" t="s">
        <v>1130</v>
      </c>
      <c r="H11" s="16"/>
      <c r="I11" s="18" t="s">
        <v>3306</v>
      </c>
      <c r="J11" s="16"/>
      <c r="K11" s="18" t="s">
        <v>4051</v>
      </c>
      <c r="L11" s="16"/>
      <c r="M11" s="18" t="s">
        <v>4774</v>
      </c>
      <c r="N11" s="16"/>
      <c r="O11" s="18" t="s">
        <v>5465</v>
      </c>
      <c r="P11" s="16"/>
      <c r="Q11" s="18" t="s">
        <v>6178</v>
      </c>
      <c r="R11" s="16"/>
      <c r="S11" s="18"/>
      <c r="T11" s="16"/>
    </row>
    <row r="12" spans="1:20" ht="15.95" customHeight="1" x14ac:dyDescent="0.25">
      <c r="A12" s="18" t="s">
        <v>135</v>
      </c>
      <c r="B12" s="16"/>
      <c r="C12" s="18" t="s">
        <v>2012</v>
      </c>
      <c r="D12" s="16"/>
      <c r="E12" s="18" t="s">
        <v>2733</v>
      </c>
      <c r="F12" s="16"/>
      <c r="G12" s="18" t="s">
        <v>1268</v>
      </c>
      <c r="H12" s="16"/>
      <c r="I12" s="18" t="s">
        <v>3460</v>
      </c>
      <c r="J12" s="16"/>
      <c r="K12" s="18" t="s">
        <v>4204</v>
      </c>
      <c r="L12" s="16"/>
      <c r="M12" s="18" t="s">
        <v>4951</v>
      </c>
      <c r="N12" s="16"/>
      <c r="O12" s="18" t="s">
        <v>5618</v>
      </c>
      <c r="P12" s="16"/>
      <c r="Q12" s="18" t="s">
        <v>6298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t="s">
        <v>5957</v>
      </c>
      <c r="R14" s="16"/>
      <c r="S14" s="18"/>
      <c r="T14" s="21"/>
    </row>
    <row r="15" spans="1:20" ht="15.95" customHeight="1" x14ac:dyDescent="0.25">
      <c r="A15" s="18" t="s">
        <v>136</v>
      </c>
      <c r="B15" s="16"/>
      <c r="C15" s="18" t="s">
        <v>1619</v>
      </c>
      <c r="D15" s="16"/>
      <c r="E15" s="18" t="s">
        <v>2366</v>
      </c>
      <c r="F15" s="16"/>
      <c r="G15" s="18" t="s">
        <v>893</v>
      </c>
      <c r="H15" s="16"/>
      <c r="I15" s="18" t="s">
        <v>3080</v>
      </c>
      <c r="J15" s="16"/>
      <c r="K15" s="18" t="s">
        <v>3831</v>
      </c>
      <c r="L15" s="16"/>
      <c r="M15" s="18" t="s">
        <v>4559</v>
      </c>
      <c r="N15" s="16"/>
      <c r="O15" s="18" t="s">
        <v>5242</v>
      </c>
      <c r="P15" s="16"/>
      <c r="Q15" s="18" t="s">
        <v>5984</v>
      </c>
      <c r="R15" s="16"/>
      <c r="S15" s="18"/>
      <c r="T15" s="21"/>
    </row>
    <row r="16" spans="1:20" ht="15.95" customHeight="1" x14ac:dyDescent="0.25">
      <c r="A16" s="18" t="s">
        <v>137</v>
      </c>
      <c r="B16" s="16"/>
      <c r="C16" s="18" t="s">
        <v>2013</v>
      </c>
      <c r="D16" s="16"/>
      <c r="E16" s="18" t="s">
        <v>2734</v>
      </c>
      <c r="F16" s="16"/>
      <c r="G16" s="18" t="s">
        <v>137</v>
      </c>
      <c r="H16" s="16"/>
      <c r="I16" s="18" t="s">
        <v>3461</v>
      </c>
      <c r="J16" s="16"/>
      <c r="K16" s="18" t="s">
        <v>4205</v>
      </c>
      <c r="L16" s="16"/>
      <c r="M16" s="18" t="s">
        <v>2734</v>
      </c>
      <c r="N16" s="16"/>
      <c r="O16" s="18" t="s">
        <v>5619</v>
      </c>
      <c r="P16" s="16"/>
      <c r="Q16" s="18" t="s">
        <v>137</v>
      </c>
      <c r="R16" s="16"/>
      <c r="S16" s="18"/>
      <c r="T16" s="21"/>
    </row>
    <row r="17" spans="1:20" ht="15.95" customHeight="1" x14ac:dyDescent="0.25">
      <c r="A17" s="18" t="s">
        <v>138</v>
      </c>
      <c r="B17" s="16"/>
      <c r="C17" s="18" t="s">
        <v>138</v>
      </c>
      <c r="D17" s="16"/>
      <c r="E17" s="18" t="s">
        <v>138</v>
      </c>
      <c r="F17" s="16"/>
      <c r="G17" s="18" t="s">
        <v>138</v>
      </c>
      <c r="H17" s="16"/>
      <c r="I17" s="18" t="s">
        <v>3462</v>
      </c>
      <c r="J17" s="16"/>
      <c r="K17" s="18" t="s">
        <v>4206</v>
      </c>
      <c r="L17" s="16"/>
      <c r="M17" s="18" t="s">
        <v>138</v>
      </c>
      <c r="N17" s="16"/>
      <c r="O17" s="18" t="s">
        <v>5620</v>
      </c>
      <c r="P17" s="16"/>
      <c r="Q17" s="18" t="s">
        <v>138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139</v>
      </c>
      <c r="B19" s="16"/>
      <c r="C19" s="18" t="s">
        <v>2014</v>
      </c>
      <c r="D19" s="16"/>
      <c r="E19" s="18" t="s">
        <v>2735</v>
      </c>
      <c r="F19" s="16"/>
      <c r="G19" s="18" t="s">
        <v>1269</v>
      </c>
      <c r="H19" s="16"/>
      <c r="I19" s="18" t="s">
        <v>3463</v>
      </c>
      <c r="J19" s="16"/>
      <c r="K19" s="18" t="s">
        <v>4207</v>
      </c>
      <c r="L19" s="16"/>
      <c r="M19" s="18" t="s">
        <v>5193</v>
      </c>
      <c r="N19" s="16"/>
      <c r="O19" s="18" t="s">
        <v>5621</v>
      </c>
      <c r="P19" s="16"/>
      <c r="Q19" s="18" t="s">
        <v>6299</v>
      </c>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111</v>
      </c>
      <c r="B21" s="16"/>
      <c r="C21" s="18" t="s">
        <v>1691</v>
      </c>
      <c r="D21" s="16"/>
      <c r="E21" s="18" t="s">
        <v>2325</v>
      </c>
      <c r="F21" s="16"/>
      <c r="G21" s="18" t="s">
        <v>958</v>
      </c>
      <c r="H21" s="16"/>
      <c r="I21" s="18" t="s">
        <v>3127</v>
      </c>
      <c r="J21" s="16"/>
      <c r="K21" s="18" t="s">
        <v>3787</v>
      </c>
      <c r="L21" s="16"/>
      <c r="M21" s="18" t="s">
        <v>4605</v>
      </c>
      <c r="N21" s="16"/>
      <c r="O21" s="18" t="s">
        <v>5288</v>
      </c>
      <c r="P21" s="16"/>
      <c r="Q21" s="18" t="s">
        <v>5943</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140</v>
      </c>
      <c r="B23" s="16"/>
      <c r="C23" s="18" t="s">
        <v>2015</v>
      </c>
      <c r="D23" s="16"/>
      <c r="E23" s="18" t="s">
        <v>2736</v>
      </c>
      <c r="F23" s="16"/>
      <c r="G23" s="18" t="s">
        <v>1270</v>
      </c>
      <c r="H23" s="16"/>
      <c r="I23" s="18" t="s">
        <v>3464</v>
      </c>
      <c r="J23" s="16"/>
      <c r="K23" s="18" t="s">
        <v>4208</v>
      </c>
      <c r="L23" s="16"/>
      <c r="M23" s="18" t="s">
        <v>5194</v>
      </c>
      <c r="N23" s="16"/>
      <c r="O23" s="18" t="s">
        <v>5622</v>
      </c>
      <c r="P23" s="16"/>
      <c r="Q23" s="18" t="s">
        <v>6300</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141</v>
      </c>
      <c r="B25" s="16"/>
      <c r="C25" s="18" t="s">
        <v>2016</v>
      </c>
      <c r="D25" s="16"/>
      <c r="E25" s="18" t="s">
        <v>2737</v>
      </c>
      <c r="F25" s="16"/>
      <c r="G25" s="18" t="s">
        <v>1271</v>
      </c>
      <c r="H25" s="16"/>
      <c r="I25" s="18" t="s">
        <v>3465</v>
      </c>
      <c r="J25" s="16"/>
      <c r="K25" s="18" t="s">
        <v>4209</v>
      </c>
      <c r="L25" s="16"/>
      <c r="M25" s="18" t="s">
        <v>5195</v>
      </c>
      <c r="N25" s="16"/>
      <c r="O25" s="18" t="s">
        <v>5623</v>
      </c>
      <c r="P25" s="16"/>
      <c r="Q25" s="18" t="s">
        <v>6301</v>
      </c>
      <c r="R25" s="16"/>
      <c r="S25" s="18"/>
      <c r="T25" s="21"/>
    </row>
    <row r="26" spans="1:20" ht="15.95" customHeight="1" x14ac:dyDescent="0.25">
      <c r="A26" s="18" t="s">
        <v>142</v>
      </c>
      <c r="B26" s="16"/>
      <c r="C26" s="18" t="s">
        <v>2017</v>
      </c>
      <c r="D26" s="16"/>
      <c r="E26" s="18" t="s">
        <v>2738</v>
      </c>
      <c r="F26" s="16"/>
      <c r="G26" s="18" t="s">
        <v>1272</v>
      </c>
      <c r="H26" s="16"/>
      <c r="I26" s="18" t="s">
        <v>3466</v>
      </c>
      <c r="J26" s="16"/>
      <c r="K26" s="18" t="s">
        <v>4210</v>
      </c>
      <c r="L26" s="16"/>
      <c r="M26" s="18" t="s">
        <v>5196</v>
      </c>
      <c r="N26" s="16"/>
      <c r="O26" s="18" t="s">
        <v>5624</v>
      </c>
      <c r="P26" s="16"/>
      <c r="Q26" s="18" t="s">
        <v>6302</v>
      </c>
      <c r="R26" s="16"/>
      <c r="S26" s="18"/>
      <c r="T26" s="21"/>
    </row>
    <row r="27" spans="1:20" ht="15.95" customHeight="1" x14ac:dyDescent="0.25">
      <c r="A27" s="18" t="s">
        <v>143</v>
      </c>
      <c r="B27" s="16"/>
      <c r="C27" s="18" t="s">
        <v>2018</v>
      </c>
      <c r="D27" s="16"/>
      <c r="E27" s="18" t="s">
        <v>2739</v>
      </c>
      <c r="F27" s="16"/>
      <c r="G27" s="18" t="s">
        <v>1273</v>
      </c>
      <c r="H27" s="16"/>
      <c r="I27" s="18" t="s">
        <v>3467</v>
      </c>
      <c r="J27" s="16"/>
      <c r="K27" s="18" t="s">
        <v>4211</v>
      </c>
      <c r="L27" s="16"/>
      <c r="M27" s="18" t="s">
        <v>5197</v>
      </c>
      <c r="N27" s="16"/>
      <c r="O27" s="18" t="s">
        <v>5625</v>
      </c>
      <c r="P27" s="16"/>
      <c r="Q27" s="18" t="s">
        <v>6303</v>
      </c>
      <c r="R27" s="16"/>
      <c r="S27" s="18"/>
      <c r="T27" s="21"/>
    </row>
    <row r="28" spans="1:20" ht="15.95" customHeight="1" x14ac:dyDescent="0.25">
      <c r="A28" s="18" t="s">
        <v>144</v>
      </c>
      <c r="B28" s="16"/>
      <c r="C28" s="18" t="s">
        <v>2019</v>
      </c>
      <c r="D28" s="16"/>
      <c r="E28" s="18" t="s">
        <v>2740</v>
      </c>
      <c r="F28" s="16"/>
      <c r="G28" s="18" t="s">
        <v>1274</v>
      </c>
      <c r="H28" s="16"/>
      <c r="I28" s="18" t="s">
        <v>3468</v>
      </c>
      <c r="J28" s="16"/>
      <c r="K28" s="18" t="s">
        <v>4212</v>
      </c>
      <c r="L28" s="16"/>
      <c r="M28" s="18" t="s">
        <v>5198</v>
      </c>
      <c r="N28" s="16"/>
      <c r="O28" s="18" t="s">
        <v>5626</v>
      </c>
      <c r="P28" s="16"/>
      <c r="Q28" s="18" t="s">
        <v>6304</v>
      </c>
      <c r="R28" s="16"/>
      <c r="S28" s="18"/>
      <c r="T28" s="21"/>
    </row>
    <row r="29" spans="1:20" ht="15.95" customHeight="1" x14ac:dyDescent="0.25">
      <c r="A29" s="18" t="s">
        <v>145</v>
      </c>
      <c r="B29" s="16"/>
      <c r="C29" s="18" t="s">
        <v>2020</v>
      </c>
      <c r="D29" s="16"/>
      <c r="E29" s="18" t="s">
        <v>2741</v>
      </c>
      <c r="F29" s="16"/>
      <c r="G29" s="18" t="s">
        <v>1275</v>
      </c>
      <c r="H29" s="16"/>
      <c r="I29" s="18" t="s">
        <v>3469</v>
      </c>
      <c r="J29" s="16"/>
      <c r="K29" s="18" t="s">
        <v>4213</v>
      </c>
      <c r="L29" s="16"/>
      <c r="M29" s="18" t="s">
        <v>5199</v>
      </c>
      <c r="N29" s="16"/>
      <c r="O29" s="18" t="s">
        <v>5627</v>
      </c>
      <c r="P29" s="16"/>
      <c r="Q29" s="18" t="s">
        <v>6305</v>
      </c>
      <c r="R29" s="16"/>
      <c r="S29" s="18"/>
      <c r="T29" s="21"/>
    </row>
    <row r="30" spans="1:20" ht="15.95" customHeight="1" x14ac:dyDescent="0.25">
      <c r="A30" s="18" t="s">
        <v>146</v>
      </c>
      <c r="B30" s="16"/>
      <c r="C30" s="18" t="s">
        <v>2021</v>
      </c>
      <c r="D30" s="16"/>
      <c r="E30" s="18" t="s">
        <v>2742</v>
      </c>
      <c r="F30" s="16"/>
      <c r="G30" s="18" t="s">
        <v>1276</v>
      </c>
      <c r="H30" s="16"/>
      <c r="I30" s="18" t="s">
        <v>3470</v>
      </c>
      <c r="J30" s="16"/>
      <c r="K30" s="18" t="s">
        <v>4214</v>
      </c>
      <c r="L30" s="16"/>
      <c r="M30" s="18" t="s">
        <v>5200</v>
      </c>
      <c r="N30" s="16"/>
      <c r="O30" s="18" t="s">
        <v>5628</v>
      </c>
      <c r="P30" s="16"/>
      <c r="Q30" s="18" t="s">
        <v>6306</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147</v>
      </c>
      <c r="B32" s="16"/>
      <c r="C32" s="18" t="s">
        <v>2022</v>
      </c>
      <c r="D32" s="16"/>
      <c r="E32" s="18" t="s">
        <v>2743</v>
      </c>
      <c r="F32" s="16"/>
      <c r="G32" s="18" t="s">
        <v>1277</v>
      </c>
      <c r="H32" s="16"/>
      <c r="I32" s="18" t="s">
        <v>3471</v>
      </c>
      <c r="J32" s="16"/>
      <c r="K32" s="18" t="s">
        <v>4215</v>
      </c>
      <c r="L32" s="16"/>
      <c r="M32" s="18" t="s">
        <v>5201</v>
      </c>
      <c r="N32" s="16"/>
      <c r="O32" s="18" t="s">
        <v>5629</v>
      </c>
      <c r="P32" s="16"/>
      <c r="Q32" s="18" t="s">
        <v>6307</v>
      </c>
      <c r="R32" s="16"/>
      <c r="S32" s="18"/>
      <c r="T32" s="21"/>
    </row>
    <row r="33" spans="1:20" ht="15.95" customHeight="1" x14ac:dyDescent="0.25">
      <c r="A33" s="22" t="s">
        <v>148</v>
      </c>
      <c r="B33" s="16"/>
      <c r="C33" s="18" t="s">
        <v>2023</v>
      </c>
      <c r="D33" s="16"/>
      <c r="E33" s="18" t="e">
        <f>- Atalui, Sacerdotisa Vaal</f>
        <v>#NAME?</v>
      </c>
      <c r="F33" s="16"/>
      <c r="G33" s="18" t="s">
        <v>1278</v>
      </c>
      <c r="H33" s="16"/>
      <c r="I33" s="18" t="s">
        <v>3472</v>
      </c>
      <c r="J33" s="16"/>
      <c r="K33" s="18" t="s">
        <v>4216</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2" priority="2" stopIfTrue="1">
      <formula>NOT(ISERROR(A3))</formula>
    </cfRule>
  </conditionalFormatting>
  <conditionalFormatting sqref="A3:T51">
    <cfRule type="containsErrors" dxfId="131" priority="1" stopIfTrue="1">
      <formula>ISERROR(A3)</formula>
    </cfRule>
    <cfRule type="notContainsBlanks" dxfId="130"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170</v>
      </c>
      <c r="B3" s="16" t="str">
        <f>TRIM(_xlfn.TEXTBEFORE(A3, ":"))</f>
        <v>Item Class</v>
      </c>
      <c r="C3" s="17" t="s">
        <v>2024</v>
      </c>
      <c r="D3" s="16" t="str">
        <f>TRIM(_xlfn.TEXTBEFORE(C3, ":"))</f>
        <v>Gegenstandsklasse</v>
      </c>
      <c r="E3" s="17" t="s">
        <v>2744</v>
      </c>
      <c r="F3" s="16" t="str">
        <f>TRIM(_xlfn.TEXTBEFORE(E3, ":"))</f>
        <v>Clase de objeto</v>
      </c>
      <c r="G3" s="17" t="s">
        <v>1279</v>
      </c>
      <c r="H3" s="16" t="str">
        <f>TRIM(_xlfn.TEXTBEFORE(G3, ":"))</f>
        <v>Classe d'objet</v>
      </c>
      <c r="I3" s="17" t="s">
        <v>3473</v>
      </c>
      <c r="J3" s="16" t="str">
        <f>TRIM(_xlfn.TEXTBEFORE(I3, ":"))</f>
        <v>アイテムクラス</v>
      </c>
      <c r="K3" s="17" t="s">
        <v>4217</v>
      </c>
      <c r="L3" s="16" t="str">
        <f>TRIM(_xlfn.TEXTBEFORE(K3, ":"))</f>
        <v>아이템 종류</v>
      </c>
      <c r="M3" s="17" t="s">
        <v>4906</v>
      </c>
      <c r="N3" s="16" t="str">
        <f>TRIM(_xlfn.TEXTBEFORE(M3, ":"))</f>
        <v>Classe do Item</v>
      </c>
      <c r="O3" s="17" t="s">
        <v>5630</v>
      </c>
      <c r="P3" s="16" t="str">
        <f>TRIM(_xlfn.TEXTBEFORE(O3, ":"))</f>
        <v>Класс предмета</v>
      </c>
      <c r="Q3" s="17" t="s">
        <v>6308</v>
      </c>
      <c r="R3" s="16" t="str">
        <f>TRIM(_xlfn.TEXTBEFORE(Q3, ":"))</f>
        <v>ชนิดไอเทม</v>
      </c>
      <c r="S3" s="17"/>
      <c r="T3" s="16" t="e">
        <f>TRIM(_xlfn.TEXTBEFORE(S3, ":"))</f>
        <v>#N/A</v>
      </c>
    </row>
    <row r="4" spans="1:20" ht="15.95" customHeight="1" x14ac:dyDescent="0.25">
      <c r="A4" s="18" t="s">
        <v>109</v>
      </c>
      <c r="B4" s="16" t="str">
        <f>TRIM(_xlfn.TEXTAFTER(A3, ":"))</f>
        <v>Daggers</v>
      </c>
      <c r="C4" s="18" t="s">
        <v>1672</v>
      </c>
      <c r="D4" s="16" t="str">
        <f>TRIM(_xlfn.TEXTAFTER(C3, ":"))</f>
        <v>Dolche</v>
      </c>
      <c r="E4" s="18" t="s">
        <v>2392</v>
      </c>
      <c r="F4" s="16" t="str">
        <f>TRIM(_xlfn.TEXTAFTER(E3, ":"))</f>
        <v>Dagas</v>
      </c>
      <c r="G4" s="18" t="s">
        <v>1</v>
      </c>
      <c r="H4" s="16" t="str">
        <f>TRIM(_xlfn.TEXTAFTER(G3, ":"))</f>
        <v>Dagues</v>
      </c>
      <c r="I4" s="18" t="s">
        <v>3107</v>
      </c>
      <c r="J4" s="16" t="str">
        <f>TRIM(_xlfn.TEXTAFTER(I3, ":"))</f>
        <v>短剣</v>
      </c>
      <c r="K4" s="18" t="s">
        <v>3857</v>
      </c>
      <c r="L4" s="16" t="str">
        <f>TRIM(_xlfn.TEXTAFTER(K3, ":"))</f>
        <v>단검</v>
      </c>
      <c r="M4" s="18" t="s">
        <v>4586</v>
      </c>
      <c r="N4" s="16" t="str">
        <f>TRIM(_xlfn.TEXTAFTER(M3, ":"))</f>
        <v>Adagas</v>
      </c>
      <c r="O4" s="18" t="s">
        <v>5269</v>
      </c>
      <c r="P4" s="16" t="str">
        <f>TRIM(_xlfn.TEXTAFTER(O3, ":"))</f>
        <v>Кинжалы</v>
      </c>
      <c r="Q4" s="18" t="s">
        <v>6006</v>
      </c>
      <c r="R4" s="16" t="str">
        <f>TRIM(_xlfn.TEXTAFTER(Q3, ":"))</f>
        <v>มีด</v>
      </c>
      <c r="S4" s="18"/>
      <c r="T4" s="16" t="e">
        <f>TRIM(_xlfn.TEXTAFTER(S3, ":"))</f>
        <v>#N/A</v>
      </c>
    </row>
    <row r="5" spans="1:20" ht="15.95" customHeight="1" x14ac:dyDescent="0.25">
      <c r="A5" s="18" t="s">
        <v>171</v>
      </c>
      <c r="B5" s="16" t="str">
        <f>TRIM(_xlfn.TEXTBEFORE(A4, ":"))</f>
        <v>Rarity</v>
      </c>
      <c r="C5" s="18" t="s">
        <v>2025</v>
      </c>
      <c r="D5" s="16" t="str">
        <f>TRIM(_xlfn.TEXTBEFORE(C4, ":"))</f>
        <v>Seltenheit</v>
      </c>
      <c r="E5" s="18" t="s">
        <v>2745</v>
      </c>
      <c r="F5" s="16" t="str">
        <f>TRIM(_xlfn.TEXTBEFORE(E4, ":"))</f>
        <v>Rareza</v>
      </c>
      <c r="G5" s="18" t="s">
        <v>1280</v>
      </c>
      <c r="H5" s="16" t="str">
        <f>TRIM(_xlfn.TEXTBEFORE(G4, ":"))</f>
        <v>Rareté</v>
      </c>
      <c r="I5" s="18" t="s">
        <v>3474</v>
      </c>
      <c r="J5" s="16" t="str">
        <f>TRIM(_xlfn.TEXTBEFORE(I4, ":"))</f>
        <v>レアリティ</v>
      </c>
      <c r="K5" s="18" t="s">
        <v>4218</v>
      </c>
      <c r="L5" s="16" t="str">
        <f>TRIM(_xlfn.TEXTBEFORE(K4, ":"))</f>
        <v>아이템 희귀도</v>
      </c>
      <c r="M5" s="18" t="s">
        <v>4907</v>
      </c>
      <c r="N5" s="16" t="str">
        <f>TRIM(_xlfn.TEXTBEFORE(M4, ":"))</f>
        <v>Raridade</v>
      </c>
      <c r="O5" s="18" t="s">
        <v>5631</v>
      </c>
      <c r="P5" s="16" t="str">
        <f>TRIM(_xlfn.TEXTBEFORE(O4, ":"))</f>
        <v>Редкость</v>
      </c>
      <c r="Q5" s="18" t="s">
        <v>171</v>
      </c>
      <c r="R5" s="16" t="str">
        <f>TRIM(_xlfn.TEXTBEFORE(Q4, ":"))</f>
        <v>ความหายาก</v>
      </c>
      <c r="S5" s="18"/>
      <c r="T5" s="16" t="e">
        <f>TRIM(_xlfn.TEXTBEFORE(S4, ":"))</f>
        <v>#N/A</v>
      </c>
    </row>
    <row r="6" spans="1:20" ht="15.95" customHeight="1" x14ac:dyDescent="0.25">
      <c r="A6" s="18" t="s">
        <v>172</v>
      </c>
      <c r="B6" s="16" t="str">
        <f>TRIM(_xlfn.TEXTAFTER(A4,":"))</f>
        <v>Unique</v>
      </c>
      <c r="C6" s="18" t="s">
        <v>2026</v>
      </c>
      <c r="D6" s="16" t="str">
        <f>TRIM(_xlfn.TEXTAFTER(C4,":"))</f>
        <v>Einzigartig</v>
      </c>
      <c r="E6" s="18" t="s">
        <v>2746</v>
      </c>
      <c r="F6" s="16" t="str">
        <f>TRIM(_xlfn.TEXTAFTER(E4,":"))</f>
        <v>Único</v>
      </c>
      <c r="G6" s="18" t="s">
        <v>1281</v>
      </c>
      <c r="H6" s="16" t="str">
        <f>TRIM(_xlfn.TEXTAFTER(G4,":"))</f>
        <v>Unique</v>
      </c>
      <c r="I6" s="18" t="s">
        <v>3475</v>
      </c>
      <c r="J6" s="16" t="str">
        <f>TRIM(_xlfn.TEXTAFTER(I4,":"))</f>
        <v>ユニーク</v>
      </c>
      <c r="K6" s="18" t="s">
        <v>4219</v>
      </c>
      <c r="L6" s="16" t="str">
        <f>TRIM(_xlfn.TEXTAFTER(K4,":"))</f>
        <v>고유</v>
      </c>
      <c r="M6" s="18" t="s">
        <v>4908</v>
      </c>
      <c r="N6" s="16" t="str">
        <f>TRIM(_xlfn.TEXTAFTER(M4,":"))</f>
        <v>Único</v>
      </c>
      <c r="O6" s="18" t="s">
        <v>5632</v>
      </c>
      <c r="P6" s="16" t="str">
        <f>TRIM(_xlfn.TEXTAFTER(O4,":"))</f>
        <v>Уникальный</v>
      </c>
      <c r="Q6" s="18" t="s">
        <v>172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173</v>
      </c>
      <c r="B8" s="16"/>
      <c r="C8" s="18" t="s">
        <v>2027</v>
      </c>
      <c r="D8" s="16"/>
      <c r="E8" s="18" t="s">
        <v>2747</v>
      </c>
      <c r="F8" s="16"/>
      <c r="G8" s="18" t="s">
        <v>1282</v>
      </c>
      <c r="H8" s="16"/>
      <c r="I8" s="18" t="s">
        <v>3476</v>
      </c>
      <c r="J8" s="16"/>
      <c r="K8" s="18" t="s">
        <v>4220</v>
      </c>
      <c r="L8" s="16"/>
      <c r="M8" s="18" t="s">
        <v>4909</v>
      </c>
      <c r="N8" s="16"/>
      <c r="O8" s="18" t="s">
        <v>5633</v>
      </c>
      <c r="P8" s="16"/>
      <c r="Q8" s="18" t="s">
        <v>6309</v>
      </c>
      <c r="R8" s="16"/>
      <c r="S8" s="18"/>
      <c r="T8" s="16"/>
    </row>
    <row r="9" spans="1:20" ht="15.95" customHeight="1" x14ac:dyDescent="0.25">
      <c r="A9" s="18" t="s">
        <v>174</v>
      </c>
      <c r="B9" s="16"/>
      <c r="C9" s="18" t="s">
        <v>2028</v>
      </c>
      <c r="D9" s="16"/>
      <c r="E9" s="18" t="s">
        <v>2748</v>
      </c>
      <c r="F9" s="16"/>
      <c r="G9" s="18" t="s">
        <v>1283</v>
      </c>
      <c r="H9" s="16"/>
      <c r="I9" s="18" t="s">
        <v>3477</v>
      </c>
      <c r="J9" s="16"/>
      <c r="K9" s="18" t="s">
        <v>4221</v>
      </c>
      <c r="L9" s="16"/>
      <c r="M9" s="18" t="s">
        <v>4910</v>
      </c>
      <c r="N9" s="16"/>
      <c r="O9" s="18" t="s">
        <v>5634</v>
      </c>
      <c r="P9" s="16"/>
      <c r="Q9" s="18" t="s">
        <v>6310</v>
      </c>
      <c r="R9" s="16"/>
      <c r="S9" s="18"/>
      <c r="T9" s="16"/>
    </row>
    <row r="10" spans="1:20" ht="15.95" customHeight="1" x14ac:dyDescent="0.25">
      <c r="A10" s="18" t="s">
        <v>175</v>
      </c>
      <c r="B10" s="16"/>
      <c r="C10" s="18" t="s">
        <v>2029</v>
      </c>
      <c r="D10" s="16"/>
      <c r="E10" s="18" t="s">
        <v>2749</v>
      </c>
      <c r="F10" s="16"/>
      <c r="G10" s="18" t="s">
        <v>1284</v>
      </c>
      <c r="H10" s="16"/>
      <c r="I10" s="18" t="s">
        <v>3478</v>
      </c>
      <c r="J10" s="16"/>
      <c r="K10" s="18" t="s">
        <v>4222</v>
      </c>
      <c r="L10" s="16"/>
      <c r="M10" s="18" t="s">
        <v>4911</v>
      </c>
      <c r="N10" s="16"/>
      <c r="O10" s="18" t="s">
        <v>5635</v>
      </c>
      <c r="P10" s="16"/>
      <c r="Q10" s="18" t="s">
        <v>6311</v>
      </c>
      <c r="R10" s="16"/>
      <c r="S10" s="18"/>
      <c r="T10" s="16"/>
    </row>
    <row r="11" spans="1:20" ht="15.95" customHeight="1" x14ac:dyDescent="0.25">
      <c r="A11" s="18" t="s">
        <v>176</v>
      </c>
      <c r="B11" s="16"/>
      <c r="C11" s="18" t="s">
        <v>2030</v>
      </c>
      <c r="D11" s="16"/>
      <c r="E11" s="18" t="s">
        <v>2750</v>
      </c>
      <c r="F11" s="16"/>
      <c r="G11" s="18" t="s">
        <v>1285</v>
      </c>
      <c r="H11" s="16"/>
      <c r="I11" s="18" t="s">
        <v>3479</v>
      </c>
      <c r="J11" s="16"/>
      <c r="K11" s="18" t="s">
        <v>4223</v>
      </c>
      <c r="L11" s="16"/>
      <c r="M11" s="18" t="s">
        <v>4912</v>
      </c>
      <c r="N11" s="16"/>
      <c r="O11" s="18" t="s">
        <v>5636</v>
      </c>
      <c r="P11" s="16"/>
      <c r="Q11" s="18" t="s">
        <v>6312</v>
      </c>
      <c r="R11" s="16"/>
      <c r="S11" s="18"/>
      <c r="T11" s="16"/>
    </row>
    <row r="12" spans="1:20" ht="15.95" customHeight="1" x14ac:dyDescent="0.25">
      <c r="A12" s="18" t="s">
        <v>156</v>
      </c>
      <c r="B12" s="16"/>
      <c r="C12" s="18" t="s">
        <v>1866</v>
      </c>
      <c r="D12" s="16"/>
      <c r="E12" s="18" t="s">
        <v>2584</v>
      </c>
      <c r="F12" s="16"/>
      <c r="G12" s="18" t="s">
        <v>1131</v>
      </c>
      <c r="H12" s="16"/>
      <c r="I12" s="18" t="s">
        <v>3307</v>
      </c>
      <c r="J12" s="16"/>
      <c r="K12" s="18" t="s">
        <v>4052</v>
      </c>
      <c r="L12" s="16"/>
      <c r="M12" s="18" t="s">
        <v>4775</v>
      </c>
      <c r="N12" s="16"/>
      <c r="O12" s="18" t="s">
        <v>5466</v>
      </c>
      <c r="P12" s="16"/>
      <c r="Q12" s="18" t="s">
        <v>6179</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t="s">
        <v>5957</v>
      </c>
      <c r="R14" s="16"/>
      <c r="S14" s="18"/>
      <c r="T14" s="21"/>
    </row>
    <row r="15" spans="1:20" ht="15.95" customHeight="1" x14ac:dyDescent="0.25">
      <c r="A15" s="18" t="s">
        <v>177</v>
      </c>
      <c r="B15" s="16"/>
      <c r="C15" s="18" t="s">
        <v>2031</v>
      </c>
      <c r="D15" s="16"/>
      <c r="E15" s="18" t="s">
        <v>2751</v>
      </c>
      <c r="F15" s="16"/>
      <c r="G15" s="18" t="s">
        <v>1286</v>
      </c>
      <c r="H15" s="16"/>
      <c r="I15" s="18" t="s">
        <v>3480</v>
      </c>
      <c r="J15" s="16"/>
      <c r="K15" s="18" t="s">
        <v>4224</v>
      </c>
      <c r="L15" s="16"/>
      <c r="M15" s="18" t="s">
        <v>4913</v>
      </c>
      <c r="N15" s="16"/>
      <c r="O15" s="18" t="s">
        <v>5637</v>
      </c>
      <c r="P15" s="16"/>
      <c r="Q15" s="18" t="s">
        <v>6313</v>
      </c>
      <c r="R15" s="16"/>
      <c r="S15" s="18"/>
      <c r="T15" s="21"/>
    </row>
    <row r="16" spans="1:20" ht="15.95" customHeight="1" x14ac:dyDescent="0.25">
      <c r="A16" s="18" t="s">
        <v>178</v>
      </c>
      <c r="B16" s="16"/>
      <c r="C16" s="18" t="s">
        <v>2032</v>
      </c>
      <c r="D16" s="16"/>
      <c r="E16" s="18" t="s">
        <v>2752</v>
      </c>
      <c r="F16" s="16"/>
      <c r="G16" s="18" t="s">
        <v>178</v>
      </c>
      <c r="H16" s="16"/>
      <c r="I16" s="18" t="s">
        <v>3481</v>
      </c>
      <c r="J16" s="16"/>
      <c r="K16" s="18" t="s">
        <v>4225</v>
      </c>
      <c r="L16" s="16"/>
      <c r="M16" s="18" t="s">
        <v>2752</v>
      </c>
      <c r="N16" s="16"/>
      <c r="O16" s="18" t="s">
        <v>5638</v>
      </c>
      <c r="P16" s="16"/>
      <c r="Q16" s="18" t="s">
        <v>178</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179</v>
      </c>
      <c r="B18" s="16"/>
      <c r="C18" s="18" t="s">
        <v>2033</v>
      </c>
      <c r="D18" s="16"/>
      <c r="E18" s="18" t="s">
        <v>2753</v>
      </c>
      <c r="F18" s="16"/>
      <c r="G18" s="18" t="s">
        <v>1287</v>
      </c>
      <c r="H18" s="16"/>
      <c r="I18" s="18" t="s">
        <v>3482</v>
      </c>
      <c r="J18" s="16"/>
      <c r="K18" s="18" t="s">
        <v>4226</v>
      </c>
      <c r="L18" s="16"/>
      <c r="M18" s="18" t="s">
        <v>4914</v>
      </c>
      <c r="N18" s="16"/>
      <c r="O18" s="18" t="s">
        <v>5639</v>
      </c>
      <c r="P18" s="16"/>
      <c r="Q18" s="18" t="s">
        <v>6314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117</v>
      </c>
      <c r="B20" s="16"/>
      <c r="C20" s="18" t="s">
        <v>1742</v>
      </c>
      <c r="D20" s="16"/>
      <c r="E20" s="18" t="s">
        <v>2461</v>
      </c>
      <c r="F20" s="16"/>
      <c r="G20" s="18" t="s">
        <v>1010</v>
      </c>
      <c r="H20" s="16"/>
      <c r="I20" s="18" t="s">
        <v>3179</v>
      </c>
      <c r="J20" s="16"/>
      <c r="K20" s="18" t="s">
        <v>3926</v>
      </c>
      <c r="L20" s="16"/>
      <c r="M20" s="18" t="s">
        <v>4655</v>
      </c>
      <c r="N20" s="16"/>
      <c r="O20" s="18" t="s">
        <v>5340</v>
      </c>
      <c r="P20" s="16"/>
      <c r="Q20" s="18" t="s">
        <v>6072</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161</v>
      </c>
      <c r="B22" s="16"/>
      <c r="C22" s="18" t="s">
        <v>1870</v>
      </c>
      <c r="D22" s="16"/>
      <c r="E22" s="18" t="s">
        <v>2588</v>
      </c>
      <c r="F22" s="16"/>
      <c r="G22" s="18" t="s">
        <v>1133</v>
      </c>
      <c r="H22" s="16"/>
      <c r="I22" s="18" t="s">
        <v>3312</v>
      </c>
      <c r="J22" s="16"/>
      <c r="K22" s="18" t="s">
        <v>4057</v>
      </c>
      <c r="L22" s="16"/>
      <c r="M22" s="18" t="s">
        <v>4778</v>
      </c>
      <c r="N22" s="16"/>
      <c r="O22" s="18" t="s">
        <v>5471</v>
      </c>
      <c r="P22" s="16"/>
      <c r="Q22" s="18" t="s">
        <v>6182</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180</v>
      </c>
      <c r="B24" s="16"/>
      <c r="C24" s="18" t="s">
        <v>2034</v>
      </c>
      <c r="D24" s="16"/>
      <c r="E24" s="18" t="s">
        <v>2754</v>
      </c>
      <c r="F24" s="16"/>
      <c r="G24" s="18" t="s">
        <v>1288</v>
      </c>
      <c r="H24" s="16"/>
      <c r="I24" s="18" t="s">
        <v>3483</v>
      </c>
      <c r="J24" s="16"/>
      <c r="K24" s="18" t="s">
        <v>4227</v>
      </c>
      <c r="L24" s="16"/>
      <c r="M24" s="18" t="s">
        <v>4915</v>
      </c>
      <c r="N24" s="16"/>
      <c r="O24" s="18" t="s">
        <v>5640</v>
      </c>
      <c r="P24" s="16"/>
      <c r="Q24" s="18" t="s">
        <v>6315</v>
      </c>
      <c r="R24" s="16"/>
      <c r="S24" s="18"/>
      <c r="T24" s="21"/>
    </row>
    <row r="25" spans="1:20" ht="15.95" customHeight="1" x14ac:dyDescent="0.25">
      <c r="A25" s="18" t="s">
        <v>181</v>
      </c>
      <c r="B25" s="16"/>
      <c r="C25" s="18" t="s">
        <v>2035</v>
      </c>
      <c r="D25" s="16"/>
      <c r="E25" s="18" t="s">
        <v>2755</v>
      </c>
      <c r="F25" s="16"/>
      <c r="G25" s="18" t="s">
        <v>1289</v>
      </c>
      <c r="H25" s="16"/>
      <c r="I25" s="18" t="s">
        <v>3484</v>
      </c>
      <c r="J25" s="16"/>
      <c r="K25" s="18" t="s">
        <v>4228</v>
      </c>
      <c r="L25" s="16"/>
      <c r="M25" s="18" t="s">
        <v>4916</v>
      </c>
      <c r="N25" s="16"/>
      <c r="O25" s="18" t="s">
        <v>5641</v>
      </c>
      <c r="P25" s="16"/>
      <c r="Q25" s="18" t="s">
        <v>6316</v>
      </c>
      <c r="R25" s="16"/>
      <c r="S25" s="18"/>
      <c r="T25" s="21"/>
    </row>
    <row r="26" spans="1:20" ht="15.95" customHeight="1" x14ac:dyDescent="0.25">
      <c r="A26" s="18" t="s">
        <v>182</v>
      </c>
      <c r="B26" s="16"/>
      <c r="C26" s="18" t="s">
        <v>2036</v>
      </c>
      <c r="D26" s="16"/>
      <c r="E26" s="18" t="s">
        <v>2756</v>
      </c>
      <c r="F26" s="16"/>
      <c r="G26" s="18" t="s">
        <v>1290</v>
      </c>
      <c r="H26" s="16"/>
      <c r="I26" s="18" t="s">
        <v>3485</v>
      </c>
      <c r="J26" s="16"/>
      <c r="K26" s="18" t="s">
        <v>4229</v>
      </c>
      <c r="L26" s="16"/>
      <c r="M26" s="18" t="s">
        <v>4917</v>
      </c>
      <c r="N26" s="16"/>
      <c r="O26" s="18" t="s">
        <v>5642</v>
      </c>
      <c r="P26" s="16"/>
      <c r="Q26" s="18" t="s">
        <v>6317</v>
      </c>
      <c r="R26" s="16"/>
      <c r="S26" s="18"/>
      <c r="T26" s="21"/>
    </row>
    <row r="27" spans="1:20" ht="15.95" customHeight="1" x14ac:dyDescent="0.25">
      <c r="A27" s="18" t="s">
        <v>183</v>
      </c>
      <c r="B27" s="16"/>
      <c r="C27" s="18" t="s">
        <v>2037</v>
      </c>
      <c r="D27" s="16"/>
      <c r="E27" s="18" t="s">
        <v>2757</v>
      </c>
      <c r="F27" s="16"/>
      <c r="G27" s="18" t="s">
        <v>1291</v>
      </c>
      <c r="H27" s="16"/>
      <c r="I27" s="18" t="s">
        <v>3486</v>
      </c>
      <c r="J27" s="16"/>
      <c r="K27" s="18" t="s">
        <v>4230</v>
      </c>
      <c r="L27" s="16"/>
      <c r="M27" s="18" t="s">
        <v>4918</v>
      </c>
      <c r="N27" s="16"/>
      <c r="O27" s="18" t="s">
        <v>5643</v>
      </c>
      <c r="P27" s="16"/>
      <c r="Q27" s="18" t="s">
        <v>6318</v>
      </c>
      <c r="R27" s="16"/>
      <c r="S27" s="18"/>
      <c r="T27" s="21"/>
    </row>
    <row r="28" spans="1:20" ht="15.95" customHeight="1" x14ac:dyDescent="0.25">
      <c r="A28" s="18" t="s">
        <v>184</v>
      </c>
      <c r="B28" s="16"/>
      <c r="C28" s="18" t="s">
        <v>2038</v>
      </c>
      <c r="D28" s="16"/>
      <c r="E28" s="18" t="s">
        <v>2758</v>
      </c>
      <c r="F28" s="16"/>
      <c r="G28" s="18" t="s">
        <v>1292</v>
      </c>
      <c r="H28" s="16"/>
      <c r="I28" s="18" t="s">
        <v>3487</v>
      </c>
      <c r="J28" s="16"/>
      <c r="K28" s="18" t="s">
        <v>4231</v>
      </c>
      <c r="L28" s="16"/>
      <c r="M28" s="18" t="s">
        <v>4919</v>
      </c>
      <c r="N28" s="16"/>
      <c r="O28" s="18" t="s">
        <v>5644</v>
      </c>
      <c r="P28" s="16"/>
      <c r="Q28" s="18" t="s">
        <v>6319</v>
      </c>
      <c r="R28" s="16"/>
      <c r="S28" s="18"/>
      <c r="T28" s="21"/>
    </row>
    <row r="29" spans="1:20" ht="15.95" customHeight="1" x14ac:dyDescent="0.25">
      <c r="A29" s="18" t="s">
        <v>185</v>
      </c>
      <c r="B29" s="16"/>
      <c r="C29" s="18" t="s">
        <v>2039</v>
      </c>
      <c r="D29" s="16"/>
      <c r="E29" s="18" t="s">
        <v>2759</v>
      </c>
      <c r="F29" s="16"/>
      <c r="G29" s="18" t="s">
        <v>1293</v>
      </c>
      <c r="H29" s="16"/>
      <c r="I29" s="18" t="s">
        <v>3488</v>
      </c>
      <c r="J29" s="16"/>
      <c r="K29" s="18" t="s">
        <v>4232</v>
      </c>
      <c r="L29" s="16"/>
      <c r="M29" s="18" t="s">
        <v>4920</v>
      </c>
      <c r="N29" s="16"/>
      <c r="O29" s="18" t="s">
        <v>5645</v>
      </c>
      <c r="P29" s="16"/>
      <c r="Q29" s="18" t="s">
        <v>6320</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186</v>
      </c>
      <c r="B31" s="16"/>
      <c r="C31" s="18" t="s">
        <v>2040</v>
      </c>
      <c r="D31" s="16"/>
      <c r="E31" s="18" t="s">
        <v>2760</v>
      </c>
      <c r="F31" s="16"/>
      <c r="G31" s="18" t="s">
        <v>1294</v>
      </c>
      <c r="H31" s="16"/>
      <c r="I31" s="18" t="s">
        <v>3489</v>
      </c>
      <c r="J31" s="16"/>
      <c r="K31" s="18" t="s">
        <v>4233</v>
      </c>
      <c r="L31" s="16"/>
      <c r="M31" s="18" t="s">
        <v>4921</v>
      </c>
      <c r="N31" s="16"/>
      <c r="O31" s="18" t="s">
        <v>5646</v>
      </c>
      <c r="P31" s="16"/>
      <c r="Q31" s="18" t="s">
        <v>6321</v>
      </c>
      <c r="R31" s="16"/>
      <c r="S31" s="18"/>
      <c r="T31" s="21"/>
    </row>
    <row r="32" spans="1:20" ht="15.95" customHeight="1" x14ac:dyDescent="0.25">
      <c r="A32" s="18" t="s">
        <v>187</v>
      </c>
      <c r="B32" s="16"/>
      <c r="C32" s="18" t="s">
        <v>2041</v>
      </c>
      <c r="D32" s="16"/>
      <c r="E32" s="18" t="s">
        <v>2761</v>
      </c>
      <c r="F32" s="16"/>
      <c r="G32" s="18" t="s">
        <v>1295</v>
      </c>
      <c r="H32" s="16"/>
      <c r="I32" s="18" t="s">
        <v>3490</v>
      </c>
      <c r="J32" s="16"/>
      <c r="K32" s="18" t="s">
        <v>4234</v>
      </c>
      <c r="L32" s="16"/>
      <c r="M32" s="18" t="s">
        <v>4922</v>
      </c>
      <c r="N32" s="16"/>
      <c r="O32" s="18" t="s">
        <v>5647</v>
      </c>
      <c r="P32" s="16"/>
      <c r="Q32" s="18" t="s">
        <v>6322</v>
      </c>
      <c r="R32" s="16"/>
      <c r="S32" s="18"/>
      <c r="T32" s="21"/>
    </row>
    <row r="33" spans="1:20" ht="15.95" customHeight="1" x14ac:dyDescent="0.25">
      <c r="A33" s="22" t="s">
        <v>188</v>
      </c>
      <c r="B33" s="16"/>
      <c r="C33" s="18" t="s">
        <v>2042</v>
      </c>
      <c r="D33" s="16"/>
      <c r="E33" s="18" t="s">
        <v>2762</v>
      </c>
      <c r="F33" s="16"/>
      <c r="G33" s="18" t="s">
        <v>1296</v>
      </c>
      <c r="H33" s="16"/>
      <c r="I33" s="18" t="s">
        <v>3491</v>
      </c>
      <c r="J33" s="16"/>
      <c r="K33" s="18" t="s">
        <v>4235</v>
      </c>
      <c r="L33" s="16"/>
      <c r="M33" s="18" t="s">
        <v>4923</v>
      </c>
      <c r="N33" s="16"/>
      <c r="O33" s="18" t="s">
        <v>5648</v>
      </c>
      <c r="P33" s="16"/>
      <c r="Q33" s="18" t="s">
        <v>6323</v>
      </c>
      <c r="R33" s="16"/>
      <c r="S33" s="18"/>
      <c r="T33" s="21"/>
    </row>
    <row r="34" spans="1:20" ht="15.95" customHeight="1" x14ac:dyDescent="0.25">
      <c r="A34" s="18" t="s">
        <v>189</v>
      </c>
      <c r="B34" s="16"/>
      <c r="C34" s="18" t="s">
        <v>2043</v>
      </c>
      <c r="D34" s="16"/>
      <c r="E34" s="18" t="s">
        <v>2763</v>
      </c>
      <c r="F34" s="16"/>
      <c r="G34" s="18" t="s">
        <v>1297</v>
      </c>
      <c r="H34" s="16"/>
      <c r="I34" s="18" t="s">
        <v>3492</v>
      </c>
      <c r="J34" s="16"/>
      <c r="K34" s="18" t="s">
        <v>4236</v>
      </c>
      <c r="L34" s="16"/>
      <c r="M34" s="18" t="s">
        <v>4924</v>
      </c>
      <c r="N34" s="16"/>
      <c r="O34" s="18" t="s">
        <v>5649</v>
      </c>
      <c r="P34" s="16"/>
      <c r="Q34" s="18" t="s">
        <v>6324</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9" priority="2" stopIfTrue="1">
      <formula>NOT(ISERROR(A3))</formula>
    </cfRule>
  </conditionalFormatting>
  <conditionalFormatting sqref="A3:T51">
    <cfRule type="containsErrors" dxfId="128" priority="1" stopIfTrue="1">
      <formula>ISERROR(A3)</formula>
    </cfRule>
    <cfRule type="notContainsBlanks" dxfId="127"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680</v>
      </c>
      <c r="B3" s="16" t="str">
        <f>TRIM(_xlfn.TEXTBEFORE(A3, ":"))</f>
        <v>Item Class</v>
      </c>
      <c r="C3" s="17" t="s">
        <v>2044</v>
      </c>
      <c r="D3" s="16" t="str">
        <f>TRIM(_xlfn.TEXTBEFORE(C3, ":"))</f>
        <v>Gegenstandsklasse</v>
      </c>
      <c r="E3" s="17" t="s">
        <v>2764</v>
      </c>
      <c r="F3" s="16" t="str">
        <f>TRIM(_xlfn.TEXTBEFORE(E3, ":"))</f>
        <v>Clase de objeto</v>
      </c>
      <c r="G3" s="17" t="s">
        <v>1298</v>
      </c>
      <c r="H3" s="16" t="str">
        <f>TRIM(_xlfn.TEXTBEFORE(G3, ":"))</f>
        <v>Classe d'objet</v>
      </c>
      <c r="I3" s="17" t="s">
        <v>3493</v>
      </c>
      <c r="J3" s="16" t="str">
        <f>TRIM(_xlfn.TEXTBEFORE(I3, ":"))</f>
        <v>アイテムクラス</v>
      </c>
      <c r="K3" s="17" t="s">
        <v>4237</v>
      </c>
      <c r="L3" s="16" t="str">
        <f>TRIM(_xlfn.TEXTBEFORE(K3, ":"))</f>
        <v>아이템 종류</v>
      </c>
      <c r="M3" s="17" t="s">
        <v>4925</v>
      </c>
      <c r="N3" s="16" t="str">
        <f>TRIM(_xlfn.TEXTBEFORE(M3, ":"))</f>
        <v>Classe do Item</v>
      </c>
      <c r="O3" s="17" t="s">
        <v>5650</v>
      </c>
      <c r="P3" s="16" t="str">
        <f>TRIM(_xlfn.TEXTBEFORE(O3, ":"))</f>
        <v>Класс предмета</v>
      </c>
      <c r="Q3" s="17" t="s">
        <v>6325</v>
      </c>
      <c r="R3" s="16" t="str">
        <f>TRIM(_xlfn.TEXTBEFORE(Q3, ":"))</f>
        <v>ชนิดไอเทม</v>
      </c>
      <c r="S3" s="17"/>
      <c r="T3" s="20" t="e">
        <f>TRIM(_xlfn.TEXTBEFORE(S3, ":"))</f>
        <v>#N/A</v>
      </c>
    </row>
    <row r="4" spans="1:20" ht="15.95" customHeight="1" x14ac:dyDescent="0.25">
      <c r="A4" s="18" t="s">
        <v>109</v>
      </c>
      <c r="B4" s="16" t="str">
        <f>TRIM(_xlfn.TEXTAFTER(A3, ":"))</f>
        <v>Jewels</v>
      </c>
      <c r="C4" s="18" t="s">
        <v>1672</v>
      </c>
      <c r="D4" s="16" t="str">
        <f>TRIM(_xlfn.TEXTAFTER(C3, ":"))</f>
        <v>Juwelen</v>
      </c>
      <c r="E4" s="18" t="s">
        <v>2392</v>
      </c>
      <c r="F4" s="16" t="str">
        <f>TRIM(_xlfn.TEXTAFTER(E3, ":"))</f>
        <v>Joyas</v>
      </c>
      <c r="G4" s="18" t="s">
        <v>1</v>
      </c>
      <c r="H4" s="16" t="str">
        <f>TRIM(_xlfn.TEXTAFTER(G3, ":"))</f>
        <v>Joyaux</v>
      </c>
      <c r="I4" s="18" t="s">
        <v>3107</v>
      </c>
      <c r="J4" s="16" t="str">
        <f>TRIM(_xlfn.TEXTAFTER(I3, ":"))</f>
        <v>ジュエル</v>
      </c>
      <c r="K4" s="18" t="s">
        <v>3857</v>
      </c>
      <c r="L4" s="16" t="str">
        <f>TRIM(_xlfn.TEXTAFTER(K3, ":"))</f>
        <v>주얼</v>
      </c>
      <c r="M4" s="18" t="s">
        <v>4586</v>
      </c>
      <c r="N4" s="16" t="str">
        <f>TRIM(_xlfn.TEXTAFTER(M3, ":"))</f>
        <v>Joias</v>
      </c>
      <c r="O4" s="18" t="s">
        <v>5269</v>
      </c>
      <c r="P4" s="16" t="str">
        <f>TRIM(_xlfn.TEXTAFTER(O3, ":"))</f>
        <v>Самоцветы</v>
      </c>
      <c r="Q4" s="18" t="s">
        <v>6006</v>
      </c>
      <c r="R4" s="16" t="str">
        <f>TRIM(_xlfn.TEXTAFTER(Q3, ":"))</f>
        <v>จิวเวล</v>
      </c>
      <c r="S4" s="18"/>
      <c r="T4" s="20" t="e">
        <f>TRIM(_xlfn.TEXTAFTER(S3, ":"))</f>
        <v>#N/A</v>
      </c>
    </row>
    <row r="5" spans="1:20" ht="15.95" customHeight="1" x14ac:dyDescent="0.25">
      <c r="A5" s="18" t="s">
        <v>681</v>
      </c>
      <c r="B5" s="16" t="str">
        <f>TRIM(_xlfn.TEXTBEFORE(A4, ":"))</f>
        <v>Rarity</v>
      </c>
      <c r="C5" s="18" t="s">
        <v>2045</v>
      </c>
      <c r="D5" s="16" t="str">
        <f>TRIM(_xlfn.TEXTBEFORE(C4, ":"))</f>
        <v>Seltenheit</v>
      </c>
      <c r="E5" s="18" t="s">
        <v>2765</v>
      </c>
      <c r="F5" s="16" t="str">
        <f>TRIM(_xlfn.TEXTBEFORE(E4, ":"))</f>
        <v>Rareza</v>
      </c>
      <c r="G5" s="18" t="s">
        <v>1299</v>
      </c>
      <c r="H5" s="16" t="str">
        <f>TRIM(_xlfn.TEXTBEFORE(G4, ":"))</f>
        <v>Rareté</v>
      </c>
      <c r="I5" s="18" t="s">
        <v>3494</v>
      </c>
      <c r="J5" s="16" t="str">
        <f>TRIM(_xlfn.TEXTBEFORE(I4, ":"))</f>
        <v>レアリティ</v>
      </c>
      <c r="K5" s="18" t="s">
        <v>4238</v>
      </c>
      <c r="L5" s="16" t="str">
        <f>TRIM(_xlfn.TEXTBEFORE(K4, ":"))</f>
        <v>아이템 희귀도</v>
      </c>
      <c r="M5" s="18" t="s">
        <v>2765</v>
      </c>
      <c r="N5" s="16" t="str">
        <f>TRIM(_xlfn.TEXTBEFORE(M4, ":"))</f>
        <v>Raridade</v>
      </c>
      <c r="O5" s="18" t="s">
        <v>5651</v>
      </c>
      <c r="P5" s="16" t="str">
        <f>TRIM(_xlfn.TEXTBEFORE(O4, ":"))</f>
        <v>Редкость</v>
      </c>
      <c r="Q5" s="18" t="s">
        <v>681</v>
      </c>
      <c r="R5" s="16" t="str">
        <f>TRIM(_xlfn.TEXTBEFORE(Q4, ":"))</f>
        <v>ความหายาก</v>
      </c>
      <c r="S5" s="18"/>
      <c r="T5" s="20" t="e">
        <f>TRIM(_xlfn.TEXTBEFORE(S4, ":"))</f>
        <v>#N/A</v>
      </c>
    </row>
    <row r="6" spans="1:20" ht="15.95" customHeight="1" x14ac:dyDescent="0.25">
      <c r="A6" s="18" t="s">
        <v>682</v>
      </c>
      <c r="B6" s="16" t="str">
        <f>TRIM(_xlfn.TEXTAFTER(A4,":"))</f>
        <v>Unique</v>
      </c>
      <c r="C6" s="18" t="s">
        <v>2046</v>
      </c>
      <c r="D6" s="16" t="str">
        <f>TRIM(_xlfn.TEXTAFTER(C4,":"))</f>
        <v>Einzigartig</v>
      </c>
      <c r="E6" s="18" t="s">
        <v>2766</v>
      </c>
      <c r="F6" s="16" t="str">
        <f>TRIM(_xlfn.TEXTAFTER(E4,":"))</f>
        <v>Único</v>
      </c>
      <c r="G6" s="18" t="s">
        <v>1300</v>
      </c>
      <c r="H6" s="16" t="str">
        <f>TRIM(_xlfn.TEXTAFTER(G4,":"))</f>
        <v>Unique</v>
      </c>
      <c r="I6" s="18" t="s">
        <v>3495</v>
      </c>
      <c r="J6" s="16" t="str">
        <f>TRIM(_xlfn.TEXTAFTER(I4,":"))</f>
        <v>ユニーク</v>
      </c>
      <c r="K6" s="18" t="s">
        <v>4239</v>
      </c>
      <c r="L6" s="16" t="str">
        <f>TRIM(_xlfn.TEXTAFTER(K4,":"))</f>
        <v>고유</v>
      </c>
      <c r="M6" s="18" t="s">
        <v>4926</v>
      </c>
      <c r="N6" s="16" t="str">
        <f>TRIM(_xlfn.TEXTAFTER(M4,":"))</f>
        <v>Único</v>
      </c>
      <c r="O6" s="18" t="s">
        <v>5652</v>
      </c>
      <c r="P6" s="16" t="str">
        <f>TRIM(_xlfn.TEXTAFTER(O4,":"))</f>
        <v>Уникальный</v>
      </c>
      <c r="Q6" s="18" t="s">
        <v>682</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117</v>
      </c>
      <c r="B8" s="16"/>
      <c r="C8" s="18" t="s">
        <v>1742</v>
      </c>
      <c r="D8" s="16"/>
      <c r="E8" s="18" t="s">
        <v>2461</v>
      </c>
      <c r="F8" s="16"/>
      <c r="G8" s="18" t="s">
        <v>1010</v>
      </c>
      <c r="H8" s="16"/>
      <c r="I8" s="18" t="s">
        <v>3179</v>
      </c>
      <c r="J8" s="16"/>
      <c r="K8" s="18" t="s">
        <v>3926</v>
      </c>
      <c r="L8" s="16"/>
      <c r="M8" s="18" t="s">
        <v>4655</v>
      </c>
      <c r="N8" s="16"/>
      <c r="O8" s="18" t="s">
        <v>5340</v>
      </c>
      <c r="P8" s="16"/>
      <c r="Q8" s="18" t="s">
        <v>6072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683</v>
      </c>
      <c r="B10" s="16"/>
      <c r="C10" s="18" t="s">
        <v>2047</v>
      </c>
      <c r="D10" s="16"/>
      <c r="E10" s="18" t="s">
        <v>2767</v>
      </c>
      <c r="F10" s="16"/>
      <c r="G10" s="18" t="s">
        <v>1301</v>
      </c>
      <c r="H10" s="16"/>
      <c r="I10" s="18" t="s">
        <v>3496</v>
      </c>
      <c r="J10" s="16"/>
      <c r="K10" s="18" t="s">
        <v>4240</v>
      </c>
      <c r="L10" s="16"/>
      <c r="M10" s="18" t="s">
        <v>4927</v>
      </c>
      <c r="N10" s="16"/>
      <c r="O10" s="18" t="s">
        <v>5653</v>
      </c>
      <c r="P10" s="16"/>
      <c r="Q10" s="18" t="s">
        <v>6326</v>
      </c>
      <c r="R10" s="16"/>
      <c r="S10" s="18"/>
      <c r="T10" s="20"/>
    </row>
    <row r="11" spans="1:20" ht="15.95" customHeight="1" x14ac:dyDescent="0.25">
      <c r="A11" s="18" t="s">
        <v>684</v>
      </c>
      <c r="B11" s="16"/>
      <c r="C11" s="18" t="s">
        <v>2048</v>
      </c>
      <c r="D11" s="16"/>
      <c r="E11" s="18" t="s">
        <v>2768</v>
      </c>
      <c r="F11" s="16"/>
      <c r="G11" s="18" t="s">
        <v>1302</v>
      </c>
      <c r="H11" s="16"/>
      <c r="I11" s="18" t="s">
        <v>3497</v>
      </c>
      <c r="J11" s="16"/>
      <c r="K11" s="18" t="s">
        <v>4241</v>
      </c>
      <c r="L11" s="16"/>
      <c r="M11" s="18" t="s">
        <v>4928</v>
      </c>
      <c r="N11" s="16"/>
      <c r="O11" s="18" t="s">
        <v>5654</v>
      </c>
      <c r="P11" s="16"/>
      <c r="Q11" s="18" t="s">
        <v>6327</v>
      </c>
      <c r="R11" s="16"/>
      <c r="S11" s="18"/>
      <c r="T11" s="20"/>
    </row>
    <row r="12" spans="1:20" ht="15.95" customHeight="1" x14ac:dyDescent="0.25">
      <c r="A12" s="18" t="s">
        <v>685</v>
      </c>
      <c r="B12" s="16"/>
      <c r="C12" s="18" t="s">
        <v>2049</v>
      </c>
      <c r="D12" s="16"/>
      <c r="E12" s="18" t="s">
        <v>2769</v>
      </c>
      <c r="F12" s="16"/>
      <c r="G12" s="18" t="s">
        <v>1303</v>
      </c>
      <c r="H12" s="16"/>
      <c r="I12" s="18" t="s">
        <v>3498</v>
      </c>
      <c r="J12" s="16"/>
      <c r="K12" s="18" t="s">
        <v>4242</v>
      </c>
      <c r="L12" s="16"/>
      <c r="M12" s="18" t="s">
        <v>4929</v>
      </c>
      <c r="N12" s="16"/>
      <c r="O12" s="18" t="s">
        <v>5655</v>
      </c>
      <c r="P12" s="16"/>
      <c r="Q12" s="18" t="s">
        <v>6328</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686</v>
      </c>
      <c r="B14" s="16"/>
      <c r="C14" s="18" t="s">
        <v>2050</v>
      </c>
      <c r="D14" s="16"/>
      <c r="E14" s="18" t="s">
        <v>2770</v>
      </c>
      <c r="F14" s="16"/>
      <c r="G14" s="18" t="s">
        <v>1304</v>
      </c>
      <c r="H14" s="16"/>
      <c r="I14" s="18" t="s">
        <v>3499</v>
      </c>
      <c r="J14" s="16"/>
      <c r="K14" s="18" t="s">
        <v>4243</v>
      </c>
      <c r="L14" s="16"/>
      <c r="M14" s="18" t="s">
        <v>4930</v>
      </c>
      <c r="N14" s="16"/>
      <c r="O14" s="18" t="s">
        <v>5656</v>
      </c>
      <c r="P14" s="16"/>
      <c r="Q14" s="18" t="s">
        <v>6329</v>
      </c>
      <c r="R14" s="16"/>
      <c r="S14" s="18"/>
      <c r="T14" s="20"/>
    </row>
    <row r="15" spans="1:20" ht="15.95" customHeight="1" x14ac:dyDescent="0.25">
      <c r="A15" s="18" t="e">
        <f>- Barkhul, the Butcher</f>
        <v>#NAME?</v>
      </c>
      <c r="B15" s="16"/>
      <c r="C15" s="18" t="s">
        <v>2051</v>
      </c>
      <c r="D15" s="16"/>
      <c r="E15" s="18" t="e">
        <f>- Barkhul, el Carnicero</f>
        <v>#NAME?</v>
      </c>
      <c r="F15" s="16"/>
      <c r="G15" s="18" t="s">
        <v>1305</v>
      </c>
      <c r="H15" s="16"/>
      <c r="I15" s="18" t="s">
        <v>3500</v>
      </c>
      <c r="J15" s="16"/>
      <c r="K15" s="18" t="e" cm="1">
        <f t="array" ref="K15">-도살자 바르쿨</f>
        <v>#NAME?</v>
      </c>
      <c r="L15" s="16"/>
      <c r="M15" s="18" t="e">
        <f>- Barkhul, o Açougueiro</f>
        <v>#NAME?</v>
      </c>
      <c r="N15" s="16"/>
      <c r="O15" s="18" t="s">
        <v>5657</v>
      </c>
      <c r="P15" s="16"/>
      <c r="Q15" s="18" t="e" cm="1">
        <f t="array" ref="Q15">- บาร์คูล นัก​ชำแหละ</f>
        <v>#NAME?</v>
      </c>
      <c r="R15" s="16"/>
      <c r="S15" s="18"/>
      <c r="T15" s="20"/>
    </row>
    <row r="16" spans="1:20" ht="15.95" customHeight="1" x14ac:dyDescent="0.25">
      <c r="A16" s="18" t="s">
        <v>4</v>
      </c>
      <c r="B16" s="16"/>
      <c r="C16" s="18" t="s">
        <v>4</v>
      </c>
      <c r="D16" s="16"/>
      <c r="E16" s="18" t="s">
        <v>4</v>
      </c>
      <c r="F16" s="16"/>
      <c r="G16" s="18" t="s">
        <v>1306</v>
      </c>
      <c r="H16" s="16"/>
      <c r="I16" s="18" t="s">
        <v>3501</v>
      </c>
      <c r="J16" s="16"/>
      <c r="K16" s="18" t="s">
        <v>4</v>
      </c>
      <c r="L16" s="16"/>
      <c r="M16" s="18" t="s">
        <v>4</v>
      </c>
      <c r="N16" s="16"/>
      <c r="O16" s="18" t="s">
        <v>5658</v>
      </c>
      <c r="P16" s="16"/>
      <c r="Q16" s="18" t="s">
        <v>4</v>
      </c>
      <c r="R16" s="16"/>
      <c r="S16" s="18"/>
      <c r="T16" s="20"/>
    </row>
    <row r="17" spans="1:20" ht="15.95" customHeight="1" x14ac:dyDescent="0.25">
      <c r="A17" s="18" t="s">
        <v>687</v>
      </c>
      <c r="B17" s="16"/>
      <c r="C17" s="18" t="s">
        <v>2052</v>
      </c>
      <c r="D17" s="16"/>
      <c r="E17" s="18" t="s">
        <v>2771</v>
      </c>
      <c r="F17" s="16"/>
      <c r="G17" s="18" t="e" cm="1">
        <f t="array" ref="G17">- Barkhul le boucher</f>
        <v>#NAME?</v>
      </c>
      <c r="H17" s="16"/>
      <c r="I17" s="18" t="s">
        <v>3502</v>
      </c>
      <c r="J17" s="16"/>
      <c r="K17" s="18" t="s">
        <v>4244</v>
      </c>
      <c r="L17" s="16"/>
      <c r="M17" s="18" t="s">
        <v>4931</v>
      </c>
      <c r="N17" s="16"/>
      <c r="O17" s="18" t="e" cm="1">
        <f t="array" ref="O17">- Гавул Мясник</f>
        <v>#NAME?</v>
      </c>
      <c r="P17" s="16"/>
      <c r="Q17" s="18" t="s">
        <v>6330</v>
      </c>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1307</v>
      </c>
      <c r="H19" s="16"/>
      <c r="I19" s="18" t="s">
        <v>3503</v>
      </c>
      <c r="J19" s="16"/>
      <c r="K19" s="18"/>
      <c r="L19" s="16"/>
      <c r="M19" s="18"/>
      <c r="N19" s="16"/>
      <c r="O19" s="18" t="s">
        <v>5659</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6" priority="2" stopIfTrue="1">
      <formula>NOT(ISERROR(A3))</formula>
    </cfRule>
  </conditionalFormatting>
  <conditionalFormatting sqref="A3:T51">
    <cfRule type="containsErrors" dxfId="125" priority="1" stopIfTrue="1">
      <formula>ISERROR(A3)</formula>
    </cfRule>
    <cfRule type="notContainsBlanks" dxfId="124"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413</v>
      </c>
      <c r="B3" s="16" t="str">
        <f>TRIM(_xlfn.TEXTBEFORE(A3, ":"))</f>
        <v>Item Class</v>
      </c>
      <c r="C3" s="17" t="s">
        <v>2053</v>
      </c>
      <c r="D3" s="16" t="str">
        <f>TRIM(_xlfn.TEXTBEFORE(C3, ":"))</f>
        <v>Gegenstandsklasse</v>
      </c>
      <c r="E3" s="17" t="s">
        <v>2772</v>
      </c>
      <c r="F3" s="16" t="str">
        <f>TRIM(_xlfn.TEXTBEFORE(E3, ":"))</f>
        <v>Clase de objeto</v>
      </c>
      <c r="G3" s="17" t="s">
        <v>1308</v>
      </c>
      <c r="H3" s="16" t="str">
        <f>TRIM(_xlfn.TEXTBEFORE(G3, ":"))</f>
        <v>Classe d'objet</v>
      </c>
      <c r="I3" s="17" t="s">
        <v>3504</v>
      </c>
      <c r="J3" s="16" t="str">
        <f>TRIM(_xlfn.TEXTBEFORE(I3, ":"))</f>
        <v>アイテムクラス</v>
      </c>
      <c r="K3" s="17" t="s">
        <v>4245</v>
      </c>
      <c r="L3" s="16" t="str">
        <f>TRIM(_xlfn.TEXTBEFORE(K3, ":"))</f>
        <v>아이템 종류</v>
      </c>
      <c r="M3" s="17" t="s">
        <v>4932</v>
      </c>
      <c r="N3" s="16" t="str">
        <f>TRIM(_xlfn.TEXTBEFORE(M3, ":"))</f>
        <v>Classe do Item</v>
      </c>
      <c r="O3" s="17" t="s">
        <v>5660</v>
      </c>
      <c r="P3" s="16" t="str">
        <f>TRIM(_xlfn.TEXTBEFORE(O3, ":"))</f>
        <v>Класс предмета</v>
      </c>
      <c r="Q3" s="17" t="s">
        <v>6331</v>
      </c>
      <c r="R3" s="16" t="str">
        <f>TRIM(_xlfn.TEXTBEFORE(Q3, ":"))</f>
        <v>ชนิดไอเทม</v>
      </c>
      <c r="S3" s="17"/>
      <c r="T3" s="16" t="e">
        <f>TRIM(_xlfn.TEXTBEFORE(S3, ":"))</f>
        <v>#N/A</v>
      </c>
    </row>
    <row r="4" spans="1:20" ht="15.95" customHeight="1" x14ac:dyDescent="0.25">
      <c r="A4" s="18" t="s">
        <v>109</v>
      </c>
      <c r="B4" s="16" t="str">
        <f>TRIM(_xlfn.TEXTAFTER(A3, ":"))</f>
        <v>Quivers</v>
      </c>
      <c r="C4" s="18" t="s">
        <v>1672</v>
      </c>
      <c r="D4" s="16" t="str">
        <f>TRIM(_xlfn.TEXTAFTER(C3, ":"))</f>
        <v>Köcher</v>
      </c>
      <c r="E4" s="18" t="s">
        <v>2392</v>
      </c>
      <c r="F4" s="16" t="str">
        <f>TRIM(_xlfn.TEXTAFTER(E3, ":"))</f>
        <v>Carcajes</v>
      </c>
      <c r="G4" s="18" t="s">
        <v>1</v>
      </c>
      <c r="H4" s="16" t="str">
        <f>TRIM(_xlfn.TEXTAFTER(G3, ":"))</f>
        <v>Carquois</v>
      </c>
      <c r="I4" s="18" t="s">
        <v>3107</v>
      </c>
      <c r="J4" s="16" t="str">
        <f>TRIM(_xlfn.TEXTAFTER(I3, ":"))</f>
        <v>矢筒</v>
      </c>
      <c r="K4" s="18" t="s">
        <v>3857</v>
      </c>
      <c r="L4" s="16" t="str">
        <f>TRIM(_xlfn.TEXTAFTER(K3, ":"))</f>
        <v>화살통</v>
      </c>
      <c r="M4" s="18" t="s">
        <v>4586</v>
      </c>
      <c r="N4" s="16" t="str">
        <f>TRIM(_xlfn.TEXTAFTER(M3, ":"))</f>
        <v>Aljavas</v>
      </c>
      <c r="O4" s="18" t="s">
        <v>5269</v>
      </c>
      <c r="P4" s="16" t="str">
        <f>TRIM(_xlfn.TEXTAFTER(O3, ":"))</f>
        <v>Колчаны</v>
      </c>
      <c r="Q4" s="18" t="s">
        <v>6006</v>
      </c>
      <c r="R4" s="16" t="str">
        <f>TRIM(_xlfn.TEXTAFTER(Q3, ":"))</f>
        <v>ซองธนู</v>
      </c>
      <c r="S4" s="18"/>
      <c r="T4" s="16" t="e">
        <f>TRIM(_xlfn.TEXTAFTER(S3, ":"))</f>
        <v>#N/A</v>
      </c>
    </row>
    <row r="5" spans="1:20" ht="15.95" customHeight="1" x14ac:dyDescent="0.25">
      <c r="A5" s="18" t="s">
        <v>414</v>
      </c>
      <c r="B5" s="16" t="str">
        <f>TRIM(_xlfn.TEXTBEFORE(A4, ":"))</f>
        <v>Rarity</v>
      </c>
      <c r="C5" s="18" t="s">
        <v>2054</v>
      </c>
      <c r="D5" s="16" t="str">
        <f>TRIM(_xlfn.TEXTBEFORE(C4, ":"))</f>
        <v>Seltenheit</v>
      </c>
      <c r="E5" s="18" t="s">
        <v>2773</v>
      </c>
      <c r="F5" s="16" t="str">
        <f>TRIM(_xlfn.TEXTBEFORE(E4, ":"))</f>
        <v>Rareza</v>
      </c>
      <c r="G5" s="18" t="s">
        <v>1309</v>
      </c>
      <c r="H5" s="16" t="str">
        <f>TRIM(_xlfn.TEXTBEFORE(G4, ":"))</f>
        <v>Rareté</v>
      </c>
      <c r="I5" s="18" t="s">
        <v>3505</v>
      </c>
      <c r="J5" s="16" t="str">
        <f>TRIM(_xlfn.TEXTBEFORE(I4, ":"))</f>
        <v>レアリティ</v>
      </c>
      <c r="K5" s="18" t="s">
        <v>4246</v>
      </c>
      <c r="L5" s="16" t="str">
        <f>TRIM(_xlfn.TEXTBEFORE(K4, ":"))</f>
        <v>아이템 희귀도</v>
      </c>
      <c r="M5" s="18" t="s">
        <v>4933</v>
      </c>
      <c r="N5" s="16" t="str">
        <f>TRIM(_xlfn.TEXTBEFORE(M4, ":"))</f>
        <v>Raridade</v>
      </c>
      <c r="O5" s="18" t="s">
        <v>5661</v>
      </c>
      <c r="P5" s="16" t="str">
        <f>TRIM(_xlfn.TEXTBEFORE(O4, ":"))</f>
        <v>Редкость</v>
      </c>
      <c r="Q5" s="18" t="s">
        <v>414</v>
      </c>
      <c r="R5" s="16" t="str">
        <f>TRIM(_xlfn.TEXTBEFORE(Q4, ":"))</f>
        <v>ความหายาก</v>
      </c>
      <c r="S5" s="18"/>
      <c r="T5" s="16" t="e">
        <f>TRIM(_xlfn.TEXTBEFORE(S4, ":"))</f>
        <v>#N/A</v>
      </c>
    </row>
    <row r="6" spans="1:20" ht="15.95" customHeight="1" x14ac:dyDescent="0.25">
      <c r="A6" s="18" t="s">
        <v>415</v>
      </c>
      <c r="B6" s="16" t="str">
        <f>TRIM(_xlfn.TEXTAFTER(A4,":"))</f>
        <v>Unique</v>
      </c>
      <c r="C6" s="18" t="s">
        <v>2055</v>
      </c>
      <c r="D6" s="16" t="str">
        <f>TRIM(_xlfn.TEXTAFTER(C4,":"))</f>
        <v>Einzigartig</v>
      </c>
      <c r="E6" s="18" t="s">
        <v>2774</v>
      </c>
      <c r="F6" s="16" t="str">
        <f>TRIM(_xlfn.TEXTAFTER(E4,":"))</f>
        <v>Único</v>
      </c>
      <c r="G6" s="18" t="s">
        <v>1310</v>
      </c>
      <c r="H6" s="16" t="str">
        <f>TRIM(_xlfn.TEXTAFTER(G4,":"))</f>
        <v>Unique</v>
      </c>
      <c r="I6" s="18" t="s">
        <v>3506</v>
      </c>
      <c r="J6" s="16" t="str">
        <f>TRIM(_xlfn.TEXTAFTER(I4,":"))</f>
        <v>ユニーク</v>
      </c>
      <c r="K6" s="18" t="s">
        <v>4247</v>
      </c>
      <c r="L6" s="16" t="str">
        <f>TRIM(_xlfn.TEXTAFTER(K4,":"))</f>
        <v>고유</v>
      </c>
      <c r="M6" s="18" t="s">
        <v>4934</v>
      </c>
      <c r="N6" s="16" t="str">
        <f>TRIM(_xlfn.TEXTAFTER(M4,":"))</f>
        <v>Único</v>
      </c>
      <c r="O6" s="18" t="s">
        <v>5662</v>
      </c>
      <c r="P6" s="16" t="str">
        <f>TRIM(_xlfn.TEXTAFTER(O4,":"))</f>
        <v>Уникальный</v>
      </c>
      <c r="Q6" s="18" t="s">
        <v>415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t="s">
        <v>5212</v>
      </c>
      <c r="P8" s="16"/>
      <c r="Q8" s="18" t="s">
        <v>5957</v>
      </c>
      <c r="R8" s="16"/>
      <c r="S8" s="18"/>
      <c r="T8" s="16"/>
    </row>
    <row r="9" spans="1:20" ht="15.95" customHeight="1" x14ac:dyDescent="0.25">
      <c r="A9" s="18" t="s">
        <v>416</v>
      </c>
      <c r="B9" s="16"/>
      <c r="C9" s="18" t="s">
        <v>2056</v>
      </c>
      <c r="D9" s="16"/>
      <c r="E9" s="18" t="s">
        <v>2775</v>
      </c>
      <c r="F9" s="16"/>
      <c r="G9" s="18" t="s">
        <v>1311</v>
      </c>
      <c r="H9" s="16"/>
      <c r="I9" s="18" t="s">
        <v>3507</v>
      </c>
      <c r="J9" s="16"/>
      <c r="K9" s="18" t="s">
        <v>4248</v>
      </c>
      <c r="L9" s="16"/>
      <c r="M9" s="18" t="s">
        <v>4935</v>
      </c>
      <c r="N9" s="16"/>
      <c r="O9" s="18" t="s">
        <v>5663</v>
      </c>
      <c r="P9" s="16"/>
      <c r="Q9" s="18" t="s">
        <v>6332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417</v>
      </c>
      <c r="B11" s="16"/>
      <c r="C11" s="18" t="s">
        <v>2057</v>
      </c>
      <c r="D11" s="16"/>
      <c r="E11" s="18" t="s">
        <v>2776</v>
      </c>
      <c r="F11" s="16"/>
      <c r="G11" s="18" t="s">
        <v>1312</v>
      </c>
      <c r="H11" s="16"/>
      <c r="I11" s="18" t="s">
        <v>3508</v>
      </c>
      <c r="J11" s="16"/>
      <c r="K11" s="18" t="s">
        <v>4249</v>
      </c>
      <c r="L11" s="16"/>
      <c r="M11" s="18" t="s">
        <v>4936</v>
      </c>
      <c r="N11" s="16"/>
      <c r="O11" s="18" t="s">
        <v>5664</v>
      </c>
      <c r="P11" s="16"/>
      <c r="Q11" s="18" t="s">
        <v>6333</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418</v>
      </c>
      <c r="B13" s="16"/>
      <c r="C13" s="18" t="s">
        <v>2058</v>
      </c>
      <c r="D13" s="16"/>
      <c r="E13" s="18" t="s">
        <v>2777</v>
      </c>
      <c r="F13" s="16"/>
      <c r="G13" s="18" t="s">
        <v>1313</v>
      </c>
      <c r="H13" s="16"/>
      <c r="I13" s="18" t="s">
        <v>3509</v>
      </c>
      <c r="J13" s="16"/>
      <c r="K13" s="18" t="s">
        <v>4250</v>
      </c>
      <c r="L13" s="16"/>
      <c r="M13" s="18" t="s">
        <v>4937</v>
      </c>
      <c r="N13" s="16"/>
      <c r="O13" s="18" t="s">
        <v>5665</v>
      </c>
      <c r="P13" s="16"/>
      <c r="Q13" s="18" t="s">
        <v>6334</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419</v>
      </c>
      <c r="B15" s="16"/>
      <c r="C15" s="18" t="s">
        <v>2059</v>
      </c>
      <c r="D15" s="16"/>
      <c r="E15" s="18" t="s">
        <v>2778</v>
      </c>
      <c r="F15" s="16"/>
      <c r="G15" s="18" t="s">
        <v>1314</v>
      </c>
      <c r="H15" s="16"/>
      <c r="I15" s="18" t="s">
        <v>3510</v>
      </c>
      <c r="J15" s="16"/>
      <c r="K15" s="18" t="s">
        <v>4251</v>
      </c>
      <c r="L15" s="16"/>
      <c r="M15" s="18" t="s">
        <v>4938</v>
      </c>
      <c r="N15" s="16"/>
      <c r="O15" s="18" t="s">
        <v>5666</v>
      </c>
      <c r="P15" s="16"/>
      <c r="Q15" s="18" t="s">
        <v>6335</v>
      </c>
      <c r="R15" s="16"/>
      <c r="S15" s="18"/>
      <c r="T15" s="21"/>
    </row>
    <row r="16" spans="1:20" ht="15.95" customHeight="1" x14ac:dyDescent="0.25">
      <c r="A16" s="18" t="s">
        <v>420</v>
      </c>
      <c r="B16" s="16"/>
      <c r="C16" s="18" t="s">
        <v>2060</v>
      </c>
      <c r="D16" s="16"/>
      <c r="E16" s="18" t="s">
        <v>2779</v>
      </c>
      <c r="F16" s="16"/>
      <c r="G16" s="18" t="s">
        <v>1315</v>
      </c>
      <c r="H16" s="16"/>
      <c r="I16" s="18" t="s">
        <v>3511</v>
      </c>
      <c r="J16" s="16"/>
      <c r="K16" s="18" t="s">
        <v>4252</v>
      </c>
      <c r="L16" s="16"/>
      <c r="M16" s="18" t="s">
        <v>4939</v>
      </c>
      <c r="N16" s="16"/>
      <c r="O16" s="18" t="s">
        <v>5667</v>
      </c>
      <c r="P16" s="16"/>
      <c r="Q16" s="18" t="s">
        <v>6336</v>
      </c>
      <c r="R16" s="16"/>
      <c r="S16" s="18"/>
      <c r="T16" s="21"/>
    </row>
    <row r="17" spans="1:20" ht="15.95" customHeight="1" x14ac:dyDescent="0.25">
      <c r="A17" s="18" t="s">
        <v>421</v>
      </c>
      <c r="B17" s="16"/>
      <c r="C17" s="18" t="s">
        <v>2061</v>
      </c>
      <c r="D17" s="16"/>
      <c r="E17" s="18" t="s">
        <v>2780</v>
      </c>
      <c r="F17" s="16"/>
      <c r="G17" s="18" t="s">
        <v>1316</v>
      </c>
      <c r="H17" s="16"/>
      <c r="I17" s="18" t="s">
        <v>3512</v>
      </c>
      <c r="J17" s="16"/>
      <c r="K17" s="18" t="s">
        <v>4253</v>
      </c>
      <c r="L17" s="16"/>
      <c r="M17" s="18" t="s">
        <v>4940</v>
      </c>
      <c r="N17" s="16"/>
      <c r="O17" s="18" t="s">
        <v>5668</v>
      </c>
      <c r="P17" s="16"/>
      <c r="Q17" s="18" t="s">
        <v>6337</v>
      </c>
      <c r="R17" s="16"/>
      <c r="S17" s="18"/>
      <c r="T17" s="21"/>
    </row>
    <row r="18" spans="1:20" ht="15.95" customHeight="1" x14ac:dyDescent="0.25">
      <c r="A18" s="18" t="s">
        <v>422</v>
      </c>
      <c r="B18" s="16"/>
      <c r="C18" s="18" t="s">
        <v>2062</v>
      </c>
      <c r="D18" s="16"/>
      <c r="E18" s="18" t="s">
        <v>2781</v>
      </c>
      <c r="F18" s="16"/>
      <c r="G18" s="18" t="s">
        <v>1317</v>
      </c>
      <c r="H18" s="16"/>
      <c r="I18" s="18" t="s">
        <v>3513</v>
      </c>
      <c r="J18" s="16"/>
      <c r="K18" s="18" t="s">
        <v>4254</v>
      </c>
      <c r="L18" s="16"/>
      <c r="M18" s="18" t="s">
        <v>4941</v>
      </c>
      <c r="N18" s="16"/>
      <c r="O18" s="18" t="s">
        <v>5669</v>
      </c>
      <c r="P18" s="16"/>
      <c r="Q18" s="18" t="s">
        <v>6338</v>
      </c>
      <c r="R18" s="16"/>
      <c r="S18" s="18"/>
      <c r="T18" s="21"/>
    </row>
    <row r="19" spans="1:20" ht="15.95" customHeight="1" x14ac:dyDescent="0.25">
      <c r="A19" s="18" t="s">
        <v>423</v>
      </c>
      <c r="B19" s="16"/>
      <c r="C19" s="18" t="s">
        <v>2063</v>
      </c>
      <c r="D19" s="16"/>
      <c r="E19" s="18" t="s">
        <v>2782</v>
      </c>
      <c r="F19" s="16"/>
      <c r="G19" s="18" t="s">
        <v>1318</v>
      </c>
      <c r="H19" s="16"/>
      <c r="I19" s="18" t="s">
        <v>3514</v>
      </c>
      <c r="J19" s="16"/>
      <c r="K19" s="18" t="s">
        <v>4255</v>
      </c>
      <c r="L19" s="16"/>
      <c r="M19" s="18" t="s">
        <v>4942</v>
      </c>
      <c r="N19" s="16"/>
      <c r="O19" s="18" t="s">
        <v>5670</v>
      </c>
      <c r="P19" s="16"/>
      <c r="Q19" s="18" t="s">
        <v>6339</v>
      </c>
      <c r="R19" s="16"/>
      <c r="S19" s="18"/>
      <c r="T19" s="21"/>
    </row>
    <row r="20" spans="1:20" ht="15.95" customHeight="1" x14ac:dyDescent="0.25">
      <c r="A20" s="18" t="s">
        <v>424</v>
      </c>
      <c r="B20" s="16"/>
      <c r="C20" s="18" t="s">
        <v>2064</v>
      </c>
      <c r="D20" s="16"/>
      <c r="E20" s="18" t="s">
        <v>2783</v>
      </c>
      <c r="F20" s="16"/>
      <c r="G20" s="18" t="s">
        <v>1319</v>
      </c>
      <c r="H20" s="16"/>
      <c r="I20" s="18" t="s">
        <v>3515</v>
      </c>
      <c r="J20" s="16"/>
      <c r="K20" s="18" t="s">
        <v>4256</v>
      </c>
      <c r="L20" s="16"/>
      <c r="M20" s="18" t="s">
        <v>4943</v>
      </c>
      <c r="N20" s="16"/>
      <c r="O20" s="18" t="s">
        <v>5671</v>
      </c>
      <c r="P20" s="16"/>
      <c r="Q20" s="18" t="s">
        <v>6340</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425</v>
      </c>
      <c r="B22" s="16"/>
      <c r="C22" s="18" t="s">
        <v>2065</v>
      </c>
      <c r="D22" s="16"/>
      <c r="E22" s="18" t="s">
        <v>2784</v>
      </c>
      <c r="F22" s="16"/>
      <c r="G22" s="18" t="s">
        <v>1320</v>
      </c>
      <c r="H22" s="16"/>
      <c r="I22" s="18" t="s">
        <v>3516</v>
      </c>
      <c r="J22" s="16"/>
      <c r="K22" s="18" t="s">
        <v>4257</v>
      </c>
      <c r="L22" s="16"/>
      <c r="M22" s="18" t="s">
        <v>4944</v>
      </c>
      <c r="N22" s="16"/>
      <c r="O22" s="18" t="s">
        <v>5672</v>
      </c>
      <c r="P22" s="16"/>
      <c r="Q22" s="18" t="s">
        <v>6341</v>
      </c>
      <c r="R22" s="16"/>
      <c r="S22" s="18"/>
      <c r="T22" s="21"/>
    </row>
    <row r="23" spans="1:20" ht="15.95" customHeight="1" x14ac:dyDescent="0.25">
      <c r="A23" s="22" t="s">
        <v>426</v>
      </c>
      <c r="B23" s="16"/>
      <c r="C23" s="18" t="s">
        <v>2066</v>
      </c>
      <c r="D23" s="16"/>
      <c r="E23" s="18" t="e">
        <f>- Kiravi, Arquero Vaal</f>
        <v>#NAME?</v>
      </c>
      <c r="F23" s="16"/>
      <c r="G23" s="18" t="e">
        <f>- Kiravi, Archer Vaal</f>
        <v>#NAME?</v>
      </c>
      <c r="H23" s="16"/>
      <c r="I23" s="18" t="s">
        <v>3517</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3" priority="2" stopIfTrue="1">
      <formula>NOT(ISERROR(A3))</formula>
    </cfRule>
  </conditionalFormatting>
  <conditionalFormatting sqref="A3:T51">
    <cfRule type="containsErrors" dxfId="122" priority="1" stopIfTrue="1">
      <formula>ISERROR(A3)</formula>
    </cfRule>
    <cfRule type="notContainsBlanks" dxfId="121"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347</v>
      </c>
      <c r="B3" s="16" t="str">
        <f>TRIM(_xlfn.TEXTBEFORE(A3, ":"))</f>
        <v>Item Class</v>
      </c>
      <c r="C3" s="17" t="s">
        <v>2067</v>
      </c>
      <c r="D3" s="16" t="str">
        <f>TRIM(_xlfn.TEXTBEFORE(C3, ":"))</f>
        <v>Gegenstandsklasse</v>
      </c>
      <c r="E3" s="17" t="s">
        <v>2785</v>
      </c>
      <c r="F3" s="16" t="str">
        <f>TRIM(_xlfn.TEXTBEFORE(E3, ":"))</f>
        <v>Clase de objeto</v>
      </c>
      <c r="G3" s="17" t="s">
        <v>1321</v>
      </c>
      <c r="H3" s="16" t="str">
        <f>TRIM(_xlfn.TEXTBEFORE(G3, ":"))</f>
        <v>Classe d'objet</v>
      </c>
      <c r="I3" s="17" t="s">
        <v>3518</v>
      </c>
      <c r="J3" s="16" t="str">
        <f>TRIM(_xlfn.TEXTBEFORE(I3, ":"))</f>
        <v>アイテムクラス</v>
      </c>
      <c r="K3" s="17" t="s">
        <v>4258</v>
      </c>
      <c r="L3" s="16" t="str">
        <f>TRIM(_xlfn.TEXTBEFORE(K3, ":"))</f>
        <v>아이템 종류</v>
      </c>
      <c r="M3" s="17" t="s">
        <v>4945</v>
      </c>
      <c r="N3" s="16" t="str">
        <f>TRIM(_xlfn.TEXTBEFORE(M3, ":"))</f>
        <v>Classe do Item</v>
      </c>
      <c r="O3" s="17" t="s">
        <v>5673</v>
      </c>
      <c r="P3" s="16" t="str">
        <f>TRIM(_xlfn.TEXTBEFORE(O3, ":"))</f>
        <v>Класс предмета</v>
      </c>
      <c r="Q3" s="17" t="s">
        <v>6342</v>
      </c>
      <c r="R3" s="16" t="str">
        <f>TRIM(_xlfn.TEXTBEFORE(Q3, ":"))</f>
        <v>ชนิดไอเทม</v>
      </c>
      <c r="S3" s="17"/>
      <c r="T3" s="16" t="e">
        <f>TRIM(_xlfn.TEXTBEFORE(S3, ":"))</f>
        <v>#N/A</v>
      </c>
    </row>
    <row r="4" spans="1:20" ht="15.95" customHeight="1" x14ac:dyDescent="0.25">
      <c r="A4" s="18" t="s">
        <v>109</v>
      </c>
      <c r="B4" s="16" t="str">
        <f>TRIM(_xlfn.TEXTAFTER(A3, ":"))</f>
        <v>Sceptres</v>
      </c>
      <c r="C4" s="18" t="s">
        <v>1672</v>
      </c>
      <c r="D4" s="16" t="str">
        <f>TRIM(_xlfn.TEXTAFTER(C3, ":"))</f>
        <v>Zepter</v>
      </c>
      <c r="E4" s="18" t="s">
        <v>2392</v>
      </c>
      <c r="F4" s="16" t="str">
        <f>TRIM(_xlfn.TEXTAFTER(E3, ":"))</f>
        <v>Cetros</v>
      </c>
      <c r="G4" s="18" t="s">
        <v>1</v>
      </c>
      <c r="H4" s="16" t="str">
        <f>TRIM(_xlfn.TEXTAFTER(G3, ":"))</f>
        <v>Sceptres</v>
      </c>
      <c r="I4" s="18" t="s">
        <v>3107</v>
      </c>
      <c r="J4" s="16" t="str">
        <f>TRIM(_xlfn.TEXTAFTER(I3, ":"))</f>
        <v>セプター</v>
      </c>
      <c r="K4" s="18" t="s">
        <v>3857</v>
      </c>
      <c r="L4" s="16" t="str">
        <f>TRIM(_xlfn.TEXTAFTER(K3, ":"))</f>
        <v>셉터</v>
      </c>
      <c r="M4" s="18" t="s">
        <v>4586</v>
      </c>
      <c r="N4" s="16" t="str">
        <f>TRIM(_xlfn.TEXTAFTER(M3, ":"))</f>
        <v>Cetros</v>
      </c>
      <c r="O4" s="18" t="s">
        <v>5269</v>
      </c>
      <c r="P4" s="16" t="str">
        <f>TRIM(_xlfn.TEXTAFTER(O3, ":"))</f>
        <v>Скипетры</v>
      </c>
      <c r="Q4" s="18" t="s">
        <v>6006</v>
      </c>
      <c r="R4" s="16" t="str">
        <f>TRIM(_xlfn.TEXTAFTER(Q3, ":"))</f>
        <v>คทา</v>
      </c>
      <c r="S4" s="18"/>
      <c r="T4" s="16" t="e">
        <f>TRIM(_xlfn.TEXTAFTER(S3, ":"))</f>
        <v>#N/A</v>
      </c>
    </row>
    <row r="5" spans="1:20" ht="15.95" customHeight="1" x14ac:dyDescent="0.25">
      <c r="A5" s="18" t="s">
        <v>348</v>
      </c>
      <c r="B5" s="16" t="str">
        <f>TRIM(_xlfn.TEXTBEFORE(A4, ":"))</f>
        <v>Rarity</v>
      </c>
      <c r="C5" s="18" t="s">
        <v>2068</v>
      </c>
      <c r="D5" s="16" t="str">
        <f>TRIM(_xlfn.TEXTBEFORE(C4, ":"))</f>
        <v>Seltenheit</v>
      </c>
      <c r="E5" s="18" t="s">
        <v>2786</v>
      </c>
      <c r="F5" s="16" t="str">
        <f>TRIM(_xlfn.TEXTBEFORE(E4, ":"))</f>
        <v>Rareza</v>
      </c>
      <c r="G5" s="18" t="s">
        <v>1322</v>
      </c>
      <c r="H5" s="16" t="str">
        <f>TRIM(_xlfn.TEXTBEFORE(G4, ":"))</f>
        <v>Rareté</v>
      </c>
      <c r="I5" s="18" t="s">
        <v>3519</v>
      </c>
      <c r="J5" s="16" t="str">
        <f>TRIM(_xlfn.TEXTBEFORE(I4, ":"))</f>
        <v>レアリティ</v>
      </c>
      <c r="K5" s="18" t="s">
        <v>4259</v>
      </c>
      <c r="L5" s="16" t="str">
        <f>TRIM(_xlfn.TEXTBEFORE(K4, ":"))</f>
        <v>아이템 희귀도</v>
      </c>
      <c r="M5" s="18" t="s">
        <v>4946</v>
      </c>
      <c r="N5" s="16" t="str">
        <f>TRIM(_xlfn.TEXTBEFORE(M4, ":"))</f>
        <v>Raridade</v>
      </c>
      <c r="O5" s="18" t="s">
        <v>5674</v>
      </c>
      <c r="P5" s="16" t="str">
        <f>TRIM(_xlfn.TEXTBEFORE(O4, ":"))</f>
        <v>Редкость</v>
      </c>
      <c r="Q5" s="18" t="s">
        <v>348</v>
      </c>
      <c r="R5" s="16" t="str">
        <f>TRIM(_xlfn.TEXTBEFORE(Q4, ":"))</f>
        <v>ความหายาก</v>
      </c>
      <c r="S5" s="18"/>
      <c r="T5" s="16" t="e">
        <f>TRIM(_xlfn.TEXTBEFORE(S4, ":"))</f>
        <v>#N/A</v>
      </c>
    </row>
    <row r="6" spans="1:20" ht="15.95" customHeight="1" x14ac:dyDescent="0.25">
      <c r="A6" s="18" t="s">
        <v>349</v>
      </c>
      <c r="B6" s="16" t="str">
        <f>TRIM(_xlfn.TEXTAFTER(A4,":"))</f>
        <v>Unique</v>
      </c>
      <c r="C6" s="18" t="s">
        <v>2069</v>
      </c>
      <c r="D6" s="16" t="str">
        <f>TRIM(_xlfn.TEXTAFTER(C4,":"))</f>
        <v>Einzigartig</v>
      </c>
      <c r="E6" s="18" t="s">
        <v>2787</v>
      </c>
      <c r="F6" s="16" t="str">
        <f>TRIM(_xlfn.TEXTAFTER(E4,":"))</f>
        <v>Único</v>
      </c>
      <c r="G6" s="18" t="s">
        <v>1323</v>
      </c>
      <c r="H6" s="16" t="str">
        <f>TRIM(_xlfn.TEXTAFTER(G4,":"))</f>
        <v>Unique</v>
      </c>
      <c r="I6" s="18" t="s">
        <v>3520</v>
      </c>
      <c r="J6" s="16" t="str">
        <f>TRIM(_xlfn.TEXTAFTER(I4,":"))</f>
        <v>ユニーク</v>
      </c>
      <c r="K6" s="18" t="s">
        <v>4260</v>
      </c>
      <c r="L6" s="16" t="str">
        <f>TRIM(_xlfn.TEXTAFTER(K4,":"))</f>
        <v>고유</v>
      </c>
      <c r="M6" s="18" t="s">
        <v>4947</v>
      </c>
      <c r="N6" s="16" t="str">
        <f>TRIM(_xlfn.TEXTAFTER(M4,":"))</f>
        <v>Único</v>
      </c>
      <c r="O6" s="18" t="s">
        <v>5675</v>
      </c>
      <c r="P6" s="16" t="str">
        <f>TRIM(_xlfn.TEXTAFTER(O4,":"))</f>
        <v>Уникальный</v>
      </c>
      <c r="Q6" s="18" t="s">
        <v>349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350</v>
      </c>
      <c r="B8" s="16"/>
      <c r="C8" s="18" t="s">
        <v>2070</v>
      </c>
      <c r="D8" s="16"/>
      <c r="E8" s="18" t="s">
        <v>2788</v>
      </c>
      <c r="F8" s="16"/>
      <c r="G8" s="18" t="s">
        <v>350</v>
      </c>
      <c r="H8" s="16"/>
      <c r="I8" s="18" t="s">
        <v>3521</v>
      </c>
      <c r="J8" s="16"/>
      <c r="K8" s="18" t="s">
        <v>4261</v>
      </c>
      <c r="L8" s="16"/>
      <c r="M8" s="18" t="s">
        <v>2788</v>
      </c>
      <c r="N8" s="16"/>
      <c r="O8" s="18" t="s">
        <v>5676</v>
      </c>
      <c r="P8" s="16"/>
      <c r="Q8" s="18" t="s">
        <v>6343</v>
      </c>
      <c r="R8" s="16"/>
      <c r="S8" s="18"/>
      <c r="T8" s="16"/>
    </row>
    <row r="9" spans="1:20" ht="15.95" customHeight="1" x14ac:dyDescent="0.25">
      <c r="A9" s="18" t="s">
        <v>351</v>
      </c>
      <c r="B9" s="16"/>
      <c r="C9" s="18" t="s">
        <v>2071</v>
      </c>
      <c r="D9" s="16"/>
      <c r="E9" s="18" t="s">
        <v>2789</v>
      </c>
      <c r="F9" s="16"/>
      <c r="G9" s="18" t="s">
        <v>1324</v>
      </c>
      <c r="H9" s="16"/>
      <c r="I9" s="18" t="s">
        <v>3522</v>
      </c>
      <c r="J9" s="16"/>
      <c r="K9" s="18" t="s">
        <v>4262</v>
      </c>
      <c r="L9" s="16"/>
      <c r="M9" s="18" t="s">
        <v>4948</v>
      </c>
      <c r="N9" s="16"/>
      <c r="O9" s="18" t="s">
        <v>5677</v>
      </c>
      <c r="P9" s="16"/>
      <c r="Q9" s="18" t="s">
        <v>6344</v>
      </c>
      <c r="R9" s="16"/>
      <c r="S9" s="18"/>
      <c r="T9" s="16"/>
    </row>
    <row r="10" spans="1:20" ht="15.95" customHeight="1" x14ac:dyDescent="0.25">
      <c r="A10" s="18" t="s">
        <v>352</v>
      </c>
      <c r="B10" s="16"/>
      <c r="C10" s="18" t="s">
        <v>2072</v>
      </c>
      <c r="D10" s="16"/>
      <c r="E10" s="18" t="s">
        <v>2790</v>
      </c>
      <c r="F10" s="16"/>
      <c r="G10" s="18" t="s">
        <v>1325</v>
      </c>
      <c r="H10" s="16"/>
      <c r="I10" s="18" t="s">
        <v>3523</v>
      </c>
      <c r="J10" s="16"/>
      <c r="K10" s="18" t="s">
        <v>4263</v>
      </c>
      <c r="L10" s="16"/>
      <c r="M10" s="18" t="s">
        <v>4949</v>
      </c>
      <c r="N10" s="16"/>
      <c r="O10" s="18" t="s">
        <v>5678</v>
      </c>
      <c r="P10" s="16"/>
      <c r="Q10" s="18" t="s">
        <v>6345</v>
      </c>
      <c r="R10" s="16"/>
      <c r="S10" s="18"/>
      <c r="T10" s="16"/>
    </row>
    <row r="11" spans="1:20" ht="15.95" customHeight="1" x14ac:dyDescent="0.25">
      <c r="A11" s="18" t="s">
        <v>353</v>
      </c>
      <c r="B11" s="16"/>
      <c r="C11" s="18" t="s">
        <v>2073</v>
      </c>
      <c r="D11" s="16"/>
      <c r="E11" s="18" t="s">
        <v>2791</v>
      </c>
      <c r="F11" s="16"/>
      <c r="G11" s="18" t="s">
        <v>1326</v>
      </c>
      <c r="H11" s="16"/>
      <c r="I11" s="18" t="s">
        <v>3524</v>
      </c>
      <c r="J11" s="16"/>
      <c r="K11" s="18" t="s">
        <v>4264</v>
      </c>
      <c r="L11" s="16"/>
      <c r="M11" s="18" t="s">
        <v>4950</v>
      </c>
      <c r="N11" s="16"/>
      <c r="O11" s="18" t="s">
        <v>5679</v>
      </c>
      <c r="P11" s="16"/>
      <c r="Q11" s="18" t="s">
        <v>6346</v>
      </c>
      <c r="R11" s="16"/>
      <c r="S11" s="18"/>
      <c r="T11" s="16"/>
    </row>
    <row r="12" spans="1:20" ht="15.95" customHeight="1" x14ac:dyDescent="0.25">
      <c r="A12" s="18" t="s">
        <v>135</v>
      </c>
      <c r="B12" s="16"/>
      <c r="C12" s="18" t="s">
        <v>2012</v>
      </c>
      <c r="D12" s="16"/>
      <c r="E12" s="18" t="s">
        <v>2733</v>
      </c>
      <c r="F12" s="16"/>
      <c r="G12" s="18" t="s">
        <v>1268</v>
      </c>
      <c r="H12" s="16"/>
      <c r="I12" s="18" t="s">
        <v>3460</v>
      </c>
      <c r="J12" s="16"/>
      <c r="K12" s="18" t="s">
        <v>4204</v>
      </c>
      <c r="L12" s="16"/>
      <c r="M12" s="18" t="s">
        <v>4951</v>
      </c>
      <c r="N12" s="16"/>
      <c r="O12" s="18" t="s">
        <v>5618</v>
      </c>
      <c r="P12" s="16"/>
      <c r="Q12" s="18" t="s">
        <v>6298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t="s">
        <v>5957</v>
      </c>
      <c r="R14" s="16"/>
      <c r="S14" s="18"/>
      <c r="T14" s="21"/>
    </row>
    <row r="15" spans="1:20" ht="15.95" customHeight="1" x14ac:dyDescent="0.25">
      <c r="A15" s="18" t="s">
        <v>354</v>
      </c>
      <c r="B15" s="16"/>
      <c r="C15" s="18" t="s">
        <v>2074</v>
      </c>
      <c r="D15" s="16"/>
      <c r="E15" s="18" t="s">
        <v>2792</v>
      </c>
      <c r="F15" s="16"/>
      <c r="G15" s="18" t="s">
        <v>1327</v>
      </c>
      <c r="H15" s="16"/>
      <c r="I15" s="18" t="s">
        <v>3525</v>
      </c>
      <c r="J15" s="16"/>
      <c r="K15" s="18" t="s">
        <v>4265</v>
      </c>
      <c r="L15" s="16"/>
      <c r="M15" s="18" t="s">
        <v>4952</v>
      </c>
      <c r="N15" s="16"/>
      <c r="O15" s="18" t="s">
        <v>5680</v>
      </c>
      <c r="P15" s="16"/>
      <c r="Q15" s="18" t="s">
        <v>6347</v>
      </c>
      <c r="R15" s="16"/>
      <c r="S15" s="18"/>
      <c r="T15" s="21"/>
    </row>
    <row r="16" spans="1:20" ht="15.95" customHeight="1" x14ac:dyDescent="0.25">
      <c r="A16" s="18" t="s">
        <v>355</v>
      </c>
      <c r="B16" s="16"/>
      <c r="C16" s="18" t="s">
        <v>355</v>
      </c>
      <c r="D16" s="16"/>
      <c r="E16" s="18" t="s">
        <v>2793</v>
      </c>
      <c r="F16" s="16"/>
      <c r="G16" s="18" t="s">
        <v>1328</v>
      </c>
      <c r="H16" s="16"/>
      <c r="I16" s="18" t="s">
        <v>3526</v>
      </c>
      <c r="J16" s="16"/>
      <c r="K16" s="18" t="s">
        <v>4266</v>
      </c>
      <c r="L16" s="16"/>
      <c r="M16" s="18" t="s">
        <v>1328</v>
      </c>
      <c r="N16" s="16"/>
      <c r="O16" s="18" t="s">
        <v>5681</v>
      </c>
      <c r="P16" s="16"/>
      <c r="Q16" s="18" t="s">
        <v>355</v>
      </c>
      <c r="R16" s="16"/>
      <c r="S16" s="18"/>
      <c r="T16" s="21"/>
    </row>
    <row r="17" spans="1:20" ht="15.95" customHeight="1" x14ac:dyDescent="0.25">
      <c r="A17" s="18" t="s">
        <v>356</v>
      </c>
      <c r="B17" s="16"/>
      <c r="C17" s="18" t="s">
        <v>356</v>
      </c>
      <c r="D17" s="16"/>
      <c r="E17" s="18" t="s">
        <v>356</v>
      </c>
      <c r="F17" s="16"/>
      <c r="G17" s="18" t="s">
        <v>356</v>
      </c>
      <c r="H17" s="16"/>
      <c r="I17" s="18" t="s">
        <v>3527</v>
      </c>
      <c r="J17" s="16"/>
      <c r="K17" s="18" t="s">
        <v>4267</v>
      </c>
      <c r="L17" s="16"/>
      <c r="M17" s="18" t="s">
        <v>356</v>
      </c>
      <c r="N17" s="16"/>
      <c r="O17" s="18" t="s">
        <v>5682</v>
      </c>
      <c r="P17" s="16"/>
      <c r="Q17" s="18" t="s">
        <v>356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357</v>
      </c>
      <c r="B19" s="16"/>
      <c r="C19" s="18" t="s">
        <v>2075</v>
      </c>
      <c r="D19" s="16"/>
      <c r="E19" s="18" t="s">
        <v>2794</v>
      </c>
      <c r="F19" s="16"/>
      <c r="G19" s="18" t="s">
        <v>1329</v>
      </c>
      <c r="H19" s="16"/>
      <c r="I19" s="18" t="s">
        <v>3528</v>
      </c>
      <c r="J19" s="16"/>
      <c r="K19" s="18" t="s">
        <v>4268</v>
      </c>
      <c r="L19" s="16"/>
      <c r="M19" s="18" t="s">
        <v>4953</v>
      </c>
      <c r="N19" s="16"/>
      <c r="O19" s="18" t="s">
        <v>5683</v>
      </c>
      <c r="P19" s="16"/>
      <c r="Q19" s="18" t="s">
        <v>6348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340</v>
      </c>
      <c r="B21" s="16"/>
      <c r="C21" s="18" t="s">
        <v>1909</v>
      </c>
      <c r="D21" s="16"/>
      <c r="E21" s="18" t="s">
        <v>2627</v>
      </c>
      <c r="F21" s="16"/>
      <c r="G21" s="18" t="s">
        <v>1170</v>
      </c>
      <c r="H21" s="16"/>
      <c r="I21" s="18" t="s">
        <v>3352</v>
      </c>
      <c r="J21" s="16"/>
      <c r="K21" s="18" t="s">
        <v>4097</v>
      </c>
      <c r="L21" s="16"/>
      <c r="M21" s="18" t="s">
        <v>4815</v>
      </c>
      <c r="N21" s="16"/>
      <c r="O21" s="18" t="s">
        <v>5511</v>
      </c>
      <c r="P21" s="16"/>
      <c r="Q21" s="18" t="s">
        <v>6213</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358</v>
      </c>
      <c r="B23" s="16"/>
      <c r="C23" s="18" t="s">
        <v>2076</v>
      </c>
      <c r="D23" s="16"/>
      <c r="E23" s="18" t="s">
        <v>2795</v>
      </c>
      <c r="F23" s="16"/>
      <c r="G23" s="18" t="s">
        <v>1330</v>
      </c>
      <c r="H23" s="16"/>
      <c r="I23" s="18" t="s">
        <v>3529</v>
      </c>
      <c r="J23" s="16"/>
      <c r="K23" s="18" t="s">
        <v>4269</v>
      </c>
      <c r="L23" s="16"/>
      <c r="M23" s="18" t="s">
        <v>4954</v>
      </c>
      <c r="N23" s="16"/>
      <c r="O23" s="18" t="s">
        <v>5684</v>
      </c>
      <c r="P23" s="16"/>
      <c r="Q23" s="18" t="s">
        <v>6349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359</v>
      </c>
      <c r="B25" s="16"/>
      <c r="C25" s="18" t="s">
        <v>2077</v>
      </c>
      <c r="D25" s="16"/>
      <c r="E25" s="18" t="s">
        <v>2796</v>
      </c>
      <c r="F25" s="16"/>
      <c r="G25" s="18" t="s">
        <v>1331</v>
      </c>
      <c r="H25" s="16"/>
      <c r="I25" s="18" t="s">
        <v>3530</v>
      </c>
      <c r="J25" s="16"/>
      <c r="K25" s="18" t="s">
        <v>4270</v>
      </c>
      <c r="L25" s="16"/>
      <c r="M25" s="18" t="s">
        <v>4955</v>
      </c>
      <c r="N25" s="16"/>
      <c r="O25" s="18" t="s">
        <v>5685</v>
      </c>
      <c r="P25" s="16"/>
      <c r="Q25" s="18" t="s">
        <v>6350</v>
      </c>
      <c r="R25" s="16"/>
      <c r="S25" s="18"/>
      <c r="T25" s="21"/>
    </row>
    <row r="26" spans="1:20" ht="15.95" customHeight="1" x14ac:dyDescent="0.25">
      <c r="A26" s="18" t="s">
        <v>360</v>
      </c>
      <c r="B26" s="16"/>
      <c r="C26" s="18" t="s">
        <v>2078</v>
      </c>
      <c r="D26" s="16"/>
      <c r="E26" s="18" t="s">
        <v>2797</v>
      </c>
      <c r="F26" s="16"/>
      <c r="G26" s="18" t="s">
        <v>1332</v>
      </c>
      <c r="H26" s="16"/>
      <c r="I26" s="18" t="s">
        <v>3531</v>
      </c>
      <c r="J26" s="16"/>
      <c r="K26" s="18" t="s">
        <v>4271</v>
      </c>
      <c r="L26" s="16"/>
      <c r="M26" s="18" t="s">
        <v>4956</v>
      </c>
      <c r="N26" s="16"/>
      <c r="O26" s="18" t="s">
        <v>5686</v>
      </c>
      <c r="P26" s="16"/>
      <c r="Q26" s="18" t="s">
        <v>6351</v>
      </c>
      <c r="R26" s="16"/>
      <c r="S26" s="18"/>
      <c r="T26" s="21"/>
    </row>
    <row r="27" spans="1:20" ht="15.95" customHeight="1" x14ac:dyDescent="0.25">
      <c r="A27" s="18" t="s">
        <v>361</v>
      </c>
      <c r="B27" s="16"/>
      <c r="C27" s="18" t="s">
        <v>2079</v>
      </c>
      <c r="D27" s="16"/>
      <c r="E27" s="18" t="s">
        <v>2798</v>
      </c>
      <c r="F27" s="16"/>
      <c r="G27" s="18" t="s">
        <v>1333</v>
      </c>
      <c r="H27" s="16"/>
      <c r="I27" s="18" t="s">
        <v>3532</v>
      </c>
      <c r="J27" s="16"/>
      <c r="K27" s="18" t="s">
        <v>4272</v>
      </c>
      <c r="L27" s="16"/>
      <c r="M27" s="18" t="s">
        <v>4957</v>
      </c>
      <c r="N27" s="16"/>
      <c r="O27" s="18" t="s">
        <v>5687</v>
      </c>
      <c r="P27" s="16"/>
      <c r="Q27" s="18" t="s">
        <v>6352</v>
      </c>
      <c r="R27" s="16"/>
      <c r="S27" s="18"/>
      <c r="T27" s="21"/>
    </row>
    <row r="28" spans="1:20" ht="15.95" customHeight="1" x14ac:dyDescent="0.25">
      <c r="A28" s="18" t="s">
        <v>362</v>
      </c>
      <c r="B28" s="16"/>
      <c r="C28" s="18" t="s">
        <v>2080</v>
      </c>
      <c r="D28" s="16"/>
      <c r="E28" s="18" t="s">
        <v>2799</v>
      </c>
      <c r="F28" s="16"/>
      <c r="G28" s="18" t="s">
        <v>1334</v>
      </c>
      <c r="H28" s="16"/>
      <c r="I28" s="18" t="s">
        <v>3533</v>
      </c>
      <c r="J28" s="16"/>
      <c r="K28" s="18" t="s">
        <v>4273</v>
      </c>
      <c r="L28" s="16"/>
      <c r="M28" s="18" t="s">
        <v>4958</v>
      </c>
      <c r="N28" s="16"/>
      <c r="O28" s="18" t="s">
        <v>5688</v>
      </c>
      <c r="P28" s="16"/>
      <c r="Q28" s="18" t="s">
        <v>6353</v>
      </c>
      <c r="R28" s="16"/>
      <c r="S28" s="18"/>
      <c r="T28" s="21"/>
    </row>
    <row r="29" spans="1:20" ht="15.95" customHeight="1" x14ac:dyDescent="0.25">
      <c r="A29" s="18" t="s">
        <v>363</v>
      </c>
      <c r="B29" s="16"/>
      <c r="C29" s="18" t="s">
        <v>2081</v>
      </c>
      <c r="D29" s="16"/>
      <c r="E29" s="18" t="s">
        <v>2800</v>
      </c>
      <c r="F29" s="16"/>
      <c r="G29" s="18" t="s">
        <v>1335</v>
      </c>
      <c r="H29" s="16"/>
      <c r="I29" s="18" t="s">
        <v>3534</v>
      </c>
      <c r="J29" s="16"/>
      <c r="K29" s="18" t="s">
        <v>4274</v>
      </c>
      <c r="L29" s="16"/>
      <c r="M29" s="18" t="s">
        <v>4959</v>
      </c>
      <c r="N29" s="16"/>
      <c r="O29" s="18" t="s">
        <v>5689</v>
      </c>
      <c r="P29" s="16"/>
      <c r="Q29" s="18" t="s">
        <v>6354</v>
      </c>
      <c r="R29" s="16"/>
      <c r="S29" s="18"/>
      <c r="T29" s="21"/>
    </row>
    <row r="30" spans="1:20" ht="15.95" customHeight="1" x14ac:dyDescent="0.25">
      <c r="A30" s="18" t="s">
        <v>364</v>
      </c>
      <c r="B30" s="16"/>
      <c r="C30" s="18" t="s">
        <v>2082</v>
      </c>
      <c r="D30" s="16"/>
      <c r="E30" s="18" t="s">
        <v>2801</v>
      </c>
      <c r="F30" s="16"/>
      <c r="G30" s="18" t="s">
        <v>1336</v>
      </c>
      <c r="H30" s="16"/>
      <c r="I30" s="18" t="s">
        <v>3535</v>
      </c>
      <c r="J30" s="16"/>
      <c r="K30" s="18" t="s">
        <v>4275</v>
      </c>
      <c r="L30" s="16"/>
      <c r="M30" s="18" t="s">
        <v>4960</v>
      </c>
      <c r="N30" s="16"/>
      <c r="O30" s="18" t="s">
        <v>5690</v>
      </c>
      <c r="P30" s="16"/>
      <c r="Q30" s="18" t="s">
        <v>6355</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365</v>
      </c>
      <c r="B32" s="16"/>
      <c r="C32" s="18" t="s">
        <v>2083</v>
      </c>
      <c r="D32" s="16"/>
      <c r="E32" s="18" t="s">
        <v>2802</v>
      </c>
      <c r="F32" s="16"/>
      <c r="G32" s="18" t="s">
        <v>1337</v>
      </c>
      <c r="H32" s="16"/>
      <c r="I32" s="18" t="s">
        <v>3536</v>
      </c>
      <c r="J32" s="16"/>
      <c r="K32" s="18" t="s">
        <v>4276</v>
      </c>
      <c r="L32" s="16"/>
      <c r="M32" s="18" t="s">
        <v>4961</v>
      </c>
      <c r="N32" s="16"/>
      <c r="O32" s="18" t="s">
        <v>5691</v>
      </c>
      <c r="P32" s="16"/>
      <c r="Q32" s="18" t="s">
        <v>6356</v>
      </c>
      <c r="R32" s="16"/>
      <c r="S32" s="18"/>
      <c r="T32" s="21"/>
    </row>
    <row r="33" spans="1:20" ht="15.95" customHeight="1" x14ac:dyDescent="0.25">
      <c r="A33" s="22" t="s">
        <v>366</v>
      </c>
      <c r="B33" s="16"/>
      <c r="C33" s="18" t="s">
        <v>2084</v>
      </c>
      <c r="D33" s="16"/>
      <c r="E33" s="18" t="s">
        <v>2803</v>
      </c>
      <c r="F33" s="16"/>
      <c r="G33" s="18" t="s">
        <v>1338</v>
      </c>
      <c r="H33" s="16"/>
      <c r="I33" s="18" t="s">
        <v>3537</v>
      </c>
      <c r="J33" s="16"/>
      <c r="K33" s="18" t="s">
        <v>4277</v>
      </c>
      <c r="L33" s="16"/>
      <c r="M33" s="18" t="s">
        <v>4962</v>
      </c>
      <c r="N33" s="16"/>
      <c r="O33" s="18" t="s">
        <v>5692</v>
      </c>
      <c r="P33" s="16"/>
      <c r="Q33" s="18" t="s">
        <v>6357</v>
      </c>
      <c r="R33" s="16"/>
      <c r="S33" s="18"/>
      <c r="T33" s="21"/>
    </row>
    <row r="34" spans="1:20" ht="15.95" customHeight="1" x14ac:dyDescent="0.25">
      <c r="A34" s="18" t="s">
        <v>367</v>
      </c>
      <c r="B34" s="16"/>
      <c r="C34" s="18" t="s">
        <v>2085</v>
      </c>
      <c r="D34" s="16"/>
      <c r="E34" s="18" t="s">
        <v>2804</v>
      </c>
      <c r="F34" s="16"/>
      <c r="G34" s="18" t="s">
        <v>1339</v>
      </c>
      <c r="H34" s="16"/>
      <c r="I34" s="18" t="s">
        <v>3538</v>
      </c>
      <c r="J34" s="16"/>
      <c r="K34" s="18" t="s">
        <v>4278</v>
      </c>
      <c r="L34" s="16"/>
      <c r="M34" s="18" t="s">
        <v>4963</v>
      </c>
      <c r="N34" s="16"/>
      <c r="O34" s="18" t="s">
        <v>5693</v>
      </c>
      <c r="P34" s="16"/>
      <c r="Q34" s="18" t="s">
        <v>6358</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0" priority="2" stopIfTrue="1">
      <formula>NOT(ISERROR(A3))</formula>
    </cfRule>
  </conditionalFormatting>
  <conditionalFormatting sqref="A3:T51">
    <cfRule type="containsErrors" dxfId="119" priority="1" stopIfTrue="1">
      <formula>ISERROR(A3)</formula>
    </cfRule>
    <cfRule type="notContainsBlanks" dxfId="118"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dimension ref="A1:T51"/>
  <sheetViews>
    <sheetView workbookViewId="0">
      <selection activeCell="Q3" sqref="Q3:Q2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382</v>
      </c>
      <c r="B3" s="16" t="str">
        <f>TRIM(_xlfn.TEXTBEFORE(A3, ":"))</f>
        <v>Item Class</v>
      </c>
      <c r="C3" s="17" t="s">
        <v>2086</v>
      </c>
      <c r="D3" s="16" t="str">
        <f>TRIM(_xlfn.TEXTBEFORE(C3, ":"))</f>
        <v>Gegenstandsklasse</v>
      </c>
      <c r="E3" s="17" t="s">
        <v>2805</v>
      </c>
      <c r="F3" s="16" t="str">
        <f>TRIM(_xlfn.TEXTBEFORE(E3, ":"))</f>
        <v>Clase de objeto</v>
      </c>
      <c r="G3" s="17" t="s">
        <v>1340</v>
      </c>
      <c r="H3" s="16" t="str">
        <f>TRIM(_xlfn.TEXTBEFORE(G3, ":"))</f>
        <v>Classe d'objet</v>
      </c>
      <c r="I3" s="17" t="s">
        <v>3539</v>
      </c>
      <c r="J3" s="16" t="str">
        <f>TRIM(_xlfn.TEXTBEFORE(I3, ":"))</f>
        <v>アイテムクラス</v>
      </c>
      <c r="K3" s="17" t="s">
        <v>4279</v>
      </c>
      <c r="L3" s="16" t="str">
        <f>TRIM(_xlfn.TEXTBEFORE(K3, ":"))</f>
        <v>아이템 종류</v>
      </c>
      <c r="M3" s="17" t="s">
        <v>4964</v>
      </c>
      <c r="N3" s="16" t="str">
        <f>TRIM(_xlfn.TEXTBEFORE(M3, ":"))</f>
        <v>Classe do Item</v>
      </c>
      <c r="O3" s="17" t="s">
        <v>5694</v>
      </c>
      <c r="P3" s="16" t="str">
        <f>TRIM(_xlfn.TEXTBEFORE(O3, ":"))</f>
        <v>Класс предмета</v>
      </c>
      <c r="Q3" s="17" t="s">
        <v>6359</v>
      </c>
      <c r="R3" s="16" t="str">
        <f>TRIM(_xlfn.TEXTBEFORE(Q3, ":"))</f>
        <v>ชนิดไอเทม</v>
      </c>
      <c r="S3" s="17"/>
      <c r="T3" s="16" t="e">
        <f>TRIM(_xlfn.TEXTBEFORE(S3, ":"))</f>
        <v>#N/A</v>
      </c>
    </row>
    <row r="4" spans="1:20" ht="15.95" customHeight="1" x14ac:dyDescent="0.25">
      <c r="A4" s="18" t="s">
        <v>109</v>
      </c>
      <c r="B4" s="16" t="str">
        <f>TRIM(_xlfn.TEXTAFTER(A3, ":"))</f>
        <v>Staves</v>
      </c>
      <c r="C4" s="18" t="s">
        <v>1672</v>
      </c>
      <c r="D4" s="16" t="str">
        <f>TRIM(_xlfn.TEXTAFTER(C3, ":"))</f>
        <v>Stäbe</v>
      </c>
      <c r="E4" s="18" t="s">
        <v>2392</v>
      </c>
      <c r="F4" s="16" t="str">
        <f>TRIM(_xlfn.TEXTAFTER(E3, ":"))</f>
        <v>Báculos</v>
      </c>
      <c r="G4" s="18" t="s">
        <v>1</v>
      </c>
      <c r="H4" s="16" t="str">
        <f>TRIM(_xlfn.TEXTAFTER(G3, ":"))</f>
        <v>Bâtons</v>
      </c>
      <c r="I4" s="18" t="s">
        <v>3107</v>
      </c>
      <c r="J4" s="16" t="str">
        <f>TRIM(_xlfn.TEXTAFTER(I3, ":"))</f>
        <v>スタッフ</v>
      </c>
      <c r="K4" s="18" t="s">
        <v>3857</v>
      </c>
      <c r="L4" s="16" t="str">
        <f>TRIM(_xlfn.TEXTAFTER(K3, ":"))</f>
        <v>지팡이</v>
      </c>
      <c r="M4" s="18" t="s">
        <v>4586</v>
      </c>
      <c r="N4" s="16" t="str">
        <f>TRIM(_xlfn.TEXTAFTER(M3, ":"))</f>
        <v>Cajados</v>
      </c>
      <c r="O4" s="18" t="s">
        <v>5269</v>
      </c>
      <c r="P4" s="16" t="str">
        <f>TRIM(_xlfn.TEXTAFTER(O3, ":"))</f>
        <v>Посохи</v>
      </c>
      <c r="Q4" s="18" t="s">
        <v>6006</v>
      </c>
      <c r="R4" s="16" t="str">
        <f>TRIM(_xlfn.TEXTAFTER(Q3, ":"))</f>
        <v>ไม้พลอง</v>
      </c>
      <c r="S4" s="18"/>
      <c r="T4" s="16" t="e">
        <f>TRIM(_xlfn.TEXTAFTER(S3, ":"))</f>
        <v>#N/A</v>
      </c>
    </row>
    <row r="5" spans="1:20" ht="15.95" customHeight="1" x14ac:dyDescent="0.25">
      <c r="A5" s="18" t="s">
        <v>383</v>
      </c>
      <c r="B5" s="16" t="str">
        <f>TRIM(_xlfn.TEXTBEFORE(A4, ":"))</f>
        <v>Rarity</v>
      </c>
      <c r="C5" s="18" t="s">
        <v>2087</v>
      </c>
      <c r="D5" s="16" t="str">
        <f>TRIM(_xlfn.TEXTBEFORE(C4, ":"))</f>
        <v>Seltenheit</v>
      </c>
      <c r="E5" s="18" t="s">
        <v>2806</v>
      </c>
      <c r="F5" s="16" t="str">
        <f>TRIM(_xlfn.TEXTBEFORE(E4, ":"))</f>
        <v>Rareza</v>
      </c>
      <c r="G5" s="18" t="s">
        <v>1341</v>
      </c>
      <c r="H5" s="16" t="str">
        <f>TRIM(_xlfn.TEXTBEFORE(G4, ":"))</f>
        <v>Rareté</v>
      </c>
      <c r="I5" s="18" t="s">
        <v>3540</v>
      </c>
      <c r="J5" s="16" t="str">
        <f>TRIM(_xlfn.TEXTBEFORE(I4, ":"))</f>
        <v>レアリティ</v>
      </c>
      <c r="K5" s="18" t="s">
        <v>4280</v>
      </c>
      <c r="L5" s="16" t="str">
        <f>TRIM(_xlfn.TEXTBEFORE(K4, ":"))</f>
        <v>아이템 희귀도</v>
      </c>
      <c r="M5" s="18" t="s">
        <v>4965</v>
      </c>
      <c r="N5" s="16" t="str">
        <f>TRIM(_xlfn.TEXTBEFORE(M4, ":"))</f>
        <v>Raridade</v>
      </c>
      <c r="O5" s="18" t="s">
        <v>5695</v>
      </c>
      <c r="P5" s="16" t="str">
        <f>TRIM(_xlfn.TEXTBEFORE(O4, ":"))</f>
        <v>Редкость</v>
      </c>
      <c r="Q5" s="18" t="s">
        <v>383</v>
      </c>
      <c r="R5" s="16" t="str">
        <f>TRIM(_xlfn.TEXTBEFORE(Q4, ":"))</f>
        <v>ความหายาก</v>
      </c>
      <c r="S5" s="18"/>
      <c r="T5" s="16" t="e">
        <f>TRIM(_xlfn.TEXTBEFORE(S4, ":"))</f>
        <v>#N/A</v>
      </c>
    </row>
    <row r="6" spans="1:20" ht="15.95" customHeight="1" x14ac:dyDescent="0.25">
      <c r="A6" s="18" t="s">
        <v>384</v>
      </c>
      <c r="B6" s="16" t="str">
        <f>TRIM(_xlfn.TEXTAFTER(A4,":"))</f>
        <v>Unique</v>
      </c>
      <c r="C6" s="18" t="s">
        <v>2088</v>
      </c>
      <c r="D6" s="16" t="str">
        <f>TRIM(_xlfn.TEXTAFTER(C4,":"))</f>
        <v>Einzigartig</v>
      </c>
      <c r="E6" s="18" t="s">
        <v>2807</v>
      </c>
      <c r="F6" s="16" t="str">
        <f>TRIM(_xlfn.TEXTAFTER(E4,":"))</f>
        <v>Único</v>
      </c>
      <c r="G6" s="18" t="s">
        <v>1342</v>
      </c>
      <c r="H6" s="16" t="str">
        <f>TRIM(_xlfn.TEXTAFTER(G4,":"))</f>
        <v>Unique</v>
      </c>
      <c r="I6" s="18" t="s">
        <v>3541</v>
      </c>
      <c r="J6" s="16" t="str">
        <f>TRIM(_xlfn.TEXTAFTER(I4,":"))</f>
        <v>ユニーク</v>
      </c>
      <c r="K6" s="18" t="s">
        <v>4281</v>
      </c>
      <c r="L6" s="16" t="str">
        <f>TRIM(_xlfn.TEXTAFTER(K4,":"))</f>
        <v>고유</v>
      </c>
      <c r="M6" s="18" t="s">
        <v>4966</v>
      </c>
      <c r="N6" s="16" t="str">
        <f>TRIM(_xlfn.TEXTAFTER(M4,":"))</f>
        <v>Único</v>
      </c>
      <c r="O6" s="18" t="s">
        <v>5696</v>
      </c>
      <c r="P6" s="16" t="str">
        <f>TRIM(_xlfn.TEXTAFTER(O4,":"))</f>
        <v>Уникальный</v>
      </c>
      <c r="Q6" s="18" t="s">
        <v>384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385</v>
      </c>
      <c r="B8" s="16"/>
      <c r="C8" s="18" t="s">
        <v>2089</v>
      </c>
      <c r="D8" s="16"/>
      <c r="E8" s="18" t="s">
        <v>2808</v>
      </c>
      <c r="F8" s="16"/>
      <c r="G8" s="18" t="s">
        <v>1343</v>
      </c>
      <c r="H8" s="16"/>
      <c r="I8" s="18" t="s">
        <v>3542</v>
      </c>
      <c r="J8" s="16"/>
      <c r="K8" s="18" t="s">
        <v>4282</v>
      </c>
      <c r="L8" s="16"/>
      <c r="M8" s="18" t="s">
        <v>4967</v>
      </c>
      <c r="N8" s="16"/>
      <c r="O8" s="18" t="s">
        <v>5697</v>
      </c>
      <c r="P8" s="16"/>
      <c r="Q8" s="18" t="s">
        <v>6360</v>
      </c>
      <c r="R8" s="16"/>
      <c r="S8" s="18"/>
      <c r="T8" s="16"/>
    </row>
    <row r="9" spans="1:20" ht="15.95" customHeight="1" x14ac:dyDescent="0.25">
      <c r="A9" s="18" t="s">
        <v>386</v>
      </c>
      <c r="B9" s="16"/>
      <c r="C9" s="18" t="s">
        <v>2090</v>
      </c>
      <c r="D9" s="16"/>
      <c r="E9" s="18" t="s">
        <v>2809</v>
      </c>
      <c r="F9" s="16"/>
      <c r="G9" s="18" t="s">
        <v>1344</v>
      </c>
      <c r="H9" s="16"/>
      <c r="I9" s="18" t="s">
        <v>3543</v>
      </c>
      <c r="J9" s="16"/>
      <c r="K9" s="18" t="s">
        <v>4283</v>
      </c>
      <c r="L9" s="16"/>
      <c r="M9" s="18" t="s">
        <v>4968</v>
      </c>
      <c r="N9" s="16"/>
      <c r="O9" s="18" t="s">
        <v>5698</v>
      </c>
      <c r="P9" s="16"/>
      <c r="Q9" s="18" t="s">
        <v>6361</v>
      </c>
      <c r="R9" s="16"/>
      <c r="S9" s="18"/>
      <c r="T9" s="16"/>
    </row>
    <row r="10" spans="1:20" ht="15.95" customHeight="1" x14ac:dyDescent="0.25">
      <c r="A10" s="18" t="s">
        <v>133</v>
      </c>
      <c r="B10" s="16"/>
      <c r="C10" s="18" t="s">
        <v>1995</v>
      </c>
      <c r="D10" s="16"/>
      <c r="E10" s="18" t="s">
        <v>2716</v>
      </c>
      <c r="F10" s="16"/>
      <c r="G10" s="18" t="s">
        <v>1252</v>
      </c>
      <c r="H10" s="16"/>
      <c r="I10" s="18" t="s">
        <v>3443</v>
      </c>
      <c r="J10" s="16"/>
      <c r="K10" s="18" t="s">
        <v>4187</v>
      </c>
      <c r="L10" s="16"/>
      <c r="M10" s="18" t="s">
        <v>4895</v>
      </c>
      <c r="N10" s="16"/>
      <c r="O10" s="18" t="s">
        <v>5601</v>
      </c>
      <c r="P10" s="16"/>
      <c r="Q10" s="18" t="s">
        <v>6284</v>
      </c>
      <c r="R10" s="16"/>
      <c r="S10" s="18"/>
      <c r="T10" s="16"/>
    </row>
    <row r="11" spans="1:20" ht="15.95" customHeight="1" x14ac:dyDescent="0.25">
      <c r="A11" s="18" t="s">
        <v>300</v>
      </c>
      <c r="B11" s="16"/>
      <c r="C11" s="18" t="s">
        <v>2091</v>
      </c>
      <c r="D11" s="16"/>
      <c r="E11" s="18" t="s">
        <v>2810</v>
      </c>
      <c r="F11" s="16"/>
      <c r="G11" s="18" t="s">
        <v>1345</v>
      </c>
      <c r="H11" s="16"/>
      <c r="I11" s="18" t="s">
        <v>3544</v>
      </c>
      <c r="J11" s="16"/>
      <c r="K11" s="18" t="s">
        <v>4284</v>
      </c>
      <c r="L11" s="16"/>
      <c r="M11" s="18" t="s">
        <v>4969</v>
      </c>
      <c r="N11" s="16"/>
      <c r="O11" s="18" t="s">
        <v>5699</v>
      </c>
      <c r="P11" s="16"/>
      <c r="Q11" s="18" t="s">
        <v>6362</v>
      </c>
      <c r="R11" s="16"/>
      <c r="S11" s="18"/>
      <c r="T11" s="16"/>
    </row>
    <row r="12" spans="1:20" ht="15.95" customHeight="1" x14ac:dyDescent="0.25">
      <c r="A12" s="18" t="s">
        <v>255</v>
      </c>
      <c r="B12" s="16"/>
      <c r="C12" s="18" t="s">
        <v>2092</v>
      </c>
      <c r="D12" s="16"/>
      <c r="E12" s="18" t="s">
        <v>2811</v>
      </c>
      <c r="F12" s="16"/>
      <c r="G12" s="18" t="s">
        <v>1346</v>
      </c>
      <c r="H12" s="16"/>
      <c r="I12" s="18" t="s">
        <v>3545</v>
      </c>
      <c r="J12" s="16"/>
      <c r="K12" s="18" t="s">
        <v>4285</v>
      </c>
      <c r="L12" s="16"/>
      <c r="M12" s="18" t="s">
        <v>4970</v>
      </c>
      <c r="N12" s="16"/>
      <c r="O12" s="18" t="s">
        <v>5700</v>
      </c>
      <c r="P12" s="16"/>
      <c r="Q12" s="18" t="s">
        <v>6363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387</v>
      </c>
      <c r="B14" s="16"/>
      <c r="C14" s="18" t="s">
        <v>1833</v>
      </c>
      <c r="D14" s="16"/>
      <c r="E14" s="18" t="s">
        <v>2552</v>
      </c>
      <c r="F14" s="16"/>
      <c r="G14" s="18" t="s">
        <v>1099</v>
      </c>
      <c r="H14" s="16"/>
      <c r="I14" s="18" t="s">
        <v>3273</v>
      </c>
      <c r="J14" s="16"/>
      <c r="K14" s="18" t="s">
        <v>4019</v>
      </c>
      <c r="L14" s="16"/>
      <c r="M14" s="18" t="s">
        <v>4744</v>
      </c>
      <c r="N14" s="16"/>
      <c r="O14" s="18" t="s">
        <v>5433</v>
      </c>
      <c r="P14" s="16"/>
      <c r="Q14" s="18" t="s">
        <v>6152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198</v>
      </c>
      <c r="B16" s="16"/>
      <c r="C16" s="18" t="s">
        <v>1675</v>
      </c>
      <c r="D16" s="16"/>
      <c r="E16" s="18" t="s">
        <v>2395</v>
      </c>
      <c r="F16" s="16"/>
      <c r="G16" s="18" t="s">
        <v>942</v>
      </c>
      <c r="H16" s="16"/>
      <c r="I16" s="18" t="s">
        <v>3110</v>
      </c>
      <c r="J16" s="16"/>
      <c r="K16" s="18" t="s">
        <v>3860</v>
      </c>
      <c r="L16" s="16"/>
      <c r="M16" s="18" t="s">
        <v>4589</v>
      </c>
      <c r="N16" s="16"/>
      <c r="O16" s="18" t="s">
        <v>5272</v>
      </c>
      <c r="P16" s="16"/>
      <c r="Q16" s="18" t="s">
        <v>6009</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388</v>
      </c>
      <c r="B18" s="16"/>
      <c r="C18" s="18" t="s">
        <v>2093</v>
      </c>
      <c r="D18" s="16"/>
      <c r="E18" s="18" t="s">
        <v>2812</v>
      </c>
      <c r="F18" s="16"/>
      <c r="G18" s="18" t="s">
        <v>1347</v>
      </c>
      <c r="H18" s="16"/>
      <c r="I18" s="18" t="s">
        <v>3546</v>
      </c>
      <c r="J18" s="16"/>
      <c r="K18" s="18" t="s">
        <v>4286</v>
      </c>
      <c r="L18" s="16"/>
      <c r="M18" s="18" t="s">
        <v>4971</v>
      </c>
      <c r="N18" s="16"/>
      <c r="O18" s="18" t="s">
        <v>5701</v>
      </c>
      <c r="P18" s="16"/>
      <c r="Q18" s="18" t="s">
        <v>6364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389</v>
      </c>
      <c r="B20" s="16"/>
      <c r="C20" s="18" t="s">
        <v>2094</v>
      </c>
      <c r="D20" s="16"/>
      <c r="E20" s="18" t="s">
        <v>2813</v>
      </c>
      <c r="F20" s="16"/>
      <c r="G20" s="18" t="s">
        <v>1348</v>
      </c>
      <c r="H20" s="16"/>
      <c r="I20" s="18" t="s">
        <v>3547</v>
      </c>
      <c r="J20" s="16"/>
      <c r="K20" s="18" t="s">
        <v>4287</v>
      </c>
      <c r="L20" s="16"/>
      <c r="M20" s="18" t="s">
        <v>4972</v>
      </c>
      <c r="N20" s="16"/>
      <c r="O20" s="18" t="s">
        <v>5702</v>
      </c>
      <c r="P20" s="16"/>
      <c r="Q20" s="18" t="s">
        <v>6365</v>
      </c>
      <c r="R20" s="16"/>
      <c r="S20" s="18"/>
      <c r="T20" s="21"/>
    </row>
    <row r="21" spans="1:20" ht="15.95" customHeight="1" x14ac:dyDescent="0.25">
      <c r="A21" s="18" t="s">
        <v>390</v>
      </c>
      <c r="B21" s="16"/>
      <c r="C21" s="18" t="s">
        <v>2095</v>
      </c>
      <c r="D21" s="16"/>
      <c r="E21" s="18" t="s">
        <v>2814</v>
      </c>
      <c r="F21" s="16"/>
      <c r="G21" s="18" t="s">
        <v>1349</v>
      </c>
      <c r="H21" s="16"/>
      <c r="I21" s="18" t="s">
        <v>3548</v>
      </c>
      <c r="J21" s="16"/>
      <c r="K21" s="18" t="s">
        <v>4288</v>
      </c>
      <c r="L21" s="16"/>
      <c r="M21" s="18" t="s">
        <v>4973</v>
      </c>
      <c r="N21" s="16"/>
      <c r="O21" s="18" t="s">
        <v>5703</v>
      </c>
      <c r="P21" s="16"/>
      <c r="Q21" s="18" t="s">
        <v>6366</v>
      </c>
      <c r="R21" s="16"/>
      <c r="S21" s="18"/>
      <c r="T21" s="21"/>
    </row>
    <row r="22" spans="1:20" ht="15.95" customHeight="1" x14ac:dyDescent="0.25">
      <c r="A22" s="18" t="s">
        <v>391</v>
      </c>
      <c r="B22" s="16"/>
      <c r="C22" s="18" t="s">
        <v>2096</v>
      </c>
      <c r="D22" s="16"/>
      <c r="E22" s="18" t="s">
        <v>2815</v>
      </c>
      <c r="F22" s="16"/>
      <c r="G22" s="18" t="s">
        <v>1350</v>
      </c>
      <c r="H22" s="16"/>
      <c r="I22" s="18" t="s">
        <v>3549</v>
      </c>
      <c r="J22" s="16"/>
      <c r="K22" s="18" t="s">
        <v>4289</v>
      </c>
      <c r="L22" s="16"/>
      <c r="M22" s="18" t="s">
        <v>4974</v>
      </c>
      <c r="N22" s="16"/>
      <c r="O22" s="18" t="s">
        <v>5704</v>
      </c>
      <c r="P22" s="16"/>
      <c r="Q22" s="18" t="s">
        <v>6367</v>
      </c>
      <c r="R22" s="16"/>
      <c r="S22" s="18"/>
      <c r="T22" s="21"/>
    </row>
    <row r="23" spans="1:20" ht="15.95" customHeight="1" x14ac:dyDescent="0.25">
      <c r="A23" s="18" t="s">
        <v>392</v>
      </c>
      <c r="B23" s="16"/>
      <c r="C23" s="18" t="s">
        <v>2097</v>
      </c>
      <c r="D23" s="16"/>
      <c r="E23" s="18" t="s">
        <v>2816</v>
      </c>
      <c r="F23" s="16"/>
      <c r="G23" s="18" t="s">
        <v>1351</v>
      </c>
      <c r="H23" s="16"/>
      <c r="I23" s="18" t="s">
        <v>3550</v>
      </c>
      <c r="J23" s="16"/>
      <c r="K23" s="18" t="s">
        <v>4290</v>
      </c>
      <c r="L23" s="16"/>
      <c r="M23" s="18" t="s">
        <v>4975</v>
      </c>
      <c r="N23" s="16"/>
      <c r="O23" s="18" t="s">
        <v>5705</v>
      </c>
      <c r="P23" s="16"/>
      <c r="Q23" s="18" t="s">
        <v>6368</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393</v>
      </c>
      <c r="B25" s="16"/>
      <c r="C25" s="18" t="s">
        <v>2098</v>
      </c>
      <c r="D25" s="16"/>
      <c r="E25" s="18" t="s">
        <v>2817</v>
      </c>
      <c r="F25" s="16"/>
      <c r="G25" s="18" t="s">
        <v>1352</v>
      </c>
      <c r="H25" s="16"/>
      <c r="I25" s="18" t="s">
        <v>3551</v>
      </c>
      <c r="J25" s="16"/>
      <c r="K25" s="18" t="s">
        <v>4291</v>
      </c>
      <c r="L25" s="16"/>
      <c r="M25" s="18" t="s">
        <v>4976</v>
      </c>
      <c r="N25" s="16"/>
      <c r="O25" s="18" t="s">
        <v>5706</v>
      </c>
      <c r="P25" s="16"/>
      <c r="Q25" s="18" t="s">
        <v>6369</v>
      </c>
      <c r="R25" s="16"/>
      <c r="S25" s="18"/>
      <c r="T25" s="21"/>
    </row>
    <row r="26" spans="1:20" ht="15.95" customHeight="1" x14ac:dyDescent="0.25">
      <c r="A26" s="22" t="s">
        <v>394</v>
      </c>
      <c r="B26" s="16"/>
      <c r="C26" s="18" t="s">
        <v>2099</v>
      </c>
      <c r="D26" s="16"/>
      <c r="E26" s="18" t="e" cm="1">
        <f t="array" ref="E26">- Antiguo dicho Ezomita.</f>
        <v>#NAME?</v>
      </c>
      <c r="F26" s="16"/>
      <c r="G26" s="18" t="e" cm="1">
        <f t="array" ref="G26">- Vieux proverbe ézomyte</f>
        <v>#NAME?</v>
      </c>
      <c r="H26" s="16"/>
      <c r="I26" s="18" t="s">
        <v>3552</v>
      </c>
      <c r="J26" s="16"/>
      <c r="K26" s="18" t="s">
        <v>4292</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7" priority="2" stopIfTrue="1">
      <formula>NOT(ISERROR(A3))</formula>
    </cfRule>
  </conditionalFormatting>
  <conditionalFormatting sqref="A3:T51">
    <cfRule type="containsErrors" dxfId="116" priority="1" stopIfTrue="1">
      <formula>ISERROR(A3)</formula>
    </cfRule>
    <cfRule type="notContainsBlanks" dxfId="115"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dimension ref="A1:T51"/>
  <sheetViews>
    <sheetView workbookViewId="0">
      <selection activeCell="Q3" sqref="Q3:Q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190</v>
      </c>
      <c r="B3" s="16" t="str">
        <f>TRIM(_xlfn.TEXTBEFORE(A3, ":"))</f>
        <v>Item Class</v>
      </c>
      <c r="C3" s="17" t="s">
        <v>2100</v>
      </c>
      <c r="D3" s="16" t="str">
        <f>TRIM(_xlfn.TEXTBEFORE(C3, ":"))</f>
        <v>Gegenstandsklasse</v>
      </c>
      <c r="E3" s="17" t="s">
        <v>2818</v>
      </c>
      <c r="F3" s="16" t="str">
        <f>TRIM(_xlfn.TEXTBEFORE(E3, ":"))</f>
        <v>Clase de objeto</v>
      </c>
      <c r="G3" s="17" t="s">
        <v>1353</v>
      </c>
      <c r="H3" s="16" t="str">
        <f>TRIM(_xlfn.TEXTBEFORE(G3, ":"))</f>
        <v>Classe d'objet</v>
      </c>
      <c r="I3" s="17" t="s">
        <v>3553</v>
      </c>
      <c r="J3" s="16" t="str">
        <f>TRIM(_xlfn.TEXTBEFORE(I3, ":"))</f>
        <v>アイテムクラス</v>
      </c>
      <c r="K3" s="17" t="s">
        <v>4293</v>
      </c>
      <c r="L3" s="16" t="str">
        <f>TRIM(_xlfn.TEXTBEFORE(K3, ":"))</f>
        <v>아이템 종류</v>
      </c>
      <c r="M3" s="17" t="s">
        <v>4977</v>
      </c>
      <c r="N3" s="16" t="str">
        <f>TRIM(_xlfn.TEXTBEFORE(M3, ":"))</f>
        <v>Classe do Item</v>
      </c>
      <c r="O3" s="17" t="s">
        <v>5707</v>
      </c>
      <c r="P3" s="16" t="str">
        <f>TRIM(_xlfn.TEXTBEFORE(O3, ":"))</f>
        <v>Класс предмета</v>
      </c>
      <c r="Q3" s="17" t="s">
        <v>6370</v>
      </c>
      <c r="R3" s="16" t="str">
        <f>TRIM(_xlfn.TEXTBEFORE(Q3, ":"))</f>
        <v>ชนิดไอเทม</v>
      </c>
      <c r="S3" s="17"/>
      <c r="T3" s="16" t="e">
        <f>TRIM(_xlfn.TEXTBEFORE(S3, ":"))</f>
        <v>#N/A</v>
      </c>
    </row>
    <row r="4" spans="1:20" ht="15.95" customHeight="1" x14ac:dyDescent="0.25">
      <c r="A4" s="18" t="s">
        <v>109</v>
      </c>
      <c r="B4" s="16" t="str">
        <f>TRIM(_xlfn.TEXTAFTER(A3, ":"))</f>
        <v>Wands</v>
      </c>
      <c r="C4" s="18" t="s">
        <v>1672</v>
      </c>
      <c r="D4" s="16" t="str">
        <f>TRIM(_xlfn.TEXTAFTER(C3, ":"))</f>
        <v>Zauberstäbe</v>
      </c>
      <c r="E4" s="18" t="s">
        <v>2392</v>
      </c>
      <c r="F4" s="16" t="str">
        <f>TRIM(_xlfn.TEXTAFTER(E3, ":"))</f>
        <v>Varitas</v>
      </c>
      <c r="G4" s="18" t="s">
        <v>1</v>
      </c>
      <c r="H4" s="16" t="str">
        <f>TRIM(_xlfn.TEXTAFTER(G3, ":"))</f>
        <v>Baguettes</v>
      </c>
      <c r="I4" s="18" t="s">
        <v>3107</v>
      </c>
      <c r="J4" s="16" t="str">
        <f>TRIM(_xlfn.TEXTAFTER(I3, ":"))</f>
        <v>ワンド</v>
      </c>
      <c r="K4" s="18" t="s">
        <v>3857</v>
      </c>
      <c r="L4" s="16" t="str">
        <f>TRIM(_xlfn.TEXTAFTER(K3, ":"))</f>
        <v>마법봉</v>
      </c>
      <c r="M4" s="18" t="s">
        <v>4586</v>
      </c>
      <c r="N4" s="16" t="str">
        <f>TRIM(_xlfn.TEXTAFTER(M3, ":"))</f>
        <v>Varinhas</v>
      </c>
      <c r="O4" s="18" t="s">
        <v>5269</v>
      </c>
      <c r="P4" s="16" t="str">
        <f>TRIM(_xlfn.TEXTAFTER(O3, ":"))</f>
        <v>Жезлы</v>
      </c>
      <c r="Q4" s="18" t="s">
        <v>6006</v>
      </c>
      <c r="R4" s="16" t="str">
        <f>TRIM(_xlfn.TEXTAFTER(Q3, ":"))</f>
        <v>ไม้กายสิทธิ์</v>
      </c>
      <c r="S4" s="18"/>
      <c r="T4" s="16" t="e">
        <f>TRIM(_xlfn.TEXTAFTER(S3, ":"))</f>
        <v>#N/A</v>
      </c>
    </row>
    <row r="5" spans="1:20" ht="15.95" customHeight="1" x14ac:dyDescent="0.25">
      <c r="A5" s="18" t="s">
        <v>191</v>
      </c>
      <c r="B5" s="16" t="str">
        <f>TRIM(_xlfn.TEXTBEFORE(A4, ":"))</f>
        <v>Rarity</v>
      </c>
      <c r="C5" s="18" t="s">
        <v>2101</v>
      </c>
      <c r="D5" s="16" t="str">
        <f>TRIM(_xlfn.TEXTBEFORE(C4, ":"))</f>
        <v>Seltenheit</v>
      </c>
      <c r="E5" s="18" t="s">
        <v>2819</v>
      </c>
      <c r="F5" s="16" t="str">
        <f>TRIM(_xlfn.TEXTBEFORE(E4, ":"))</f>
        <v>Rareza</v>
      </c>
      <c r="G5" s="18" t="s">
        <v>1354</v>
      </c>
      <c r="H5" s="16" t="str">
        <f>TRIM(_xlfn.TEXTBEFORE(G4, ":"))</f>
        <v>Rareté</v>
      </c>
      <c r="I5" s="18" t="s">
        <v>3554</v>
      </c>
      <c r="J5" s="16" t="str">
        <f>TRIM(_xlfn.TEXTBEFORE(I4, ":"))</f>
        <v>レアリティ</v>
      </c>
      <c r="K5" s="18" t="s">
        <v>4294</v>
      </c>
      <c r="L5" s="16" t="str">
        <f>TRIM(_xlfn.TEXTBEFORE(K4, ":"))</f>
        <v>아이템 희귀도</v>
      </c>
      <c r="M5" s="18" t="s">
        <v>4978</v>
      </c>
      <c r="N5" s="16" t="str">
        <f>TRIM(_xlfn.TEXTBEFORE(M4, ":"))</f>
        <v>Raridade</v>
      </c>
      <c r="O5" s="18" t="s">
        <v>5708</v>
      </c>
      <c r="P5" s="16" t="str">
        <f>TRIM(_xlfn.TEXTBEFORE(O4, ":"))</f>
        <v>Редкость</v>
      </c>
      <c r="Q5" s="18" t="s">
        <v>191</v>
      </c>
      <c r="R5" s="16" t="str">
        <f>TRIM(_xlfn.TEXTBEFORE(Q4, ":"))</f>
        <v>ความหายาก</v>
      </c>
      <c r="S5" s="18"/>
      <c r="T5" s="16" t="e">
        <f>TRIM(_xlfn.TEXTBEFORE(S4, ":"))</f>
        <v>#N/A</v>
      </c>
    </row>
    <row r="6" spans="1:20" ht="15.95" customHeight="1" x14ac:dyDescent="0.25">
      <c r="A6" s="18" t="s">
        <v>192</v>
      </c>
      <c r="B6" s="16" t="str">
        <f>TRIM(_xlfn.TEXTAFTER(A4,":"))</f>
        <v>Unique</v>
      </c>
      <c r="C6" s="18" t="s">
        <v>2102</v>
      </c>
      <c r="D6" s="16" t="str">
        <f>TRIM(_xlfn.TEXTAFTER(C4,":"))</f>
        <v>Einzigartig</v>
      </c>
      <c r="E6" s="18" t="s">
        <v>2820</v>
      </c>
      <c r="F6" s="16" t="str">
        <f>TRIM(_xlfn.TEXTAFTER(E4,":"))</f>
        <v>Único</v>
      </c>
      <c r="G6" s="18" t="s">
        <v>1355</v>
      </c>
      <c r="H6" s="16" t="str">
        <f>TRIM(_xlfn.TEXTAFTER(G4,":"))</f>
        <v>Unique</v>
      </c>
      <c r="I6" s="18" t="s">
        <v>3555</v>
      </c>
      <c r="J6" s="16" t="str">
        <f>TRIM(_xlfn.TEXTAFTER(I4,":"))</f>
        <v>ユニーク</v>
      </c>
      <c r="K6" s="18" t="s">
        <v>4295</v>
      </c>
      <c r="L6" s="16" t="str">
        <f>TRIM(_xlfn.TEXTAFTER(K4,":"))</f>
        <v>고유</v>
      </c>
      <c r="M6" s="18" t="s">
        <v>4979</v>
      </c>
      <c r="N6" s="16" t="str">
        <f>TRIM(_xlfn.TEXTAFTER(M4,":"))</f>
        <v>Único</v>
      </c>
      <c r="O6" s="18" t="s">
        <v>5709</v>
      </c>
      <c r="P6" s="16" t="str">
        <f>TRIM(_xlfn.TEXTAFTER(O4,":"))</f>
        <v>Уникальный</v>
      </c>
      <c r="Q6" s="18" t="s">
        <v>192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193</v>
      </c>
      <c r="B8" s="16"/>
      <c r="C8" s="18" t="s">
        <v>2103</v>
      </c>
      <c r="D8" s="16"/>
      <c r="E8" s="18" t="s">
        <v>2821</v>
      </c>
      <c r="F8" s="16"/>
      <c r="G8" s="18" t="s">
        <v>1356</v>
      </c>
      <c r="H8" s="16"/>
      <c r="I8" s="18" t="s">
        <v>3556</v>
      </c>
      <c r="J8" s="16"/>
      <c r="K8" s="18" t="s">
        <v>4296</v>
      </c>
      <c r="L8" s="16"/>
      <c r="M8" s="18" t="s">
        <v>4980</v>
      </c>
      <c r="N8" s="16"/>
      <c r="O8" s="18" t="s">
        <v>5710</v>
      </c>
      <c r="P8" s="16"/>
      <c r="Q8" s="18" t="s">
        <v>6371</v>
      </c>
      <c r="R8" s="16"/>
      <c r="S8" s="18"/>
      <c r="T8" s="16"/>
    </row>
    <row r="9" spans="1:20" ht="15.95" customHeight="1" x14ac:dyDescent="0.25">
      <c r="A9" s="18" t="s">
        <v>194</v>
      </c>
      <c r="B9" s="16"/>
      <c r="C9" s="18" t="s">
        <v>2104</v>
      </c>
      <c r="D9" s="16"/>
      <c r="E9" s="18" t="s">
        <v>2822</v>
      </c>
      <c r="F9" s="16"/>
      <c r="G9" s="18" t="s">
        <v>1357</v>
      </c>
      <c r="H9" s="16"/>
      <c r="I9" s="18" t="s">
        <v>3557</v>
      </c>
      <c r="J9" s="16"/>
      <c r="K9" s="18" t="s">
        <v>4297</v>
      </c>
      <c r="L9" s="16"/>
      <c r="M9" s="18" t="s">
        <v>4981</v>
      </c>
      <c r="N9" s="16"/>
      <c r="O9" s="18" t="s">
        <v>5711</v>
      </c>
      <c r="P9" s="16"/>
      <c r="Q9" s="18" t="s">
        <v>6372</v>
      </c>
      <c r="R9" s="16"/>
      <c r="S9" s="18"/>
      <c r="T9" s="16"/>
    </row>
    <row r="10" spans="1:20" ht="15.95" customHeight="1" x14ac:dyDescent="0.25">
      <c r="A10" s="18" t="s">
        <v>195</v>
      </c>
      <c r="B10" s="16"/>
      <c r="C10" s="18" t="s">
        <v>2105</v>
      </c>
      <c r="D10" s="16"/>
      <c r="E10" s="18" t="s">
        <v>2823</v>
      </c>
      <c r="F10" s="16"/>
      <c r="G10" s="18" t="s">
        <v>1358</v>
      </c>
      <c r="H10" s="16"/>
      <c r="I10" s="18" t="s">
        <v>3558</v>
      </c>
      <c r="J10" s="16"/>
      <c r="K10" s="18" t="s">
        <v>4298</v>
      </c>
      <c r="L10" s="16"/>
      <c r="M10" s="18" t="s">
        <v>4982</v>
      </c>
      <c r="N10" s="16"/>
      <c r="O10" s="18" t="s">
        <v>5712</v>
      </c>
      <c r="P10" s="16"/>
      <c r="Q10" s="18" t="s">
        <v>6373</v>
      </c>
      <c r="R10" s="16"/>
      <c r="S10" s="18"/>
      <c r="T10" s="16"/>
    </row>
    <row r="11" spans="1:20" ht="15.95" customHeight="1" x14ac:dyDescent="0.25">
      <c r="A11" s="18" t="s">
        <v>196</v>
      </c>
      <c r="B11" s="16"/>
      <c r="C11" s="18" t="s">
        <v>2106</v>
      </c>
      <c r="D11" s="16"/>
      <c r="E11" s="18" t="s">
        <v>2824</v>
      </c>
      <c r="F11" s="16"/>
      <c r="G11" s="18" t="s">
        <v>1359</v>
      </c>
      <c r="H11" s="16"/>
      <c r="I11" s="18" t="s">
        <v>3559</v>
      </c>
      <c r="J11" s="16"/>
      <c r="K11" s="18" t="s">
        <v>4299</v>
      </c>
      <c r="L11" s="16"/>
      <c r="M11" s="18" t="s">
        <v>4983</v>
      </c>
      <c r="N11" s="16"/>
      <c r="O11" s="18" t="s">
        <v>5713</v>
      </c>
      <c r="P11" s="16"/>
      <c r="Q11" s="18" t="s">
        <v>6374</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197</v>
      </c>
      <c r="B13" s="16"/>
      <c r="C13" s="18" t="s">
        <v>1999</v>
      </c>
      <c r="D13" s="16"/>
      <c r="E13" s="18" t="s">
        <v>2720</v>
      </c>
      <c r="F13" s="16"/>
      <c r="G13" s="18" t="s">
        <v>1255</v>
      </c>
      <c r="H13" s="16"/>
      <c r="I13" s="18" t="s">
        <v>3447</v>
      </c>
      <c r="J13" s="16"/>
      <c r="K13" s="18" t="s">
        <v>4191</v>
      </c>
      <c r="L13" s="16"/>
      <c r="M13" s="18" t="s">
        <v>4898</v>
      </c>
      <c r="N13" s="16"/>
      <c r="O13" s="18" t="s">
        <v>5605</v>
      </c>
      <c r="P13" s="16"/>
      <c r="Q13" s="18" t="s">
        <v>6287</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198</v>
      </c>
      <c r="B15" s="16"/>
      <c r="C15" s="18" t="s">
        <v>1675</v>
      </c>
      <c r="D15" s="16"/>
      <c r="E15" s="18" t="s">
        <v>2395</v>
      </c>
      <c r="F15" s="16"/>
      <c r="G15" s="18" t="s">
        <v>942</v>
      </c>
      <c r="H15" s="16"/>
      <c r="I15" s="18" t="s">
        <v>3110</v>
      </c>
      <c r="J15" s="16"/>
      <c r="K15" s="18" t="s">
        <v>3860</v>
      </c>
      <c r="L15" s="16"/>
      <c r="M15" s="18" t="s">
        <v>4589</v>
      </c>
      <c r="N15" s="16"/>
      <c r="O15" s="18" t="s">
        <v>5272</v>
      </c>
      <c r="P15" s="16"/>
      <c r="Q15" s="18" t="s">
        <v>6009</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199</v>
      </c>
      <c r="B17" s="16"/>
      <c r="C17" s="18" t="s">
        <v>2107</v>
      </c>
      <c r="D17" s="16"/>
      <c r="E17" s="18" t="s">
        <v>2825</v>
      </c>
      <c r="F17" s="16"/>
      <c r="G17" s="18" t="s">
        <v>1360</v>
      </c>
      <c r="H17" s="16"/>
      <c r="I17" s="18" t="s">
        <v>3560</v>
      </c>
      <c r="J17" s="16"/>
      <c r="K17" s="18" t="s">
        <v>4300</v>
      </c>
      <c r="L17" s="16"/>
      <c r="M17" s="18" t="s">
        <v>4984</v>
      </c>
      <c r="N17" s="16"/>
      <c r="O17" s="18" t="s">
        <v>5714</v>
      </c>
      <c r="P17" s="16"/>
      <c r="Q17" s="18" t="s">
        <v>6375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200</v>
      </c>
      <c r="B19" s="16"/>
      <c r="C19" s="18" t="s">
        <v>2108</v>
      </c>
      <c r="D19" s="16"/>
      <c r="E19" s="18" t="s">
        <v>2826</v>
      </c>
      <c r="F19" s="16"/>
      <c r="G19" s="18" t="s">
        <v>1361</v>
      </c>
      <c r="H19" s="16"/>
      <c r="I19" s="18" t="s">
        <v>3561</v>
      </c>
      <c r="J19" s="16"/>
      <c r="K19" s="18" t="s">
        <v>4301</v>
      </c>
      <c r="L19" s="16"/>
      <c r="M19" s="18" t="s">
        <v>4985</v>
      </c>
      <c r="N19" s="16"/>
      <c r="O19" s="18" t="s">
        <v>5715</v>
      </c>
      <c r="P19" s="16"/>
      <c r="Q19" s="18" t="s">
        <v>6376</v>
      </c>
      <c r="R19" s="16"/>
      <c r="S19" s="18"/>
      <c r="T19" s="21"/>
    </row>
    <row r="20" spans="1:20" ht="15.95" customHeight="1" x14ac:dyDescent="0.25">
      <c r="A20" s="18" t="s">
        <v>201</v>
      </c>
      <c r="B20" s="16"/>
      <c r="C20" s="18" t="s">
        <v>2109</v>
      </c>
      <c r="D20" s="16"/>
      <c r="E20" s="18" t="s">
        <v>2827</v>
      </c>
      <c r="F20" s="16"/>
      <c r="G20" s="18" t="s">
        <v>1362</v>
      </c>
      <c r="H20" s="16"/>
      <c r="I20" s="18" t="s">
        <v>3562</v>
      </c>
      <c r="J20" s="16"/>
      <c r="K20" s="18" t="s">
        <v>4302</v>
      </c>
      <c r="L20" s="16"/>
      <c r="M20" s="18" t="s">
        <v>4986</v>
      </c>
      <c r="N20" s="16"/>
      <c r="O20" s="18" t="s">
        <v>5716</v>
      </c>
      <c r="P20" s="16"/>
      <c r="Q20" s="18" t="s">
        <v>6377</v>
      </c>
      <c r="R20" s="16"/>
      <c r="S20" s="18"/>
      <c r="T20" s="21"/>
    </row>
    <row r="21" spans="1:20" ht="15.95" customHeight="1" x14ac:dyDescent="0.25">
      <c r="A21" s="18" t="s">
        <v>202</v>
      </c>
      <c r="B21" s="16"/>
      <c r="C21" s="18" t="s">
        <v>2110</v>
      </c>
      <c r="D21" s="16"/>
      <c r="E21" s="18" t="s">
        <v>2828</v>
      </c>
      <c r="F21" s="16"/>
      <c r="G21" s="18" t="s">
        <v>1363</v>
      </c>
      <c r="H21" s="16"/>
      <c r="I21" s="18" t="s">
        <v>3563</v>
      </c>
      <c r="J21" s="16"/>
      <c r="K21" s="18" t="s">
        <v>4303</v>
      </c>
      <c r="L21" s="16"/>
      <c r="M21" s="18" t="s">
        <v>4987</v>
      </c>
      <c r="N21" s="16"/>
      <c r="O21" s="18" t="s">
        <v>5717</v>
      </c>
      <c r="P21" s="16"/>
      <c r="Q21" s="18" t="s">
        <v>6378</v>
      </c>
      <c r="R21" s="16"/>
      <c r="S21" s="18"/>
      <c r="T21" s="21"/>
    </row>
    <row r="22" spans="1:20" ht="15.95" customHeight="1" x14ac:dyDescent="0.25">
      <c r="A22" s="18" t="s">
        <v>203</v>
      </c>
      <c r="B22" s="16"/>
      <c r="C22" s="18" t="s">
        <v>2111</v>
      </c>
      <c r="D22" s="16"/>
      <c r="E22" s="18" t="s">
        <v>2829</v>
      </c>
      <c r="F22" s="16"/>
      <c r="G22" s="18" t="s">
        <v>1364</v>
      </c>
      <c r="H22" s="16"/>
      <c r="I22" s="18" t="s">
        <v>3564</v>
      </c>
      <c r="J22" s="16"/>
      <c r="K22" s="18" t="s">
        <v>4304</v>
      </c>
      <c r="L22" s="16"/>
      <c r="M22" s="18" t="s">
        <v>4988</v>
      </c>
      <c r="N22" s="16"/>
      <c r="O22" s="18" t="s">
        <v>5718</v>
      </c>
      <c r="P22" s="16"/>
      <c r="Q22" s="18" t="s">
        <v>6379</v>
      </c>
      <c r="R22" s="16"/>
      <c r="S22" s="18"/>
      <c r="T22" s="21"/>
    </row>
    <row r="23" spans="1:20" ht="15.95" customHeight="1" x14ac:dyDescent="0.25">
      <c r="A23" s="18" t="s">
        <v>204</v>
      </c>
      <c r="B23" s="16"/>
      <c r="C23" s="18" t="s">
        <v>2112</v>
      </c>
      <c r="D23" s="16"/>
      <c r="E23" s="18" t="s">
        <v>2830</v>
      </c>
      <c r="F23" s="16"/>
      <c r="G23" s="18" t="s">
        <v>1365</v>
      </c>
      <c r="H23" s="16"/>
      <c r="I23" s="18" t="s">
        <v>3565</v>
      </c>
      <c r="J23" s="16"/>
      <c r="K23" s="18" t="s">
        <v>4305</v>
      </c>
      <c r="L23" s="16"/>
      <c r="M23" s="18" t="s">
        <v>4989</v>
      </c>
      <c r="N23" s="16"/>
      <c r="O23" s="18" t="s">
        <v>5719</v>
      </c>
      <c r="P23" s="16"/>
      <c r="Q23" s="18" t="s">
        <v>6380</v>
      </c>
      <c r="R23" s="16"/>
      <c r="S23" s="18"/>
      <c r="T23" s="21"/>
    </row>
    <row r="24" spans="1:20" ht="15.95" customHeight="1" x14ac:dyDescent="0.25">
      <c r="A24" s="18" t="s">
        <v>205</v>
      </c>
      <c r="B24" s="16"/>
      <c r="C24" s="18" t="s">
        <v>2113</v>
      </c>
      <c r="D24" s="16"/>
      <c r="E24" s="18" t="s">
        <v>2831</v>
      </c>
      <c r="F24" s="16"/>
      <c r="G24" s="18" t="s">
        <v>1366</v>
      </c>
      <c r="H24" s="16"/>
      <c r="I24" s="18" t="s">
        <v>3566</v>
      </c>
      <c r="J24" s="16"/>
      <c r="K24" s="18" t="s">
        <v>4306</v>
      </c>
      <c r="L24" s="16"/>
      <c r="M24" s="18" t="s">
        <v>4990</v>
      </c>
      <c r="N24" s="16"/>
      <c r="O24" s="18" t="s">
        <v>5720</v>
      </c>
      <c r="P24" s="16"/>
      <c r="Q24" s="18" t="s">
        <v>6381</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206</v>
      </c>
      <c r="B26" s="16"/>
      <c r="C26" s="18" t="s">
        <v>2114</v>
      </c>
      <c r="D26" s="16"/>
      <c r="E26" s="18" t="s">
        <v>2832</v>
      </c>
      <c r="F26" s="16"/>
      <c r="G26" s="18" t="s">
        <v>1367</v>
      </c>
      <c r="H26" s="16"/>
      <c r="I26" s="18" t="s">
        <v>3567</v>
      </c>
      <c r="J26" s="16"/>
      <c r="K26" s="18" t="s">
        <v>4307</v>
      </c>
      <c r="L26" s="16"/>
      <c r="M26" s="18" t="s">
        <v>4991</v>
      </c>
      <c r="N26" s="16"/>
      <c r="O26" s="18" t="s">
        <v>5721</v>
      </c>
      <c r="P26" s="16"/>
      <c r="Q26" s="18" t="s">
        <v>6382</v>
      </c>
      <c r="R26" s="16"/>
      <c r="S26" s="18"/>
      <c r="T26" s="21"/>
    </row>
    <row r="27" spans="1:20" ht="15.95" customHeight="1" x14ac:dyDescent="0.25">
      <c r="A27" s="18" t="s">
        <v>207</v>
      </c>
      <c r="B27" s="16"/>
      <c r="C27" s="18" t="s">
        <v>2115</v>
      </c>
      <c r="D27" s="16"/>
      <c r="E27" s="18" t="s">
        <v>2833</v>
      </c>
      <c r="F27" s="16"/>
      <c r="G27" s="18" t="s">
        <v>1368</v>
      </c>
      <c r="H27" s="16"/>
      <c r="I27" s="18" t="s">
        <v>3568</v>
      </c>
      <c r="J27" s="16"/>
      <c r="K27" s="18" t="s">
        <v>4308</v>
      </c>
      <c r="L27" s="16"/>
      <c r="M27" s="18" t="s">
        <v>4992</v>
      </c>
      <c r="N27" s="16"/>
      <c r="O27" s="18" t="s">
        <v>5722</v>
      </c>
      <c r="P27" s="16"/>
      <c r="Q27" s="18" t="s">
        <v>6383</v>
      </c>
      <c r="R27" s="16"/>
      <c r="S27" s="18"/>
      <c r="T27" s="21"/>
    </row>
    <row r="28" spans="1:20" ht="15.95" customHeight="1" x14ac:dyDescent="0.25">
      <c r="A28" s="18" t="s">
        <v>208</v>
      </c>
      <c r="B28" s="16"/>
      <c r="C28" s="18" t="s">
        <v>2116</v>
      </c>
      <c r="D28" s="16"/>
      <c r="E28" s="18" t="s">
        <v>2834</v>
      </c>
      <c r="F28" s="16"/>
      <c r="G28" s="18" t="s">
        <v>1369</v>
      </c>
      <c r="H28" s="16"/>
      <c r="I28" s="18" t="s">
        <v>3569</v>
      </c>
      <c r="J28" s="16"/>
      <c r="K28" s="18" t="s">
        <v>4309</v>
      </c>
      <c r="L28" s="16"/>
      <c r="M28" s="18" t="s">
        <v>4993</v>
      </c>
      <c r="N28" s="16"/>
      <c r="O28" s="18" t="s">
        <v>5723</v>
      </c>
      <c r="P28" s="16"/>
      <c r="Q28" s="18" t="s">
        <v>6384</v>
      </c>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4" priority="2" stopIfTrue="1">
      <formula>NOT(ISERROR(A3))</formula>
    </cfRule>
  </conditionalFormatting>
  <conditionalFormatting sqref="A3:T51">
    <cfRule type="containsErrors" dxfId="113" priority="1" stopIfTrue="1">
      <formula>ISERROR(A3)</formula>
    </cfRule>
    <cfRule type="notContainsBlanks" dxfId="112"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395</v>
      </c>
      <c r="B3" s="16" t="str">
        <f>TRIM(_xlfn.TEXTBEFORE(A3, ":"))</f>
        <v>Item Class</v>
      </c>
      <c r="C3" s="17" t="s">
        <v>2117</v>
      </c>
      <c r="D3" s="16" t="str">
        <f>TRIM(_xlfn.TEXTBEFORE(C3, ":"))</f>
        <v>Gegenstandsklasse</v>
      </c>
      <c r="E3" s="17" t="s">
        <v>2835</v>
      </c>
      <c r="F3" s="16" t="str">
        <f>TRIM(_xlfn.TEXTBEFORE(E3, ":"))</f>
        <v>Clase de objeto</v>
      </c>
      <c r="G3" s="17" t="s">
        <v>1370</v>
      </c>
      <c r="H3" s="16" t="str">
        <f>TRIM(_xlfn.TEXTBEFORE(G3, ":"))</f>
        <v>Classe d'objet</v>
      </c>
      <c r="I3" s="17" t="s">
        <v>3570</v>
      </c>
      <c r="J3" s="16" t="str">
        <f>TRIM(_xlfn.TEXTBEFORE(I3, ":"))</f>
        <v>アイテムクラス</v>
      </c>
      <c r="K3" s="17" t="s">
        <v>4310</v>
      </c>
      <c r="L3" s="16" t="str">
        <f>TRIM(_xlfn.TEXTBEFORE(K3, ":"))</f>
        <v>아이템 종류</v>
      </c>
      <c r="M3" s="17" t="s">
        <v>4994</v>
      </c>
      <c r="N3" s="16" t="str">
        <f>TRIM(_xlfn.TEXTBEFORE(M3, ":"))</f>
        <v>Classe do Item</v>
      </c>
      <c r="O3" s="17" t="s">
        <v>5724</v>
      </c>
      <c r="P3" s="16" t="str">
        <f>TRIM(_xlfn.TEXTBEFORE(O3, ":"))</f>
        <v>Класс предмета</v>
      </c>
      <c r="Q3" s="17" t="s">
        <v>6385</v>
      </c>
      <c r="R3" s="16" t="str">
        <f>TRIM(_xlfn.TEXTBEFORE(Q3, ":"))</f>
        <v>ชนิดไอเทม</v>
      </c>
      <c r="S3" s="17"/>
      <c r="T3" s="16" t="e">
        <f>TRIM(_xlfn.TEXTBEFORE(S3, ":"))</f>
        <v>#N/A</v>
      </c>
    </row>
    <row r="4" spans="1:20" ht="15.95" customHeight="1" x14ac:dyDescent="0.25">
      <c r="A4" s="18" t="s">
        <v>109</v>
      </c>
      <c r="B4" s="16" t="str">
        <f>TRIM(_xlfn.TEXTAFTER(A3, ":"))</f>
        <v>Warstaves</v>
      </c>
      <c r="C4" s="18" t="s">
        <v>1672</v>
      </c>
      <c r="D4" s="16" t="str">
        <f>TRIM(_xlfn.TEXTAFTER(C3, ":"))</f>
        <v>Kriegsstäbe</v>
      </c>
      <c r="E4" s="18" t="s">
        <v>2392</v>
      </c>
      <c r="F4" s="16" t="str">
        <f>TRIM(_xlfn.TEXTAFTER(E3, ":"))</f>
        <v>Báculos de guerra</v>
      </c>
      <c r="G4" s="18" t="s">
        <v>1</v>
      </c>
      <c r="H4" s="16" t="str">
        <f>TRIM(_xlfn.TEXTAFTER(G3, ":"))</f>
        <v>Bâtons de guerre</v>
      </c>
      <c r="I4" s="18" t="s">
        <v>3107</v>
      </c>
      <c r="J4" s="16" t="str">
        <f>TRIM(_xlfn.TEXTAFTER(I3, ":"))</f>
        <v>ウォースタッフ</v>
      </c>
      <c r="K4" s="18" t="s">
        <v>3857</v>
      </c>
      <c r="L4" s="16" t="str">
        <f>TRIM(_xlfn.TEXTAFTER(K3, ":"))</f>
        <v>전쟁지팡이</v>
      </c>
      <c r="M4" s="18" t="s">
        <v>4586</v>
      </c>
      <c r="N4" s="16" t="str">
        <f>TRIM(_xlfn.TEXTAFTER(M3, ":"))</f>
        <v>Cajados de Guerra</v>
      </c>
      <c r="O4" s="18" t="s">
        <v>5269</v>
      </c>
      <c r="P4" s="16" t="str">
        <f>TRIM(_xlfn.TEXTAFTER(O3, ":"))</f>
        <v>Воинские посохи</v>
      </c>
      <c r="Q4" s="18" t="s">
        <v>6006</v>
      </c>
      <c r="R4" s="16" t="str">
        <f>TRIM(_xlfn.TEXTAFTER(Q3, ":"))</f>
        <v>ไม้พลองสงคราม</v>
      </c>
      <c r="S4" s="18"/>
      <c r="T4" s="16" t="e">
        <f>TRIM(_xlfn.TEXTAFTER(S3, ":"))</f>
        <v>#N/A</v>
      </c>
    </row>
    <row r="5" spans="1:20" ht="15.95" customHeight="1" x14ac:dyDescent="0.25">
      <c r="A5" s="18" t="s">
        <v>396</v>
      </c>
      <c r="B5" s="16" t="str">
        <f>TRIM(_xlfn.TEXTBEFORE(A4, ":"))</f>
        <v>Rarity</v>
      </c>
      <c r="C5" s="18" t="s">
        <v>2118</v>
      </c>
      <c r="D5" s="16" t="str">
        <f>TRIM(_xlfn.TEXTBEFORE(C4, ":"))</f>
        <v>Seltenheit</v>
      </c>
      <c r="E5" s="18" t="s">
        <v>2836</v>
      </c>
      <c r="F5" s="16" t="str">
        <f>TRIM(_xlfn.TEXTBEFORE(E4, ":"))</f>
        <v>Rareza</v>
      </c>
      <c r="G5" s="18" t="s">
        <v>1371</v>
      </c>
      <c r="H5" s="16" t="str">
        <f>TRIM(_xlfn.TEXTBEFORE(G4, ":"))</f>
        <v>Rareté</v>
      </c>
      <c r="I5" s="18" t="s">
        <v>3571</v>
      </c>
      <c r="J5" s="16" t="str">
        <f>TRIM(_xlfn.TEXTBEFORE(I4, ":"))</f>
        <v>レアリティ</v>
      </c>
      <c r="K5" s="18" t="s">
        <v>4311</v>
      </c>
      <c r="L5" s="16" t="str">
        <f>TRIM(_xlfn.TEXTBEFORE(K4, ":"))</f>
        <v>아이템 희귀도</v>
      </c>
      <c r="M5" s="18" t="s">
        <v>4995</v>
      </c>
      <c r="N5" s="16" t="str">
        <f>TRIM(_xlfn.TEXTBEFORE(M4, ":"))</f>
        <v>Raridade</v>
      </c>
      <c r="O5" s="18" t="s">
        <v>5725</v>
      </c>
      <c r="P5" s="16" t="str">
        <f>TRIM(_xlfn.TEXTBEFORE(O4, ":"))</f>
        <v>Редкость</v>
      </c>
      <c r="Q5" s="18" t="s">
        <v>396</v>
      </c>
      <c r="R5" s="16" t="str">
        <f>TRIM(_xlfn.TEXTBEFORE(Q4, ":"))</f>
        <v>ความหายาก</v>
      </c>
      <c r="S5" s="18"/>
      <c r="T5" s="16" t="e">
        <f>TRIM(_xlfn.TEXTBEFORE(S4, ":"))</f>
        <v>#N/A</v>
      </c>
    </row>
    <row r="6" spans="1:20" ht="15.95" customHeight="1" x14ac:dyDescent="0.25">
      <c r="A6" s="18" t="s">
        <v>397</v>
      </c>
      <c r="B6" s="16" t="str">
        <f>TRIM(_xlfn.TEXTAFTER(A4,":"))</f>
        <v>Unique</v>
      </c>
      <c r="C6" s="18" t="s">
        <v>2119</v>
      </c>
      <c r="D6" s="16" t="str">
        <f>TRIM(_xlfn.TEXTAFTER(C4,":"))</f>
        <v>Einzigartig</v>
      </c>
      <c r="E6" s="18" t="s">
        <v>2837</v>
      </c>
      <c r="F6" s="16" t="str">
        <f>TRIM(_xlfn.TEXTAFTER(E4,":"))</f>
        <v>Único</v>
      </c>
      <c r="G6" s="18" t="s">
        <v>1372</v>
      </c>
      <c r="H6" s="16" t="str">
        <f>TRIM(_xlfn.TEXTAFTER(G4,":"))</f>
        <v>Unique</v>
      </c>
      <c r="I6" s="18" t="s">
        <v>3572</v>
      </c>
      <c r="J6" s="16" t="str">
        <f>TRIM(_xlfn.TEXTAFTER(I4,":"))</f>
        <v>ユニーク</v>
      </c>
      <c r="K6" s="18" t="s">
        <v>4312</v>
      </c>
      <c r="L6" s="16" t="str">
        <f>TRIM(_xlfn.TEXTAFTER(K4,":"))</f>
        <v>고유</v>
      </c>
      <c r="M6" s="18" t="s">
        <v>4996</v>
      </c>
      <c r="N6" s="16" t="str">
        <f>TRIM(_xlfn.TEXTAFTER(M4,":"))</f>
        <v>Único</v>
      </c>
      <c r="O6" s="18" t="s">
        <v>5726</v>
      </c>
      <c r="P6" s="16" t="str">
        <f>TRIM(_xlfn.TEXTAFTER(O4,":"))</f>
        <v>Уникальный</v>
      </c>
      <c r="Q6" s="18" t="s">
        <v>397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398</v>
      </c>
      <c r="B8" s="16"/>
      <c r="C8" s="18" t="s">
        <v>2120</v>
      </c>
      <c r="D8" s="16"/>
      <c r="E8" s="18" t="s">
        <v>2838</v>
      </c>
      <c r="F8" s="16"/>
      <c r="G8" s="18" t="s">
        <v>1373</v>
      </c>
      <c r="H8" s="16"/>
      <c r="I8" s="18" t="s">
        <v>3573</v>
      </c>
      <c r="J8" s="16"/>
      <c r="K8" s="18" t="s">
        <v>4313</v>
      </c>
      <c r="L8" s="16"/>
      <c r="M8" s="18" t="s">
        <v>4997</v>
      </c>
      <c r="N8" s="16"/>
      <c r="O8" s="18" t="s">
        <v>5727</v>
      </c>
      <c r="P8" s="16"/>
      <c r="Q8" s="18" t="s">
        <v>6386</v>
      </c>
      <c r="R8" s="16"/>
      <c r="S8" s="18"/>
      <c r="T8" s="16"/>
    </row>
    <row r="9" spans="1:20" ht="15.95" customHeight="1" x14ac:dyDescent="0.25">
      <c r="A9" s="18" t="s">
        <v>399</v>
      </c>
      <c r="B9" s="16"/>
      <c r="C9" s="18" t="s">
        <v>2121</v>
      </c>
      <c r="D9" s="16"/>
      <c r="E9" s="18" t="s">
        <v>2839</v>
      </c>
      <c r="F9" s="16"/>
      <c r="G9" s="18" t="s">
        <v>1374</v>
      </c>
      <c r="H9" s="16"/>
      <c r="I9" s="18" t="s">
        <v>3574</v>
      </c>
      <c r="J9" s="16"/>
      <c r="K9" s="18" t="s">
        <v>4314</v>
      </c>
      <c r="L9" s="16"/>
      <c r="M9" s="18" t="s">
        <v>4998</v>
      </c>
      <c r="N9" s="16"/>
      <c r="O9" s="18" t="s">
        <v>5728</v>
      </c>
      <c r="P9" s="16"/>
      <c r="Q9" s="18" t="s">
        <v>6387</v>
      </c>
      <c r="R9" s="16"/>
      <c r="S9" s="18"/>
      <c r="T9" s="16"/>
    </row>
    <row r="10" spans="1:20" ht="15.95" customHeight="1" x14ac:dyDescent="0.25">
      <c r="A10" s="18" t="s">
        <v>400</v>
      </c>
      <c r="B10" s="16"/>
      <c r="C10" s="18" t="s">
        <v>2122</v>
      </c>
      <c r="D10" s="16"/>
      <c r="E10" s="18" t="s">
        <v>2840</v>
      </c>
      <c r="F10" s="16"/>
      <c r="G10" s="18" t="s">
        <v>1375</v>
      </c>
      <c r="H10" s="16"/>
      <c r="I10" s="18" t="s">
        <v>3575</v>
      </c>
      <c r="J10" s="16"/>
      <c r="K10" s="18" t="s">
        <v>4315</v>
      </c>
      <c r="L10" s="16"/>
      <c r="M10" s="18" t="s">
        <v>4999</v>
      </c>
      <c r="N10" s="16"/>
      <c r="O10" s="18" t="s">
        <v>5729</v>
      </c>
      <c r="P10" s="16"/>
      <c r="Q10" s="18" t="s">
        <v>6388</v>
      </c>
      <c r="R10" s="16"/>
      <c r="S10" s="18"/>
      <c r="T10" s="16"/>
    </row>
    <row r="11" spans="1:20" ht="15.95" customHeight="1" x14ac:dyDescent="0.25">
      <c r="A11" s="18" t="s">
        <v>401</v>
      </c>
      <c r="B11" s="16"/>
      <c r="C11" s="18" t="s">
        <v>2123</v>
      </c>
      <c r="D11" s="16"/>
      <c r="E11" s="18" t="s">
        <v>2841</v>
      </c>
      <c r="F11" s="16"/>
      <c r="G11" s="18" t="s">
        <v>1376</v>
      </c>
      <c r="H11" s="16"/>
      <c r="I11" s="18" t="s">
        <v>3576</v>
      </c>
      <c r="J11" s="16"/>
      <c r="K11" s="18" t="s">
        <v>4316</v>
      </c>
      <c r="L11" s="16"/>
      <c r="M11" s="18" t="s">
        <v>5000</v>
      </c>
      <c r="N11" s="16"/>
      <c r="O11" s="18" t="s">
        <v>5730</v>
      </c>
      <c r="P11" s="16"/>
      <c r="Q11" s="18" t="s">
        <v>6389</v>
      </c>
      <c r="R11" s="16"/>
      <c r="S11" s="18"/>
      <c r="T11" s="16"/>
    </row>
    <row r="12" spans="1:20" ht="15.95" customHeight="1" x14ac:dyDescent="0.25">
      <c r="A12" s="18" t="s">
        <v>300</v>
      </c>
      <c r="B12" s="16"/>
      <c r="C12" s="18" t="s">
        <v>2091</v>
      </c>
      <c r="D12" s="16"/>
      <c r="E12" s="18" t="s">
        <v>2810</v>
      </c>
      <c r="F12" s="16"/>
      <c r="G12" s="18" t="s">
        <v>1345</v>
      </c>
      <c r="H12" s="16"/>
      <c r="I12" s="18" t="s">
        <v>3544</v>
      </c>
      <c r="J12" s="16"/>
      <c r="K12" s="18" t="s">
        <v>4284</v>
      </c>
      <c r="L12" s="16"/>
      <c r="M12" s="18" t="s">
        <v>4969</v>
      </c>
      <c r="N12" s="16"/>
      <c r="O12" s="18" t="s">
        <v>5699</v>
      </c>
      <c r="P12" s="16"/>
      <c r="Q12" s="18" t="s">
        <v>6362</v>
      </c>
      <c r="R12" s="16"/>
      <c r="S12" s="18"/>
      <c r="T12" s="21"/>
    </row>
    <row r="13" spans="1:20" ht="15.95" customHeight="1" x14ac:dyDescent="0.25">
      <c r="A13" s="18" t="s">
        <v>255</v>
      </c>
      <c r="B13" s="16"/>
      <c r="C13" s="18" t="s">
        <v>2092</v>
      </c>
      <c r="D13" s="16"/>
      <c r="E13" s="18" t="s">
        <v>2811</v>
      </c>
      <c r="F13" s="16"/>
      <c r="G13" s="18" t="s">
        <v>1346</v>
      </c>
      <c r="H13" s="16"/>
      <c r="I13" s="18" t="s">
        <v>3545</v>
      </c>
      <c r="J13" s="16"/>
      <c r="K13" s="18" t="s">
        <v>4285</v>
      </c>
      <c r="L13" s="16"/>
      <c r="M13" s="18" t="s">
        <v>4970</v>
      </c>
      <c r="N13" s="16"/>
      <c r="O13" s="18" t="s">
        <v>5700</v>
      </c>
      <c r="P13" s="16"/>
      <c r="Q13" s="18" t="s">
        <v>6363</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110</v>
      </c>
      <c r="B15" s="16"/>
      <c r="C15" s="18" t="s">
        <v>1618</v>
      </c>
      <c r="D15" s="16"/>
      <c r="E15" s="18" t="s">
        <v>2337</v>
      </c>
      <c r="F15" s="16"/>
      <c r="G15" s="18" t="s">
        <v>5</v>
      </c>
      <c r="H15" s="16"/>
      <c r="I15" s="18" t="s">
        <v>3047</v>
      </c>
      <c r="J15" s="16"/>
      <c r="K15" s="18" t="s">
        <v>3801</v>
      </c>
      <c r="L15" s="16"/>
      <c r="M15" s="18" t="s">
        <v>2337</v>
      </c>
      <c r="N15" s="16"/>
      <c r="O15" s="18" t="s">
        <v>5212</v>
      </c>
      <c r="P15" s="16"/>
      <c r="Q15" s="18" t="s">
        <v>5957</v>
      </c>
      <c r="R15" s="16"/>
      <c r="S15" s="18"/>
      <c r="T15" s="21"/>
    </row>
    <row r="16" spans="1:20" ht="15.95" customHeight="1" x14ac:dyDescent="0.25">
      <c r="A16" s="18" t="s">
        <v>301</v>
      </c>
      <c r="B16" s="16"/>
      <c r="C16" s="18" t="s">
        <v>2124</v>
      </c>
      <c r="D16" s="16"/>
      <c r="E16" s="18" t="s">
        <v>2842</v>
      </c>
      <c r="F16" s="16"/>
      <c r="G16" s="18" t="s">
        <v>1377</v>
      </c>
      <c r="H16" s="16"/>
      <c r="I16" s="18" t="s">
        <v>3577</v>
      </c>
      <c r="J16" s="16"/>
      <c r="K16" s="18" t="s">
        <v>4317</v>
      </c>
      <c r="L16" s="16"/>
      <c r="M16" s="18" t="s">
        <v>5001</v>
      </c>
      <c r="N16" s="16"/>
      <c r="O16" s="18" t="s">
        <v>5731</v>
      </c>
      <c r="P16" s="16"/>
      <c r="Q16" s="18" t="s">
        <v>6390</v>
      </c>
      <c r="R16" s="16"/>
      <c r="S16" s="18"/>
      <c r="T16" s="21"/>
    </row>
    <row r="17" spans="1:20" ht="15.95" customHeight="1" x14ac:dyDescent="0.25">
      <c r="A17" s="18" t="s">
        <v>402</v>
      </c>
      <c r="B17" s="16"/>
      <c r="C17" s="18" t="s">
        <v>402</v>
      </c>
      <c r="D17" s="16"/>
      <c r="E17" s="18" t="s">
        <v>2843</v>
      </c>
      <c r="F17" s="16"/>
      <c r="G17" s="18" t="s">
        <v>1378</v>
      </c>
      <c r="H17" s="16"/>
      <c r="I17" s="18" t="s">
        <v>3578</v>
      </c>
      <c r="J17" s="16"/>
      <c r="K17" s="18" t="s">
        <v>4318</v>
      </c>
      <c r="L17" s="16"/>
      <c r="M17" s="18" t="s">
        <v>1378</v>
      </c>
      <c r="N17" s="16"/>
      <c r="O17" s="18" t="s">
        <v>5732</v>
      </c>
      <c r="P17" s="16"/>
      <c r="Q17" s="18" t="s">
        <v>402</v>
      </c>
      <c r="R17" s="16"/>
      <c r="S17" s="18"/>
      <c r="T17" s="21"/>
    </row>
    <row r="18" spans="1:20" ht="15.95" customHeight="1" x14ac:dyDescent="0.25">
      <c r="A18" s="18" t="s">
        <v>403</v>
      </c>
      <c r="B18" s="16"/>
      <c r="C18" s="18" t="s">
        <v>403</v>
      </c>
      <c r="D18" s="16"/>
      <c r="E18" s="18" t="s">
        <v>403</v>
      </c>
      <c r="F18" s="16"/>
      <c r="G18" s="18" t="s">
        <v>403</v>
      </c>
      <c r="H18" s="16"/>
      <c r="I18" s="18" t="s">
        <v>3579</v>
      </c>
      <c r="J18" s="16"/>
      <c r="K18" s="18" t="s">
        <v>4319</v>
      </c>
      <c r="L18" s="16"/>
      <c r="M18" s="18" t="s">
        <v>403</v>
      </c>
      <c r="N18" s="16"/>
      <c r="O18" s="18" t="s">
        <v>5733</v>
      </c>
      <c r="P18" s="16"/>
      <c r="Q18" s="18" t="s">
        <v>403</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404</v>
      </c>
      <c r="B20" s="16"/>
      <c r="C20" s="18" t="s">
        <v>1818</v>
      </c>
      <c r="D20" s="16"/>
      <c r="E20" s="18" t="s">
        <v>2537</v>
      </c>
      <c r="F20" s="16"/>
      <c r="G20" s="18" t="s">
        <v>1086</v>
      </c>
      <c r="H20" s="16"/>
      <c r="I20" s="18" t="s">
        <v>3257</v>
      </c>
      <c r="J20" s="16"/>
      <c r="K20" s="18" t="s">
        <v>4003</v>
      </c>
      <c r="L20" s="16"/>
      <c r="M20" s="18" t="s">
        <v>4730</v>
      </c>
      <c r="N20" s="16"/>
      <c r="O20" s="18" t="s">
        <v>5417</v>
      </c>
      <c r="P20" s="16"/>
      <c r="Q20" s="18" t="s">
        <v>6140</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117</v>
      </c>
      <c r="B22" s="16"/>
      <c r="C22" s="18" t="s">
        <v>1742</v>
      </c>
      <c r="D22" s="16"/>
      <c r="E22" s="18" t="s">
        <v>2461</v>
      </c>
      <c r="F22" s="16"/>
      <c r="G22" s="18" t="s">
        <v>1010</v>
      </c>
      <c r="H22" s="16"/>
      <c r="I22" s="18" t="s">
        <v>3179</v>
      </c>
      <c r="J22" s="16"/>
      <c r="K22" s="18" t="s">
        <v>3926</v>
      </c>
      <c r="L22" s="16"/>
      <c r="M22" s="18" t="s">
        <v>4655</v>
      </c>
      <c r="N22" s="16"/>
      <c r="O22" s="18" t="s">
        <v>5340</v>
      </c>
      <c r="P22" s="16"/>
      <c r="Q22" s="18" t="s">
        <v>6072</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388</v>
      </c>
      <c r="B24" s="16"/>
      <c r="C24" s="18" t="s">
        <v>2093</v>
      </c>
      <c r="D24" s="16"/>
      <c r="E24" s="18" t="s">
        <v>2812</v>
      </c>
      <c r="F24" s="16"/>
      <c r="G24" s="18" t="s">
        <v>1347</v>
      </c>
      <c r="H24" s="16"/>
      <c r="I24" s="18" t="s">
        <v>3546</v>
      </c>
      <c r="J24" s="16"/>
      <c r="K24" s="18" t="s">
        <v>4286</v>
      </c>
      <c r="L24" s="16"/>
      <c r="M24" s="18" t="s">
        <v>4971</v>
      </c>
      <c r="N24" s="16"/>
      <c r="O24" s="18" t="s">
        <v>5701</v>
      </c>
      <c r="P24" s="16"/>
      <c r="Q24" s="18" t="s">
        <v>6364</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405</v>
      </c>
      <c r="B26" s="16"/>
      <c r="C26" s="18" t="s">
        <v>2125</v>
      </c>
      <c r="D26" s="16"/>
      <c r="E26" s="18" t="s">
        <v>2844</v>
      </c>
      <c r="F26" s="16"/>
      <c r="G26" s="18" t="s">
        <v>1379</v>
      </c>
      <c r="H26" s="16"/>
      <c r="I26" s="18" t="s">
        <v>3580</v>
      </c>
      <c r="J26" s="16"/>
      <c r="K26" s="18" t="s">
        <v>4320</v>
      </c>
      <c r="L26" s="16"/>
      <c r="M26" s="18" t="s">
        <v>5002</v>
      </c>
      <c r="N26" s="16"/>
      <c r="O26" s="18" t="s">
        <v>5734</v>
      </c>
      <c r="P26" s="16"/>
      <c r="Q26" s="18" t="s">
        <v>6391</v>
      </c>
      <c r="R26" s="16"/>
      <c r="S26" s="18"/>
      <c r="T26" s="21"/>
    </row>
    <row r="27" spans="1:20" ht="15.95" customHeight="1" x14ac:dyDescent="0.25">
      <c r="A27" s="18" t="s">
        <v>406</v>
      </c>
      <c r="B27" s="16"/>
      <c r="C27" s="18" t="s">
        <v>2126</v>
      </c>
      <c r="D27" s="16"/>
      <c r="E27" s="18" t="s">
        <v>2845</v>
      </c>
      <c r="F27" s="16"/>
      <c r="G27" s="18" t="s">
        <v>1380</v>
      </c>
      <c r="H27" s="16"/>
      <c r="I27" s="18" t="s">
        <v>3581</v>
      </c>
      <c r="J27" s="16"/>
      <c r="K27" s="18" t="s">
        <v>4321</v>
      </c>
      <c r="L27" s="16"/>
      <c r="M27" s="18" t="s">
        <v>5003</v>
      </c>
      <c r="N27" s="16"/>
      <c r="O27" s="18" t="s">
        <v>5735</v>
      </c>
      <c r="P27" s="16"/>
      <c r="Q27" s="18" t="s">
        <v>6392</v>
      </c>
      <c r="R27" s="16"/>
      <c r="S27" s="18"/>
      <c r="T27" s="21"/>
    </row>
    <row r="28" spans="1:20" ht="15.95" customHeight="1" x14ac:dyDescent="0.25">
      <c r="A28" s="18" t="s">
        <v>407</v>
      </c>
      <c r="B28" s="16"/>
      <c r="C28" s="18" t="s">
        <v>2127</v>
      </c>
      <c r="D28" s="16"/>
      <c r="E28" s="18" t="s">
        <v>2846</v>
      </c>
      <c r="F28" s="16"/>
      <c r="G28" s="18" t="s">
        <v>1381</v>
      </c>
      <c r="H28" s="16"/>
      <c r="I28" s="18" t="s">
        <v>3582</v>
      </c>
      <c r="J28" s="16"/>
      <c r="K28" s="18" t="s">
        <v>4322</v>
      </c>
      <c r="L28" s="16"/>
      <c r="M28" s="18" t="s">
        <v>5004</v>
      </c>
      <c r="N28" s="16"/>
      <c r="O28" s="18" t="s">
        <v>5736</v>
      </c>
      <c r="P28" s="16"/>
      <c r="Q28" s="18" t="s">
        <v>6393</v>
      </c>
      <c r="R28" s="16"/>
      <c r="S28" s="18"/>
      <c r="T28" s="21"/>
    </row>
    <row r="29" spans="1:20" ht="15.95" customHeight="1" x14ac:dyDescent="0.25">
      <c r="A29" s="18" t="s">
        <v>408</v>
      </c>
      <c r="B29" s="16"/>
      <c r="C29" s="18" t="s">
        <v>2128</v>
      </c>
      <c r="D29" s="16"/>
      <c r="E29" s="18" t="s">
        <v>2847</v>
      </c>
      <c r="F29" s="16"/>
      <c r="G29" s="18" t="s">
        <v>1382</v>
      </c>
      <c r="H29" s="16"/>
      <c r="I29" s="18" t="s">
        <v>3583</v>
      </c>
      <c r="J29" s="16"/>
      <c r="K29" s="18" t="s">
        <v>4323</v>
      </c>
      <c r="L29" s="16"/>
      <c r="M29" s="18" t="s">
        <v>5005</v>
      </c>
      <c r="N29" s="16"/>
      <c r="O29" s="18" t="s">
        <v>5737</v>
      </c>
      <c r="P29" s="16"/>
      <c r="Q29" s="18" t="s">
        <v>6394</v>
      </c>
      <c r="R29" s="16"/>
      <c r="S29" s="18"/>
      <c r="T29" s="21"/>
    </row>
    <row r="30" spans="1:20" ht="15.95" customHeight="1" x14ac:dyDescent="0.25">
      <c r="A30" s="18" t="s">
        <v>409</v>
      </c>
      <c r="B30" s="16"/>
      <c r="C30" s="18" t="s">
        <v>2129</v>
      </c>
      <c r="D30" s="16"/>
      <c r="E30" s="18" t="s">
        <v>2848</v>
      </c>
      <c r="F30" s="16"/>
      <c r="G30" s="18" t="s">
        <v>1383</v>
      </c>
      <c r="H30" s="16"/>
      <c r="I30" s="18" t="s">
        <v>3584</v>
      </c>
      <c r="J30" s="16"/>
      <c r="K30" s="18" t="s">
        <v>4324</v>
      </c>
      <c r="L30" s="16"/>
      <c r="M30" s="18" t="s">
        <v>5006</v>
      </c>
      <c r="N30" s="16"/>
      <c r="O30" s="18" t="s">
        <v>5738</v>
      </c>
      <c r="P30" s="16"/>
      <c r="Q30" s="18" t="s">
        <v>6395</v>
      </c>
      <c r="R30" s="16"/>
      <c r="S30" s="18"/>
      <c r="T30" s="21"/>
    </row>
    <row r="31" spans="1:20" ht="15.95" customHeight="1" x14ac:dyDescent="0.25">
      <c r="A31" s="18" t="s">
        <v>410</v>
      </c>
      <c r="B31" s="16"/>
      <c r="C31" s="18" t="s">
        <v>2130</v>
      </c>
      <c r="D31" s="16"/>
      <c r="E31" s="18" t="s">
        <v>2849</v>
      </c>
      <c r="F31" s="16"/>
      <c r="G31" s="18" t="s">
        <v>1384</v>
      </c>
      <c r="H31" s="16"/>
      <c r="I31" s="18" t="s">
        <v>3585</v>
      </c>
      <c r="J31" s="16"/>
      <c r="K31" s="18" t="s">
        <v>4325</v>
      </c>
      <c r="L31" s="16"/>
      <c r="M31" s="18" t="s">
        <v>5007</v>
      </c>
      <c r="N31" s="16"/>
      <c r="O31" s="18" t="s">
        <v>5739</v>
      </c>
      <c r="P31" s="16"/>
      <c r="Q31" s="18" t="s">
        <v>6396</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411</v>
      </c>
      <c r="B33" s="16"/>
      <c r="C33" s="18" t="s">
        <v>2131</v>
      </c>
      <c r="D33" s="16"/>
      <c r="E33" s="18" t="s">
        <v>2850</v>
      </c>
      <c r="F33" s="16"/>
      <c r="G33" s="18" t="s">
        <v>1385</v>
      </c>
      <c r="H33" s="16"/>
      <c r="I33" s="18" t="s">
        <v>3586</v>
      </c>
      <c r="J33" s="16"/>
      <c r="K33" s="18" t="s">
        <v>4326</v>
      </c>
      <c r="L33" s="16"/>
      <c r="M33" s="18" t="s">
        <v>5008</v>
      </c>
      <c r="N33" s="16"/>
      <c r="O33" s="18" t="s">
        <v>5740</v>
      </c>
      <c r="P33" s="16"/>
      <c r="Q33" s="18" t="s">
        <v>6397</v>
      </c>
      <c r="R33" s="16"/>
      <c r="S33" s="18"/>
      <c r="T33" s="21"/>
    </row>
    <row r="34" spans="1:20" ht="15.95" customHeight="1" x14ac:dyDescent="0.25">
      <c r="A34" s="22" t="s">
        <v>412</v>
      </c>
      <c r="B34" s="16"/>
      <c r="C34" s="18" t="s">
        <v>2132</v>
      </c>
      <c r="D34" s="16"/>
      <c r="E34" s="18" t="e" cm="1">
        <f t="array" ref="E34">- Arzobispo Geofri</f>
        <v>#NAME?</v>
      </c>
      <c r="F34" s="16"/>
      <c r="G34" s="18" t="s">
        <v>1386</v>
      </c>
      <c r="H34" s="16"/>
      <c r="I34" s="18" t="s">
        <v>3587</v>
      </c>
      <c r="J34" s="16"/>
      <c r="K34" s="18" t="e" cm="1">
        <f t="array" ref="K34">- 대주교 조프리</f>
        <v>#NAME?</v>
      </c>
      <c r="L34" s="16"/>
      <c r="M34" s="18" t="e" cm="1">
        <f t="array" ref="M34">- Arcebispo Geofri</f>
        <v>#NAME?</v>
      </c>
      <c r="N34" s="16"/>
      <c r="O34" s="18" t="s">
        <v>5741</v>
      </c>
      <c r="P34" s="16"/>
      <c r="Q34" s="18" t="e" cm="1">
        <f t="array" ref="Q34">- หัวหน้า​บาทหลวง​จ็อฟฟริ</f>
        <v>#NAME?</v>
      </c>
      <c r="R34" s="16"/>
      <c r="S34" s="18"/>
      <c r="T34" s="21"/>
    </row>
    <row r="35" spans="1:20" ht="15.95" customHeight="1" x14ac:dyDescent="0.25">
      <c r="A35" s="18"/>
      <c r="B35" s="16"/>
      <c r="C35" s="18"/>
      <c r="D35" s="16"/>
      <c r="E35" s="18"/>
      <c r="F35" s="16"/>
      <c r="G35" s="18" t="s">
        <v>1387</v>
      </c>
      <c r="H35" s="16"/>
      <c r="I35" s="18" t="s">
        <v>3588</v>
      </c>
      <c r="J35" s="16"/>
      <c r="K35" s="18"/>
      <c r="L35" s="16"/>
      <c r="M35" s="18"/>
      <c r="N35" s="16"/>
      <c r="O35" s="18" t="s">
        <v>5742</v>
      </c>
      <c r="P35" s="16"/>
      <c r="Q35" s="18"/>
      <c r="R35" s="16"/>
      <c r="S35" s="18"/>
      <c r="T35" s="21"/>
    </row>
    <row r="36" spans="1:20" ht="15.95" customHeight="1" x14ac:dyDescent="0.25">
      <c r="A36" s="18"/>
      <c r="B36" s="16"/>
      <c r="C36" s="18"/>
      <c r="D36" s="16"/>
      <c r="E36" s="18"/>
      <c r="F36" s="16"/>
      <c r="G36" s="18" t="s">
        <v>1388</v>
      </c>
      <c r="H36" s="16"/>
      <c r="I36" s="18"/>
      <c r="J36" s="16"/>
      <c r="K36" s="18"/>
      <c r="L36" s="16"/>
      <c r="M36" s="18"/>
      <c r="N36" s="16"/>
      <c r="O36" s="18" t="s">
        <v>5743</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1" priority="2" stopIfTrue="1">
      <formula>NOT(ISERROR(A3))</formula>
    </cfRule>
  </conditionalFormatting>
  <conditionalFormatting sqref="A3:T51">
    <cfRule type="containsErrors" dxfId="110" priority="1" stopIfTrue="1">
      <formula>ISERROR(A3)</formula>
    </cfRule>
    <cfRule type="notContainsBlanks" dxfId="109"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209</v>
      </c>
      <c r="B3" s="16" t="str">
        <f>TRIM(_xlfn.TEXTBEFORE(A3, ":"))</f>
        <v>Item Class</v>
      </c>
      <c r="C3" s="17" t="s">
        <v>2133</v>
      </c>
      <c r="D3" s="16" t="str">
        <f>TRIM(_xlfn.TEXTBEFORE(C3, ":"))</f>
        <v>Gegenstandsklasse</v>
      </c>
      <c r="E3" s="17" t="s">
        <v>2851</v>
      </c>
      <c r="F3" s="16" t="str">
        <f>TRIM(_xlfn.TEXTBEFORE(E3, ":"))</f>
        <v>Clase de objeto</v>
      </c>
      <c r="G3" s="17" t="s">
        <v>1389</v>
      </c>
      <c r="H3" s="16" t="str">
        <f>TRIM(_xlfn.TEXTBEFORE(G3, ":"))</f>
        <v>Classe d'objet</v>
      </c>
      <c r="I3" s="17" t="s">
        <v>3589</v>
      </c>
      <c r="J3" s="16" t="str">
        <f>TRIM(_xlfn.TEXTBEFORE(I3, ":"))</f>
        <v>アイテムクラス</v>
      </c>
      <c r="K3" s="17" t="s">
        <v>4327</v>
      </c>
      <c r="L3" s="16" t="str">
        <f>TRIM(_xlfn.TEXTBEFORE(K3, ":"))</f>
        <v>아이템 종류</v>
      </c>
      <c r="M3" s="17" t="s">
        <v>5009</v>
      </c>
      <c r="N3" s="16" t="str">
        <f>TRIM(_xlfn.TEXTBEFORE(M3, ":"))</f>
        <v>Classe do Item</v>
      </c>
      <c r="O3" s="17" t="s">
        <v>5744</v>
      </c>
      <c r="P3" s="16" t="str">
        <f>TRIM(_xlfn.TEXTBEFORE(O3, ":"))</f>
        <v>Класс предмета</v>
      </c>
      <c r="Q3" s="17" t="s">
        <v>6398</v>
      </c>
      <c r="R3" s="16" t="str">
        <f>TRIM(_xlfn.TEXTBEFORE(Q3, ":"))</f>
        <v>ชนิดไอเทม</v>
      </c>
      <c r="S3" s="17"/>
      <c r="T3" s="16" t="e">
        <f>TRIM(_xlfn.TEXTBEFORE(S3, ":"))</f>
        <v>#N/A</v>
      </c>
    </row>
    <row r="4" spans="1:20" ht="15.95" customHeight="1" x14ac:dyDescent="0.25">
      <c r="A4" s="18" t="s">
        <v>109</v>
      </c>
      <c r="B4" s="16" t="str">
        <f>TRIM(_xlfn.TEXTAFTER(A3, ":"))</f>
        <v>One Hand Swords</v>
      </c>
      <c r="C4" s="18" t="s">
        <v>1672</v>
      </c>
      <c r="D4" s="16" t="str">
        <f>TRIM(_xlfn.TEXTAFTER(C3, ":"))</f>
        <v>Einhandschwerter</v>
      </c>
      <c r="E4" s="18" t="s">
        <v>2392</v>
      </c>
      <c r="F4" s="16" t="str">
        <f>TRIM(_xlfn.TEXTAFTER(E3, ":"))</f>
        <v>Espadas a una mano</v>
      </c>
      <c r="G4" s="18" t="s">
        <v>1</v>
      </c>
      <c r="H4" s="16" t="str">
        <f>TRIM(_xlfn.TEXTAFTER(G3, ":"))</f>
        <v>Épées à une main</v>
      </c>
      <c r="I4" s="18" t="s">
        <v>3107</v>
      </c>
      <c r="J4" s="16" t="str">
        <f>TRIM(_xlfn.TEXTAFTER(I3, ":"))</f>
        <v>片手剣</v>
      </c>
      <c r="K4" s="18" t="s">
        <v>3857</v>
      </c>
      <c r="L4" s="16" t="str">
        <f>TRIM(_xlfn.TEXTAFTER(K3, ":"))</f>
        <v>한손 검</v>
      </c>
      <c r="M4" s="18" t="s">
        <v>4586</v>
      </c>
      <c r="N4" s="16" t="str">
        <f>TRIM(_xlfn.TEXTAFTER(M3, ":"))</f>
        <v>Espadas de Uma Mão</v>
      </c>
      <c r="O4" s="18" t="s">
        <v>5269</v>
      </c>
      <c r="P4" s="16" t="str">
        <f>TRIM(_xlfn.TEXTAFTER(O3, ":"))</f>
        <v>Одноручные мечи</v>
      </c>
      <c r="Q4" s="18" t="s">
        <v>6006</v>
      </c>
      <c r="R4" s="16" t="str">
        <f>TRIM(_xlfn.TEXTAFTER(Q3, ":"))</f>
        <v>ดาบมือเดียว</v>
      </c>
      <c r="S4" s="18"/>
      <c r="T4" s="16" t="e">
        <f>TRIM(_xlfn.TEXTAFTER(S3, ":"))</f>
        <v>#N/A</v>
      </c>
    </row>
    <row r="5" spans="1:20" ht="15.95" customHeight="1" x14ac:dyDescent="0.25">
      <c r="A5" s="18" t="s">
        <v>210</v>
      </c>
      <c r="B5" s="16" t="str">
        <f>TRIM(_xlfn.TEXTBEFORE(A4, ":"))</f>
        <v>Rarity</v>
      </c>
      <c r="C5" s="18" t="s">
        <v>210</v>
      </c>
      <c r="D5" s="16" t="str">
        <f>TRIM(_xlfn.TEXTBEFORE(C4, ":"))</f>
        <v>Seltenheit</v>
      </c>
      <c r="E5" s="18" t="s">
        <v>210</v>
      </c>
      <c r="F5" s="16" t="str">
        <f>TRIM(_xlfn.TEXTBEFORE(E4, ":"))</f>
        <v>Rareza</v>
      </c>
      <c r="G5" s="18" t="s">
        <v>210</v>
      </c>
      <c r="H5" s="16" t="str">
        <f>TRIM(_xlfn.TEXTBEFORE(G4, ":"))</f>
        <v>Rareté</v>
      </c>
      <c r="I5" s="18" t="s">
        <v>3590</v>
      </c>
      <c r="J5" s="16" t="str">
        <f>TRIM(_xlfn.TEXTBEFORE(I4, ":"))</f>
        <v>レアリティ</v>
      </c>
      <c r="K5" s="18" t="s">
        <v>4328</v>
      </c>
      <c r="L5" s="16" t="str">
        <f>TRIM(_xlfn.TEXTBEFORE(K4, ":"))</f>
        <v>아이템 희귀도</v>
      </c>
      <c r="M5" s="18" t="s">
        <v>210</v>
      </c>
      <c r="N5" s="16" t="str">
        <f>TRIM(_xlfn.TEXTBEFORE(M4, ":"))</f>
        <v>Raridade</v>
      </c>
      <c r="O5" s="18" t="s">
        <v>5745</v>
      </c>
      <c r="P5" s="16" t="str">
        <f>TRIM(_xlfn.TEXTBEFORE(O4, ":"))</f>
        <v>Редкость</v>
      </c>
      <c r="Q5" s="18" t="s">
        <v>210</v>
      </c>
      <c r="R5" s="16" t="str">
        <f>TRIM(_xlfn.TEXTBEFORE(Q4, ":"))</f>
        <v>ความหายาก</v>
      </c>
      <c r="S5" s="18"/>
      <c r="T5" s="16" t="e">
        <f>TRIM(_xlfn.TEXTBEFORE(S4, ":"))</f>
        <v>#N/A</v>
      </c>
    </row>
    <row r="6" spans="1:20" ht="15.95" customHeight="1" x14ac:dyDescent="0.25">
      <c r="A6" s="18" t="s">
        <v>211</v>
      </c>
      <c r="B6" s="16" t="str">
        <f>TRIM(_xlfn.TEXTAFTER(A4,":"))</f>
        <v>Unique</v>
      </c>
      <c r="C6" s="18" t="s">
        <v>2134</v>
      </c>
      <c r="D6" s="16" t="str">
        <f>TRIM(_xlfn.TEXTAFTER(C4,":"))</f>
        <v>Einzigartig</v>
      </c>
      <c r="E6" s="18" t="s">
        <v>2852</v>
      </c>
      <c r="F6" s="16" t="str">
        <f>TRIM(_xlfn.TEXTAFTER(E4,":"))</f>
        <v>Único</v>
      </c>
      <c r="G6" s="18" t="s">
        <v>1390</v>
      </c>
      <c r="H6" s="16" t="str">
        <f>TRIM(_xlfn.TEXTAFTER(G4,":"))</f>
        <v>Unique</v>
      </c>
      <c r="I6" s="18" t="s">
        <v>3591</v>
      </c>
      <c r="J6" s="16" t="str">
        <f>TRIM(_xlfn.TEXTAFTER(I4,":"))</f>
        <v>ユニーク</v>
      </c>
      <c r="K6" s="18" t="s">
        <v>4329</v>
      </c>
      <c r="L6" s="16" t="str">
        <f>TRIM(_xlfn.TEXTAFTER(K4,":"))</f>
        <v>고유</v>
      </c>
      <c r="M6" s="18" t="s">
        <v>5010</v>
      </c>
      <c r="N6" s="16" t="str">
        <f>TRIM(_xlfn.TEXTAFTER(M4,":"))</f>
        <v>Único</v>
      </c>
      <c r="O6" s="18" t="s">
        <v>5746</v>
      </c>
      <c r="P6" s="16" t="str">
        <f>TRIM(_xlfn.TEXTAFTER(O4,":"))</f>
        <v>Уникальный</v>
      </c>
      <c r="Q6" s="18" t="s">
        <v>211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212</v>
      </c>
      <c r="B8" s="16"/>
      <c r="C8" s="18" t="s">
        <v>2135</v>
      </c>
      <c r="D8" s="16"/>
      <c r="E8" s="18" t="s">
        <v>2853</v>
      </c>
      <c r="F8" s="16"/>
      <c r="G8" s="18" t="s">
        <v>1391</v>
      </c>
      <c r="H8" s="16"/>
      <c r="I8" s="18" t="s">
        <v>3592</v>
      </c>
      <c r="J8" s="16"/>
      <c r="K8" s="18" t="s">
        <v>4330</v>
      </c>
      <c r="L8" s="16"/>
      <c r="M8" s="18" t="s">
        <v>5011</v>
      </c>
      <c r="N8" s="16"/>
      <c r="O8" s="18" t="s">
        <v>5747</v>
      </c>
      <c r="P8" s="16"/>
      <c r="Q8" s="18" t="s">
        <v>6399</v>
      </c>
      <c r="R8" s="16"/>
      <c r="S8" s="18"/>
      <c r="T8" s="16"/>
    </row>
    <row r="9" spans="1:20" ht="15.95" customHeight="1" x14ac:dyDescent="0.25">
      <c r="A9" s="18" t="s">
        <v>213</v>
      </c>
      <c r="B9" s="16"/>
      <c r="C9" s="18" t="s">
        <v>2136</v>
      </c>
      <c r="D9" s="16"/>
      <c r="E9" s="18" t="s">
        <v>2854</v>
      </c>
      <c r="F9" s="16"/>
      <c r="G9" s="18" t="s">
        <v>1392</v>
      </c>
      <c r="H9" s="16"/>
      <c r="I9" s="18" t="s">
        <v>3593</v>
      </c>
      <c r="J9" s="16"/>
      <c r="K9" s="18" t="s">
        <v>4331</v>
      </c>
      <c r="L9" s="16"/>
      <c r="M9" s="18" t="s">
        <v>5012</v>
      </c>
      <c r="N9" s="16"/>
      <c r="O9" s="18" t="s">
        <v>5748</v>
      </c>
      <c r="P9" s="16"/>
      <c r="Q9" s="18" t="s">
        <v>6400</v>
      </c>
      <c r="R9" s="16"/>
      <c r="S9" s="18"/>
      <c r="T9" s="16"/>
    </row>
    <row r="10" spans="1:20" ht="15.95" customHeight="1" x14ac:dyDescent="0.25">
      <c r="A10" s="18" t="s">
        <v>214</v>
      </c>
      <c r="B10" s="16"/>
      <c r="C10" s="18" t="s">
        <v>2137</v>
      </c>
      <c r="D10" s="16"/>
      <c r="E10" s="18" t="s">
        <v>2855</v>
      </c>
      <c r="F10" s="16"/>
      <c r="G10" s="18" t="s">
        <v>1393</v>
      </c>
      <c r="H10" s="16"/>
      <c r="I10" s="18" t="s">
        <v>3594</v>
      </c>
      <c r="J10" s="16"/>
      <c r="K10" s="18" t="s">
        <v>4332</v>
      </c>
      <c r="L10" s="16"/>
      <c r="M10" s="18" t="s">
        <v>5013</v>
      </c>
      <c r="N10" s="16"/>
      <c r="O10" s="18" t="s">
        <v>5749</v>
      </c>
      <c r="P10" s="16"/>
      <c r="Q10" s="18" t="s">
        <v>6401</v>
      </c>
      <c r="R10" s="16"/>
      <c r="S10" s="18"/>
      <c r="T10" s="16"/>
    </row>
    <row r="11" spans="1:20" ht="15.95" customHeight="1" x14ac:dyDescent="0.25">
      <c r="A11" s="18" t="s">
        <v>215</v>
      </c>
      <c r="B11" s="16"/>
      <c r="C11" s="18" t="s">
        <v>2138</v>
      </c>
      <c r="D11" s="16"/>
      <c r="E11" s="18" t="s">
        <v>2856</v>
      </c>
      <c r="F11" s="16"/>
      <c r="G11" s="18" t="s">
        <v>1394</v>
      </c>
      <c r="H11" s="16"/>
      <c r="I11" s="18" t="s">
        <v>3595</v>
      </c>
      <c r="J11" s="16"/>
      <c r="K11" s="18" t="s">
        <v>4333</v>
      </c>
      <c r="L11" s="16"/>
      <c r="M11" s="18" t="s">
        <v>5014</v>
      </c>
      <c r="N11" s="16"/>
      <c r="O11" s="18" t="s">
        <v>5750</v>
      </c>
      <c r="P11" s="16"/>
      <c r="Q11" s="18" t="s">
        <v>6402</v>
      </c>
      <c r="R11" s="16"/>
      <c r="S11" s="18"/>
      <c r="T11" s="16"/>
    </row>
    <row r="12" spans="1:20" ht="15.95" customHeight="1" x14ac:dyDescent="0.25">
      <c r="A12" s="18" t="s">
        <v>135</v>
      </c>
      <c r="B12" s="16"/>
      <c r="C12" s="18" t="s">
        <v>2012</v>
      </c>
      <c r="D12" s="16"/>
      <c r="E12" s="18" t="s">
        <v>2733</v>
      </c>
      <c r="F12" s="16"/>
      <c r="G12" s="18" t="s">
        <v>1268</v>
      </c>
      <c r="H12" s="16"/>
      <c r="I12" s="18" t="s">
        <v>3460</v>
      </c>
      <c r="J12" s="16"/>
      <c r="K12" s="18" t="s">
        <v>4204</v>
      </c>
      <c r="L12" s="16"/>
      <c r="M12" s="18" t="s">
        <v>4951</v>
      </c>
      <c r="N12" s="16"/>
      <c r="O12" s="18" t="s">
        <v>5618</v>
      </c>
      <c r="P12" s="16"/>
      <c r="Q12" s="18" t="s">
        <v>6298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t="s">
        <v>5957</v>
      </c>
      <c r="R14" s="16"/>
      <c r="S14" s="18"/>
      <c r="T14" s="21"/>
    </row>
    <row r="15" spans="1:20" ht="15.95" customHeight="1" x14ac:dyDescent="0.25">
      <c r="A15" s="18" t="s">
        <v>216</v>
      </c>
      <c r="B15" s="16"/>
      <c r="C15" s="18" t="s">
        <v>2139</v>
      </c>
      <c r="D15" s="16"/>
      <c r="E15" s="18" t="s">
        <v>2857</v>
      </c>
      <c r="F15" s="16"/>
      <c r="G15" s="18" t="s">
        <v>1395</v>
      </c>
      <c r="H15" s="16"/>
      <c r="I15" s="18" t="s">
        <v>3596</v>
      </c>
      <c r="J15" s="16"/>
      <c r="K15" s="18" t="s">
        <v>4334</v>
      </c>
      <c r="L15" s="16"/>
      <c r="M15" s="18" t="s">
        <v>5015</v>
      </c>
      <c r="N15" s="16"/>
      <c r="O15" s="18" t="s">
        <v>5751</v>
      </c>
      <c r="P15" s="16"/>
      <c r="Q15" s="18" t="s">
        <v>6403</v>
      </c>
      <c r="R15" s="16"/>
      <c r="S15" s="18"/>
      <c r="T15" s="21"/>
    </row>
    <row r="16" spans="1:20" ht="15.95" customHeight="1" x14ac:dyDescent="0.25">
      <c r="A16" s="18" t="s">
        <v>217</v>
      </c>
      <c r="B16" s="16"/>
      <c r="C16" s="18" t="s">
        <v>217</v>
      </c>
      <c r="D16" s="16"/>
      <c r="E16" s="18" t="s">
        <v>2858</v>
      </c>
      <c r="F16" s="16"/>
      <c r="G16" s="18" t="s">
        <v>1396</v>
      </c>
      <c r="H16" s="16"/>
      <c r="I16" s="18" t="s">
        <v>3597</v>
      </c>
      <c r="J16" s="16"/>
      <c r="K16" s="18" t="s">
        <v>4335</v>
      </c>
      <c r="L16" s="16"/>
      <c r="M16" s="18" t="s">
        <v>1396</v>
      </c>
      <c r="N16" s="16"/>
      <c r="O16" s="18" t="s">
        <v>5752</v>
      </c>
      <c r="P16" s="16"/>
      <c r="Q16" s="18" t="s">
        <v>217</v>
      </c>
      <c r="R16" s="16"/>
      <c r="S16" s="18"/>
      <c r="T16" s="21"/>
    </row>
    <row r="17" spans="1:20" ht="15.95" customHeight="1" x14ac:dyDescent="0.25">
      <c r="A17" s="18" t="s">
        <v>218</v>
      </c>
      <c r="B17" s="16"/>
      <c r="C17" s="18" t="s">
        <v>2140</v>
      </c>
      <c r="D17" s="16"/>
      <c r="E17" s="18" t="s">
        <v>2859</v>
      </c>
      <c r="F17" s="16"/>
      <c r="G17" s="18" t="s">
        <v>218</v>
      </c>
      <c r="H17" s="16"/>
      <c r="I17" s="18" t="s">
        <v>3598</v>
      </c>
      <c r="J17" s="16"/>
      <c r="K17" s="18" t="s">
        <v>4336</v>
      </c>
      <c r="L17" s="16"/>
      <c r="M17" s="18" t="s">
        <v>2859</v>
      </c>
      <c r="N17" s="16"/>
      <c r="O17" s="18" t="s">
        <v>5753</v>
      </c>
      <c r="P17" s="16"/>
      <c r="Q17" s="18" t="s">
        <v>218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219</v>
      </c>
      <c r="B19" s="16"/>
      <c r="C19" s="18" t="s">
        <v>2141</v>
      </c>
      <c r="D19" s="16"/>
      <c r="E19" s="18" t="s">
        <v>2860</v>
      </c>
      <c r="F19" s="16"/>
      <c r="G19" s="18" t="s">
        <v>1397</v>
      </c>
      <c r="H19" s="16"/>
      <c r="I19" s="18" t="s">
        <v>3599</v>
      </c>
      <c r="J19" s="16"/>
      <c r="K19" s="18" t="s">
        <v>4337</v>
      </c>
      <c r="L19" s="16"/>
      <c r="M19" s="18" t="s">
        <v>5016</v>
      </c>
      <c r="N19" s="16"/>
      <c r="O19" s="18" t="s">
        <v>5754</v>
      </c>
      <c r="P19" s="16"/>
      <c r="Q19" s="18" t="s">
        <v>6404</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220</v>
      </c>
      <c r="B21" s="16"/>
      <c r="C21" s="18" t="s">
        <v>2142</v>
      </c>
      <c r="D21" s="16"/>
      <c r="E21" s="18" t="s">
        <v>2861</v>
      </c>
      <c r="F21" s="16"/>
      <c r="G21" s="18" t="s">
        <v>1398</v>
      </c>
      <c r="H21" s="16"/>
      <c r="I21" s="18" t="s">
        <v>3600</v>
      </c>
      <c r="J21" s="16"/>
      <c r="K21" s="18" t="s">
        <v>4338</v>
      </c>
      <c r="L21" s="16"/>
      <c r="M21" s="18" t="s">
        <v>5017</v>
      </c>
      <c r="N21" s="16"/>
      <c r="O21" s="18" t="s">
        <v>5755</v>
      </c>
      <c r="P21" s="16"/>
      <c r="Q21" s="18" t="s">
        <v>6405</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221</v>
      </c>
      <c r="B23" s="16"/>
      <c r="C23" s="18" t="s">
        <v>2143</v>
      </c>
      <c r="D23" s="16"/>
      <c r="E23" s="18" t="s">
        <v>2862</v>
      </c>
      <c r="F23" s="16"/>
      <c r="G23" s="18" t="s">
        <v>1399</v>
      </c>
      <c r="H23" s="16"/>
      <c r="I23" s="18" t="s">
        <v>3601</v>
      </c>
      <c r="J23" s="16"/>
      <c r="K23" s="18" t="s">
        <v>4339</v>
      </c>
      <c r="L23" s="16"/>
      <c r="M23" s="18" t="s">
        <v>5018</v>
      </c>
      <c r="N23" s="16"/>
      <c r="O23" s="18" t="s">
        <v>5756</v>
      </c>
      <c r="P23" s="16"/>
      <c r="Q23" s="18" t="s">
        <v>6406</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222</v>
      </c>
      <c r="B25" s="16"/>
      <c r="C25" s="18" t="s">
        <v>2144</v>
      </c>
      <c r="D25" s="16"/>
      <c r="E25" s="18" t="s">
        <v>2863</v>
      </c>
      <c r="F25" s="16"/>
      <c r="G25" s="18" t="s">
        <v>1400</v>
      </c>
      <c r="H25" s="16"/>
      <c r="I25" s="18" t="s">
        <v>3602</v>
      </c>
      <c r="J25" s="16"/>
      <c r="K25" s="18" t="s">
        <v>4340</v>
      </c>
      <c r="L25" s="16"/>
      <c r="M25" s="18" t="s">
        <v>5019</v>
      </c>
      <c r="N25" s="16"/>
      <c r="O25" s="18" t="s">
        <v>5757</v>
      </c>
      <c r="P25" s="16"/>
      <c r="Q25" s="18" t="s">
        <v>6407</v>
      </c>
      <c r="R25" s="16"/>
      <c r="S25" s="18"/>
      <c r="T25" s="21"/>
    </row>
    <row r="26" spans="1:20" ht="15.95" customHeight="1" x14ac:dyDescent="0.25">
      <c r="A26" s="18" t="s">
        <v>223</v>
      </c>
      <c r="B26" s="16"/>
      <c r="C26" s="18" t="s">
        <v>2145</v>
      </c>
      <c r="D26" s="16"/>
      <c r="E26" s="18" t="s">
        <v>2864</v>
      </c>
      <c r="F26" s="16"/>
      <c r="G26" s="18" t="s">
        <v>1401</v>
      </c>
      <c r="H26" s="16"/>
      <c r="I26" s="18" t="s">
        <v>3603</v>
      </c>
      <c r="J26" s="16"/>
      <c r="K26" s="18" t="s">
        <v>4341</v>
      </c>
      <c r="L26" s="16"/>
      <c r="M26" s="18" t="s">
        <v>5020</v>
      </c>
      <c r="N26" s="16"/>
      <c r="O26" s="18" t="s">
        <v>5758</v>
      </c>
      <c r="P26" s="16"/>
      <c r="Q26" s="18" t="s">
        <v>6408</v>
      </c>
      <c r="R26" s="16"/>
      <c r="S26" s="18"/>
      <c r="T26" s="21"/>
    </row>
    <row r="27" spans="1:20" ht="15.95" customHeight="1" x14ac:dyDescent="0.25">
      <c r="A27" s="18" t="s">
        <v>224</v>
      </c>
      <c r="B27" s="16"/>
      <c r="C27" s="18" t="s">
        <v>2146</v>
      </c>
      <c r="D27" s="16"/>
      <c r="E27" s="18" t="s">
        <v>2865</v>
      </c>
      <c r="F27" s="16"/>
      <c r="G27" s="18" t="s">
        <v>1402</v>
      </c>
      <c r="H27" s="16"/>
      <c r="I27" s="18" t="s">
        <v>3604</v>
      </c>
      <c r="J27" s="16"/>
      <c r="K27" s="18" t="s">
        <v>4342</v>
      </c>
      <c r="L27" s="16"/>
      <c r="M27" s="18" t="s">
        <v>5021</v>
      </c>
      <c r="N27" s="16"/>
      <c r="O27" s="18" t="s">
        <v>5759</v>
      </c>
      <c r="P27" s="16"/>
      <c r="Q27" s="18" t="s">
        <v>6409</v>
      </c>
      <c r="R27" s="16"/>
      <c r="S27" s="18"/>
      <c r="T27" s="21"/>
    </row>
    <row r="28" spans="1:20" ht="15.95" customHeight="1" x14ac:dyDescent="0.25">
      <c r="A28" s="18" t="s">
        <v>225</v>
      </c>
      <c r="B28" s="16"/>
      <c r="C28" s="18" t="s">
        <v>2147</v>
      </c>
      <c r="D28" s="16"/>
      <c r="E28" s="18" t="s">
        <v>2866</v>
      </c>
      <c r="F28" s="16"/>
      <c r="G28" s="18" t="s">
        <v>1403</v>
      </c>
      <c r="H28" s="16"/>
      <c r="I28" s="18" t="s">
        <v>3605</v>
      </c>
      <c r="J28" s="16"/>
      <c r="K28" s="18" t="s">
        <v>4343</v>
      </c>
      <c r="L28" s="16"/>
      <c r="M28" s="18" t="s">
        <v>5022</v>
      </c>
      <c r="N28" s="16"/>
      <c r="O28" s="18" t="s">
        <v>5760</v>
      </c>
      <c r="P28" s="16"/>
      <c r="Q28" s="18" t="s">
        <v>6410</v>
      </c>
      <c r="R28" s="16"/>
      <c r="S28" s="18"/>
      <c r="T28" s="21"/>
    </row>
    <row r="29" spans="1:20" ht="15.95" customHeight="1" x14ac:dyDescent="0.25">
      <c r="A29" s="18" t="s">
        <v>226</v>
      </c>
      <c r="B29" s="16"/>
      <c r="C29" s="18" t="s">
        <v>2148</v>
      </c>
      <c r="D29" s="16"/>
      <c r="E29" s="18" t="s">
        <v>2867</v>
      </c>
      <c r="F29" s="16"/>
      <c r="G29" s="18" t="s">
        <v>1404</v>
      </c>
      <c r="H29" s="16"/>
      <c r="I29" s="18" t="s">
        <v>3606</v>
      </c>
      <c r="J29" s="16"/>
      <c r="K29" s="18" t="s">
        <v>4344</v>
      </c>
      <c r="L29" s="16"/>
      <c r="M29" s="18" t="s">
        <v>5023</v>
      </c>
      <c r="N29" s="16"/>
      <c r="O29" s="18" t="s">
        <v>5761</v>
      </c>
      <c r="P29" s="16"/>
      <c r="Q29" s="18" t="s">
        <v>6411</v>
      </c>
      <c r="R29" s="16"/>
      <c r="S29" s="18"/>
      <c r="T29" s="21"/>
    </row>
    <row r="30" spans="1:20" ht="15.95" customHeight="1" x14ac:dyDescent="0.25">
      <c r="A30" s="18" t="s">
        <v>227</v>
      </c>
      <c r="B30" s="16"/>
      <c r="C30" s="18" t="s">
        <v>2149</v>
      </c>
      <c r="D30" s="16"/>
      <c r="E30" s="18" t="s">
        <v>2868</v>
      </c>
      <c r="F30" s="16"/>
      <c r="G30" s="18" t="s">
        <v>1405</v>
      </c>
      <c r="H30" s="16"/>
      <c r="I30" s="18" t="s">
        <v>3607</v>
      </c>
      <c r="J30" s="16"/>
      <c r="K30" s="18" t="s">
        <v>4345</v>
      </c>
      <c r="L30" s="16"/>
      <c r="M30" s="18" t="s">
        <v>5024</v>
      </c>
      <c r="N30" s="16"/>
      <c r="O30" s="18" t="s">
        <v>5762</v>
      </c>
      <c r="P30" s="16"/>
      <c r="Q30" s="18" t="s">
        <v>6412</v>
      </c>
      <c r="R30" s="16"/>
      <c r="S30" s="18"/>
      <c r="T30" s="21"/>
    </row>
    <row r="31" spans="1:20" ht="15.95" customHeight="1" x14ac:dyDescent="0.25">
      <c r="A31" s="18" t="s">
        <v>228</v>
      </c>
      <c r="B31" s="16"/>
      <c r="C31" s="18" t="s">
        <v>2150</v>
      </c>
      <c r="D31" s="16"/>
      <c r="E31" s="18" t="s">
        <v>2869</v>
      </c>
      <c r="F31" s="16"/>
      <c r="G31" s="18" t="s">
        <v>1406</v>
      </c>
      <c r="H31" s="16"/>
      <c r="I31" s="18" t="s">
        <v>3608</v>
      </c>
      <c r="J31" s="16"/>
      <c r="K31" s="18" t="s">
        <v>4346</v>
      </c>
      <c r="L31" s="16"/>
      <c r="M31" s="18" t="s">
        <v>5025</v>
      </c>
      <c r="N31" s="16"/>
      <c r="O31" s="18" t="s">
        <v>5763</v>
      </c>
      <c r="P31" s="16"/>
      <c r="Q31" s="18" t="s">
        <v>6413</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229</v>
      </c>
      <c r="B33" s="16"/>
      <c r="C33" s="18" t="s">
        <v>2151</v>
      </c>
      <c r="D33" s="16"/>
      <c r="E33" s="18" t="s">
        <v>2870</v>
      </c>
      <c r="F33" s="16"/>
      <c r="G33" s="18" t="s">
        <v>1407</v>
      </c>
      <c r="H33" s="16"/>
      <c r="I33" s="18" t="s">
        <v>3609</v>
      </c>
      <c r="J33" s="16"/>
      <c r="K33" s="18" t="s">
        <v>4347</v>
      </c>
      <c r="L33" s="16"/>
      <c r="M33" s="18" t="s">
        <v>5026</v>
      </c>
      <c r="N33" s="16"/>
      <c r="O33" s="18" t="s">
        <v>5764</v>
      </c>
      <c r="P33" s="16"/>
      <c r="Q33" s="18" t="s">
        <v>6414</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8" priority="2" stopIfTrue="1">
      <formula>NOT(ISERROR(A3))</formula>
    </cfRule>
  </conditionalFormatting>
  <conditionalFormatting sqref="A3:T51">
    <cfRule type="containsErrors" dxfId="107" priority="1" stopIfTrue="1">
      <formula>ISERROR(A3)</formula>
    </cfRule>
    <cfRule type="notContainsBlanks" dxfId="106"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dimension ref="A1:T51"/>
  <sheetViews>
    <sheetView workbookViewId="0">
      <selection activeCell="Q3" sqref="Q3:Q3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230</v>
      </c>
      <c r="B3" s="16" t="str">
        <f>TRIM(_xlfn.TEXTBEFORE(A3, ":"))</f>
        <v>Item Class</v>
      </c>
      <c r="C3" s="17" t="s">
        <v>2152</v>
      </c>
      <c r="D3" s="16" t="str">
        <f>TRIM(_xlfn.TEXTBEFORE(C3, ":"))</f>
        <v>Gegenstandsklasse</v>
      </c>
      <c r="E3" s="17" t="s">
        <v>2871</v>
      </c>
      <c r="F3" s="16" t="str">
        <f>TRIM(_xlfn.TEXTBEFORE(E3, ":"))</f>
        <v>Clase de objeto</v>
      </c>
      <c r="G3" s="17" t="s">
        <v>1408</v>
      </c>
      <c r="H3" s="16" t="str">
        <f>TRIM(_xlfn.TEXTBEFORE(G3, ":"))</f>
        <v>Classe d'objet</v>
      </c>
      <c r="I3" s="17" t="s">
        <v>3610</v>
      </c>
      <c r="J3" s="16" t="str">
        <f>TRIM(_xlfn.TEXTBEFORE(I3, ":"))</f>
        <v>アイテムクラス</v>
      </c>
      <c r="K3" s="17" t="s">
        <v>4348</v>
      </c>
      <c r="L3" s="16" t="str">
        <f>TRIM(_xlfn.TEXTBEFORE(K3, ":"))</f>
        <v>아이템 종류</v>
      </c>
      <c r="M3" s="17" t="s">
        <v>5027</v>
      </c>
      <c r="N3" s="16" t="str">
        <f>TRIM(_xlfn.TEXTBEFORE(M3, ":"))</f>
        <v>Classe do Item</v>
      </c>
      <c r="O3" s="17" t="s">
        <v>5765</v>
      </c>
      <c r="P3" s="16" t="str">
        <f>TRIM(_xlfn.TEXTBEFORE(O3, ":"))</f>
        <v>Класс предмета</v>
      </c>
      <c r="Q3" s="17" t="s">
        <v>6415</v>
      </c>
      <c r="R3" s="16" t="str">
        <f>TRIM(_xlfn.TEXTBEFORE(Q3, ":"))</f>
        <v>ชนิดไอเทม</v>
      </c>
      <c r="S3" s="17"/>
      <c r="T3" s="16" t="e">
        <f>TRIM(_xlfn.TEXTBEFORE(S3, ":"))</f>
        <v>#N/A</v>
      </c>
    </row>
    <row r="4" spans="1:20" ht="15.95" customHeight="1" x14ac:dyDescent="0.25">
      <c r="A4" s="18" t="s">
        <v>109</v>
      </c>
      <c r="B4" s="16" t="str">
        <f>TRIM(_xlfn.TEXTAFTER(A3, ":"))</f>
        <v>Thrusting One Hand Swords</v>
      </c>
      <c r="C4" s="18" t="s">
        <v>1672</v>
      </c>
      <c r="D4" s="16" t="str">
        <f>TRIM(_xlfn.TEXTAFTER(C3, ":"))</f>
        <v>Einhandstichschwerter</v>
      </c>
      <c r="E4" s="18" t="s">
        <v>2392</v>
      </c>
      <c r="F4" s="16" t="str">
        <f>TRIM(_xlfn.TEXTAFTER(E3, ":"))</f>
        <v>Espadas agresivas a una mano</v>
      </c>
      <c r="G4" s="18" t="s">
        <v>1</v>
      </c>
      <c r="H4" s="16" t="str">
        <f>TRIM(_xlfn.TEXTAFTER(G3, ":"))</f>
        <v>Épées d'estoc à une main</v>
      </c>
      <c r="I4" s="18" t="s">
        <v>3107</v>
      </c>
      <c r="J4" s="16" t="str">
        <f>TRIM(_xlfn.TEXTAFTER(I3, ":"))</f>
        <v>刺突剣</v>
      </c>
      <c r="K4" s="18" t="s">
        <v>3857</v>
      </c>
      <c r="L4" s="16" t="str">
        <f>TRIM(_xlfn.TEXTAFTER(K3, ":"))</f>
        <v>날카로운 한손 검</v>
      </c>
      <c r="M4" s="18" t="s">
        <v>4586</v>
      </c>
      <c r="N4" s="16" t="str">
        <f>TRIM(_xlfn.TEXTAFTER(M3, ":"))</f>
        <v>Espadas de Estocada de Uma Mão</v>
      </c>
      <c r="O4" s="18" t="s">
        <v>5269</v>
      </c>
      <c r="P4" s="16" t="str">
        <f>TRIM(_xlfn.TEXTAFTER(O3, ":"))</f>
        <v>Шпаги</v>
      </c>
      <c r="Q4" s="18" t="s">
        <v>6006</v>
      </c>
      <c r="R4" s="16" t="str">
        <f>TRIM(_xlfn.TEXTAFTER(Q3, ":"))</f>
        <v>ดาบแทง</v>
      </c>
      <c r="S4" s="18"/>
      <c r="T4" s="16" t="e">
        <f>TRIM(_xlfn.TEXTAFTER(S3, ":"))</f>
        <v>#N/A</v>
      </c>
    </row>
    <row r="5" spans="1:20" ht="15.95" customHeight="1" x14ac:dyDescent="0.25">
      <c r="A5" s="18" t="s">
        <v>231</v>
      </c>
      <c r="B5" s="16" t="str">
        <f>TRIM(_xlfn.TEXTBEFORE(A4, ":"))</f>
        <v>Rarity</v>
      </c>
      <c r="C5" s="18" t="s">
        <v>231</v>
      </c>
      <c r="D5" s="16" t="str">
        <f>TRIM(_xlfn.TEXTBEFORE(C4, ":"))</f>
        <v>Seltenheit</v>
      </c>
      <c r="E5" s="18" t="s">
        <v>231</v>
      </c>
      <c r="F5" s="16" t="str">
        <f>TRIM(_xlfn.TEXTBEFORE(E4, ":"))</f>
        <v>Rareza</v>
      </c>
      <c r="G5" s="18" t="s">
        <v>231</v>
      </c>
      <c r="H5" s="16" t="str">
        <f>TRIM(_xlfn.TEXTBEFORE(G4, ":"))</f>
        <v>Rareté</v>
      </c>
      <c r="I5" s="18" t="s">
        <v>3611</v>
      </c>
      <c r="J5" s="16" t="str">
        <f>TRIM(_xlfn.TEXTBEFORE(I4, ":"))</f>
        <v>レアリティ</v>
      </c>
      <c r="K5" s="18" t="s">
        <v>4349</v>
      </c>
      <c r="L5" s="16" t="str">
        <f>TRIM(_xlfn.TEXTBEFORE(K4, ":"))</f>
        <v>아이템 희귀도</v>
      </c>
      <c r="M5" s="18" t="s">
        <v>231</v>
      </c>
      <c r="N5" s="16" t="str">
        <f>TRIM(_xlfn.TEXTBEFORE(M4, ":"))</f>
        <v>Raridade</v>
      </c>
      <c r="O5" s="18" t="s">
        <v>5766</v>
      </c>
      <c r="P5" s="16" t="str">
        <f>TRIM(_xlfn.TEXTBEFORE(O4, ":"))</f>
        <v>Редкость</v>
      </c>
      <c r="Q5" s="18" t="s">
        <v>231</v>
      </c>
      <c r="R5" s="16" t="str">
        <f>TRIM(_xlfn.TEXTBEFORE(Q4, ":"))</f>
        <v>ความหายาก</v>
      </c>
      <c r="S5" s="18"/>
      <c r="T5" s="16" t="e">
        <f>TRIM(_xlfn.TEXTBEFORE(S4, ":"))</f>
        <v>#N/A</v>
      </c>
    </row>
    <row r="6" spans="1:20" ht="15.95" customHeight="1" x14ac:dyDescent="0.25">
      <c r="A6" s="18" t="s">
        <v>232</v>
      </c>
      <c r="B6" s="16" t="str">
        <f>TRIM(_xlfn.TEXTAFTER(A4,":"))</f>
        <v>Unique</v>
      </c>
      <c r="C6" s="18" t="s">
        <v>2153</v>
      </c>
      <c r="D6" s="16" t="str">
        <f>TRIM(_xlfn.TEXTAFTER(C4,":"))</f>
        <v>Einzigartig</v>
      </c>
      <c r="E6" s="18" t="s">
        <v>2872</v>
      </c>
      <c r="F6" s="16" t="str">
        <f>TRIM(_xlfn.TEXTAFTER(E4,":"))</f>
        <v>Único</v>
      </c>
      <c r="G6" s="18" t="s">
        <v>1409</v>
      </c>
      <c r="H6" s="16" t="str">
        <f>TRIM(_xlfn.TEXTAFTER(G4,":"))</f>
        <v>Unique</v>
      </c>
      <c r="I6" s="18" t="s">
        <v>3612</v>
      </c>
      <c r="J6" s="16" t="str">
        <f>TRIM(_xlfn.TEXTAFTER(I4,":"))</f>
        <v>ユニーク</v>
      </c>
      <c r="K6" s="18" t="s">
        <v>4350</v>
      </c>
      <c r="L6" s="16" t="str">
        <f>TRIM(_xlfn.TEXTAFTER(K4,":"))</f>
        <v>고유</v>
      </c>
      <c r="M6" s="18" t="s">
        <v>5028</v>
      </c>
      <c r="N6" s="16" t="str">
        <f>TRIM(_xlfn.TEXTAFTER(M4,":"))</f>
        <v>Único</v>
      </c>
      <c r="O6" s="18" t="s">
        <v>5767</v>
      </c>
      <c r="P6" s="16" t="str">
        <f>TRIM(_xlfn.TEXTAFTER(O4,":"))</f>
        <v>Уникальный</v>
      </c>
      <c r="Q6" s="18" t="s">
        <v>232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212</v>
      </c>
      <c r="B8" s="16"/>
      <c r="C8" s="18" t="s">
        <v>2135</v>
      </c>
      <c r="D8" s="16"/>
      <c r="E8" s="18" t="s">
        <v>2853</v>
      </c>
      <c r="F8" s="16"/>
      <c r="G8" s="18" t="s">
        <v>1391</v>
      </c>
      <c r="H8" s="16"/>
      <c r="I8" s="18" t="s">
        <v>3592</v>
      </c>
      <c r="J8" s="16"/>
      <c r="K8" s="18" t="s">
        <v>4330</v>
      </c>
      <c r="L8" s="16"/>
      <c r="M8" s="18" t="s">
        <v>5011</v>
      </c>
      <c r="N8" s="16"/>
      <c r="O8" s="18" t="s">
        <v>5747</v>
      </c>
      <c r="P8" s="16"/>
      <c r="Q8" s="18" t="s">
        <v>6399</v>
      </c>
      <c r="R8" s="16"/>
      <c r="S8" s="18"/>
      <c r="T8" s="16"/>
    </row>
    <row r="9" spans="1:20" ht="15.95" customHeight="1" x14ac:dyDescent="0.25">
      <c r="A9" s="18" t="s">
        <v>233</v>
      </c>
      <c r="B9" s="16"/>
      <c r="C9" s="18" t="s">
        <v>2154</v>
      </c>
      <c r="D9" s="16"/>
      <c r="E9" s="18" t="s">
        <v>2873</v>
      </c>
      <c r="F9" s="16"/>
      <c r="G9" s="18" t="s">
        <v>1410</v>
      </c>
      <c r="H9" s="16"/>
      <c r="I9" s="18" t="s">
        <v>3613</v>
      </c>
      <c r="J9" s="16"/>
      <c r="K9" s="18" t="s">
        <v>4351</v>
      </c>
      <c r="L9" s="16"/>
      <c r="M9" s="18" t="s">
        <v>5029</v>
      </c>
      <c r="N9" s="16"/>
      <c r="O9" s="18" t="s">
        <v>5768</v>
      </c>
      <c r="P9" s="16"/>
      <c r="Q9" s="18" t="s">
        <v>6416</v>
      </c>
      <c r="R9" s="16"/>
      <c r="S9" s="18"/>
      <c r="T9" s="16"/>
    </row>
    <row r="10" spans="1:20" ht="15.95" customHeight="1" x14ac:dyDescent="0.25">
      <c r="A10" s="18" t="s">
        <v>234</v>
      </c>
      <c r="B10" s="16"/>
      <c r="C10" s="18" t="s">
        <v>2155</v>
      </c>
      <c r="D10" s="16"/>
      <c r="E10" s="18" t="s">
        <v>2874</v>
      </c>
      <c r="F10" s="16"/>
      <c r="G10" s="18" t="s">
        <v>1411</v>
      </c>
      <c r="H10" s="16"/>
      <c r="I10" s="18" t="s">
        <v>3614</v>
      </c>
      <c r="J10" s="16"/>
      <c r="K10" s="18" t="s">
        <v>4352</v>
      </c>
      <c r="L10" s="16"/>
      <c r="M10" s="18" t="s">
        <v>5030</v>
      </c>
      <c r="N10" s="16"/>
      <c r="O10" s="18" t="s">
        <v>5769</v>
      </c>
      <c r="P10" s="16"/>
      <c r="Q10" s="18" t="s">
        <v>6417</v>
      </c>
      <c r="R10" s="16"/>
      <c r="S10" s="18"/>
      <c r="T10" s="16"/>
    </row>
    <row r="11" spans="1:20" ht="15.95" customHeight="1" x14ac:dyDescent="0.25">
      <c r="A11" s="18" t="s">
        <v>235</v>
      </c>
      <c r="B11" s="16"/>
      <c r="C11" s="18" t="s">
        <v>2156</v>
      </c>
      <c r="D11" s="16"/>
      <c r="E11" s="18" t="s">
        <v>2875</v>
      </c>
      <c r="F11" s="16"/>
      <c r="G11" s="18" t="s">
        <v>1412</v>
      </c>
      <c r="H11" s="16"/>
      <c r="I11" s="18" t="s">
        <v>3615</v>
      </c>
      <c r="J11" s="16"/>
      <c r="K11" s="18" t="s">
        <v>4353</v>
      </c>
      <c r="L11" s="16"/>
      <c r="M11" s="18" t="s">
        <v>5031</v>
      </c>
      <c r="N11" s="16"/>
      <c r="O11" s="18" t="s">
        <v>5770</v>
      </c>
      <c r="P11" s="16"/>
      <c r="Q11" s="18" t="s">
        <v>6418</v>
      </c>
      <c r="R11" s="16"/>
      <c r="S11" s="18"/>
      <c r="T11" s="16"/>
    </row>
    <row r="12" spans="1:20" ht="15.95" customHeight="1" x14ac:dyDescent="0.25">
      <c r="A12" s="18" t="s">
        <v>236</v>
      </c>
      <c r="B12" s="16"/>
      <c r="C12" s="18" t="s">
        <v>2157</v>
      </c>
      <c r="D12" s="16"/>
      <c r="E12" s="18" t="s">
        <v>2876</v>
      </c>
      <c r="F12" s="16"/>
      <c r="G12" s="18" t="s">
        <v>1413</v>
      </c>
      <c r="H12" s="16"/>
      <c r="I12" s="18" t="s">
        <v>3616</v>
      </c>
      <c r="J12" s="16"/>
      <c r="K12" s="18" t="s">
        <v>4354</v>
      </c>
      <c r="L12" s="16"/>
      <c r="M12" s="18" t="s">
        <v>5032</v>
      </c>
      <c r="N12" s="16"/>
      <c r="O12" s="18" t="s">
        <v>5771</v>
      </c>
      <c r="P12" s="16"/>
      <c r="Q12" s="18" t="s">
        <v>6419</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t="s">
        <v>5957</v>
      </c>
      <c r="R14" s="16"/>
      <c r="S14" s="18"/>
      <c r="T14" s="21"/>
    </row>
    <row r="15" spans="1:20" ht="15.95" customHeight="1" x14ac:dyDescent="0.25">
      <c r="A15" s="18" t="s">
        <v>237</v>
      </c>
      <c r="B15" s="16"/>
      <c r="C15" s="18" t="s">
        <v>2158</v>
      </c>
      <c r="D15" s="16"/>
      <c r="E15" s="18" t="s">
        <v>2877</v>
      </c>
      <c r="F15" s="16"/>
      <c r="G15" s="18" t="s">
        <v>1414</v>
      </c>
      <c r="H15" s="16"/>
      <c r="I15" s="18" t="s">
        <v>3617</v>
      </c>
      <c r="J15" s="16"/>
      <c r="K15" s="18" t="s">
        <v>4355</v>
      </c>
      <c r="L15" s="16"/>
      <c r="M15" s="18" t="s">
        <v>5033</v>
      </c>
      <c r="N15" s="16"/>
      <c r="O15" s="18" t="s">
        <v>5772</v>
      </c>
      <c r="P15" s="16"/>
      <c r="Q15" s="18" t="s">
        <v>6420</v>
      </c>
      <c r="R15" s="16"/>
      <c r="S15" s="18"/>
      <c r="T15" s="21"/>
    </row>
    <row r="16" spans="1:20" ht="15.95" customHeight="1" x14ac:dyDescent="0.25">
      <c r="A16" s="18" t="s">
        <v>238</v>
      </c>
      <c r="B16" s="16"/>
      <c r="C16" s="18" t="s">
        <v>2159</v>
      </c>
      <c r="D16" s="16"/>
      <c r="E16" s="18" t="s">
        <v>2878</v>
      </c>
      <c r="F16" s="16"/>
      <c r="G16" s="18" t="s">
        <v>238</v>
      </c>
      <c r="H16" s="16"/>
      <c r="I16" s="18" t="s">
        <v>3618</v>
      </c>
      <c r="J16" s="16"/>
      <c r="K16" s="18" t="s">
        <v>4356</v>
      </c>
      <c r="L16" s="16"/>
      <c r="M16" s="18" t="s">
        <v>2878</v>
      </c>
      <c r="N16" s="16"/>
      <c r="O16" s="18" t="s">
        <v>5773</v>
      </c>
      <c r="P16" s="16"/>
      <c r="Q16" s="18" t="s">
        <v>238</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239</v>
      </c>
      <c r="B18" s="16"/>
      <c r="C18" s="18" t="s">
        <v>2160</v>
      </c>
      <c r="D18" s="16"/>
      <c r="E18" s="18" t="s">
        <v>2879</v>
      </c>
      <c r="F18" s="16"/>
      <c r="G18" s="18" t="s">
        <v>1415</v>
      </c>
      <c r="H18" s="16"/>
      <c r="I18" s="18" t="s">
        <v>3619</v>
      </c>
      <c r="J18" s="16"/>
      <c r="K18" s="18" t="s">
        <v>4357</v>
      </c>
      <c r="L18" s="16"/>
      <c r="M18" s="18" t="s">
        <v>5034</v>
      </c>
      <c r="N18" s="16"/>
      <c r="O18" s="18" t="s">
        <v>5774</v>
      </c>
      <c r="P18" s="16"/>
      <c r="Q18" s="18" t="s">
        <v>6421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240</v>
      </c>
      <c r="B20" s="16"/>
      <c r="C20" s="18" t="s">
        <v>2000</v>
      </c>
      <c r="D20" s="16"/>
      <c r="E20" s="18" t="s">
        <v>2721</v>
      </c>
      <c r="F20" s="16"/>
      <c r="G20" s="18" t="s">
        <v>1256</v>
      </c>
      <c r="H20" s="16"/>
      <c r="I20" s="18" t="s">
        <v>3448</v>
      </c>
      <c r="J20" s="16"/>
      <c r="K20" s="18" t="s">
        <v>4192</v>
      </c>
      <c r="L20" s="16"/>
      <c r="M20" s="18" t="s">
        <v>4899</v>
      </c>
      <c r="N20" s="16"/>
      <c r="O20" s="18" t="s">
        <v>5606</v>
      </c>
      <c r="P20" s="16"/>
      <c r="Q20" s="18" t="s">
        <v>6288</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241</v>
      </c>
      <c r="B22" s="16"/>
      <c r="C22" s="18" t="s">
        <v>2161</v>
      </c>
      <c r="D22" s="16"/>
      <c r="E22" s="18" t="s">
        <v>2880</v>
      </c>
      <c r="F22" s="16"/>
      <c r="G22" s="18" t="s">
        <v>1416</v>
      </c>
      <c r="H22" s="16"/>
      <c r="I22" s="18" t="s">
        <v>3620</v>
      </c>
      <c r="J22" s="16"/>
      <c r="K22" s="18" t="s">
        <v>4358</v>
      </c>
      <c r="L22" s="16"/>
      <c r="M22" s="18" t="s">
        <v>5035</v>
      </c>
      <c r="N22" s="16"/>
      <c r="O22" s="18" t="s">
        <v>5775</v>
      </c>
      <c r="P22" s="16"/>
      <c r="Q22" s="18" t="s">
        <v>6422</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242</v>
      </c>
      <c r="B24" s="16"/>
      <c r="C24" s="18" t="s">
        <v>2162</v>
      </c>
      <c r="D24" s="16"/>
      <c r="E24" s="18" t="s">
        <v>2881</v>
      </c>
      <c r="F24" s="16"/>
      <c r="G24" s="18" t="s">
        <v>1417</v>
      </c>
      <c r="H24" s="16"/>
      <c r="I24" s="18" t="s">
        <v>3621</v>
      </c>
      <c r="J24" s="16"/>
      <c r="K24" s="18" t="s">
        <v>4359</v>
      </c>
      <c r="L24" s="16"/>
      <c r="M24" s="18" t="s">
        <v>5036</v>
      </c>
      <c r="N24" s="16"/>
      <c r="O24" s="18" t="s">
        <v>5776</v>
      </c>
      <c r="P24" s="16"/>
      <c r="Q24" s="18" t="s">
        <v>6423</v>
      </c>
      <c r="R24" s="16"/>
      <c r="S24" s="18"/>
      <c r="T24" s="21"/>
    </row>
    <row r="25" spans="1:20" ht="15.95" customHeight="1" x14ac:dyDescent="0.25">
      <c r="A25" s="18" t="s">
        <v>243</v>
      </c>
      <c r="B25" s="16"/>
      <c r="C25" s="18" t="s">
        <v>2163</v>
      </c>
      <c r="D25" s="16"/>
      <c r="E25" s="18" t="s">
        <v>2882</v>
      </c>
      <c r="F25" s="16"/>
      <c r="G25" s="18" t="s">
        <v>1418</v>
      </c>
      <c r="H25" s="16"/>
      <c r="I25" s="18" t="s">
        <v>3622</v>
      </c>
      <c r="J25" s="16"/>
      <c r="K25" s="18" t="s">
        <v>4360</v>
      </c>
      <c r="L25" s="16"/>
      <c r="M25" s="18" t="s">
        <v>5037</v>
      </c>
      <c r="N25" s="16"/>
      <c r="O25" s="18" t="s">
        <v>5777</v>
      </c>
      <c r="P25" s="16"/>
      <c r="Q25" s="18" t="s">
        <v>6424</v>
      </c>
      <c r="R25" s="16"/>
      <c r="S25" s="18"/>
      <c r="T25" s="21"/>
    </row>
    <row r="26" spans="1:20" ht="15.95" customHeight="1" x14ac:dyDescent="0.25">
      <c r="A26" s="18" t="s">
        <v>244</v>
      </c>
      <c r="B26" s="16"/>
      <c r="C26" s="18" t="s">
        <v>2164</v>
      </c>
      <c r="D26" s="16"/>
      <c r="E26" s="18" t="s">
        <v>2883</v>
      </c>
      <c r="F26" s="16"/>
      <c r="G26" s="18" t="s">
        <v>1419</v>
      </c>
      <c r="H26" s="16"/>
      <c r="I26" s="18" t="s">
        <v>3623</v>
      </c>
      <c r="J26" s="16"/>
      <c r="K26" s="18" t="s">
        <v>4361</v>
      </c>
      <c r="L26" s="16"/>
      <c r="M26" s="18" t="s">
        <v>5038</v>
      </c>
      <c r="N26" s="16"/>
      <c r="O26" s="18" t="s">
        <v>5778</v>
      </c>
      <c r="P26" s="16"/>
      <c r="Q26" s="18" t="s">
        <v>6425</v>
      </c>
      <c r="R26" s="16"/>
      <c r="S26" s="18"/>
      <c r="T26" s="21"/>
    </row>
    <row r="27" spans="1:20" ht="15.95" customHeight="1" x14ac:dyDescent="0.25">
      <c r="A27" s="18" t="s">
        <v>245</v>
      </c>
      <c r="B27" s="16"/>
      <c r="C27" s="18" t="s">
        <v>2165</v>
      </c>
      <c r="D27" s="16"/>
      <c r="E27" s="18" t="s">
        <v>2884</v>
      </c>
      <c r="F27" s="16"/>
      <c r="G27" s="18" t="s">
        <v>1420</v>
      </c>
      <c r="H27" s="16"/>
      <c r="I27" s="18" t="s">
        <v>3624</v>
      </c>
      <c r="J27" s="16"/>
      <c r="K27" s="18" t="s">
        <v>4362</v>
      </c>
      <c r="L27" s="16"/>
      <c r="M27" s="18" t="s">
        <v>5039</v>
      </c>
      <c r="N27" s="16"/>
      <c r="O27" s="18" t="s">
        <v>5779</v>
      </c>
      <c r="P27" s="16"/>
      <c r="Q27" s="18" t="s">
        <v>6426</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246</v>
      </c>
      <c r="B29" s="16"/>
      <c r="C29" s="18" t="s">
        <v>2166</v>
      </c>
      <c r="D29" s="16"/>
      <c r="E29" s="18" t="s">
        <v>2885</v>
      </c>
      <c r="F29" s="16"/>
      <c r="G29" s="18" t="s">
        <v>1421</v>
      </c>
      <c r="H29" s="16"/>
      <c r="I29" s="18" t="s">
        <v>3625</v>
      </c>
      <c r="J29" s="16"/>
      <c r="K29" s="18" t="s">
        <v>4363</v>
      </c>
      <c r="L29" s="16"/>
      <c r="M29" s="18" t="s">
        <v>5040</v>
      </c>
      <c r="N29" s="16"/>
      <c r="O29" s="18" t="s">
        <v>5780</v>
      </c>
      <c r="P29" s="16"/>
      <c r="Q29" s="18" t="s">
        <v>6427</v>
      </c>
      <c r="R29" s="16"/>
      <c r="S29" s="18"/>
      <c r="T29" s="21"/>
    </row>
    <row r="30" spans="1:20" ht="15.95" customHeight="1" x14ac:dyDescent="0.25">
      <c r="A30" s="18" t="s">
        <v>247</v>
      </c>
      <c r="B30" s="16"/>
      <c r="C30" s="18" t="s">
        <v>2167</v>
      </c>
      <c r="D30" s="16"/>
      <c r="E30" s="18" t="s">
        <v>2886</v>
      </c>
      <c r="F30" s="16"/>
      <c r="G30" s="18" t="s">
        <v>1422</v>
      </c>
      <c r="H30" s="16"/>
      <c r="I30" s="18" t="s">
        <v>3626</v>
      </c>
      <c r="J30" s="16"/>
      <c r="K30" s="18" t="s">
        <v>4364</v>
      </c>
      <c r="L30" s="16"/>
      <c r="M30" s="18" t="s">
        <v>5041</v>
      </c>
      <c r="N30" s="16"/>
      <c r="O30" s="18" t="s">
        <v>5781</v>
      </c>
      <c r="P30" s="16"/>
      <c r="Q30" s="18" t="s">
        <v>6428</v>
      </c>
      <c r="R30" s="16"/>
      <c r="S30" s="18"/>
      <c r="T30" s="21"/>
    </row>
    <row r="31" spans="1:20" ht="15.95" customHeight="1" x14ac:dyDescent="0.25">
      <c r="A31" s="18" t="s">
        <v>248</v>
      </c>
      <c r="B31" s="16"/>
      <c r="C31" s="18" t="s">
        <v>2168</v>
      </c>
      <c r="D31" s="16"/>
      <c r="E31" s="18" t="s">
        <v>2887</v>
      </c>
      <c r="F31" s="16"/>
      <c r="G31" s="18" t="s">
        <v>1423</v>
      </c>
      <c r="H31" s="16"/>
      <c r="I31" s="18" t="s">
        <v>3627</v>
      </c>
      <c r="J31" s="16"/>
      <c r="K31" s="18" t="s">
        <v>4365</v>
      </c>
      <c r="L31" s="16"/>
      <c r="M31" s="18" t="s">
        <v>5042</v>
      </c>
      <c r="N31" s="16"/>
      <c r="O31" s="18" t="s">
        <v>5782</v>
      </c>
      <c r="P31" s="16"/>
      <c r="Q31" s="18" t="s">
        <v>6429</v>
      </c>
      <c r="R31" s="16"/>
      <c r="S31" s="18"/>
      <c r="T31" s="21"/>
    </row>
    <row r="32" spans="1:20" ht="15.95" customHeight="1" x14ac:dyDescent="0.25">
      <c r="A32" s="18"/>
      <c r="B32" s="16"/>
      <c r="C32" s="18" t="s">
        <v>2169</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5" priority="2" stopIfTrue="1">
      <formula>NOT(ISERROR(A3))</formula>
    </cfRule>
  </conditionalFormatting>
  <conditionalFormatting sqref="A3:T51">
    <cfRule type="containsErrors" dxfId="104" priority="1" stopIfTrue="1">
      <formula>ISERROR(A3)</formula>
    </cfRule>
    <cfRule type="notContainsBlanks" dxfId="103"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249</v>
      </c>
      <c r="B3" s="16" t="str">
        <f>TRIM(_xlfn.TEXTBEFORE(A3, ":"))</f>
        <v>Item Class</v>
      </c>
      <c r="C3" s="17" t="s">
        <v>2170</v>
      </c>
      <c r="D3" s="16" t="str">
        <f>TRIM(_xlfn.TEXTBEFORE(C3, ":"))</f>
        <v>Gegenstandsklasse</v>
      </c>
      <c r="E3" s="17" t="s">
        <v>2888</v>
      </c>
      <c r="F3" s="16" t="str">
        <f>TRIM(_xlfn.TEXTBEFORE(E3, ":"))</f>
        <v>Clase de objeto</v>
      </c>
      <c r="G3" s="17" t="s">
        <v>1424</v>
      </c>
      <c r="H3" s="16" t="str">
        <f>TRIM(_xlfn.TEXTBEFORE(G3, ":"))</f>
        <v>Classe d'objet</v>
      </c>
      <c r="I3" s="17" t="s">
        <v>3628</v>
      </c>
      <c r="J3" s="16" t="str">
        <f>TRIM(_xlfn.TEXTBEFORE(I3, ":"))</f>
        <v>アイテムクラス</v>
      </c>
      <c r="K3" s="17" t="s">
        <v>4366</v>
      </c>
      <c r="L3" s="16" t="str">
        <f>TRIM(_xlfn.TEXTBEFORE(K3, ":"))</f>
        <v>아이템 종류</v>
      </c>
      <c r="M3" s="17" t="s">
        <v>5043</v>
      </c>
      <c r="N3" s="16" t="str">
        <f>TRIM(_xlfn.TEXTBEFORE(M3, ":"))</f>
        <v>Classe do Item</v>
      </c>
      <c r="O3" s="17" t="s">
        <v>5783</v>
      </c>
      <c r="P3" s="16" t="str">
        <f>TRIM(_xlfn.TEXTBEFORE(O3, ":"))</f>
        <v>Класс предмета</v>
      </c>
      <c r="Q3" s="17" t="s">
        <v>6430</v>
      </c>
      <c r="R3" s="16" t="str">
        <f>TRIM(_xlfn.TEXTBEFORE(Q3, ":"))</f>
        <v>ชนิดไอเทม</v>
      </c>
      <c r="S3" s="17"/>
      <c r="T3" s="16" t="e">
        <f>TRIM(_xlfn.TEXTBEFORE(S3, ":"))</f>
        <v>#N/A</v>
      </c>
    </row>
    <row r="4" spans="1:20" ht="15.95" customHeight="1" x14ac:dyDescent="0.25">
      <c r="A4" s="18" t="s">
        <v>109</v>
      </c>
      <c r="B4" s="16" t="str">
        <f>TRIM(_xlfn.TEXTAFTER(A3, ":"))</f>
        <v>Two Hand Swords</v>
      </c>
      <c r="C4" s="18" t="s">
        <v>1672</v>
      </c>
      <c r="D4" s="16" t="str">
        <f>TRIM(_xlfn.TEXTAFTER(C3, ":"))</f>
        <v>Zweihandschwerter</v>
      </c>
      <c r="E4" s="18" t="s">
        <v>2392</v>
      </c>
      <c r="F4" s="16" t="str">
        <f>TRIM(_xlfn.TEXTAFTER(E3, ":"))</f>
        <v>Espadas a dos manos</v>
      </c>
      <c r="G4" s="18" t="s">
        <v>1</v>
      </c>
      <c r="H4" s="16" t="str">
        <f>TRIM(_xlfn.TEXTAFTER(G3, ":"))</f>
        <v>Épées à deux mains</v>
      </c>
      <c r="I4" s="18" t="s">
        <v>3107</v>
      </c>
      <c r="J4" s="16" t="str">
        <f>TRIM(_xlfn.TEXTAFTER(I3, ":"))</f>
        <v>両手剣</v>
      </c>
      <c r="K4" s="18" t="s">
        <v>3857</v>
      </c>
      <c r="L4" s="16" t="str">
        <f>TRIM(_xlfn.TEXTAFTER(K3, ":"))</f>
        <v>양손 검</v>
      </c>
      <c r="M4" s="18" t="s">
        <v>4586</v>
      </c>
      <c r="N4" s="16" t="str">
        <f>TRIM(_xlfn.TEXTAFTER(M3, ":"))</f>
        <v>Espadas de Duas Mãos</v>
      </c>
      <c r="O4" s="18" t="s">
        <v>5269</v>
      </c>
      <c r="P4" s="16" t="str">
        <f>TRIM(_xlfn.TEXTAFTER(O3, ":"))</f>
        <v>Двуручные мечи</v>
      </c>
      <c r="Q4" s="18" t="s">
        <v>6006</v>
      </c>
      <c r="R4" s="16" t="str">
        <f>TRIM(_xlfn.TEXTAFTER(Q3, ":"))</f>
        <v>ดาบสองมือ</v>
      </c>
      <c r="S4" s="18"/>
      <c r="T4" s="16" t="e">
        <f>TRIM(_xlfn.TEXTAFTER(S3, ":"))</f>
        <v>#N/A</v>
      </c>
    </row>
    <row r="5" spans="1:20" ht="15.95" customHeight="1" x14ac:dyDescent="0.25">
      <c r="A5" s="18" t="s">
        <v>250</v>
      </c>
      <c r="B5" s="16" t="str">
        <f>TRIM(_xlfn.TEXTBEFORE(A4, ":"))</f>
        <v>Rarity</v>
      </c>
      <c r="C5" s="18" t="s">
        <v>250</v>
      </c>
      <c r="D5" s="16" t="str">
        <f>TRIM(_xlfn.TEXTBEFORE(C4, ":"))</f>
        <v>Seltenheit</v>
      </c>
      <c r="E5" s="18" t="s">
        <v>250</v>
      </c>
      <c r="F5" s="16" t="str">
        <f>TRIM(_xlfn.TEXTBEFORE(E4, ":"))</f>
        <v>Rareza</v>
      </c>
      <c r="G5" s="18" t="s">
        <v>250</v>
      </c>
      <c r="H5" s="16" t="str">
        <f>TRIM(_xlfn.TEXTBEFORE(G4, ":"))</f>
        <v>Rareté</v>
      </c>
      <c r="I5" s="18" t="s">
        <v>3629</v>
      </c>
      <c r="J5" s="16" t="str">
        <f>TRIM(_xlfn.TEXTBEFORE(I4, ":"))</f>
        <v>レアリティ</v>
      </c>
      <c r="K5" s="18" t="s">
        <v>4367</v>
      </c>
      <c r="L5" s="16" t="str">
        <f>TRIM(_xlfn.TEXTBEFORE(K4, ":"))</f>
        <v>아이템 희귀도</v>
      </c>
      <c r="M5" s="18" t="s">
        <v>250</v>
      </c>
      <c r="N5" s="16" t="str">
        <f>TRIM(_xlfn.TEXTBEFORE(M4, ":"))</f>
        <v>Raridade</v>
      </c>
      <c r="O5" s="18" t="s">
        <v>5784</v>
      </c>
      <c r="P5" s="16" t="str">
        <f>TRIM(_xlfn.TEXTBEFORE(O4, ":"))</f>
        <v>Редкость</v>
      </c>
      <c r="Q5" s="18" t="s">
        <v>250</v>
      </c>
      <c r="R5" s="16" t="str">
        <f>TRIM(_xlfn.TEXTBEFORE(Q4, ":"))</f>
        <v>ความหายาก</v>
      </c>
      <c r="S5" s="18"/>
      <c r="T5" s="16" t="e">
        <f>TRIM(_xlfn.TEXTBEFORE(S4, ":"))</f>
        <v>#N/A</v>
      </c>
    </row>
    <row r="6" spans="1:20" ht="15.95" customHeight="1" x14ac:dyDescent="0.25">
      <c r="A6" s="18" t="s">
        <v>251</v>
      </c>
      <c r="B6" s="16" t="str">
        <f>TRIM(_xlfn.TEXTAFTER(A4,":"))</f>
        <v>Unique</v>
      </c>
      <c r="C6" s="18" t="s">
        <v>2171</v>
      </c>
      <c r="D6" s="16" t="str">
        <f>TRIM(_xlfn.TEXTAFTER(C4,":"))</f>
        <v>Einzigartig</v>
      </c>
      <c r="E6" s="18" t="s">
        <v>2889</v>
      </c>
      <c r="F6" s="16" t="str">
        <f>TRIM(_xlfn.TEXTAFTER(E4,":"))</f>
        <v>Único</v>
      </c>
      <c r="G6" s="18" t="s">
        <v>1425</v>
      </c>
      <c r="H6" s="16" t="str">
        <f>TRIM(_xlfn.TEXTAFTER(G4,":"))</f>
        <v>Unique</v>
      </c>
      <c r="I6" s="18" t="s">
        <v>3630</v>
      </c>
      <c r="J6" s="16" t="str">
        <f>TRIM(_xlfn.TEXTAFTER(I4,":"))</f>
        <v>ユニーク</v>
      </c>
      <c r="K6" s="18" t="s">
        <v>4368</v>
      </c>
      <c r="L6" s="16" t="str">
        <f>TRIM(_xlfn.TEXTAFTER(K4,":"))</f>
        <v>고유</v>
      </c>
      <c r="M6" s="18" t="s">
        <v>5044</v>
      </c>
      <c r="N6" s="16" t="str">
        <f>TRIM(_xlfn.TEXTAFTER(M4,":"))</f>
        <v>Único</v>
      </c>
      <c r="O6" s="18" t="s">
        <v>5785</v>
      </c>
      <c r="P6" s="16" t="str">
        <f>TRIM(_xlfn.TEXTAFTER(O4,":"))</f>
        <v>Уникальный</v>
      </c>
      <c r="Q6" s="18" t="s">
        <v>251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252</v>
      </c>
      <c r="B8" s="16"/>
      <c r="C8" s="18" t="s">
        <v>2172</v>
      </c>
      <c r="D8" s="16"/>
      <c r="E8" s="18" t="s">
        <v>2890</v>
      </c>
      <c r="F8" s="16"/>
      <c r="G8" s="18" t="s">
        <v>1426</v>
      </c>
      <c r="H8" s="16"/>
      <c r="I8" s="18" t="s">
        <v>3631</v>
      </c>
      <c r="J8" s="16"/>
      <c r="K8" s="18" t="s">
        <v>4369</v>
      </c>
      <c r="L8" s="16"/>
      <c r="M8" s="18" t="s">
        <v>5045</v>
      </c>
      <c r="N8" s="16"/>
      <c r="O8" s="18" t="s">
        <v>5786</v>
      </c>
      <c r="P8" s="16"/>
      <c r="Q8" s="18" t="s">
        <v>6431</v>
      </c>
      <c r="R8" s="16"/>
      <c r="S8" s="18"/>
      <c r="T8" s="16"/>
    </row>
    <row r="9" spans="1:20" ht="15.95" customHeight="1" x14ac:dyDescent="0.25">
      <c r="A9" s="18" t="s">
        <v>253</v>
      </c>
      <c r="B9" s="16"/>
      <c r="C9" s="18" t="s">
        <v>2173</v>
      </c>
      <c r="D9" s="16"/>
      <c r="E9" s="18" t="s">
        <v>2891</v>
      </c>
      <c r="F9" s="16"/>
      <c r="G9" s="18" t="s">
        <v>1427</v>
      </c>
      <c r="H9" s="16"/>
      <c r="I9" s="18" t="s">
        <v>3632</v>
      </c>
      <c r="J9" s="16"/>
      <c r="K9" s="18" t="s">
        <v>4370</v>
      </c>
      <c r="L9" s="16"/>
      <c r="M9" s="18" t="s">
        <v>5046</v>
      </c>
      <c r="N9" s="16"/>
      <c r="O9" s="18" t="s">
        <v>5787</v>
      </c>
      <c r="P9" s="16"/>
      <c r="Q9" s="18" t="s">
        <v>6432</v>
      </c>
      <c r="R9" s="16"/>
      <c r="S9" s="18"/>
      <c r="T9" s="16"/>
    </row>
    <row r="10" spans="1:20" ht="15.95" customHeight="1" x14ac:dyDescent="0.25">
      <c r="A10" s="18" t="s">
        <v>254</v>
      </c>
      <c r="B10" s="16"/>
      <c r="C10" s="18" t="s">
        <v>2174</v>
      </c>
      <c r="D10" s="16"/>
      <c r="E10" s="18" t="s">
        <v>2892</v>
      </c>
      <c r="F10" s="16"/>
      <c r="G10" s="18" t="s">
        <v>1428</v>
      </c>
      <c r="H10" s="16"/>
      <c r="I10" s="18" t="s">
        <v>3633</v>
      </c>
      <c r="J10" s="16"/>
      <c r="K10" s="18" t="s">
        <v>4371</v>
      </c>
      <c r="L10" s="16"/>
      <c r="M10" s="18" t="s">
        <v>5047</v>
      </c>
      <c r="N10" s="16"/>
      <c r="O10" s="18" t="s">
        <v>5788</v>
      </c>
      <c r="P10" s="16"/>
      <c r="Q10" s="18" t="s">
        <v>6433</v>
      </c>
      <c r="R10" s="16"/>
      <c r="S10" s="18"/>
      <c r="T10" s="16"/>
    </row>
    <row r="11" spans="1:20" ht="15.95" customHeight="1" x14ac:dyDescent="0.25">
      <c r="A11" s="18" t="s">
        <v>134</v>
      </c>
      <c r="B11" s="16"/>
      <c r="C11" s="18" t="s">
        <v>1865</v>
      </c>
      <c r="D11" s="16"/>
      <c r="E11" s="18" t="s">
        <v>2583</v>
      </c>
      <c r="F11" s="16"/>
      <c r="G11" s="18" t="s">
        <v>1130</v>
      </c>
      <c r="H11" s="16"/>
      <c r="I11" s="18" t="s">
        <v>3306</v>
      </c>
      <c r="J11" s="16"/>
      <c r="K11" s="18" t="s">
        <v>4051</v>
      </c>
      <c r="L11" s="16"/>
      <c r="M11" s="18" t="s">
        <v>4774</v>
      </c>
      <c r="N11" s="16"/>
      <c r="O11" s="18" t="s">
        <v>5465</v>
      </c>
      <c r="P11" s="16"/>
      <c r="Q11" s="18" t="s">
        <v>6178</v>
      </c>
      <c r="R11" s="16"/>
      <c r="S11" s="18"/>
      <c r="T11" s="16"/>
    </row>
    <row r="12" spans="1:20" ht="15.95" customHeight="1" x14ac:dyDescent="0.25">
      <c r="A12" s="18" t="s">
        <v>255</v>
      </c>
      <c r="B12" s="16"/>
      <c r="C12" s="18" t="s">
        <v>2092</v>
      </c>
      <c r="D12" s="16"/>
      <c r="E12" s="18" t="s">
        <v>2811</v>
      </c>
      <c r="F12" s="16"/>
      <c r="G12" s="18" t="s">
        <v>1346</v>
      </c>
      <c r="H12" s="16"/>
      <c r="I12" s="18" t="s">
        <v>3545</v>
      </c>
      <c r="J12" s="16"/>
      <c r="K12" s="18" t="s">
        <v>4285</v>
      </c>
      <c r="L12" s="16"/>
      <c r="M12" s="18" t="s">
        <v>4970</v>
      </c>
      <c r="N12" s="16"/>
      <c r="O12" s="18" t="s">
        <v>5700</v>
      </c>
      <c r="P12" s="16"/>
      <c r="Q12" s="18" t="s">
        <v>6363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t="s">
        <v>5957</v>
      </c>
      <c r="R14" s="16"/>
      <c r="S14" s="18"/>
      <c r="T14" s="21"/>
    </row>
    <row r="15" spans="1:20" ht="15.95" customHeight="1" x14ac:dyDescent="0.25">
      <c r="A15" s="18" t="s">
        <v>256</v>
      </c>
      <c r="B15" s="16"/>
      <c r="C15" s="18" t="s">
        <v>2175</v>
      </c>
      <c r="D15" s="16"/>
      <c r="E15" s="18" t="s">
        <v>2893</v>
      </c>
      <c r="F15" s="16"/>
      <c r="G15" s="18" t="s">
        <v>1429</v>
      </c>
      <c r="H15" s="16"/>
      <c r="I15" s="18" t="s">
        <v>3634</v>
      </c>
      <c r="J15" s="16"/>
      <c r="K15" s="18" t="s">
        <v>4372</v>
      </c>
      <c r="L15" s="16"/>
      <c r="M15" s="18" t="s">
        <v>5048</v>
      </c>
      <c r="N15" s="16"/>
      <c r="O15" s="18" t="s">
        <v>5789</v>
      </c>
      <c r="P15" s="16"/>
      <c r="Q15" s="18" t="s">
        <v>6434</v>
      </c>
      <c r="R15" s="16"/>
      <c r="S15" s="18"/>
      <c r="T15" s="21"/>
    </row>
    <row r="16" spans="1:20" ht="15.95" customHeight="1" x14ac:dyDescent="0.25">
      <c r="A16" s="18" t="s">
        <v>257</v>
      </c>
      <c r="B16" s="16"/>
      <c r="C16" s="18" t="s">
        <v>257</v>
      </c>
      <c r="D16" s="16"/>
      <c r="E16" s="18" t="s">
        <v>2894</v>
      </c>
      <c r="F16" s="16"/>
      <c r="G16" s="18" t="s">
        <v>1430</v>
      </c>
      <c r="H16" s="16"/>
      <c r="I16" s="18" t="s">
        <v>3635</v>
      </c>
      <c r="J16" s="16"/>
      <c r="K16" s="18" t="s">
        <v>4373</v>
      </c>
      <c r="L16" s="16"/>
      <c r="M16" s="18" t="s">
        <v>1430</v>
      </c>
      <c r="N16" s="16"/>
      <c r="O16" s="18" t="s">
        <v>5790</v>
      </c>
      <c r="P16" s="16"/>
      <c r="Q16" s="18" t="s">
        <v>257</v>
      </c>
      <c r="R16" s="16"/>
      <c r="S16" s="18"/>
      <c r="T16" s="21"/>
    </row>
    <row r="17" spans="1:20" ht="15.95" customHeight="1" x14ac:dyDescent="0.25">
      <c r="A17" s="18" t="s">
        <v>258</v>
      </c>
      <c r="B17" s="16"/>
      <c r="C17" s="18" t="s">
        <v>1832</v>
      </c>
      <c r="D17" s="16"/>
      <c r="E17" s="18" t="s">
        <v>2551</v>
      </c>
      <c r="F17" s="16"/>
      <c r="G17" s="18" t="s">
        <v>258</v>
      </c>
      <c r="H17" s="16"/>
      <c r="I17" s="18" t="s">
        <v>3271</v>
      </c>
      <c r="J17" s="16"/>
      <c r="K17" s="18" t="s">
        <v>4017</v>
      </c>
      <c r="L17" s="16"/>
      <c r="M17" s="18" t="s">
        <v>2551</v>
      </c>
      <c r="N17" s="16"/>
      <c r="O17" s="18" t="s">
        <v>5431</v>
      </c>
      <c r="P17" s="16"/>
      <c r="Q17" s="18" t="s">
        <v>258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259</v>
      </c>
      <c r="B19" s="16"/>
      <c r="C19" s="18" t="s">
        <v>2176</v>
      </c>
      <c r="D19" s="16"/>
      <c r="E19" s="18" t="s">
        <v>2895</v>
      </c>
      <c r="F19" s="16"/>
      <c r="G19" s="18" t="s">
        <v>1431</v>
      </c>
      <c r="H19" s="16"/>
      <c r="I19" s="18" t="s">
        <v>3636</v>
      </c>
      <c r="J19" s="16"/>
      <c r="K19" s="18" t="s">
        <v>4374</v>
      </c>
      <c r="L19" s="16"/>
      <c r="M19" s="18" t="s">
        <v>5049</v>
      </c>
      <c r="N19" s="16"/>
      <c r="O19" s="18" t="s">
        <v>5791</v>
      </c>
      <c r="P19" s="16"/>
      <c r="Q19" s="18" t="s">
        <v>6435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260</v>
      </c>
      <c r="B21" s="16"/>
      <c r="C21" s="18" t="s">
        <v>1780</v>
      </c>
      <c r="D21" s="16"/>
      <c r="E21" s="18" t="s">
        <v>2499</v>
      </c>
      <c r="F21" s="16"/>
      <c r="G21" s="18" t="s">
        <v>1048</v>
      </c>
      <c r="H21" s="16"/>
      <c r="I21" s="18" t="s">
        <v>3217</v>
      </c>
      <c r="J21" s="16"/>
      <c r="K21" s="18" t="s">
        <v>3964</v>
      </c>
      <c r="L21" s="16"/>
      <c r="M21" s="18" t="s">
        <v>4693</v>
      </c>
      <c r="N21" s="16"/>
      <c r="O21" s="18" t="s">
        <v>5378</v>
      </c>
      <c r="P21" s="16"/>
      <c r="Q21" s="18" t="s">
        <v>6108</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261</v>
      </c>
      <c r="B23" s="16"/>
      <c r="C23" s="18" t="s">
        <v>2177</v>
      </c>
      <c r="D23" s="16"/>
      <c r="E23" s="18" t="s">
        <v>2896</v>
      </c>
      <c r="F23" s="16"/>
      <c r="G23" s="18" t="s">
        <v>1432</v>
      </c>
      <c r="H23" s="16"/>
      <c r="I23" s="18" t="s">
        <v>3637</v>
      </c>
      <c r="J23" s="16"/>
      <c r="K23" s="18" t="s">
        <v>4375</v>
      </c>
      <c r="L23" s="16"/>
      <c r="M23" s="18" t="s">
        <v>5050</v>
      </c>
      <c r="N23" s="16"/>
      <c r="O23" s="18" t="s">
        <v>5792</v>
      </c>
      <c r="P23" s="16"/>
      <c r="Q23" s="18" t="s">
        <v>6436</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262</v>
      </c>
      <c r="B25" s="16"/>
      <c r="C25" s="18" t="s">
        <v>2178</v>
      </c>
      <c r="D25" s="16"/>
      <c r="E25" s="18" t="s">
        <v>2897</v>
      </c>
      <c r="F25" s="16"/>
      <c r="G25" s="18" t="s">
        <v>1433</v>
      </c>
      <c r="H25" s="16"/>
      <c r="I25" s="18" t="s">
        <v>3638</v>
      </c>
      <c r="J25" s="16"/>
      <c r="K25" s="18" t="s">
        <v>4376</v>
      </c>
      <c r="L25" s="16"/>
      <c r="M25" s="18" t="s">
        <v>5051</v>
      </c>
      <c r="N25" s="16"/>
      <c r="O25" s="18" t="s">
        <v>5793</v>
      </c>
      <c r="P25" s="16"/>
      <c r="Q25" s="18" t="s">
        <v>6437</v>
      </c>
      <c r="R25" s="16"/>
      <c r="S25" s="18"/>
      <c r="T25" s="21"/>
    </row>
    <row r="26" spans="1:20" ht="15.95" customHeight="1" x14ac:dyDescent="0.25">
      <c r="A26" s="18" t="s">
        <v>263</v>
      </c>
      <c r="B26" s="16"/>
      <c r="C26" s="18" t="s">
        <v>2179</v>
      </c>
      <c r="D26" s="16"/>
      <c r="E26" s="18" t="s">
        <v>2898</v>
      </c>
      <c r="F26" s="16"/>
      <c r="G26" s="18" t="s">
        <v>1434</v>
      </c>
      <c r="H26" s="16"/>
      <c r="I26" s="18" t="s">
        <v>3639</v>
      </c>
      <c r="J26" s="16"/>
      <c r="K26" s="18" t="s">
        <v>4377</v>
      </c>
      <c r="L26" s="16"/>
      <c r="M26" s="18" t="s">
        <v>5052</v>
      </c>
      <c r="N26" s="16"/>
      <c r="O26" s="18" t="s">
        <v>5794</v>
      </c>
      <c r="P26" s="16"/>
      <c r="Q26" s="18" t="s">
        <v>6438</v>
      </c>
      <c r="R26" s="16"/>
      <c r="S26" s="18"/>
      <c r="T26" s="21"/>
    </row>
    <row r="27" spans="1:20" ht="15.95" customHeight="1" x14ac:dyDescent="0.25">
      <c r="A27" s="18" t="s">
        <v>264</v>
      </c>
      <c r="B27" s="16"/>
      <c r="C27" s="18" t="s">
        <v>2180</v>
      </c>
      <c r="D27" s="16"/>
      <c r="E27" s="18" t="s">
        <v>2899</v>
      </c>
      <c r="F27" s="16"/>
      <c r="G27" s="18" t="s">
        <v>1435</v>
      </c>
      <c r="H27" s="16"/>
      <c r="I27" s="18" t="s">
        <v>3640</v>
      </c>
      <c r="J27" s="16"/>
      <c r="K27" s="18" t="s">
        <v>4378</v>
      </c>
      <c r="L27" s="16"/>
      <c r="M27" s="18" t="s">
        <v>5053</v>
      </c>
      <c r="N27" s="16"/>
      <c r="O27" s="18" t="s">
        <v>5795</v>
      </c>
      <c r="P27" s="16"/>
      <c r="Q27" s="18" t="s">
        <v>6439</v>
      </c>
      <c r="R27" s="16"/>
      <c r="S27" s="18"/>
      <c r="T27" s="21"/>
    </row>
    <row r="28" spans="1:20" ht="15.95" customHeight="1" x14ac:dyDescent="0.25">
      <c r="A28" s="18" t="s">
        <v>265</v>
      </c>
      <c r="B28" s="16"/>
      <c r="C28" s="18" t="s">
        <v>2181</v>
      </c>
      <c r="D28" s="16"/>
      <c r="E28" s="18" t="s">
        <v>2900</v>
      </c>
      <c r="F28" s="16"/>
      <c r="G28" s="18" t="s">
        <v>1436</v>
      </c>
      <c r="H28" s="16"/>
      <c r="I28" s="18" t="s">
        <v>3641</v>
      </c>
      <c r="J28" s="16"/>
      <c r="K28" s="18" t="s">
        <v>4379</v>
      </c>
      <c r="L28" s="16"/>
      <c r="M28" s="18" t="s">
        <v>5054</v>
      </c>
      <c r="N28" s="16"/>
      <c r="O28" s="18" t="s">
        <v>5796</v>
      </c>
      <c r="P28" s="16"/>
      <c r="Q28" s="18" t="s">
        <v>6440</v>
      </c>
      <c r="R28" s="16"/>
      <c r="S28" s="18"/>
      <c r="T28" s="21"/>
    </row>
    <row r="29" spans="1:20" ht="15.95" customHeight="1" x14ac:dyDescent="0.25">
      <c r="A29" s="18" t="s">
        <v>266</v>
      </c>
      <c r="B29" s="16"/>
      <c r="C29" s="18" t="s">
        <v>1851</v>
      </c>
      <c r="D29" s="16"/>
      <c r="E29" s="18" t="s">
        <v>2569</v>
      </c>
      <c r="F29" s="16"/>
      <c r="G29" s="18" t="s">
        <v>1116</v>
      </c>
      <c r="H29" s="16"/>
      <c r="I29" s="18" t="s">
        <v>3292</v>
      </c>
      <c r="J29" s="16"/>
      <c r="K29" s="18" t="s">
        <v>4037</v>
      </c>
      <c r="L29" s="16"/>
      <c r="M29" s="18" t="s">
        <v>4760</v>
      </c>
      <c r="N29" s="16"/>
      <c r="O29" s="18" t="s">
        <v>5451</v>
      </c>
      <c r="P29" s="16"/>
      <c r="Q29" s="18" t="s">
        <v>6166</v>
      </c>
      <c r="R29" s="16"/>
      <c r="S29" s="18"/>
      <c r="T29" s="21"/>
    </row>
    <row r="30" spans="1:20" ht="15.95" customHeight="1" x14ac:dyDescent="0.25">
      <c r="A30" s="18" t="s">
        <v>267</v>
      </c>
      <c r="B30" s="16"/>
      <c r="C30" s="18" t="s">
        <v>2182</v>
      </c>
      <c r="D30" s="16"/>
      <c r="E30" s="18" t="s">
        <v>2901</v>
      </c>
      <c r="F30" s="16"/>
      <c r="G30" s="18" t="s">
        <v>1437</v>
      </c>
      <c r="H30" s="16"/>
      <c r="I30" s="18" t="s">
        <v>3642</v>
      </c>
      <c r="J30" s="16"/>
      <c r="K30" s="18" t="s">
        <v>4380</v>
      </c>
      <c r="L30" s="16"/>
      <c r="M30" s="18" t="s">
        <v>5055</v>
      </c>
      <c r="N30" s="16"/>
      <c r="O30" s="18" t="s">
        <v>5797</v>
      </c>
      <c r="P30" s="16"/>
      <c r="Q30" s="18" t="s">
        <v>6441</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268</v>
      </c>
      <c r="B32" s="16"/>
      <c r="C32" s="18" t="s">
        <v>2183</v>
      </c>
      <c r="D32" s="16"/>
      <c r="E32" s="18" t="s">
        <v>2902</v>
      </c>
      <c r="F32" s="16"/>
      <c r="G32" s="18" t="s">
        <v>1438</v>
      </c>
      <c r="H32" s="16"/>
      <c r="I32" s="18" t="s">
        <v>3643</v>
      </c>
      <c r="J32" s="16"/>
      <c r="K32" s="18" t="s">
        <v>4381</v>
      </c>
      <c r="L32" s="16"/>
      <c r="M32" s="18" t="s">
        <v>5056</v>
      </c>
      <c r="N32" s="16"/>
      <c r="O32" s="18" t="s">
        <v>5798</v>
      </c>
      <c r="P32" s="16"/>
      <c r="Q32" s="18" t="s">
        <v>6442</v>
      </c>
      <c r="R32" s="16"/>
      <c r="S32" s="18"/>
      <c r="T32" s="21"/>
    </row>
    <row r="33" spans="1:20" ht="15.95" customHeight="1" x14ac:dyDescent="0.25">
      <c r="A33" s="22" t="s">
        <v>269</v>
      </c>
      <c r="B33" s="16"/>
      <c r="C33" s="18" t="s">
        <v>2184</v>
      </c>
      <c r="D33" s="16"/>
      <c r="E33" s="18" t="s">
        <v>2903</v>
      </c>
      <c r="F33" s="16"/>
      <c r="G33" s="18" t="s">
        <v>1439</v>
      </c>
      <c r="H33" s="16"/>
      <c r="I33" s="18" t="s">
        <v>3644</v>
      </c>
      <c r="J33" s="16"/>
      <c r="K33" s="18" t="s">
        <v>4382</v>
      </c>
      <c r="L33" s="16"/>
      <c r="M33" s="18" t="s">
        <v>5057</v>
      </c>
      <c r="N33" s="16"/>
      <c r="O33" s="18" t="s">
        <v>5799</v>
      </c>
      <c r="P33" s="16"/>
      <c r="Q33" s="18" t="s">
        <v>6443</v>
      </c>
      <c r="R33" s="16"/>
      <c r="S33" s="18"/>
      <c r="T33" s="21"/>
    </row>
    <row r="34" spans="1:20" ht="15.95" customHeight="1" x14ac:dyDescent="0.25">
      <c r="A34" s="18" t="s">
        <v>270</v>
      </c>
      <c r="B34" s="16"/>
      <c r="C34" s="18" t="s">
        <v>2185</v>
      </c>
      <c r="D34" s="16"/>
      <c r="E34" s="18" t="s">
        <v>2904</v>
      </c>
      <c r="F34" s="16"/>
      <c r="G34" s="18" t="s">
        <v>1440</v>
      </c>
      <c r="H34" s="16"/>
      <c r="I34" s="18" t="s">
        <v>3645</v>
      </c>
      <c r="J34" s="16"/>
      <c r="K34" s="18" t="s">
        <v>4383</v>
      </c>
      <c r="L34" s="16"/>
      <c r="M34" s="18" t="s">
        <v>5058</v>
      </c>
      <c r="N34" s="16"/>
      <c r="O34" s="18" t="s">
        <v>5800</v>
      </c>
      <c r="P34" s="16"/>
      <c r="Q34" s="18" t="s">
        <v>6444</v>
      </c>
      <c r="R34" s="16"/>
      <c r="S34" s="18"/>
      <c r="T34" s="21"/>
    </row>
    <row r="35" spans="1:20" ht="15.95" customHeight="1" x14ac:dyDescent="0.25">
      <c r="A35" s="18" t="s">
        <v>271</v>
      </c>
      <c r="B35" s="16"/>
      <c r="C35" s="18" t="s">
        <v>2186</v>
      </c>
      <c r="D35" s="16"/>
      <c r="E35" s="18" t="s">
        <v>2905</v>
      </c>
      <c r="F35" s="16"/>
      <c r="G35" s="18" t="s">
        <v>1441</v>
      </c>
      <c r="H35" s="16"/>
      <c r="I35" s="18" t="s">
        <v>3646</v>
      </c>
      <c r="J35" s="16"/>
      <c r="K35" s="18" t="s">
        <v>4384</v>
      </c>
      <c r="L35" s="16"/>
      <c r="M35" s="18" t="s">
        <v>5059</v>
      </c>
      <c r="N35" s="16"/>
      <c r="O35" s="18" t="s">
        <v>5801</v>
      </c>
      <c r="P35" s="16"/>
      <c r="Q35" s="18" t="s">
        <v>6445</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2" priority="2" stopIfTrue="1">
      <formula>NOT(ISERROR(A3))</formula>
    </cfRule>
  </conditionalFormatting>
  <conditionalFormatting sqref="A3:T51">
    <cfRule type="containsErrors" dxfId="101" priority="1" stopIfTrue="1">
      <formula>ISERROR(A3)</formula>
    </cfRule>
    <cfRule type="notContainsBlanks" dxfId="100"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272</v>
      </c>
      <c r="B3" s="16" t="str">
        <f>TRIM(_xlfn.TEXTBEFORE(A3, ":"))</f>
        <v>Item Class</v>
      </c>
      <c r="C3" s="17" t="s">
        <v>2187</v>
      </c>
      <c r="D3" s="16" t="str">
        <f>TRIM(_xlfn.TEXTBEFORE(C3, ":"))</f>
        <v>Gegenstandsklasse</v>
      </c>
      <c r="E3" s="17" t="s">
        <v>2906</v>
      </c>
      <c r="F3" s="16" t="str">
        <f>TRIM(_xlfn.TEXTBEFORE(E3, ":"))</f>
        <v>Clase de objeto</v>
      </c>
      <c r="G3" s="17" t="s">
        <v>1442</v>
      </c>
      <c r="H3" s="16" t="str">
        <f>TRIM(_xlfn.TEXTBEFORE(G3, ":"))</f>
        <v>Classe d'objet</v>
      </c>
      <c r="I3" s="17" t="s">
        <v>3647</v>
      </c>
      <c r="J3" s="16" t="str">
        <f>TRIM(_xlfn.TEXTBEFORE(I3, ":"))</f>
        <v>アイテムクラス</v>
      </c>
      <c r="K3" s="17" t="s">
        <v>4385</v>
      </c>
      <c r="L3" s="16" t="str">
        <f>TRIM(_xlfn.TEXTBEFORE(K3, ":"))</f>
        <v>아이템 종류</v>
      </c>
      <c r="M3" s="17" t="s">
        <v>5060</v>
      </c>
      <c r="N3" s="16" t="str">
        <f>TRIM(_xlfn.TEXTBEFORE(M3, ":"))</f>
        <v>Classe do Item</v>
      </c>
      <c r="O3" s="17" t="s">
        <v>5802</v>
      </c>
      <c r="P3" s="16" t="str">
        <f>TRIM(_xlfn.TEXTBEFORE(O3, ":"))</f>
        <v>Класс предмета</v>
      </c>
      <c r="Q3" s="17" t="s">
        <v>6446</v>
      </c>
      <c r="R3" s="16" t="str">
        <f>TRIM(_xlfn.TEXTBEFORE(Q3, ":"))</f>
        <v>ชนิดไอเทม</v>
      </c>
      <c r="S3" s="17"/>
      <c r="T3" s="16" t="e">
        <f>TRIM(_xlfn.TEXTBEFORE(S3, ":"))</f>
        <v>#N/A</v>
      </c>
    </row>
    <row r="4" spans="1:20" ht="15.95" customHeight="1" x14ac:dyDescent="0.25">
      <c r="A4" s="18" t="s">
        <v>109</v>
      </c>
      <c r="B4" s="16" t="str">
        <f>TRIM(_xlfn.TEXTAFTER(A3, ":"))</f>
        <v>One Hand Axes</v>
      </c>
      <c r="C4" s="18" t="s">
        <v>1672</v>
      </c>
      <c r="D4" s="16" t="str">
        <f>TRIM(_xlfn.TEXTAFTER(C3, ":"))</f>
        <v>Einhandäxte</v>
      </c>
      <c r="E4" s="18" t="s">
        <v>2392</v>
      </c>
      <c r="F4" s="16" t="str">
        <f>TRIM(_xlfn.TEXTAFTER(E3, ":"))</f>
        <v>Hachas a una mano</v>
      </c>
      <c r="G4" s="18" t="s">
        <v>1</v>
      </c>
      <c r="H4" s="16" t="str">
        <f>TRIM(_xlfn.TEXTAFTER(G3, ":"))</f>
        <v>Haches à une main</v>
      </c>
      <c r="I4" s="18" t="s">
        <v>3107</v>
      </c>
      <c r="J4" s="16" t="str">
        <f>TRIM(_xlfn.TEXTAFTER(I3, ":"))</f>
        <v>片手斧</v>
      </c>
      <c r="K4" s="18" t="s">
        <v>3857</v>
      </c>
      <c r="L4" s="16" t="str">
        <f>TRIM(_xlfn.TEXTAFTER(K3, ":"))</f>
        <v>한손 도끼</v>
      </c>
      <c r="M4" s="18" t="s">
        <v>4586</v>
      </c>
      <c r="N4" s="16" t="str">
        <f>TRIM(_xlfn.TEXTAFTER(M3, ":"))</f>
        <v>Machados de Uma Mão</v>
      </c>
      <c r="O4" s="18" t="s">
        <v>5269</v>
      </c>
      <c r="P4" s="16" t="str">
        <f>TRIM(_xlfn.TEXTAFTER(O3, ":"))</f>
        <v>Одноручные топоры</v>
      </c>
      <c r="Q4" s="18" t="s">
        <v>6006</v>
      </c>
      <c r="R4" s="16" t="str">
        <f>TRIM(_xlfn.TEXTAFTER(Q3, ":"))</f>
        <v>ขวานมือเดียว</v>
      </c>
      <c r="S4" s="18"/>
      <c r="T4" s="16" t="e">
        <f>TRIM(_xlfn.TEXTAFTER(S3, ":"))</f>
        <v>#N/A</v>
      </c>
    </row>
    <row r="5" spans="1:20" ht="15.95" customHeight="1" x14ac:dyDescent="0.25">
      <c r="A5" s="18" t="s">
        <v>273</v>
      </c>
      <c r="B5" s="16" t="str">
        <f>TRIM(_xlfn.TEXTBEFORE(A4, ":"))</f>
        <v>Rarity</v>
      </c>
      <c r="C5" s="18" t="s">
        <v>273</v>
      </c>
      <c r="D5" s="16" t="str">
        <f>TRIM(_xlfn.TEXTBEFORE(C4, ":"))</f>
        <v>Seltenheit</v>
      </c>
      <c r="E5" s="18" t="s">
        <v>273</v>
      </c>
      <c r="F5" s="16" t="str">
        <f>TRIM(_xlfn.TEXTBEFORE(E4, ":"))</f>
        <v>Rareza</v>
      </c>
      <c r="G5" s="18" t="s">
        <v>273</v>
      </c>
      <c r="H5" s="16" t="str">
        <f>TRIM(_xlfn.TEXTBEFORE(G4, ":"))</f>
        <v>Rareté</v>
      </c>
      <c r="I5" s="18" t="s">
        <v>3648</v>
      </c>
      <c r="J5" s="16" t="str">
        <f>TRIM(_xlfn.TEXTBEFORE(I4, ":"))</f>
        <v>レアリティ</v>
      </c>
      <c r="K5" s="18" t="s">
        <v>4386</v>
      </c>
      <c r="L5" s="16" t="str">
        <f>TRIM(_xlfn.TEXTBEFORE(K4, ":"))</f>
        <v>아이템 희귀도</v>
      </c>
      <c r="M5" s="18" t="s">
        <v>273</v>
      </c>
      <c r="N5" s="16" t="str">
        <f>TRIM(_xlfn.TEXTBEFORE(M4, ":"))</f>
        <v>Raridade</v>
      </c>
      <c r="O5" s="18" t="s">
        <v>5803</v>
      </c>
      <c r="P5" s="16" t="str">
        <f>TRIM(_xlfn.TEXTBEFORE(O4, ":"))</f>
        <v>Редкость</v>
      </c>
      <c r="Q5" s="18" t="s">
        <v>273</v>
      </c>
      <c r="R5" s="16" t="str">
        <f>TRIM(_xlfn.TEXTBEFORE(Q4, ":"))</f>
        <v>ความหายาก</v>
      </c>
      <c r="S5" s="18"/>
      <c r="T5" s="16" t="e">
        <f>TRIM(_xlfn.TEXTBEFORE(S4, ":"))</f>
        <v>#N/A</v>
      </c>
    </row>
    <row r="6" spans="1:20" ht="15.95" customHeight="1" x14ac:dyDescent="0.25">
      <c r="A6" s="18" t="s">
        <v>274</v>
      </c>
      <c r="B6" s="16" t="str">
        <f>TRIM(_xlfn.TEXTAFTER(A4,":"))</f>
        <v>Unique</v>
      </c>
      <c r="C6" s="18" t="s">
        <v>2188</v>
      </c>
      <c r="D6" s="16" t="str">
        <f>TRIM(_xlfn.TEXTAFTER(C4,":"))</f>
        <v>Einzigartig</v>
      </c>
      <c r="E6" s="18" t="s">
        <v>2907</v>
      </c>
      <c r="F6" s="16" t="str">
        <f>TRIM(_xlfn.TEXTAFTER(E4,":"))</f>
        <v>Único</v>
      </c>
      <c r="G6" s="18" t="s">
        <v>1443</v>
      </c>
      <c r="H6" s="16" t="str">
        <f>TRIM(_xlfn.TEXTAFTER(G4,":"))</f>
        <v>Unique</v>
      </c>
      <c r="I6" s="18" t="s">
        <v>3649</v>
      </c>
      <c r="J6" s="16" t="str">
        <f>TRIM(_xlfn.TEXTAFTER(I4,":"))</f>
        <v>ユニーク</v>
      </c>
      <c r="K6" s="18" t="s">
        <v>4387</v>
      </c>
      <c r="L6" s="16" t="str">
        <f>TRIM(_xlfn.TEXTAFTER(K4,":"))</f>
        <v>고유</v>
      </c>
      <c r="M6" s="18" t="s">
        <v>5061</v>
      </c>
      <c r="N6" s="16" t="str">
        <f>TRIM(_xlfn.TEXTAFTER(M4,":"))</f>
        <v>Único</v>
      </c>
      <c r="O6" s="18" t="s">
        <v>5804</v>
      </c>
      <c r="P6" s="16" t="str">
        <f>TRIM(_xlfn.TEXTAFTER(O4,":"))</f>
        <v>Уникальный</v>
      </c>
      <c r="Q6" s="18" t="s">
        <v>274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275</v>
      </c>
      <c r="B8" s="16"/>
      <c r="C8" s="18" t="s">
        <v>2189</v>
      </c>
      <c r="D8" s="16"/>
      <c r="E8" s="18" t="s">
        <v>2908</v>
      </c>
      <c r="F8" s="16"/>
      <c r="G8" s="18" t="s">
        <v>1444</v>
      </c>
      <c r="H8" s="16"/>
      <c r="I8" s="18" t="s">
        <v>3650</v>
      </c>
      <c r="J8" s="16"/>
      <c r="K8" s="18" t="s">
        <v>4388</v>
      </c>
      <c r="L8" s="16"/>
      <c r="M8" s="18" t="s">
        <v>5062</v>
      </c>
      <c r="N8" s="16"/>
      <c r="O8" s="18" t="s">
        <v>5805</v>
      </c>
      <c r="P8" s="16"/>
      <c r="Q8" s="18" t="s">
        <v>6447</v>
      </c>
      <c r="R8" s="16"/>
      <c r="S8" s="18"/>
      <c r="T8" s="16"/>
    </row>
    <row r="9" spans="1:20" ht="15.95" customHeight="1" x14ac:dyDescent="0.25">
      <c r="A9" s="18" t="s">
        <v>276</v>
      </c>
      <c r="B9" s="16"/>
      <c r="C9" s="18" t="s">
        <v>2190</v>
      </c>
      <c r="D9" s="16"/>
      <c r="E9" s="18" t="s">
        <v>2909</v>
      </c>
      <c r="F9" s="16"/>
      <c r="G9" s="18" t="s">
        <v>1445</v>
      </c>
      <c r="H9" s="16"/>
      <c r="I9" s="18" t="s">
        <v>3651</v>
      </c>
      <c r="J9" s="16"/>
      <c r="K9" s="18" t="s">
        <v>4389</v>
      </c>
      <c r="L9" s="16"/>
      <c r="M9" s="18" t="s">
        <v>5063</v>
      </c>
      <c r="N9" s="16"/>
      <c r="O9" s="18" t="s">
        <v>5806</v>
      </c>
      <c r="P9" s="16"/>
      <c r="Q9" s="18" t="s">
        <v>6448</v>
      </c>
      <c r="R9" s="16"/>
      <c r="S9" s="18"/>
      <c r="T9" s="16"/>
    </row>
    <row r="10" spans="1:20" ht="15.95" customHeight="1" x14ac:dyDescent="0.25">
      <c r="A10" s="18" t="s">
        <v>277</v>
      </c>
      <c r="B10" s="16"/>
      <c r="C10" s="18" t="s">
        <v>2191</v>
      </c>
      <c r="D10" s="16"/>
      <c r="E10" s="18" t="s">
        <v>2910</v>
      </c>
      <c r="F10" s="16"/>
      <c r="G10" s="18" t="s">
        <v>1446</v>
      </c>
      <c r="H10" s="16"/>
      <c r="I10" s="18" t="s">
        <v>3652</v>
      </c>
      <c r="J10" s="16"/>
      <c r="K10" s="18" t="s">
        <v>4390</v>
      </c>
      <c r="L10" s="16"/>
      <c r="M10" s="18" t="s">
        <v>5064</v>
      </c>
      <c r="N10" s="16"/>
      <c r="O10" s="18" t="s">
        <v>5807</v>
      </c>
      <c r="P10" s="16"/>
      <c r="Q10" s="18" t="s">
        <v>6449</v>
      </c>
      <c r="R10" s="16"/>
      <c r="S10" s="18"/>
      <c r="T10" s="16"/>
    </row>
    <row r="11" spans="1:20" ht="15.95" customHeight="1" x14ac:dyDescent="0.25">
      <c r="A11" s="18" t="s">
        <v>214</v>
      </c>
      <c r="B11" s="16"/>
      <c r="C11" s="18" t="s">
        <v>2137</v>
      </c>
      <c r="D11" s="16"/>
      <c r="E11" s="18" t="s">
        <v>2855</v>
      </c>
      <c r="F11" s="16"/>
      <c r="G11" s="18" t="s">
        <v>1393</v>
      </c>
      <c r="H11" s="16"/>
      <c r="I11" s="18" t="s">
        <v>3594</v>
      </c>
      <c r="J11" s="16"/>
      <c r="K11" s="18" t="s">
        <v>4332</v>
      </c>
      <c r="L11" s="16"/>
      <c r="M11" s="18" t="s">
        <v>5013</v>
      </c>
      <c r="N11" s="16"/>
      <c r="O11" s="18" t="s">
        <v>5749</v>
      </c>
      <c r="P11" s="16"/>
      <c r="Q11" s="18" t="s">
        <v>6401</v>
      </c>
      <c r="R11" s="16"/>
      <c r="S11" s="18"/>
      <c r="T11" s="16"/>
    </row>
    <row r="12" spans="1:20" ht="15.95" customHeight="1" x14ac:dyDescent="0.25">
      <c r="A12" s="18" t="s">
        <v>278</v>
      </c>
      <c r="B12" s="16"/>
      <c r="C12" s="18" t="s">
        <v>2192</v>
      </c>
      <c r="D12" s="16"/>
      <c r="E12" s="18" t="s">
        <v>2911</v>
      </c>
      <c r="F12" s="16"/>
      <c r="G12" s="18" t="s">
        <v>1447</v>
      </c>
      <c r="H12" s="16"/>
      <c r="I12" s="18" t="s">
        <v>3653</v>
      </c>
      <c r="J12" s="16"/>
      <c r="K12" s="18" t="s">
        <v>4391</v>
      </c>
      <c r="L12" s="16"/>
      <c r="M12" s="18" t="s">
        <v>5065</v>
      </c>
      <c r="N12" s="16"/>
      <c r="O12" s="18" t="s">
        <v>5808</v>
      </c>
      <c r="P12" s="16"/>
      <c r="Q12" s="18" t="s">
        <v>6450</v>
      </c>
      <c r="R12" s="16"/>
      <c r="S12" s="18"/>
      <c r="T12" s="21"/>
    </row>
    <row r="13" spans="1:20" ht="15.95" customHeight="1" x14ac:dyDescent="0.25">
      <c r="A13" s="18" t="s">
        <v>135</v>
      </c>
      <c r="B13" s="16"/>
      <c r="C13" s="18" t="s">
        <v>2012</v>
      </c>
      <c r="D13" s="16"/>
      <c r="E13" s="18" t="s">
        <v>2733</v>
      </c>
      <c r="F13" s="16"/>
      <c r="G13" s="18" t="s">
        <v>1268</v>
      </c>
      <c r="H13" s="16"/>
      <c r="I13" s="18" t="s">
        <v>3460</v>
      </c>
      <c r="J13" s="16"/>
      <c r="K13" s="18" t="s">
        <v>4204</v>
      </c>
      <c r="L13" s="16"/>
      <c r="M13" s="18" t="s">
        <v>4951</v>
      </c>
      <c r="N13" s="16"/>
      <c r="O13" s="18" t="s">
        <v>5618</v>
      </c>
      <c r="P13" s="16"/>
      <c r="Q13" s="18" t="s">
        <v>6298</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110</v>
      </c>
      <c r="B15" s="16"/>
      <c r="C15" s="18" t="s">
        <v>1618</v>
      </c>
      <c r="D15" s="16"/>
      <c r="E15" s="18" t="s">
        <v>2337</v>
      </c>
      <c r="F15" s="16"/>
      <c r="G15" s="18" t="s">
        <v>5</v>
      </c>
      <c r="H15" s="16"/>
      <c r="I15" s="18" t="s">
        <v>3047</v>
      </c>
      <c r="J15" s="16"/>
      <c r="K15" s="18" t="s">
        <v>3801</v>
      </c>
      <c r="L15" s="16"/>
      <c r="M15" s="18" t="s">
        <v>2337</v>
      </c>
      <c r="N15" s="16"/>
      <c r="O15" s="18" t="s">
        <v>5212</v>
      </c>
      <c r="P15" s="16"/>
      <c r="Q15" s="18" t="s">
        <v>5957</v>
      </c>
      <c r="R15" s="16"/>
      <c r="S15" s="18"/>
      <c r="T15" s="21"/>
    </row>
    <row r="16" spans="1:20" ht="15.95" customHeight="1" x14ac:dyDescent="0.25">
      <c r="A16" s="18" t="s">
        <v>279</v>
      </c>
      <c r="B16" s="16"/>
      <c r="C16" s="18" t="s">
        <v>2193</v>
      </c>
      <c r="D16" s="16"/>
      <c r="E16" s="18" t="s">
        <v>2912</v>
      </c>
      <c r="F16" s="16"/>
      <c r="G16" s="18" t="s">
        <v>1448</v>
      </c>
      <c r="H16" s="16"/>
      <c r="I16" s="18" t="s">
        <v>3654</v>
      </c>
      <c r="J16" s="16"/>
      <c r="K16" s="18" t="s">
        <v>4392</v>
      </c>
      <c r="L16" s="16"/>
      <c r="M16" s="18" t="s">
        <v>5066</v>
      </c>
      <c r="N16" s="16"/>
      <c r="O16" s="18" t="s">
        <v>5809</v>
      </c>
      <c r="P16" s="16"/>
      <c r="Q16" s="18" t="s">
        <v>6451</v>
      </c>
      <c r="R16" s="16"/>
      <c r="S16" s="18"/>
      <c r="T16" s="21"/>
    </row>
    <row r="17" spans="1:20" ht="15.95" customHeight="1" x14ac:dyDescent="0.25">
      <c r="A17" s="18" t="s">
        <v>280</v>
      </c>
      <c r="B17" s="16"/>
      <c r="C17" s="18" t="s">
        <v>280</v>
      </c>
      <c r="D17" s="16"/>
      <c r="E17" s="18" t="s">
        <v>2913</v>
      </c>
      <c r="F17" s="16"/>
      <c r="G17" s="18" t="s">
        <v>1449</v>
      </c>
      <c r="H17" s="16"/>
      <c r="I17" s="18" t="s">
        <v>3655</v>
      </c>
      <c r="J17" s="16"/>
      <c r="K17" s="18" t="s">
        <v>4393</v>
      </c>
      <c r="L17" s="16"/>
      <c r="M17" s="18" t="s">
        <v>1449</v>
      </c>
      <c r="N17" s="16"/>
      <c r="O17" s="18" t="s">
        <v>5810</v>
      </c>
      <c r="P17" s="16"/>
      <c r="Q17" s="18" t="s">
        <v>280</v>
      </c>
      <c r="R17" s="16"/>
      <c r="S17" s="18"/>
      <c r="T17" s="21"/>
    </row>
    <row r="18" spans="1:20" ht="15.95" customHeight="1" x14ac:dyDescent="0.25">
      <c r="A18" s="18" t="s">
        <v>281</v>
      </c>
      <c r="B18" s="16"/>
      <c r="C18" s="18" t="s">
        <v>2194</v>
      </c>
      <c r="D18" s="16"/>
      <c r="E18" s="18" t="s">
        <v>2914</v>
      </c>
      <c r="F18" s="16"/>
      <c r="G18" s="18" t="s">
        <v>281</v>
      </c>
      <c r="H18" s="16"/>
      <c r="I18" s="18" t="s">
        <v>3656</v>
      </c>
      <c r="J18" s="16"/>
      <c r="K18" s="18" t="s">
        <v>4394</v>
      </c>
      <c r="L18" s="16"/>
      <c r="M18" s="18" t="s">
        <v>2914</v>
      </c>
      <c r="N18" s="16"/>
      <c r="O18" s="18" t="s">
        <v>5811</v>
      </c>
      <c r="P18" s="16"/>
      <c r="Q18" s="18" t="s">
        <v>281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282</v>
      </c>
      <c r="B20" s="16"/>
      <c r="C20" s="18" t="s">
        <v>2195</v>
      </c>
      <c r="D20" s="16"/>
      <c r="E20" s="18" t="s">
        <v>2915</v>
      </c>
      <c r="F20" s="16"/>
      <c r="G20" s="18" t="s">
        <v>1450</v>
      </c>
      <c r="H20" s="16"/>
      <c r="I20" s="18" t="s">
        <v>3657</v>
      </c>
      <c r="J20" s="16"/>
      <c r="K20" s="18" t="s">
        <v>4395</v>
      </c>
      <c r="L20" s="16"/>
      <c r="M20" s="18" t="s">
        <v>5067</v>
      </c>
      <c r="N20" s="16"/>
      <c r="O20" s="18" t="s">
        <v>5812</v>
      </c>
      <c r="P20" s="16"/>
      <c r="Q20" s="18" t="s">
        <v>6452</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283</v>
      </c>
      <c r="B22" s="16"/>
      <c r="C22" s="18" t="s">
        <v>1759</v>
      </c>
      <c r="D22" s="16"/>
      <c r="E22" s="18" t="s">
        <v>2478</v>
      </c>
      <c r="F22" s="16"/>
      <c r="G22" s="18" t="s">
        <v>1027</v>
      </c>
      <c r="H22" s="16"/>
      <c r="I22" s="18" t="s">
        <v>3196</v>
      </c>
      <c r="J22" s="16"/>
      <c r="K22" s="18" t="s">
        <v>3943</v>
      </c>
      <c r="L22" s="16"/>
      <c r="M22" s="18" t="s">
        <v>4672</v>
      </c>
      <c r="N22" s="16"/>
      <c r="O22" s="18" t="s">
        <v>5357</v>
      </c>
      <c r="P22" s="16"/>
      <c r="Q22" s="18" t="s">
        <v>6089</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284</v>
      </c>
      <c r="B24" s="16"/>
      <c r="C24" s="18" t="s">
        <v>2196</v>
      </c>
      <c r="D24" s="16"/>
      <c r="E24" s="18" t="s">
        <v>2916</v>
      </c>
      <c r="F24" s="16"/>
      <c r="G24" s="18" t="s">
        <v>1451</v>
      </c>
      <c r="H24" s="16"/>
      <c r="I24" s="18" t="s">
        <v>3658</v>
      </c>
      <c r="J24" s="16"/>
      <c r="K24" s="18" t="s">
        <v>4396</v>
      </c>
      <c r="L24" s="16"/>
      <c r="M24" s="18" t="s">
        <v>5068</v>
      </c>
      <c r="N24" s="16"/>
      <c r="O24" s="18" t="s">
        <v>5813</v>
      </c>
      <c r="P24" s="16"/>
      <c r="Q24" s="18" t="s">
        <v>6453</v>
      </c>
      <c r="R24" s="16"/>
      <c r="S24" s="18"/>
      <c r="T24" s="21"/>
    </row>
    <row r="25" spans="1:20" ht="15.95" customHeight="1" x14ac:dyDescent="0.25">
      <c r="A25" s="18" t="s">
        <v>285</v>
      </c>
      <c r="B25" s="16"/>
      <c r="C25" s="18" t="s">
        <v>2197</v>
      </c>
      <c r="D25" s="16"/>
      <c r="E25" s="18" t="s">
        <v>2917</v>
      </c>
      <c r="F25" s="16"/>
      <c r="G25" s="18" t="s">
        <v>1452</v>
      </c>
      <c r="H25" s="16"/>
      <c r="I25" s="18" t="s">
        <v>3659</v>
      </c>
      <c r="J25" s="16"/>
      <c r="K25" s="18" t="s">
        <v>4397</v>
      </c>
      <c r="L25" s="16"/>
      <c r="M25" s="18" t="s">
        <v>5069</v>
      </c>
      <c r="N25" s="16"/>
      <c r="O25" s="18" t="s">
        <v>5814</v>
      </c>
      <c r="P25" s="16"/>
      <c r="Q25" s="18" t="s">
        <v>6454</v>
      </c>
      <c r="R25" s="16"/>
      <c r="S25" s="18"/>
      <c r="T25" s="21"/>
    </row>
    <row r="26" spans="1:20" ht="15.95" customHeight="1" x14ac:dyDescent="0.25">
      <c r="A26" s="18" t="s">
        <v>286</v>
      </c>
      <c r="B26" s="16"/>
      <c r="C26" s="18" t="s">
        <v>2198</v>
      </c>
      <c r="D26" s="16"/>
      <c r="E26" s="18" t="s">
        <v>2918</v>
      </c>
      <c r="F26" s="16"/>
      <c r="G26" s="18" t="s">
        <v>1453</v>
      </c>
      <c r="H26" s="16"/>
      <c r="I26" s="18" t="s">
        <v>3660</v>
      </c>
      <c r="J26" s="16"/>
      <c r="K26" s="18" t="s">
        <v>4398</v>
      </c>
      <c r="L26" s="16"/>
      <c r="M26" s="18" t="s">
        <v>5070</v>
      </c>
      <c r="N26" s="16"/>
      <c r="O26" s="18" t="s">
        <v>5815</v>
      </c>
      <c r="P26" s="16"/>
      <c r="Q26" s="18" t="s">
        <v>6455</v>
      </c>
      <c r="R26" s="16"/>
      <c r="S26" s="18"/>
      <c r="T26" s="21"/>
    </row>
    <row r="27" spans="1:20" ht="15.95" customHeight="1" x14ac:dyDescent="0.25">
      <c r="A27" s="18" t="s">
        <v>287</v>
      </c>
      <c r="B27" s="16"/>
      <c r="C27" s="18" t="s">
        <v>2199</v>
      </c>
      <c r="D27" s="16"/>
      <c r="E27" s="18" t="s">
        <v>2919</v>
      </c>
      <c r="F27" s="16"/>
      <c r="G27" s="18" t="s">
        <v>1454</v>
      </c>
      <c r="H27" s="16"/>
      <c r="I27" s="18" t="s">
        <v>3661</v>
      </c>
      <c r="J27" s="16"/>
      <c r="K27" s="18" t="s">
        <v>4399</v>
      </c>
      <c r="L27" s="16"/>
      <c r="M27" s="18" t="s">
        <v>5071</v>
      </c>
      <c r="N27" s="16"/>
      <c r="O27" s="18" t="s">
        <v>5816</v>
      </c>
      <c r="P27" s="16"/>
      <c r="Q27" s="18" t="s">
        <v>6456</v>
      </c>
      <c r="R27" s="16"/>
      <c r="S27" s="18"/>
      <c r="T27" s="21"/>
    </row>
    <row r="28" spans="1:20" ht="15.95" customHeight="1" x14ac:dyDescent="0.25">
      <c r="A28" s="18" t="s">
        <v>288</v>
      </c>
      <c r="B28" s="16"/>
      <c r="C28" s="18" t="s">
        <v>2200</v>
      </c>
      <c r="D28" s="16"/>
      <c r="E28" s="18" t="s">
        <v>2920</v>
      </c>
      <c r="F28" s="16"/>
      <c r="G28" s="18" t="s">
        <v>1455</v>
      </c>
      <c r="H28" s="16"/>
      <c r="I28" s="18" t="s">
        <v>3662</v>
      </c>
      <c r="J28" s="16"/>
      <c r="K28" s="18" t="s">
        <v>4400</v>
      </c>
      <c r="L28" s="16"/>
      <c r="M28" s="18" t="s">
        <v>5072</v>
      </c>
      <c r="N28" s="16"/>
      <c r="O28" s="18" t="s">
        <v>5817</v>
      </c>
      <c r="P28" s="16"/>
      <c r="Q28" s="18" t="s">
        <v>6457</v>
      </c>
      <c r="R28" s="16"/>
      <c r="S28" s="18"/>
      <c r="T28" s="21"/>
    </row>
    <row r="29" spans="1:20" ht="15.95" customHeight="1" x14ac:dyDescent="0.25">
      <c r="A29" s="18" t="s">
        <v>289</v>
      </c>
      <c r="B29" s="16"/>
      <c r="C29" s="18" t="s">
        <v>2201</v>
      </c>
      <c r="D29" s="16"/>
      <c r="E29" s="18" t="s">
        <v>2921</v>
      </c>
      <c r="F29" s="16"/>
      <c r="G29" s="18" t="s">
        <v>1456</v>
      </c>
      <c r="H29" s="16"/>
      <c r="I29" s="18" t="s">
        <v>3663</v>
      </c>
      <c r="J29" s="16"/>
      <c r="K29" s="18" t="s">
        <v>4401</v>
      </c>
      <c r="L29" s="16"/>
      <c r="M29" s="18" t="s">
        <v>5073</v>
      </c>
      <c r="N29" s="16"/>
      <c r="O29" s="18" t="s">
        <v>5818</v>
      </c>
      <c r="P29" s="16"/>
      <c r="Q29" s="18" t="s">
        <v>6458</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290</v>
      </c>
      <c r="B31" s="16"/>
      <c r="C31" s="18" t="s">
        <v>2202</v>
      </c>
      <c r="D31" s="16"/>
      <c r="E31" s="18" t="s">
        <v>2922</v>
      </c>
      <c r="F31" s="16"/>
      <c r="G31" s="18" t="s">
        <v>1457</v>
      </c>
      <c r="H31" s="16"/>
      <c r="I31" s="18" t="s">
        <v>3664</v>
      </c>
      <c r="J31" s="16"/>
      <c r="K31" s="18" t="s">
        <v>4402</v>
      </c>
      <c r="L31" s="16"/>
      <c r="M31" s="18" t="s">
        <v>5074</v>
      </c>
      <c r="N31" s="16"/>
      <c r="O31" s="18" t="s">
        <v>5819</v>
      </c>
      <c r="P31" s="16"/>
      <c r="Q31" s="18" t="s">
        <v>6459</v>
      </c>
      <c r="R31" s="16"/>
      <c r="S31" s="18"/>
      <c r="T31" s="21"/>
    </row>
    <row r="32" spans="1:20" ht="15.95" customHeight="1" x14ac:dyDescent="0.25">
      <c r="A32" s="18" t="s">
        <v>291</v>
      </c>
      <c r="B32" s="16"/>
      <c r="C32" s="18" t="s">
        <v>2203</v>
      </c>
      <c r="D32" s="16"/>
      <c r="E32" s="18" t="s">
        <v>2923</v>
      </c>
      <c r="F32" s="16"/>
      <c r="G32" s="18" t="s">
        <v>1458</v>
      </c>
      <c r="H32" s="16"/>
      <c r="I32" s="18" t="s">
        <v>3665</v>
      </c>
      <c r="J32" s="16"/>
      <c r="K32" s="18" t="s">
        <v>4403</v>
      </c>
      <c r="L32" s="16"/>
      <c r="M32" s="18" t="s">
        <v>5075</v>
      </c>
      <c r="N32" s="16"/>
      <c r="O32" s="18" t="s">
        <v>5820</v>
      </c>
      <c r="P32" s="16"/>
      <c r="Q32" s="18" t="s">
        <v>6460</v>
      </c>
      <c r="R32" s="16"/>
      <c r="S32" s="18"/>
      <c r="T32" s="21"/>
    </row>
    <row r="33" spans="1:20" ht="15.95" customHeight="1" x14ac:dyDescent="0.25">
      <c r="A33" s="22" t="s">
        <v>292</v>
      </c>
      <c r="B33" s="16"/>
      <c r="C33" s="18" t="s">
        <v>2204</v>
      </c>
      <c r="D33" s="16"/>
      <c r="E33" s="18" t="s">
        <v>2924</v>
      </c>
      <c r="F33" s="16"/>
      <c r="G33" s="18" t="s">
        <v>1459</v>
      </c>
      <c r="H33" s="16"/>
      <c r="I33" s="18" t="s">
        <v>3666</v>
      </c>
      <c r="J33" s="16"/>
      <c r="K33" s="18" t="s">
        <v>4404</v>
      </c>
      <c r="L33" s="16"/>
      <c r="M33" s="18" t="s">
        <v>5076</v>
      </c>
      <c r="N33" s="16"/>
      <c r="O33" s="18" t="s">
        <v>5821</v>
      </c>
      <c r="P33" s="16"/>
      <c r="Q33" s="18" t="s">
        <v>6461</v>
      </c>
      <c r="R33" s="16"/>
      <c r="S33" s="18"/>
      <c r="T33" s="21"/>
    </row>
    <row r="34" spans="1:20" ht="15.95" customHeight="1" x14ac:dyDescent="0.25">
      <c r="A34" s="18" t="s">
        <v>293</v>
      </c>
      <c r="B34" s="16"/>
      <c r="C34" s="18" t="s">
        <v>2205</v>
      </c>
      <c r="D34" s="16"/>
      <c r="E34" s="18" t="s">
        <v>2925</v>
      </c>
      <c r="F34" s="16"/>
      <c r="G34" s="18" t="s">
        <v>1460</v>
      </c>
      <c r="H34" s="16"/>
      <c r="I34" s="18" t="s">
        <v>3667</v>
      </c>
      <c r="J34" s="16"/>
      <c r="K34" s="18" t="s">
        <v>4405</v>
      </c>
      <c r="L34" s="16"/>
      <c r="M34" s="18" t="s">
        <v>5077</v>
      </c>
      <c r="N34" s="16"/>
      <c r="O34" s="18" t="s">
        <v>5822</v>
      </c>
      <c r="P34" s="16"/>
      <c r="Q34" s="18" t="s">
        <v>6462</v>
      </c>
      <c r="R34" s="16"/>
      <c r="S34" s="18"/>
      <c r="T34" s="21"/>
    </row>
    <row r="35" spans="1:20" ht="15.95" customHeight="1" x14ac:dyDescent="0.25">
      <c r="A35" s="18" t="s">
        <v>294</v>
      </c>
      <c r="B35" s="16"/>
      <c r="C35" s="18" t="s">
        <v>2206</v>
      </c>
      <c r="D35" s="16"/>
      <c r="E35" s="18" t="s">
        <v>2926</v>
      </c>
      <c r="F35" s="16"/>
      <c r="G35" s="18" t="s">
        <v>1461</v>
      </c>
      <c r="H35" s="16"/>
      <c r="I35" s="18" t="s">
        <v>3668</v>
      </c>
      <c r="J35" s="16"/>
      <c r="K35" s="18" t="s">
        <v>4406</v>
      </c>
      <c r="L35" s="16"/>
      <c r="M35" s="18" t="s">
        <v>5078</v>
      </c>
      <c r="N35" s="16"/>
      <c r="O35" s="18" t="s">
        <v>5823</v>
      </c>
      <c r="P35" s="16"/>
      <c r="Q35" s="18" t="s">
        <v>6463</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9" priority="2" stopIfTrue="1">
      <formula>NOT(ISERROR(A3))</formula>
    </cfRule>
  </conditionalFormatting>
  <conditionalFormatting sqref="A3:T51">
    <cfRule type="containsErrors" dxfId="98" priority="1" stopIfTrue="1">
      <formula>ISERROR(A3)</formula>
    </cfRule>
    <cfRule type="notContainsBlanks" dxfId="97"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295</v>
      </c>
      <c r="B3" s="16" t="str">
        <f>TRIM(_xlfn.TEXTBEFORE(A3, ":"))</f>
        <v>Item Class</v>
      </c>
      <c r="C3" s="17" t="s">
        <v>2207</v>
      </c>
      <c r="D3" s="16" t="str">
        <f>TRIM(_xlfn.TEXTBEFORE(C3, ":"))</f>
        <v>Gegenstandsklasse</v>
      </c>
      <c r="E3" s="17" t="s">
        <v>2927</v>
      </c>
      <c r="F3" s="16" t="str">
        <f>TRIM(_xlfn.TEXTBEFORE(E3, ":"))</f>
        <v>Clase de objeto</v>
      </c>
      <c r="G3" s="17" t="s">
        <v>1462</v>
      </c>
      <c r="H3" s="16" t="str">
        <f>TRIM(_xlfn.TEXTBEFORE(G3, ":"))</f>
        <v>Classe d'objet</v>
      </c>
      <c r="I3" s="17" t="s">
        <v>3669</v>
      </c>
      <c r="J3" s="16" t="str">
        <f>TRIM(_xlfn.TEXTBEFORE(I3, ":"))</f>
        <v>アイテムクラス</v>
      </c>
      <c r="K3" s="17" t="s">
        <v>4407</v>
      </c>
      <c r="L3" s="16" t="str">
        <f>TRIM(_xlfn.TEXTBEFORE(K3, ":"))</f>
        <v>아이템 종류</v>
      </c>
      <c r="M3" s="17" t="s">
        <v>5079</v>
      </c>
      <c r="N3" s="16" t="str">
        <f>TRIM(_xlfn.TEXTBEFORE(M3, ":"))</f>
        <v>Classe do Item</v>
      </c>
      <c r="O3" s="17" t="s">
        <v>5824</v>
      </c>
      <c r="P3" s="16" t="str">
        <f>TRIM(_xlfn.TEXTBEFORE(O3, ":"))</f>
        <v>Класс предмета</v>
      </c>
      <c r="Q3" s="17" t="s">
        <v>6464</v>
      </c>
      <c r="R3" s="16" t="str">
        <f>TRIM(_xlfn.TEXTBEFORE(Q3, ":"))</f>
        <v>ชนิดไอเทม</v>
      </c>
      <c r="S3" s="17"/>
      <c r="T3" s="16" t="e">
        <f>TRIM(_xlfn.TEXTBEFORE(S3, ":"))</f>
        <v>#N/A</v>
      </c>
    </row>
    <row r="4" spans="1:20" ht="15.95" customHeight="1" x14ac:dyDescent="0.25">
      <c r="A4" s="18" t="s">
        <v>109</v>
      </c>
      <c r="B4" s="16" t="str">
        <f>TRIM(_xlfn.TEXTAFTER(A3, ":"))</f>
        <v>Two Hand Axes</v>
      </c>
      <c r="C4" s="18" t="s">
        <v>1672</v>
      </c>
      <c r="D4" s="16" t="str">
        <f>TRIM(_xlfn.TEXTAFTER(C3, ":"))</f>
        <v>Zweihandäxte</v>
      </c>
      <c r="E4" s="18" t="s">
        <v>2392</v>
      </c>
      <c r="F4" s="16" t="str">
        <f>TRIM(_xlfn.TEXTAFTER(E3, ":"))</f>
        <v>Hachas a dos manos</v>
      </c>
      <c r="G4" s="18" t="s">
        <v>1</v>
      </c>
      <c r="H4" s="16" t="str">
        <f>TRIM(_xlfn.TEXTAFTER(G3, ":"))</f>
        <v>Haches à deux mains</v>
      </c>
      <c r="I4" s="18" t="s">
        <v>3107</v>
      </c>
      <c r="J4" s="16" t="str">
        <f>TRIM(_xlfn.TEXTAFTER(I3, ":"))</f>
        <v>両手斧</v>
      </c>
      <c r="K4" s="18" t="s">
        <v>3857</v>
      </c>
      <c r="L4" s="16" t="str">
        <f>TRIM(_xlfn.TEXTAFTER(K3, ":"))</f>
        <v>양손 도끼</v>
      </c>
      <c r="M4" s="18" t="s">
        <v>4586</v>
      </c>
      <c r="N4" s="16" t="str">
        <f>TRIM(_xlfn.TEXTAFTER(M3, ":"))</f>
        <v>Machados de Duas Mãos</v>
      </c>
      <c r="O4" s="18" t="s">
        <v>5269</v>
      </c>
      <c r="P4" s="16" t="str">
        <f>TRIM(_xlfn.TEXTAFTER(O3, ":"))</f>
        <v>Двуручные топоры</v>
      </c>
      <c r="Q4" s="18" t="s">
        <v>6006</v>
      </c>
      <c r="R4" s="16" t="str">
        <f>TRIM(_xlfn.TEXTAFTER(Q3, ":"))</f>
        <v>ขวานสองมือ</v>
      </c>
      <c r="S4" s="18"/>
      <c r="T4" s="16" t="e">
        <f>TRIM(_xlfn.TEXTAFTER(S3, ":"))</f>
        <v>#N/A</v>
      </c>
    </row>
    <row r="5" spans="1:20" ht="15.95" customHeight="1" x14ac:dyDescent="0.25">
      <c r="A5" s="18" t="s">
        <v>296</v>
      </c>
      <c r="B5" s="16" t="str">
        <f>TRIM(_xlfn.TEXTBEFORE(A4, ":"))</f>
        <v>Rarity</v>
      </c>
      <c r="C5" s="18" t="s">
        <v>2208</v>
      </c>
      <c r="D5" s="16" t="str">
        <f>TRIM(_xlfn.TEXTBEFORE(C4, ":"))</f>
        <v>Seltenheit</v>
      </c>
      <c r="E5" s="18" t="s">
        <v>2928</v>
      </c>
      <c r="F5" s="16" t="str">
        <f>TRIM(_xlfn.TEXTBEFORE(E4, ":"))</f>
        <v>Rareza</v>
      </c>
      <c r="G5" s="18" t="s">
        <v>1463</v>
      </c>
      <c r="H5" s="16" t="str">
        <f>TRIM(_xlfn.TEXTBEFORE(G4, ":"))</f>
        <v>Rareté</v>
      </c>
      <c r="I5" s="18" t="s">
        <v>3670</v>
      </c>
      <c r="J5" s="16" t="str">
        <f>TRIM(_xlfn.TEXTBEFORE(I4, ":"))</f>
        <v>レアリティ</v>
      </c>
      <c r="K5" s="18" t="s">
        <v>4408</v>
      </c>
      <c r="L5" s="16" t="str">
        <f>TRIM(_xlfn.TEXTBEFORE(K4, ":"))</f>
        <v>아이템 희귀도</v>
      </c>
      <c r="M5" s="18" t="s">
        <v>5080</v>
      </c>
      <c r="N5" s="16" t="str">
        <f>TRIM(_xlfn.TEXTBEFORE(M4, ":"))</f>
        <v>Raridade</v>
      </c>
      <c r="O5" s="18" t="s">
        <v>5825</v>
      </c>
      <c r="P5" s="16" t="str">
        <f>TRIM(_xlfn.TEXTBEFORE(O4, ":"))</f>
        <v>Редкость</v>
      </c>
      <c r="Q5" s="18" t="s">
        <v>296</v>
      </c>
      <c r="R5" s="16" t="str">
        <f>TRIM(_xlfn.TEXTBEFORE(Q4, ":"))</f>
        <v>ความหายาก</v>
      </c>
      <c r="S5" s="18"/>
      <c r="T5" s="16" t="e">
        <f>TRIM(_xlfn.TEXTBEFORE(S4, ":"))</f>
        <v>#N/A</v>
      </c>
    </row>
    <row r="6" spans="1:20" ht="15.95" customHeight="1" x14ac:dyDescent="0.25">
      <c r="A6" s="18" t="s">
        <v>297</v>
      </c>
      <c r="B6" s="16" t="str">
        <f>TRIM(_xlfn.TEXTAFTER(A4,":"))</f>
        <v>Unique</v>
      </c>
      <c r="C6" s="18" t="s">
        <v>2209</v>
      </c>
      <c r="D6" s="16" t="str">
        <f>TRIM(_xlfn.TEXTAFTER(C4,":"))</f>
        <v>Einzigartig</v>
      </c>
      <c r="E6" s="18" t="s">
        <v>2929</v>
      </c>
      <c r="F6" s="16" t="str">
        <f>TRIM(_xlfn.TEXTAFTER(E4,":"))</f>
        <v>Único</v>
      </c>
      <c r="G6" s="18" t="s">
        <v>1464</v>
      </c>
      <c r="H6" s="16" t="str">
        <f>TRIM(_xlfn.TEXTAFTER(G4,":"))</f>
        <v>Unique</v>
      </c>
      <c r="I6" s="18" t="s">
        <v>3671</v>
      </c>
      <c r="J6" s="16" t="str">
        <f>TRIM(_xlfn.TEXTAFTER(I4,":"))</f>
        <v>ユニーク</v>
      </c>
      <c r="K6" s="18" t="s">
        <v>4409</v>
      </c>
      <c r="L6" s="16" t="str">
        <f>TRIM(_xlfn.TEXTAFTER(K4,":"))</f>
        <v>고유</v>
      </c>
      <c r="M6" s="18" t="s">
        <v>5081</v>
      </c>
      <c r="N6" s="16" t="str">
        <f>TRIM(_xlfn.TEXTAFTER(M4,":"))</f>
        <v>Único</v>
      </c>
      <c r="O6" s="18" t="s">
        <v>5826</v>
      </c>
      <c r="P6" s="16" t="str">
        <f>TRIM(_xlfn.TEXTAFTER(O4,":"))</f>
        <v>Уникальный</v>
      </c>
      <c r="Q6" s="18" t="s">
        <v>297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298</v>
      </c>
      <c r="B8" s="16"/>
      <c r="C8" s="18" t="s">
        <v>2210</v>
      </c>
      <c r="D8" s="16"/>
      <c r="E8" s="18" t="s">
        <v>2930</v>
      </c>
      <c r="F8" s="16"/>
      <c r="G8" s="18" t="s">
        <v>1465</v>
      </c>
      <c r="H8" s="16"/>
      <c r="I8" s="18" t="s">
        <v>3672</v>
      </c>
      <c r="J8" s="16"/>
      <c r="K8" s="18" t="s">
        <v>4410</v>
      </c>
      <c r="L8" s="16"/>
      <c r="M8" s="18" t="s">
        <v>5082</v>
      </c>
      <c r="N8" s="16"/>
      <c r="O8" s="18" t="s">
        <v>5827</v>
      </c>
      <c r="P8" s="16"/>
      <c r="Q8" s="18" t="s">
        <v>6465</v>
      </c>
      <c r="R8" s="16"/>
      <c r="S8" s="18"/>
      <c r="T8" s="16"/>
    </row>
    <row r="9" spans="1:20" ht="15.95" customHeight="1" x14ac:dyDescent="0.25">
      <c r="A9" s="18" t="s">
        <v>299</v>
      </c>
      <c r="B9" s="16"/>
      <c r="C9" s="18" t="s">
        <v>2211</v>
      </c>
      <c r="D9" s="16"/>
      <c r="E9" s="18" t="s">
        <v>2931</v>
      </c>
      <c r="F9" s="16"/>
      <c r="G9" s="18" t="s">
        <v>1466</v>
      </c>
      <c r="H9" s="16"/>
      <c r="I9" s="18" t="s">
        <v>3673</v>
      </c>
      <c r="J9" s="16"/>
      <c r="K9" s="18" t="s">
        <v>4411</v>
      </c>
      <c r="L9" s="16"/>
      <c r="M9" s="18" t="s">
        <v>5083</v>
      </c>
      <c r="N9" s="16"/>
      <c r="O9" s="18" t="s">
        <v>5828</v>
      </c>
      <c r="P9" s="16"/>
      <c r="Q9" s="18" t="s">
        <v>6466</v>
      </c>
      <c r="R9" s="16"/>
      <c r="S9" s="18"/>
      <c r="T9" s="16"/>
    </row>
    <row r="10" spans="1:20" ht="15.95" customHeight="1" x14ac:dyDescent="0.25">
      <c r="A10" s="18" t="s">
        <v>214</v>
      </c>
      <c r="B10" s="16"/>
      <c r="C10" s="18" t="s">
        <v>2137</v>
      </c>
      <c r="D10" s="16"/>
      <c r="E10" s="18" t="s">
        <v>2855</v>
      </c>
      <c r="F10" s="16"/>
      <c r="G10" s="18" t="s">
        <v>1393</v>
      </c>
      <c r="H10" s="16"/>
      <c r="I10" s="18" t="s">
        <v>3594</v>
      </c>
      <c r="J10" s="16"/>
      <c r="K10" s="18" t="s">
        <v>4332</v>
      </c>
      <c r="L10" s="16"/>
      <c r="M10" s="18" t="s">
        <v>5013</v>
      </c>
      <c r="N10" s="16"/>
      <c r="O10" s="18" t="s">
        <v>5749</v>
      </c>
      <c r="P10" s="16"/>
      <c r="Q10" s="18" t="s">
        <v>6401</v>
      </c>
      <c r="R10" s="16"/>
      <c r="S10" s="18"/>
      <c r="T10" s="16"/>
    </row>
    <row r="11" spans="1:20" ht="15.95" customHeight="1" x14ac:dyDescent="0.25">
      <c r="A11" s="18" t="s">
        <v>300</v>
      </c>
      <c r="B11" s="16"/>
      <c r="C11" s="18" t="s">
        <v>2091</v>
      </c>
      <c r="D11" s="16"/>
      <c r="E11" s="18" t="s">
        <v>2810</v>
      </c>
      <c r="F11" s="16"/>
      <c r="G11" s="18" t="s">
        <v>1345</v>
      </c>
      <c r="H11" s="16"/>
      <c r="I11" s="18" t="s">
        <v>3544</v>
      </c>
      <c r="J11" s="16"/>
      <c r="K11" s="18" t="s">
        <v>4284</v>
      </c>
      <c r="L11" s="16"/>
      <c r="M11" s="18" t="s">
        <v>4969</v>
      </c>
      <c r="N11" s="16"/>
      <c r="O11" s="18" t="s">
        <v>5699</v>
      </c>
      <c r="P11" s="16"/>
      <c r="Q11" s="18" t="s">
        <v>6362</v>
      </c>
      <c r="R11" s="16"/>
      <c r="S11" s="18"/>
      <c r="T11" s="16"/>
    </row>
    <row r="12" spans="1:20" ht="15.95" customHeight="1" x14ac:dyDescent="0.25">
      <c r="A12" s="18" t="s">
        <v>255</v>
      </c>
      <c r="B12" s="16"/>
      <c r="C12" s="18" t="s">
        <v>2092</v>
      </c>
      <c r="D12" s="16"/>
      <c r="E12" s="18" t="s">
        <v>2811</v>
      </c>
      <c r="F12" s="16"/>
      <c r="G12" s="18" t="s">
        <v>1346</v>
      </c>
      <c r="H12" s="16"/>
      <c r="I12" s="18" t="s">
        <v>3545</v>
      </c>
      <c r="J12" s="16"/>
      <c r="K12" s="18" t="s">
        <v>4285</v>
      </c>
      <c r="L12" s="16"/>
      <c r="M12" s="18" t="s">
        <v>4970</v>
      </c>
      <c r="N12" s="16"/>
      <c r="O12" s="18" t="s">
        <v>5700</v>
      </c>
      <c r="P12" s="16"/>
      <c r="Q12" s="18" t="s">
        <v>6363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t="s">
        <v>5957</v>
      </c>
      <c r="R14" s="16"/>
      <c r="S14" s="18"/>
      <c r="T14" s="21"/>
    </row>
    <row r="15" spans="1:20" ht="15.95" customHeight="1" x14ac:dyDescent="0.25">
      <c r="A15" s="18" t="s">
        <v>301</v>
      </c>
      <c r="B15" s="16"/>
      <c r="C15" s="18" t="s">
        <v>2124</v>
      </c>
      <c r="D15" s="16"/>
      <c r="E15" s="18" t="s">
        <v>2842</v>
      </c>
      <c r="F15" s="16"/>
      <c r="G15" s="18" t="s">
        <v>1377</v>
      </c>
      <c r="H15" s="16"/>
      <c r="I15" s="18" t="s">
        <v>3577</v>
      </c>
      <c r="J15" s="16"/>
      <c r="K15" s="18" t="s">
        <v>4317</v>
      </c>
      <c r="L15" s="16"/>
      <c r="M15" s="18" t="s">
        <v>5001</v>
      </c>
      <c r="N15" s="16"/>
      <c r="O15" s="18" t="s">
        <v>5731</v>
      </c>
      <c r="P15" s="16"/>
      <c r="Q15" s="18" t="s">
        <v>6390</v>
      </c>
      <c r="R15" s="16"/>
      <c r="S15" s="18"/>
      <c r="T15" s="21"/>
    </row>
    <row r="16" spans="1:20" ht="15.95" customHeight="1" x14ac:dyDescent="0.25">
      <c r="A16" s="18" t="s">
        <v>302</v>
      </c>
      <c r="B16" s="16"/>
      <c r="C16" s="18" t="s">
        <v>302</v>
      </c>
      <c r="D16" s="16"/>
      <c r="E16" s="18" t="s">
        <v>2932</v>
      </c>
      <c r="F16" s="16"/>
      <c r="G16" s="18" t="s">
        <v>1467</v>
      </c>
      <c r="H16" s="16"/>
      <c r="I16" s="18" t="s">
        <v>3674</v>
      </c>
      <c r="J16" s="16"/>
      <c r="K16" s="18" t="s">
        <v>4412</v>
      </c>
      <c r="L16" s="16"/>
      <c r="M16" s="18" t="s">
        <v>1467</v>
      </c>
      <c r="N16" s="16"/>
      <c r="O16" s="18" t="s">
        <v>5829</v>
      </c>
      <c r="P16" s="16"/>
      <c r="Q16" s="18" t="s">
        <v>302</v>
      </c>
      <c r="R16" s="16"/>
      <c r="S16" s="18"/>
      <c r="T16" s="21"/>
    </row>
    <row r="17" spans="1:20" ht="15.95" customHeight="1" x14ac:dyDescent="0.25">
      <c r="A17" s="18" t="s">
        <v>303</v>
      </c>
      <c r="B17" s="16"/>
      <c r="C17" s="18" t="s">
        <v>2212</v>
      </c>
      <c r="D17" s="16"/>
      <c r="E17" s="18" t="s">
        <v>2933</v>
      </c>
      <c r="F17" s="16"/>
      <c r="G17" s="18" t="s">
        <v>303</v>
      </c>
      <c r="H17" s="16"/>
      <c r="I17" s="18" t="s">
        <v>3675</v>
      </c>
      <c r="J17" s="16"/>
      <c r="K17" s="18" t="s">
        <v>4413</v>
      </c>
      <c r="L17" s="16"/>
      <c r="M17" s="18" t="s">
        <v>2933</v>
      </c>
      <c r="N17" s="16"/>
      <c r="O17" s="18" t="s">
        <v>5830</v>
      </c>
      <c r="P17" s="16"/>
      <c r="Q17" s="18" t="s">
        <v>303</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259</v>
      </c>
      <c r="B19" s="16"/>
      <c r="C19" s="18" t="s">
        <v>2176</v>
      </c>
      <c r="D19" s="16"/>
      <c r="E19" s="18" t="s">
        <v>2895</v>
      </c>
      <c r="F19" s="16"/>
      <c r="G19" s="18" t="s">
        <v>1431</v>
      </c>
      <c r="H19" s="16"/>
      <c r="I19" s="18" t="s">
        <v>3636</v>
      </c>
      <c r="J19" s="16"/>
      <c r="K19" s="18" t="s">
        <v>4374</v>
      </c>
      <c r="L19" s="16"/>
      <c r="M19" s="18" t="s">
        <v>5049</v>
      </c>
      <c r="N19" s="16"/>
      <c r="O19" s="18" t="s">
        <v>5791</v>
      </c>
      <c r="P19" s="16"/>
      <c r="Q19" s="18" t="s">
        <v>6435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198</v>
      </c>
      <c r="B21" s="16"/>
      <c r="C21" s="18" t="s">
        <v>1675</v>
      </c>
      <c r="D21" s="16"/>
      <c r="E21" s="18" t="s">
        <v>2395</v>
      </c>
      <c r="F21" s="16"/>
      <c r="G21" s="18" t="s">
        <v>942</v>
      </c>
      <c r="H21" s="16"/>
      <c r="I21" s="18" t="s">
        <v>3110</v>
      </c>
      <c r="J21" s="16"/>
      <c r="K21" s="18" t="s">
        <v>3860</v>
      </c>
      <c r="L21" s="16"/>
      <c r="M21" s="18" t="s">
        <v>4589</v>
      </c>
      <c r="N21" s="16"/>
      <c r="O21" s="18" t="s">
        <v>5272</v>
      </c>
      <c r="P21" s="16"/>
      <c r="Q21" s="18" t="s">
        <v>6009</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304</v>
      </c>
      <c r="B23" s="16"/>
      <c r="C23" s="18" t="s">
        <v>2213</v>
      </c>
      <c r="D23" s="16"/>
      <c r="E23" s="18" t="s">
        <v>2934</v>
      </c>
      <c r="F23" s="16"/>
      <c r="G23" s="18" t="s">
        <v>1468</v>
      </c>
      <c r="H23" s="16"/>
      <c r="I23" s="18" t="s">
        <v>3676</v>
      </c>
      <c r="J23" s="16"/>
      <c r="K23" s="18" t="s">
        <v>4414</v>
      </c>
      <c r="L23" s="16"/>
      <c r="M23" s="18" t="s">
        <v>5084</v>
      </c>
      <c r="N23" s="16"/>
      <c r="O23" s="18" t="s">
        <v>5831</v>
      </c>
      <c r="P23" s="16"/>
      <c r="Q23" s="18" t="s">
        <v>6467</v>
      </c>
      <c r="R23" s="16"/>
      <c r="S23" s="18"/>
      <c r="T23" s="21"/>
    </row>
    <row r="24" spans="1:20" ht="15.95" customHeight="1" x14ac:dyDescent="0.25">
      <c r="A24" s="18" t="s">
        <v>305</v>
      </c>
      <c r="B24" s="16"/>
      <c r="C24" s="18" t="s">
        <v>2214</v>
      </c>
      <c r="D24" s="16"/>
      <c r="E24" s="18" t="s">
        <v>2935</v>
      </c>
      <c r="F24" s="16"/>
      <c r="G24" s="18" t="s">
        <v>1469</v>
      </c>
      <c r="H24" s="16"/>
      <c r="I24" s="18" t="s">
        <v>3677</v>
      </c>
      <c r="J24" s="16"/>
      <c r="K24" s="18" t="s">
        <v>4415</v>
      </c>
      <c r="L24" s="16"/>
      <c r="M24" s="18" t="s">
        <v>5085</v>
      </c>
      <c r="N24" s="16"/>
      <c r="O24" s="18" t="s">
        <v>5832</v>
      </c>
      <c r="P24" s="16"/>
      <c r="Q24" s="18" t="s">
        <v>6468</v>
      </c>
      <c r="R24" s="16"/>
      <c r="S24" s="18"/>
      <c r="T24" s="21"/>
    </row>
    <row r="25" spans="1:20" ht="15.95" customHeight="1" x14ac:dyDescent="0.25">
      <c r="A25" s="18" t="s">
        <v>306</v>
      </c>
      <c r="B25" s="16"/>
      <c r="C25" s="18" t="s">
        <v>2215</v>
      </c>
      <c r="D25" s="16"/>
      <c r="E25" s="18" t="s">
        <v>2936</v>
      </c>
      <c r="F25" s="16"/>
      <c r="G25" s="18" t="s">
        <v>1470</v>
      </c>
      <c r="H25" s="16"/>
      <c r="I25" s="18" t="s">
        <v>3678</v>
      </c>
      <c r="J25" s="16"/>
      <c r="K25" s="18" t="s">
        <v>4416</v>
      </c>
      <c r="L25" s="16"/>
      <c r="M25" s="18" t="s">
        <v>5086</v>
      </c>
      <c r="N25" s="16"/>
      <c r="O25" s="18" t="s">
        <v>5833</v>
      </c>
      <c r="P25" s="16"/>
      <c r="Q25" s="18" t="s">
        <v>6469</v>
      </c>
      <c r="R25" s="16"/>
      <c r="S25" s="18"/>
      <c r="T25" s="21"/>
    </row>
    <row r="26" spans="1:20" ht="15.95" customHeight="1" x14ac:dyDescent="0.25">
      <c r="A26" s="18" t="s">
        <v>307</v>
      </c>
      <c r="B26" s="16"/>
      <c r="C26" s="18" t="s">
        <v>2216</v>
      </c>
      <c r="D26" s="16"/>
      <c r="E26" s="18" t="s">
        <v>2937</v>
      </c>
      <c r="F26" s="16"/>
      <c r="G26" s="18" t="s">
        <v>1471</v>
      </c>
      <c r="H26" s="16"/>
      <c r="I26" s="18" t="s">
        <v>3679</v>
      </c>
      <c r="J26" s="16"/>
      <c r="K26" s="18" t="s">
        <v>4417</v>
      </c>
      <c r="L26" s="16"/>
      <c r="M26" s="18" t="s">
        <v>5087</v>
      </c>
      <c r="N26" s="16"/>
      <c r="O26" s="18" t="s">
        <v>5834</v>
      </c>
      <c r="P26" s="16"/>
      <c r="Q26" s="18" t="s">
        <v>6470</v>
      </c>
      <c r="R26" s="16"/>
      <c r="S26" s="18"/>
      <c r="T26" s="21"/>
    </row>
    <row r="27" spans="1:20" ht="15.95" customHeight="1" x14ac:dyDescent="0.25">
      <c r="A27" s="18" t="s">
        <v>308</v>
      </c>
      <c r="B27" s="16"/>
      <c r="C27" s="18" t="s">
        <v>2217</v>
      </c>
      <c r="D27" s="16"/>
      <c r="E27" s="18" t="s">
        <v>2938</v>
      </c>
      <c r="F27" s="16"/>
      <c r="G27" s="18" t="s">
        <v>1472</v>
      </c>
      <c r="H27" s="16"/>
      <c r="I27" s="18" t="s">
        <v>3680</v>
      </c>
      <c r="J27" s="16"/>
      <c r="K27" s="18" t="s">
        <v>4418</v>
      </c>
      <c r="L27" s="16"/>
      <c r="M27" s="18" t="s">
        <v>5088</v>
      </c>
      <c r="N27" s="16"/>
      <c r="O27" s="18" t="s">
        <v>5835</v>
      </c>
      <c r="P27" s="16"/>
      <c r="Q27" s="18" t="s">
        <v>6471</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309</v>
      </c>
      <c r="B29" s="16"/>
      <c r="C29" s="18" t="s">
        <v>2218</v>
      </c>
      <c r="D29" s="16"/>
      <c r="E29" s="18" t="s">
        <v>2939</v>
      </c>
      <c r="F29" s="16"/>
      <c r="G29" s="18" t="s">
        <v>1473</v>
      </c>
      <c r="H29" s="16"/>
      <c r="I29" s="18" t="s">
        <v>3681</v>
      </c>
      <c r="J29" s="16"/>
      <c r="K29" s="18" t="s">
        <v>4419</v>
      </c>
      <c r="L29" s="16"/>
      <c r="M29" s="18" t="s">
        <v>5089</v>
      </c>
      <c r="N29" s="16"/>
      <c r="O29" s="18" t="s">
        <v>5836</v>
      </c>
      <c r="P29" s="16"/>
      <c r="Q29" s="18" t="s">
        <v>6472</v>
      </c>
      <c r="R29" s="16"/>
      <c r="S29" s="18"/>
      <c r="T29" s="21"/>
    </row>
    <row r="30" spans="1:20" ht="15.95" customHeight="1" x14ac:dyDescent="0.25">
      <c r="A30" s="18" t="s">
        <v>310</v>
      </c>
      <c r="B30" s="16"/>
      <c r="C30" s="18" t="s">
        <v>2219</v>
      </c>
      <c r="D30" s="16"/>
      <c r="E30" s="18" t="s">
        <v>2940</v>
      </c>
      <c r="F30" s="16"/>
      <c r="G30" s="18" t="s">
        <v>1474</v>
      </c>
      <c r="H30" s="16"/>
      <c r="I30" s="18" t="s">
        <v>3682</v>
      </c>
      <c r="J30" s="16"/>
      <c r="K30" s="18" t="s">
        <v>4420</v>
      </c>
      <c r="L30" s="16"/>
      <c r="M30" s="18" t="s">
        <v>5090</v>
      </c>
      <c r="N30" s="16"/>
      <c r="O30" s="18" t="s">
        <v>5837</v>
      </c>
      <c r="P30" s="16"/>
      <c r="Q30" s="18" t="s">
        <v>6473</v>
      </c>
      <c r="R30" s="16"/>
      <c r="S30" s="18"/>
      <c r="T30" s="21"/>
    </row>
    <row r="31" spans="1:20" ht="15.95" customHeight="1" x14ac:dyDescent="0.25">
      <c r="A31" s="18"/>
      <c r="B31" s="16"/>
      <c r="C31" s="18" t="s">
        <v>2220</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2221</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6" priority="2" stopIfTrue="1">
      <formula>NOT(ISERROR(A3))</formula>
    </cfRule>
  </conditionalFormatting>
  <conditionalFormatting sqref="A3:T51">
    <cfRule type="containsErrors" dxfId="95" priority="1" stopIfTrue="1">
      <formula>ISERROR(A3)</formula>
    </cfRule>
    <cfRule type="notContainsBlanks" dxfId="94"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311</v>
      </c>
      <c r="B3" s="16" t="str">
        <f>TRIM(_xlfn.TEXTBEFORE(A3, ":"))</f>
        <v>Item Class</v>
      </c>
      <c r="C3" s="17" t="s">
        <v>2222</v>
      </c>
      <c r="D3" s="16" t="str">
        <f>TRIM(_xlfn.TEXTBEFORE(C3, ":"))</f>
        <v>Gegenstandsklasse</v>
      </c>
      <c r="E3" s="17" t="s">
        <v>2941</v>
      </c>
      <c r="F3" s="16" t="str">
        <f>TRIM(_xlfn.TEXTBEFORE(E3, ":"))</f>
        <v>Clase de objeto</v>
      </c>
      <c r="G3" s="17" t="s">
        <v>1475</v>
      </c>
      <c r="H3" s="16" t="str">
        <f>TRIM(_xlfn.TEXTBEFORE(G3, ":"))</f>
        <v>Classe d'objet</v>
      </c>
      <c r="I3" s="17" t="s">
        <v>3683</v>
      </c>
      <c r="J3" s="16" t="str">
        <f>TRIM(_xlfn.TEXTBEFORE(I3, ":"))</f>
        <v>アイテムクラス</v>
      </c>
      <c r="K3" s="17" t="s">
        <v>4421</v>
      </c>
      <c r="L3" s="16" t="str">
        <f>TRIM(_xlfn.TEXTBEFORE(K3, ":"))</f>
        <v>아이템 종류</v>
      </c>
      <c r="M3" s="17" t="s">
        <v>5091</v>
      </c>
      <c r="N3" s="16" t="str">
        <f>TRIM(_xlfn.TEXTBEFORE(M3, ":"))</f>
        <v>Classe do Item</v>
      </c>
      <c r="O3" s="17" t="s">
        <v>5838</v>
      </c>
      <c r="P3" s="16" t="str">
        <f>TRIM(_xlfn.TEXTBEFORE(O3, ":"))</f>
        <v>Класс предмета</v>
      </c>
      <c r="Q3" s="17" t="s">
        <v>6474</v>
      </c>
      <c r="R3" s="16" t="str">
        <f>TRIM(_xlfn.TEXTBEFORE(Q3, ":"))</f>
        <v>ชนิดไอเทม</v>
      </c>
      <c r="S3" s="17"/>
      <c r="T3" s="16" t="e">
        <f>TRIM(_xlfn.TEXTBEFORE(S3, ":"))</f>
        <v>#N/A</v>
      </c>
    </row>
    <row r="4" spans="1:20" ht="15.95" customHeight="1" x14ac:dyDescent="0.25">
      <c r="A4" s="18" t="s">
        <v>109</v>
      </c>
      <c r="B4" s="16" t="str">
        <f>TRIM(_xlfn.TEXTAFTER(A3, ":"))</f>
        <v>One Hand Maces</v>
      </c>
      <c r="C4" s="18" t="s">
        <v>1672</v>
      </c>
      <c r="D4" s="16" t="str">
        <f>TRIM(_xlfn.TEXTAFTER(C3, ":"))</f>
        <v>Einhandstreitkolben</v>
      </c>
      <c r="E4" s="18" t="s">
        <v>2392</v>
      </c>
      <c r="F4" s="16" t="str">
        <f>TRIM(_xlfn.TEXTAFTER(E3, ":"))</f>
        <v>Mazas a una mano</v>
      </c>
      <c r="G4" s="18" t="s">
        <v>1</v>
      </c>
      <c r="H4" s="16" t="str">
        <f>TRIM(_xlfn.TEXTAFTER(G3, ":"))</f>
        <v>Masses à une main</v>
      </c>
      <c r="I4" s="18" t="s">
        <v>3107</v>
      </c>
      <c r="J4" s="16" t="str">
        <f>TRIM(_xlfn.TEXTAFTER(I3, ":"))</f>
        <v>片手メイス</v>
      </c>
      <c r="K4" s="18" t="s">
        <v>3857</v>
      </c>
      <c r="L4" s="16" t="str">
        <f>TRIM(_xlfn.TEXTAFTER(K3, ":"))</f>
        <v>한손 철퇴</v>
      </c>
      <c r="M4" s="18" t="s">
        <v>4586</v>
      </c>
      <c r="N4" s="16" t="str">
        <f>TRIM(_xlfn.TEXTAFTER(M3, ":"))</f>
        <v>Maças de Uma Mão</v>
      </c>
      <c r="O4" s="18" t="s">
        <v>5269</v>
      </c>
      <c r="P4" s="16" t="str">
        <f>TRIM(_xlfn.TEXTAFTER(O3, ":"))</f>
        <v>Одноручные булавы</v>
      </c>
      <c r="Q4" s="18" t="s">
        <v>6006</v>
      </c>
      <c r="R4" s="16" t="str">
        <f>TRIM(_xlfn.TEXTAFTER(Q3, ":"))</f>
        <v>กระบองมือเดียว</v>
      </c>
      <c r="S4" s="18"/>
      <c r="T4" s="16" t="e">
        <f>TRIM(_xlfn.TEXTAFTER(S3, ":"))</f>
        <v>#N/A</v>
      </c>
    </row>
    <row r="5" spans="1:20" ht="15.95" customHeight="1" x14ac:dyDescent="0.25">
      <c r="A5" s="18" t="s">
        <v>312</v>
      </c>
      <c r="B5" s="16" t="str">
        <f>TRIM(_xlfn.TEXTBEFORE(A4, ":"))</f>
        <v>Rarity</v>
      </c>
      <c r="C5" s="18" t="s">
        <v>2223</v>
      </c>
      <c r="D5" s="16" t="str">
        <f>TRIM(_xlfn.TEXTBEFORE(C4, ":"))</f>
        <v>Seltenheit</v>
      </c>
      <c r="E5" s="18" t="s">
        <v>2942</v>
      </c>
      <c r="F5" s="16" t="str">
        <f>TRIM(_xlfn.TEXTBEFORE(E4, ":"))</f>
        <v>Rareza</v>
      </c>
      <c r="G5" s="18" t="s">
        <v>1476</v>
      </c>
      <c r="H5" s="16" t="str">
        <f>TRIM(_xlfn.TEXTBEFORE(G4, ":"))</f>
        <v>Rareté</v>
      </c>
      <c r="I5" s="18" t="s">
        <v>3684</v>
      </c>
      <c r="J5" s="16" t="str">
        <f>TRIM(_xlfn.TEXTBEFORE(I4, ":"))</f>
        <v>レアリティ</v>
      </c>
      <c r="K5" s="18" t="s">
        <v>4422</v>
      </c>
      <c r="L5" s="16" t="str">
        <f>TRIM(_xlfn.TEXTBEFORE(K4, ":"))</f>
        <v>아이템 희귀도</v>
      </c>
      <c r="M5" s="18" t="s">
        <v>5092</v>
      </c>
      <c r="N5" s="16" t="str">
        <f>TRIM(_xlfn.TEXTBEFORE(M4, ":"))</f>
        <v>Raridade</v>
      </c>
      <c r="O5" s="18" t="s">
        <v>5839</v>
      </c>
      <c r="P5" s="16" t="str">
        <f>TRIM(_xlfn.TEXTBEFORE(O4, ":"))</f>
        <v>Редкость</v>
      </c>
      <c r="Q5" s="18" t="s">
        <v>312</v>
      </c>
      <c r="R5" s="16" t="str">
        <f>TRIM(_xlfn.TEXTBEFORE(Q4, ":"))</f>
        <v>ความหายาก</v>
      </c>
      <c r="S5" s="18"/>
      <c r="T5" s="16" t="e">
        <f>TRIM(_xlfn.TEXTBEFORE(S4, ":"))</f>
        <v>#N/A</v>
      </c>
    </row>
    <row r="6" spans="1:20" ht="15.95" customHeight="1" x14ac:dyDescent="0.25">
      <c r="A6" s="18" t="s">
        <v>313</v>
      </c>
      <c r="B6" s="16" t="str">
        <f>TRIM(_xlfn.TEXTAFTER(A4,":"))</f>
        <v>Unique</v>
      </c>
      <c r="C6" s="18" t="s">
        <v>2224</v>
      </c>
      <c r="D6" s="16" t="str">
        <f>TRIM(_xlfn.TEXTAFTER(C4,":"))</f>
        <v>Einzigartig</v>
      </c>
      <c r="E6" s="18" t="s">
        <v>2943</v>
      </c>
      <c r="F6" s="16" t="str">
        <f>TRIM(_xlfn.TEXTAFTER(E4,":"))</f>
        <v>Único</v>
      </c>
      <c r="G6" s="18" t="s">
        <v>1477</v>
      </c>
      <c r="H6" s="16" t="str">
        <f>TRIM(_xlfn.TEXTAFTER(G4,":"))</f>
        <v>Unique</v>
      </c>
      <c r="I6" s="18" t="s">
        <v>3685</v>
      </c>
      <c r="J6" s="16" t="str">
        <f>TRIM(_xlfn.TEXTAFTER(I4,":"))</f>
        <v>ユニーク</v>
      </c>
      <c r="K6" s="18" t="s">
        <v>4423</v>
      </c>
      <c r="L6" s="16" t="str">
        <f>TRIM(_xlfn.TEXTAFTER(K4,":"))</f>
        <v>고유</v>
      </c>
      <c r="M6" s="18" t="s">
        <v>5093</v>
      </c>
      <c r="N6" s="16" t="str">
        <f>TRIM(_xlfn.TEXTAFTER(M4,":"))</f>
        <v>Único</v>
      </c>
      <c r="O6" s="18" t="s">
        <v>5840</v>
      </c>
      <c r="P6" s="16" t="str">
        <f>TRIM(_xlfn.TEXTAFTER(O4,":"))</f>
        <v>Уникальный</v>
      </c>
      <c r="Q6" s="18" t="s">
        <v>313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314</v>
      </c>
      <c r="B8" s="16"/>
      <c r="C8" s="18" t="s">
        <v>2225</v>
      </c>
      <c r="D8" s="16"/>
      <c r="E8" s="18" t="s">
        <v>2944</v>
      </c>
      <c r="F8" s="16"/>
      <c r="G8" s="18" t="s">
        <v>1478</v>
      </c>
      <c r="H8" s="16"/>
      <c r="I8" s="18" t="s">
        <v>3686</v>
      </c>
      <c r="J8" s="16"/>
      <c r="K8" s="18" t="s">
        <v>4424</v>
      </c>
      <c r="L8" s="16"/>
      <c r="M8" s="18" t="s">
        <v>5094</v>
      </c>
      <c r="N8" s="16"/>
      <c r="O8" s="18" t="s">
        <v>5841</v>
      </c>
      <c r="P8" s="16"/>
      <c r="Q8" s="18" t="s">
        <v>6475</v>
      </c>
      <c r="R8" s="16"/>
      <c r="S8" s="18"/>
      <c r="T8" s="16"/>
    </row>
    <row r="9" spans="1:20" ht="15.95" customHeight="1" x14ac:dyDescent="0.25">
      <c r="A9" s="18" t="s">
        <v>315</v>
      </c>
      <c r="B9" s="16"/>
      <c r="C9" s="18" t="s">
        <v>2226</v>
      </c>
      <c r="D9" s="16"/>
      <c r="E9" s="18" t="s">
        <v>2945</v>
      </c>
      <c r="F9" s="16"/>
      <c r="G9" s="18" t="s">
        <v>1479</v>
      </c>
      <c r="H9" s="16"/>
      <c r="I9" s="18" t="s">
        <v>3687</v>
      </c>
      <c r="J9" s="16"/>
      <c r="K9" s="18" t="s">
        <v>4425</v>
      </c>
      <c r="L9" s="16"/>
      <c r="M9" s="18" t="s">
        <v>5095</v>
      </c>
      <c r="N9" s="16"/>
      <c r="O9" s="18" t="s">
        <v>5842</v>
      </c>
      <c r="P9" s="16"/>
      <c r="Q9" s="18" t="s">
        <v>6476</v>
      </c>
      <c r="R9" s="16"/>
      <c r="S9" s="18"/>
      <c r="T9" s="16"/>
    </row>
    <row r="10" spans="1:20" ht="15.95" customHeight="1" x14ac:dyDescent="0.25">
      <c r="A10" s="18" t="s">
        <v>316</v>
      </c>
      <c r="B10" s="16"/>
      <c r="C10" s="18" t="s">
        <v>2227</v>
      </c>
      <c r="D10" s="16"/>
      <c r="E10" s="18" t="s">
        <v>2946</v>
      </c>
      <c r="F10" s="16"/>
      <c r="G10" s="18" t="s">
        <v>1480</v>
      </c>
      <c r="H10" s="16"/>
      <c r="I10" s="18" t="s">
        <v>3688</v>
      </c>
      <c r="J10" s="16"/>
      <c r="K10" s="18" t="s">
        <v>4426</v>
      </c>
      <c r="L10" s="16"/>
      <c r="M10" s="18" t="s">
        <v>5096</v>
      </c>
      <c r="N10" s="16"/>
      <c r="O10" s="18" t="s">
        <v>5843</v>
      </c>
      <c r="P10" s="16"/>
      <c r="Q10" s="18" t="s">
        <v>6477</v>
      </c>
      <c r="R10" s="16"/>
      <c r="S10" s="18"/>
      <c r="T10" s="16"/>
    </row>
    <row r="11" spans="1:20" ht="15.95" customHeight="1" x14ac:dyDescent="0.25">
      <c r="A11" s="18" t="s">
        <v>214</v>
      </c>
      <c r="B11" s="16"/>
      <c r="C11" s="18" t="s">
        <v>2137</v>
      </c>
      <c r="D11" s="16"/>
      <c r="E11" s="18" t="s">
        <v>2855</v>
      </c>
      <c r="F11" s="16"/>
      <c r="G11" s="18" t="s">
        <v>1393</v>
      </c>
      <c r="H11" s="16"/>
      <c r="I11" s="18" t="s">
        <v>3594</v>
      </c>
      <c r="J11" s="16"/>
      <c r="K11" s="18" t="s">
        <v>4332</v>
      </c>
      <c r="L11" s="16"/>
      <c r="M11" s="18" t="s">
        <v>5013</v>
      </c>
      <c r="N11" s="16"/>
      <c r="O11" s="18" t="s">
        <v>5749</v>
      </c>
      <c r="P11" s="16"/>
      <c r="Q11" s="18" t="s">
        <v>6401</v>
      </c>
      <c r="R11" s="16"/>
      <c r="S11" s="18"/>
      <c r="T11" s="16"/>
    </row>
    <row r="12" spans="1:20" ht="15.95" customHeight="1" x14ac:dyDescent="0.25">
      <c r="A12" s="18" t="s">
        <v>317</v>
      </c>
      <c r="B12" s="16"/>
      <c r="C12" s="18" t="s">
        <v>2228</v>
      </c>
      <c r="D12" s="16"/>
      <c r="E12" s="18" t="s">
        <v>2947</v>
      </c>
      <c r="F12" s="16"/>
      <c r="G12" s="18" t="s">
        <v>1481</v>
      </c>
      <c r="H12" s="16"/>
      <c r="I12" s="18" t="s">
        <v>3689</v>
      </c>
      <c r="J12" s="16"/>
      <c r="K12" s="18" t="s">
        <v>4427</v>
      </c>
      <c r="L12" s="16"/>
      <c r="M12" s="18" t="s">
        <v>5097</v>
      </c>
      <c r="N12" s="16"/>
      <c r="O12" s="18" t="s">
        <v>5844</v>
      </c>
      <c r="P12" s="16"/>
      <c r="Q12" s="18" t="s">
        <v>6478</v>
      </c>
      <c r="R12" s="16"/>
      <c r="S12" s="18"/>
      <c r="T12" s="21"/>
    </row>
    <row r="13" spans="1:20" ht="15.95" customHeight="1" x14ac:dyDescent="0.25">
      <c r="A13" s="18" t="s">
        <v>135</v>
      </c>
      <c r="B13" s="16"/>
      <c r="C13" s="18" t="s">
        <v>2012</v>
      </c>
      <c r="D13" s="16"/>
      <c r="E13" s="18" t="s">
        <v>2733</v>
      </c>
      <c r="F13" s="16"/>
      <c r="G13" s="18" t="s">
        <v>1268</v>
      </c>
      <c r="H13" s="16"/>
      <c r="I13" s="18" t="s">
        <v>3460</v>
      </c>
      <c r="J13" s="16"/>
      <c r="K13" s="18" t="s">
        <v>4204</v>
      </c>
      <c r="L13" s="16"/>
      <c r="M13" s="18" t="s">
        <v>4951</v>
      </c>
      <c r="N13" s="16"/>
      <c r="O13" s="18" t="s">
        <v>5618</v>
      </c>
      <c r="P13" s="16"/>
      <c r="Q13" s="18" t="s">
        <v>6298</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110</v>
      </c>
      <c r="B15" s="16"/>
      <c r="C15" s="18" t="s">
        <v>1618</v>
      </c>
      <c r="D15" s="16"/>
      <c r="E15" s="18" t="s">
        <v>2337</v>
      </c>
      <c r="F15" s="16"/>
      <c r="G15" s="18" t="s">
        <v>5</v>
      </c>
      <c r="H15" s="16"/>
      <c r="I15" s="18" t="s">
        <v>3047</v>
      </c>
      <c r="J15" s="16"/>
      <c r="K15" s="18" t="s">
        <v>3801</v>
      </c>
      <c r="L15" s="16"/>
      <c r="M15" s="18" t="s">
        <v>2337</v>
      </c>
      <c r="N15" s="16"/>
      <c r="O15" s="18" t="s">
        <v>5212</v>
      </c>
      <c r="P15" s="16"/>
      <c r="Q15" s="18" t="s">
        <v>5957</v>
      </c>
      <c r="R15" s="16"/>
      <c r="S15" s="18"/>
      <c r="T15" s="21"/>
    </row>
    <row r="16" spans="1:20" ht="15.95" customHeight="1" x14ac:dyDescent="0.25">
      <c r="A16" s="18" t="s">
        <v>318</v>
      </c>
      <c r="B16" s="16"/>
      <c r="C16" s="18" t="s">
        <v>1771</v>
      </c>
      <c r="D16" s="16"/>
      <c r="E16" s="18" t="s">
        <v>2490</v>
      </c>
      <c r="F16" s="16"/>
      <c r="G16" s="18" t="s">
        <v>1039</v>
      </c>
      <c r="H16" s="16"/>
      <c r="I16" s="18" t="s">
        <v>3208</v>
      </c>
      <c r="J16" s="16"/>
      <c r="K16" s="18" t="s">
        <v>3955</v>
      </c>
      <c r="L16" s="16"/>
      <c r="M16" s="18" t="s">
        <v>4684</v>
      </c>
      <c r="N16" s="16"/>
      <c r="O16" s="18" t="s">
        <v>5369</v>
      </c>
      <c r="P16" s="16"/>
      <c r="Q16" s="18" t="s">
        <v>6100</v>
      </c>
      <c r="R16" s="16"/>
      <c r="S16" s="18"/>
      <c r="T16" s="21"/>
    </row>
    <row r="17" spans="1:20" ht="15.95" customHeight="1" x14ac:dyDescent="0.25">
      <c r="A17" s="18" t="s">
        <v>319</v>
      </c>
      <c r="B17" s="16"/>
      <c r="C17" s="18" t="s">
        <v>319</v>
      </c>
      <c r="D17" s="16"/>
      <c r="E17" s="18" t="s">
        <v>2948</v>
      </c>
      <c r="F17" s="16"/>
      <c r="G17" s="18" t="s">
        <v>1482</v>
      </c>
      <c r="H17" s="16"/>
      <c r="I17" s="18" t="s">
        <v>3690</v>
      </c>
      <c r="J17" s="16"/>
      <c r="K17" s="18" t="s">
        <v>4428</v>
      </c>
      <c r="L17" s="16"/>
      <c r="M17" s="18" t="s">
        <v>1482</v>
      </c>
      <c r="N17" s="16"/>
      <c r="O17" s="18" t="s">
        <v>5845</v>
      </c>
      <c r="P17" s="16"/>
      <c r="Q17" s="18" t="s">
        <v>319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320</v>
      </c>
      <c r="B19" s="16"/>
      <c r="C19" s="18" t="s">
        <v>1848</v>
      </c>
      <c r="D19" s="16"/>
      <c r="E19" s="18" t="s">
        <v>2566</v>
      </c>
      <c r="F19" s="16"/>
      <c r="G19" s="18" t="s">
        <v>1113</v>
      </c>
      <c r="H19" s="16"/>
      <c r="I19" s="18" t="s">
        <v>3289</v>
      </c>
      <c r="J19" s="16"/>
      <c r="K19" s="18" t="s">
        <v>4034</v>
      </c>
      <c r="L19" s="16"/>
      <c r="M19" s="18" t="s">
        <v>4757</v>
      </c>
      <c r="N19" s="16"/>
      <c r="O19" s="18" t="s">
        <v>5448</v>
      </c>
      <c r="P19" s="16"/>
      <c r="Q19" s="18" t="s">
        <v>6163</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321</v>
      </c>
      <c r="B21" s="16"/>
      <c r="C21" s="18" t="s">
        <v>1772</v>
      </c>
      <c r="D21" s="16"/>
      <c r="E21" s="18" t="s">
        <v>2491</v>
      </c>
      <c r="F21" s="16"/>
      <c r="G21" s="18" t="s">
        <v>1040</v>
      </c>
      <c r="H21" s="16"/>
      <c r="I21" s="18" t="s">
        <v>3209</v>
      </c>
      <c r="J21" s="16"/>
      <c r="K21" s="18" t="s">
        <v>3956</v>
      </c>
      <c r="L21" s="16"/>
      <c r="M21" s="18" t="s">
        <v>4685</v>
      </c>
      <c r="N21" s="16"/>
      <c r="O21" s="18" t="s">
        <v>5370</v>
      </c>
      <c r="P21" s="16"/>
      <c r="Q21" s="18" t="s">
        <v>6101</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322</v>
      </c>
      <c r="B23" s="16"/>
      <c r="C23" s="18" t="s">
        <v>2229</v>
      </c>
      <c r="D23" s="16"/>
      <c r="E23" s="18" t="s">
        <v>2949</v>
      </c>
      <c r="F23" s="16"/>
      <c r="G23" s="18" t="s">
        <v>1483</v>
      </c>
      <c r="H23" s="16"/>
      <c r="I23" s="18" t="s">
        <v>3691</v>
      </c>
      <c r="J23" s="16"/>
      <c r="K23" s="18" t="s">
        <v>4429</v>
      </c>
      <c r="L23" s="16"/>
      <c r="M23" s="18" t="s">
        <v>5098</v>
      </c>
      <c r="N23" s="16"/>
      <c r="O23" s="18" t="s">
        <v>5846</v>
      </c>
      <c r="P23" s="16"/>
      <c r="Q23" s="18" t="s">
        <v>6479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323</v>
      </c>
      <c r="B25" s="16"/>
      <c r="C25" s="18" t="s">
        <v>2230</v>
      </c>
      <c r="D25" s="16"/>
      <c r="E25" s="18" t="s">
        <v>2950</v>
      </c>
      <c r="F25" s="16"/>
      <c r="G25" s="18" t="s">
        <v>1484</v>
      </c>
      <c r="H25" s="16"/>
      <c r="I25" s="18" t="s">
        <v>3692</v>
      </c>
      <c r="J25" s="16"/>
      <c r="K25" s="18" t="s">
        <v>4430</v>
      </c>
      <c r="L25" s="16"/>
      <c r="M25" s="18" t="s">
        <v>5099</v>
      </c>
      <c r="N25" s="16"/>
      <c r="O25" s="18" t="s">
        <v>5847</v>
      </c>
      <c r="P25" s="16"/>
      <c r="Q25" s="18" t="s">
        <v>6480</v>
      </c>
      <c r="R25" s="16"/>
      <c r="S25" s="18"/>
      <c r="T25" s="21"/>
    </row>
    <row r="26" spans="1:20" ht="15.95" customHeight="1" x14ac:dyDescent="0.25">
      <c r="A26" s="18" t="s">
        <v>324</v>
      </c>
      <c r="B26" s="16"/>
      <c r="C26" s="18" t="s">
        <v>2231</v>
      </c>
      <c r="D26" s="16"/>
      <c r="E26" s="18" t="s">
        <v>2951</v>
      </c>
      <c r="F26" s="16"/>
      <c r="G26" s="18" t="s">
        <v>1485</v>
      </c>
      <c r="H26" s="16"/>
      <c r="I26" s="18" t="s">
        <v>3693</v>
      </c>
      <c r="J26" s="16"/>
      <c r="K26" s="18" t="s">
        <v>4431</v>
      </c>
      <c r="L26" s="16"/>
      <c r="M26" s="18" t="s">
        <v>5100</v>
      </c>
      <c r="N26" s="16"/>
      <c r="O26" s="18" t="s">
        <v>5848</v>
      </c>
      <c r="P26" s="16"/>
      <c r="Q26" s="18" t="s">
        <v>6481</v>
      </c>
      <c r="R26" s="16"/>
      <c r="S26" s="18"/>
      <c r="T26" s="21"/>
    </row>
    <row r="27" spans="1:20" ht="15.95" customHeight="1" x14ac:dyDescent="0.25">
      <c r="A27" s="18" t="s">
        <v>325</v>
      </c>
      <c r="B27" s="16"/>
      <c r="C27" s="18" t="s">
        <v>2232</v>
      </c>
      <c r="D27" s="16"/>
      <c r="E27" s="18" t="s">
        <v>2952</v>
      </c>
      <c r="F27" s="16"/>
      <c r="G27" s="18" t="s">
        <v>1486</v>
      </c>
      <c r="H27" s="16"/>
      <c r="I27" s="18" t="s">
        <v>3694</v>
      </c>
      <c r="J27" s="16"/>
      <c r="K27" s="18" t="s">
        <v>4432</v>
      </c>
      <c r="L27" s="16"/>
      <c r="M27" s="18" t="s">
        <v>5101</v>
      </c>
      <c r="N27" s="16"/>
      <c r="O27" s="18" t="s">
        <v>5849</v>
      </c>
      <c r="P27" s="16"/>
      <c r="Q27" s="18" t="s">
        <v>6482</v>
      </c>
      <c r="R27" s="16"/>
      <c r="S27" s="18"/>
      <c r="T27" s="21"/>
    </row>
    <row r="28" spans="1:20" ht="15.95" customHeight="1" x14ac:dyDescent="0.25">
      <c r="A28" s="18" t="s">
        <v>326</v>
      </c>
      <c r="B28" s="16"/>
      <c r="C28" s="18" t="s">
        <v>2233</v>
      </c>
      <c r="D28" s="16"/>
      <c r="E28" s="18" t="s">
        <v>2953</v>
      </c>
      <c r="F28" s="16"/>
      <c r="G28" s="18" t="s">
        <v>1487</v>
      </c>
      <c r="H28" s="16"/>
      <c r="I28" s="18" t="s">
        <v>3695</v>
      </c>
      <c r="J28" s="16"/>
      <c r="K28" s="18" t="s">
        <v>4433</v>
      </c>
      <c r="L28" s="16"/>
      <c r="M28" s="18" t="s">
        <v>5102</v>
      </c>
      <c r="N28" s="16"/>
      <c r="O28" s="18" t="s">
        <v>5850</v>
      </c>
      <c r="P28" s="16"/>
      <c r="Q28" s="18" t="s">
        <v>6483</v>
      </c>
      <c r="R28" s="16"/>
      <c r="S28" s="18"/>
      <c r="T28" s="21"/>
    </row>
    <row r="29" spans="1:20" ht="15.95" customHeight="1" x14ac:dyDescent="0.25">
      <c r="A29" s="18" t="s">
        <v>327</v>
      </c>
      <c r="B29" s="16"/>
      <c r="C29" s="18" t="s">
        <v>2234</v>
      </c>
      <c r="D29" s="16"/>
      <c r="E29" s="18" t="s">
        <v>2954</v>
      </c>
      <c r="F29" s="16"/>
      <c r="G29" s="18" t="s">
        <v>1488</v>
      </c>
      <c r="H29" s="16"/>
      <c r="I29" s="18" t="s">
        <v>3696</v>
      </c>
      <c r="J29" s="16"/>
      <c r="K29" s="18" t="s">
        <v>4434</v>
      </c>
      <c r="L29" s="16"/>
      <c r="M29" s="18" t="s">
        <v>5103</v>
      </c>
      <c r="N29" s="16"/>
      <c r="O29" s="18" t="s">
        <v>5851</v>
      </c>
      <c r="P29" s="16"/>
      <c r="Q29" s="18" t="s">
        <v>6484</v>
      </c>
      <c r="R29" s="16"/>
      <c r="S29" s="18"/>
      <c r="T29" s="21"/>
    </row>
    <row r="30" spans="1:20" ht="15.95" customHeight="1" x14ac:dyDescent="0.25">
      <c r="A30" s="18" t="s">
        <v>328</v>
      </c>
      <c r="B30" s="16"/>
      <c r="C30" s="18" t="s">
        <v>2235</v>
      </c>
      <c r="D30" s="16"/>
      <c r="E30" s="18" t="s">
        <v>2955</v>
      </c>
      <c r="F30" s="16"/>
      <c r="G30" s="18" t="s">
        <v>1489</v>
      </c>
      <c r="H30" s="16"/>
      <c r="I30" s="18" t="s">
        <v>3697</v>
      </c>
      <c r="J30" s="16"/>
      <c r="K30" s="18" t="s">
        <v>4435</v>
      </c>
      <c r="L30" s="16"/>
      <c r="M30" s="18" t="s">
        <v>5104</v>
      </c>
      <c r="N30" s="16"/>
      <c r="O30" s="18" t="s">
        <v>5852</v>
      </c>
      <c r="P30" s="16"/>
      <c r="Q30" s="18" t="s">
        <v>6485</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329</v>
      </c>
      <c r="B32" s="16"/>
      <c r="C32" s="18" t="s">
        <v>2236</v>
      </c>
      <c r="D32" s="16"/>
      <c r="E32" s="18" t="s">
        <v>2956</v>
      </c>
      <c r="F32" s="16"/>
      <c r="G32" s="18" t="s">
        <v>1490</v>
      </c>
      <c r="H32" s="16"/>
      <c r="I32" s="18" t="s">
        <v>3698</v>
      </c>
      <c r="J32" s="16"/>
      <c r="K32" s="18" t="s">
        <v>4436</v>
      </c>
      <c r="L32" s="16"/>
      <c r="M32" s="18" t="s">
        <v>5105</v>
      </c>
      <c r="N32" s="16"/>
      <c r="O32" s="18" t="s">
        <v>5853</v>
      </c>
      <c r="P32" s="16"/>
      <c r="Q32" s="18" t="s">
        <v>6486</v>
      </c>
      <c r="R32" s="16"/>
      <c r="S32" s="18"/>
      <c r="T32" s="21"/>
    </row>
    <row r="33" spans="1:20" ht="15.95" customHeight="1" x14ac:dyDescent="0.25">
      <c r="A33" s="22" t="s">
        <v>330</v>
      </c>
      <c r="B33" s="16"/>
      <c r="C33" s="18" t="s">
        <v>2237</v>
      </c>
      <c r="D33" s="16"/>
      <c r="E33" s="18" t="s">
        <v>2957</v>
      </c>
      <c r="F33" s="16"/>
      <c r="G33" s="18" t="s">
        <v>1491</v>
      </c>
      <c r="H33" s="16"/>
      <c r="I33" s="18" t="s">
        <v>3699</v>
      </c>
      <c r="J33" s="16"/>
      <c r="K33" s="18" t="s">
        <v>4437</v>
      </c>
      <c r="L33" s="16"/>
      <c r="M33" s="18" t="s">
        <v>5106</v>
      </c>
      <c r="N33" s="16"/>
      <c r="O33" s="18" t="s">
        <v>5854</v>
      </c>
      <c r="P33" s="16"/>
      <c r="Q33" s="18" t="s">
        <v>6487</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3" priority="2" stopIfTrue="1">
      <formula>NOT(ISERROR(A3))</formula>
    </cfRule>
  </conditionalFormatting>
  <conditionalFormatting sqref="A3:T51">
    <cfRule type="containsErrors" dxfId="92" priority="1" stopIfTrue="1">
      <formula>ISERROR(A3)</formula>
    </cfRule>
    <cfRule type="notContainsBlanks" dxfId="91"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331</v>
      </c>
      <c r="B3" s="16" t="str">
        <f>TRIM(_xlfn.TEXTBEFORE(A3, ":"))</f>
        <v>Item Class</v>
      </c>
      <c r="C3" s="17" t="s">
        <v>2238</v>
      </c>
      <c r="D3" s="16" t="str">
        <f>TRIM(_xlfn.TEXTBEFORE(C3, ":"))</f>
        <v>Gegenstandsklasse</v>
      </c>
      <c r="E3" s="17" t="s">
        <v>2958</v>
      </c>
      <c r="F3" s="16" t="str">
        <f>TRIM(_xlfn.TEXTBEFORE(E3, ":"))</f>
        <v>Clase de objeto</v>
      </c>
      <c r="G3" s="17" t="s">
        <v>1492</v>
      </c>
      <c r="H3" s="16" t="str">
        <f>TRIM(_xlfn.TEXTBEFORE(G3, ":"))</f>
        <v>Classe d'objet</v>
      </c>
      <c r="I3" s="17" t="s">
        <v>3700</v>
      </c>
      <c r="J3" s="16" t="str">
        <f>TRIM(_xlfn.TEXTBEFORE(I3, ":"))</f>
        <v>アイテムクラス</v>
      </c>
      <c r="K3" s="17" t="s">
        <v>4438</v>
      </c>
      <c r="L3" s="16" t="str">
        <f>TRIM(_xlfn.TEXTBEFORE(K3, ":"))</f>
        <v>아이템 종류</v>
      </c>
      <c r="M3" s="17" t="s">
        <v>5107</v>
      </c>
      <c r="N3" s="16" t="str">
        <f>TRIM(_xlfn.TEXTBEFORE(M3, ":"))</f>
        <v>Classe do Item</v>
      </c>
      <c r="O3" s="17" t="s">
        <v>5855</v>
      </c>
      <c r="P3" s="16" t="str">
        <f>TRIM(_xlfn.TEXTBEFORE(O3, ":"))</f>
        <v>Класс предмета</v>
      </c>
      <c r="Q3" s="17" t="s">
        <v>6488</v>
      </c>
      <c r="R3" s="16" t="str">
        <f>TRIM(_xlfn.TEXTBEFORE(Q3, ":"))</f>
        <v>ชนิดไอเทม</v>
      </c>
      <c r="S3" s="17"/>
      <c r="T3" s="16" t="e">
        <f>TRIM(_xlfn.TEXTBEFORE(S3, ":"))</f>
        <v>#N/A</v>
      </c>
    </row>
    <row r="4" spans="1:20" ht="15.95" customHeight="1" x14ac:dyDescent="0.25">
      <c r="A4" s="18" t="s">
        <v>109</v>
      </c>
      <c r="B4" s="16" t="str">
        <f>TRIM(_xlfn.TEXTAFTER(A3, ":"))</f>
        <v>Two Hand Maces</v>
      </c>
      <c r="C4" s="18" t="s">
        <v>1672</v>
      </c>
      <c r="D4" s="16" t="str">
        <f>TRIM(_xlfn.TEXTAFTER(C3, ":"))</f>
        <v>Zweihandstreitkolben</v>
      </c>
      <c r="E4" s="18" t="s">
        <v>2392</v>
      </c>
      <c r="F4" s="16" t="str">
        <f>TRIM(_xlfn.TEXTAFTER(E3, ":"))</f>
        <v>Mazas a dos manos</v>
      </c>
      <c r="G4" s="18" t="s">
        <v>1</v>
      </c>
      <c r="H4" s="16" t="str">
        <f>TRIM(_xlfn.TEXTAFTER(G3, ":"))</f>
        <v>Masses à deux mains</v>
      </c>
      <c r="I4" s="18" t="s">
        <v>3107</v>
      </c>
      <c r="J4" s="16" t="str">
        <f>TRIM(_xlfn.TEXTAFTER(I3, ":"))</f>
        <v>両手メイス</v>
      </c>
      <c r="K4" s="18" t="s">
        <v>3857</v>
      </c>
      <c r="L4" s="16" t="str">
        <f>TRIM(_xlfn.TEXTAFTER(K3, ":"))</f>
        <v>양손 철퇴</v>
      </c>
      <c r="M4" s="18" t="s">
        <v>4586</v>
      </c>
      <c r="N4" s="16" t="str">
        <f>TRIM(_xlfn.TEXTAFTER(M3, ":"))</f>
        <v>Maças de Duas Mãos</v>
      </c>
      <c r="O4" s="18" t="s">
        <v>5269</v>
      </c>
      <c r="P4" s="16" t="str">
        <f>TRIM(_xlfn.TEXTAFTER(O3, ":"))</f>
        <v>Двуручные булавы</v>
      </c>
      <c r="Q4" s="18" t="s">
        <v>6006</v>
      </c>
      <c r="R4" s="16" t="str">
        <f>TRIM(_xlfn.TEXTAFTER(Q3, ":"))</f>
        <v>กระบองสองมือ</v>
      </c>
      <c r="S4" s="18"/>
      <c r="T4" s="16" t="e">
        <f>TRIM(_xlfn.TEXTAFTER(S3, ":"))</f>
        <v>#N/A</v>
      </c>
    </row>
    <row r="5" spans="1:20" ht="15.95" customHeight="1" x14ac:dyDescent="0.25">
      <c r="A5" s="18" t="s">
        <v>332</v>
      </c>
      <c r="B5" s="16" t="str">
        <f>TRIM(_xlfn.TEXTBEFORE(A4, ":"))</f>
        <v>Rarity</v>
      </c>
      <c r="C5" s="18" t="s">
        <v>2239</v>
      </c>
      <c r="D5" s="16" t="str">
        <f>TRIM(_xlfn.TEXTBEFORE(C4, ":"))</f>
        <v>Seltenheit</v>
      </c>
      <c r="E5" s="18" t="s">
        <v>2959</v>
      </c>
      <c r="F5" s="16" t="str">
        <f>TRIM(_xlfn.TEXTBEFORE(E4, ":"))</f>
        <v>Rareza</v>
      </c>
      <c r="G5" s="18" t="s">
        <v>1493</v>
      </c>
      <c r="H5" s="16" t="str">
        <f>TRIM(_xlfn.TEXTBEFORE(G4, ":"))</f>
        <v>Rareté</v>
      </c>
      <c r="I5" s="18" t="s">
        <v>3701</v>
      </c>
      <c r="J5" s="16" t="str">
        <f>TRIM(_xlfn.TEXTBEFORE(I4, ":"))</f>
        <v>レアリティ</v>
      </c>
      <c r="K5" s="18" t="s">
        <v>4439</v>
      </c>
      <c r="L5" s="16" t="str">
        <f>TRIM(_xlfn.TEXTBEFORE(K4, ":"))</f>
        <v>아이템 희귀도</v>
      </c>
      <c r="M5" s="18" t="s">
        <v>5108</v>
      </c>
      <c r="N5" s="16" t="str">
        <f>TRIM(_xlfn.TEXTBEFORE(M4, ":"))</f>
        <v>Raridade</v>
      </c>
      <c r="O5" s="18" t="s">
        <v>5856</v>
      </c>
      <c r="P5" s="16" t="str">
        <f>TRIM(_xlfn.TEXTBEFORE(O4, ":"))</f>
        <v>Редкость</v>
      </c>
      <c r="Q5" s="18" t="s">
        <v>332</v>
      </c>
      <c r="R5" s="16" t="str">
        <f>TRIM(_xlfn.TEXTBEFORE(Q4, ":"))</f>
        <v>ความหายาก</v>
      </c>
      <c r="S5" s="18"/>
      <c r="T5" s="16" t="e">
        <f>TRIM(_xlfn.TEXTBEFORE(S4, ":"))</f>
        <v>#N/A</v>
      </c>
    </row>
    <row r="6" spans="1:20" ht="15.95" customHeight="1" x14ac:dyDescent="0.25">
      <c r="A6" s="18" t="s">
        <v>333</v>
      </c>
      <c r="B6" s="16" t="str">
        <f>TRIM(_xlfn.TEXTAFTER(A4,":"))</f>
        <v>Unique</v>
      </c>
      <c r="C6" s="18" t="s">
        <v>2240</v>
      </c>
      <c r="D6" s="16" t="str">
        <f>TRIM(_xlfn.TEXTAFTER(C4,":"))</f>
        <v>Einzigartig</v>
      </c>
      <c r="E6" s="18" t="s">
        <v>2960</v>
      </c>
      <c r="F6" s="16" t="str">
        <f>TRIM(_xlfn.TEXTAFTER(E4,":"))</f>
        <v>Único</v>
      </c>
      <c r="G6" s="18" t="s">
        <v>1494</v>
      </c>
      <c r="H6" s="16" t="str">
        <f>TRIM(_xlfn.TEXTAFTER(G4,":"))</f>
        <v>Unique</v>
      </c>
      <c r="I6" s="18" t="s">
        <v>3702</v>
      </c>
      <c r="J6" s="16" t="str">
        <f>TRIM(_xlfn.TEXTAFTER(I4,":"))</f>
        <v>ユニーク</v>
      </c>
      <c r="K6" s="18" t="s">
        <v>4440</v>
      </c>
      <c r="L6" s="16" t="str">
        <f>TRIM(_xlfn.TEXTAFTER(K4,":"))</f>
        <v>고유</v>
      </c>
      <c r="M6" s="18" t="s">
        <v>5109</v>
      </c>
      <c r="N6" s="16" t="str">
        <f>TRIM(_xlfn.TEXTAFTER(M4,":"))</f>
        <v>Único</v>
      </c>
      <c r="O6" s="18" t="s">
        <v>5857</v>
      </c>
      <c r="P6" s="16" t="str">
        <f>TRIM(_xlfn.TEXTAFTER(O4,":"))</f>
        <v>Уникальный</v>
      </c>
      <c r="Q6" s="18" t="s">
        <v>333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334</v>
      </c>
      <c r="B8" s="16"/>
      <c r="C8" s="18" t="s">
        <v>2241</v>
      </c>
      <c r="D8" s="16"/>
      <c r="E8" s="18" t="s">
        <v>2961</v>
      </c>
      <c r="F8" s="16"/>
      <c r="G8" s="18" t="s">
        <v>1495</v>
      </c>
      <c r="H8" s="16"/>
      <c r="I8" s="18" t="s">
        <v>3703</v>
      </c>
      <c r="J8" s="16"/>
      <c r="K8" s="18" t="s">
        <v>4441</v>
      </c>
      <c r="L8" s="16"/>
      <c r="M8" s="18" t="s">
        <v>5110</v>
      </c>
      <c r="N8" s="16"/>
      <c r="O8" s="18" t="s">
        <v>5858</v>
      </c>
      <c r="P8" s="16"/>
      <c r="Q8" s="18" t="s">
        <v>6489</v>
      </c>
      <c r="R8" s="16"/>
      <c r="S8" s="18"/>
      <c r="T8" s="16"/>
    </row>
    <row r="9" spans="1:20" ht="15.95" customHeight="1" x14ac:dyDescent="0.25">
      <c r="A9" s="18" t="s">
        <v>335</v>
      </c>
      <c r="B9" s="16"/>
      <c r="C9" s="18" t="s">
        <v>2242</v>
      </c>
      <c r="D9" s="16"/>
      <c r="E9" s="18" t="s">
        <v>2962</v>
      </c>
      <c r="F9" s="16"/>
      <c r="G9" s="18" t="s">
        <v>1496</v>
      </c>
      <c r="H9" s="16"/>
      <c r="I9" s="18" t="s">
        <v>3704</v>
      </c>
      <c r="J9" s="16"/>
      <c r="K9" s="18" t="s">
        <v>4442</v>
      </c>
      <c r="L9" s="16"/>
      <c r="M9" s="18" t="s">
        <v>5111</v>
      </c>
      <c r="N9" s="16"/>
      <c r="O9" s="18" t="s">
        <v>5859</v>
      </c>
      <c r="P9" s="16"/>
      <c r="Q9" s="18" t="s">
        <v>6490</v>
      </c>
      <c r="R9" s="16"/>
      <c r="S9" s="18"/>
      <c r="T9" s="16"/>
    </row>
    <row r="10" spans="1:20" ht="15.95" customHeight="1" x14ac:dyDescent="0.25">
      <c r="A10" s="18" t="s">
        <v>214</v>
      </c>
      <c r="B10" s="16"/>
      <c r="C10" s="18" t="s">
        <v>2137</v>
      </c>
      <c r="D10" s="16"/>
      <c r="E10" s="18" t="s">
        <v>2855</v>
      </c>
      <c r="F10" s="16"/>
      <c r="G10" s="18" t="s">
        <v>1393</v>
      </c>
      <c r="H10" s="16"/>
      <c r="I10" s="18" t="s">
        <v>3594</v>
      </c>
      <c r="J10" s="16"/>
      <c r="K10" s="18" t="s">
        <v>4332</v>
      </c>
      <c r="L10" s="16"/>
      <c r="M10" s="18" t="s">
        <v>5013</v>
      </c>
      <c r="N10" s="16"/>
      <c r="O10" s="18" t="s">
        <v>5749</v>
      </c>
      <c r="P10" s="16"/>
      <c r="Q10" s="18" t="s">
        <v>6401</v>
      </c>
      <c r="R10" s="16"/>
      <c r="S10" s="18"/>
      <c r="T10" s="16"/>
    </row>
    <row r="11" spans="1:20" ht="15.95" customHeight="1" x14ac:dyDescent="0.25">
      <c r="A11" s="18" t="s">
        <v>336</v>
      </c>
      <c r="B11" s="16"/>
      <c r="C11" s="18" t="s">
        <v>2243</v>
      </c>
      <c r="D11" s="16"/>
      <c r="E11" s="18" t="s">
        <v>2963</v>
      </c>
      <c r="F11" s="16"/>
      <c r="G11" s="18" t="s">
        <v>1497</v>
      </c>
      <c r="H11" s="16"/>
      <c r="I11" s="18" t="s">
        <v>3705</v>
      </c>
      <c r="J11" s="16"/>
      <c r="K11" s="18" t="s">
        <v>4443</v>
      </c>
      <c r="L11" s="16"/>
      <c r="M11" s="18" t="s">
        <v>5112</v>
      </c>
      <c r="N11" s="16"/>
      <c r="O11" s="18" t="s">
        <v>5860</v>
      </c>
      <c r="P11" s="16"/>
      <c r="Q11" s="18" t="s">
        <v>6491</v>
      </c>
      <c r="R11" s="16"/>
      <c r="S11" s="18"/>
      <c r="T11" s="16"/>
    </row>
    <row r="12" spans="1:20" ht="15.95" customHeight="1" x14ac:dyDescent="0.25">
      <c r="A12" s="18" t="s">
        <v>255</v>
      </c>
      <c r="B12" s="16"/>
      <c r="C12" s="18" t="s">
        <v>2092</v>
      </c>
      <c r="D12" s="16"/>
      <c r="E12" s="18" t="s">
        <v>2811</v>
      </c>
      <c r="F12" s="16"/>
      <c r="G12" s="18" t="s">
        <v>1346</v>
      </c>
      <c r="H12" s="16"/>
      <c r="I12" s="18" t="s">
        <v>3545</v>
      </c>
      <c r="J12" s="16"/>
      <c r="K12" s="18" t="s">
        <v>4285</v>
      </c>
      <c r="L12" s="16"/>
      <c r="M12" s="18" t="s">
        <v>4970</v>
      </c>
      <c r="N12" s="16"/>
      <c r="O12" s="18" t="s">
        <v>5700</v>
      </c>
      <c r="P12" s="16"/>
      <c r="Q12" s="18" t="s">
        <v>6363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t="s">
        <v>5957</v>
      </c>
      <c r="R14" s="16"/>
      <c r="S14" s="18"/>
      <c r="T14" s="21"/>
    </row>
    <row r="15" spans="1:20" ht="15.95" customHeight="1" x14ac:dyDescent="0.25">
      <c r="A15" s="18" t="s">
        <v>337</v>
      </c>
      <c r="B15" s="16"/>
      <c r="C15" s="18" t="s">
        <v>1882</v>
      </c>
      <c r="D15" s="16"/>
      <c r="E15" s="18" t="s">
        <v>2600</v>
      </c>
      <c r="F15" s="16"/>
      <c r="G15" s="18" t="s">
        <v>1145</v>
      </c>
      <c r="H15" s="16"/>
      <c r="I15" s="18" t="s">
        <v>3324</v>
      </c>
      <c r="J15" s="16"/>
      <c r="K15" s="18" t="s">
        <v>4069</v>
      </c>
      <c r="L15" s="16"/>
      <c r="M15" s="18" t="s">
        <v>4790</v>
      </c>
      <c r="N15" s="16"/>
      <c r="O15" s="18" t="s">
        <v>5483</v>
      </c>
      <c r="P15" s="16"/>
      <c r="Q15" s="18" t="s">
        <v>6192</v>
      </c>
      <c r="R15" s="16"/>
      <c r="S15" s="18"/>
      <c r="T15" s="21"/>
    </row>
    <row r="16" spans="1:20" ht="15.95" customHeight="1" x14ac:dyDescent="0.25">
      <c r="A16" s="18" t="s">
        <v>338</v>
      </c>
      <c r="B16" s="16"/>
      <c r="C16" s="18" t="s">
        <v>338</v>
      </c>
      <c r="D16" s="16"/>
      <c r="E16" s="18" t="s">
        <v>2964</v>
      </c>
      <c r="F16" s="16"/>
      <c r="G16" s="18" t="s">
        <v>1498</v>
      </c>
      <c r="H16" s="16"/>
      <c r="I16" s="18" t="s">
        <v>3706</v>
      </c>
      <c r="J16" s="16"/>
      <c r="K16" s="18" t="s">
        <v>4444</v>
      </c>
      <c r="L16" s="16"/>
      <c r="M16" s="18" t="s">
        <v>1498</v>
      </c>
      <c r="N16" s="16"/>
      <c r="O16" s="18" t="s">
        <v>5861</v>
      </c>
      <c r="P16" s="16"/>
      <c r="Q16" s="18" t="s">
        <v>338</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339</v>
      </c>
      <c r="B18" s="16"/>
      <c r="C18" s="18" t="s">
        <v>2244</v>
      </c>
      <c r="D18" s="16"/>
      <c r="E18" s="18" t="s">
        <v>2965</v>
      </c>
      <c r="F18" s="16"/>
      <c r="G18" s="18" t="s">
        <v>1499</v>
      </c>
      <c r="H18" s="16"/>
      <c r="I18" s="18" t="s">
        <v>3707</v>
      </c>
      <c r="J18" s="16"/>
      <c r="K18" s="18" t="s">
        <v>4445</v>
      </c>
      <c r="L18" s="16"/>
      <c r="M18" s="18" t="s">
        <v>5113</v>
      </c>
      <c r="N18" s="16"/>
      <c r="O18" s="18" t="s">
        <v>5862</v>
      </c>
      <c r="P18" s="16"/>
      <c r="Q18" s="18" t="s">
        <v>6492</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340</v>
      </c>
      <c r="B20" s="16"/>
      <c r="C20" s="18" t="s">
        <v>1909</v>
      </c>
      <c r="D20" s="16"/>
      <c r="E20" s="18" t="s">
        <v>2627</v>
      </c>
      <c r="F20" s="16"/>
      <c r="G20" s="18" t="s">
        <v>1170</v>
      </c>
      <c r="H20" s="16"/>
      <c r="I20" s="18" t="s">
        <v>3352</v>
      </c>
      <c r="J20" s="16"/>
      <c r="K20" s="18" t="s">
        <v>4097</v>
      </c>
      <c r="L20" s="16"/>
      <c r="M20" s="18" t="s">
        <v>4815</v>
      </c>
      <c r="N20" s="16"/>
      <c r="O20" s="18" t="s">
        <v>5511</v>
      </c>
      <c r="P20" s="16"/>
      <c r="Q20" s="18" t="s">
        <v>6213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341</v>
      </c>
      <c r="B22" s="16"/>
      <c r="C22" s="18" t="s">
        <v>2245</v>
      </c>
      <c r="D22" s="16"/>
      <c r="E22" s="18" t="s">
        <v>2966</v>
      </c>
      <c r="F22" s="16"/>
      <c r="G22" s="18" t="s">
        <v>1500</v>
      </c>
      <c r="H22" s="16"/>
      <c r="I22" s="18" t="s">
        <v>3708</v>
      </c>
      <c r="J22" s="16"/>
      <c r="K22" s="18" t="s">
        <v>4446</v>
      </c>
      <c r="L22" s="16"/>
      <c r="M22" s="18" t="s">
        <v>5114</v>
      </c>
      <c r="N22" s="16"/>
      <c r="O22" s="18" t="s">
        <v>5863</v>
      </c>
      <c r="P22" s="16"/>
      <c r="Q22" s="18" t="s">
        <v>6493</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342</v>
      </c>
      <c r="B24" s="16"/>
      <c r="C24" s="18" t="s">
        <v>2246</v>
      </c>
      <c r="D24" s="16"/>
      <c r="E24" s="18" t="s">
        <v>2967</v>
      </c>
      <c r="F24" s="16"/>
      <c r="G24" s="18" t="s">
        <v>1501</v>
      </c>
      <c r="H24" s="16"/>
      <c r="I24" s="18" t="s">
        <v>3709</v>
      </c>
      <c r="J24" s="16"/>
      <c r="K24" s="18" t="s">
        <v>4447</v>
      </c>
      <c r="L24" s="16"/>
      <c r="M24" s="18" t="s">
        <v>5115</v>
      </c>
      <c r="N24" s="16"/>
      <c r="O24" s="18" t="s">
        <v>5864</v>
      </c>
      <c r="P24" s="16"/>
      <c r="Q24" s="18" t="s">
        <v>6494</v>
      </c>
      <c r="R24" s="16"/>
      <c r="S24" s="18"/>
      <c r="T24" s="21"/>
    </row>
    <row r="25" spans="1:20" ht="15.95" customHeight="1" x14ac:dyDescent="0.25">
      <c r="A25" s="18" t="s">
        <v>343</v>
      </c>
      <c r="B25" s="16"/>
      <c r="C25" s="18" t="s">
        <v>2247</v>
      </c>
      <c r="D25" s="16"/>
      <c r="E25" s="18" t="s">
        <v>2968</v>
      </c>
      <c r="F25" s="16"/>
      <c r="G25" s="18" t="s">
        <v>1502</v>
      </c>
      <c r="H25" s="16"/>
      <c r="I25" s="18" t="s">
        <v>3710</v>
      </c>
      <c r="J25" s="16"/>
      <c r="K25" s="18" t="s">
        <v>4448</v>
      </c>
      <c r="L25" s="16"/>
      <c r="M25" s="18" t="s">
        <v>5116</v>
      </c>
      <c r="N25" s="16"/>
      <c r="O25" s="18" t="s">
        <v>5865</v>
      </c>
      <c r="P25" s="16"/>
      <c r="Q25" s="18" t="s">
        <v>6495</v>
      </c>
      <c r="R25" s="16"/>
      <c r="S25" s="18"/>
      <c r="T25" s="21"/>
    </row>
    <row r="26" spans="1:20" ht="15.95" customHeight="1" x14ac:dyDescent="0.25">
      <c r="A26" s="18" t="s">
        <v>344</v>
      </c>
      <c r="B26" s="16"/>
      <c r="C26" s="18" t="s">
        <v>2248</v>
      </c>
      <c r="D26" s="16"/>
      <c r="E26" s="18" t="s">
        <v>2969</v>
      </c>
      <c r="F26" s="16"/>
      <c r="G26" s="18" t="s">
        <v>1503</v>
      </c>
      <c r="H26" s="16"/>
      <c r="I26" s="18" t="s">
        <v>3711</v>
      </c>
      <c r="J26" s="16"/>
      <c r="K26" s="18" t="s">
        <v>4449</v>
      </c>
      <c r="L26" s="16"/>
      <c r="M26" s="18" t="s">
        <v>5117</v>
      </c>
      <c r="N26" s="16"/>
      <c r="O26" s="18" t="s">
        <v>5866</v>
      </c>
      <c r="P26" s="16"/>
      <c r="Q26" s="18" t="s">
        <v>6496</v>
      </c>
      <c r="R26" s="16"/>
      <c r="S26" s="18"/>
      <c r="T26" s="21"/>
    </row>
    <row r="27" spans="1:20" ht="15.95" customHeight="1" x14ac:dyDescent="0.25">
      <c r="A27" s="18" t="s">
        <v>345</v>
      </c>
      <c r="B27" s="16"/>
      <c r="C27" s="18" t="s">
        <v>2249</v>
      </c>
      <c r="D27" s="16"/>
      <c r="E27" s="18" t="s">
        <v>2970</v>
      </c>
      <c r="F27" s="16"/>
      <c r="G27" s="18" t="s">
        <v>1504</v>
      </c>
      <c r="H27" s="16"/>
      <c r="I27" s="18" t="s">
        <v>3712</v>
      </c>
      <c r="J27" s="16"/>
      <c r="K27" s="18" t="s">
        <v>4450</v>
      </c>
      <c r="L27" s="16"/>
      <c r="M27" s="18" t="s">
        <v>5118</v>
      </c>
      <c r="N27" s="16"/>
      <c r="O27" s="18" t="s">
        <v>5867</v>
      </c>
      <c r="P27" s="16"/>
      <c r="Q27" s="18" t="s">
        <v>6497</v>
      </c>
      <c r="R27" s="16"/>
      <c r="S27" s="18"/>
      <c r="T27" s="21"/>
    </row>
    <row r="28" spans="1:20" ht="15.95" customHeight="1" x14ac:dyDescent="0.25">
      <c r="A28" s="18" t="s">
        <v>112</v>
      </c>
      <c r="B28" s="16"/>
      <c r="C28" s="18" t="s">
        <v>2250</v>
      </c>
      <c r="D28" s="16"/>
      <c r="E28" s="18" t="s">
        <v>2971</v>
      </c>
      <c r="F28" s="16"/>
      <c r="G28" s="18" t="s">
        <v>1505</v>
      </c>
      <c r="H28" s="16"/>
      <c r="I28" s="18" t="s">
        <v>3713</v>
      </c>
      <c r="J28" s="16"/>
      <c r="K28" s="18" t="s">
        <v>4451</v>
      </c>
      <c r="L28" s="16"/>
      <c r="M28" s="18" t="s">
        <v>5119</v>
      </c>
      <c r="N28" s="16"/>
      <c r="O28" s="18" t="s">
        <v>5868</v>
      </c>
      <c r="P28" s="16"/>
      <c r="Q28" s="18" t="s">
        <v>6498</v>
      </c>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5.95" customHeight="1" x14ac:dyDescent="0.25">
      <c r="A30" s="18" t="s">
        <v>346</v>
      </c>
      <c r="B30" s="16"/>
      <c r="C30" s="18" t="s">
        <v>2251</v>
      </c>
      <c r="D30" s="16"/>
      <c r="E30" s="18" t="s">
        <v>2972</v>
      </c>
      <c r="F30" s="16"/>
      <c r="G30" s="18" t="s">
        <v>1506</v>
      </c>
      <c r="H30" s="16"/>
      <c r="I30" s="18" t="s">
        <v>3714</v>
      </c>
      <c r="J30" s="16"/>
      <c r="K30" s="18" t="s">
        <v>4452</v>
      </c>
      <c r="L30" s="16"/>
      <c r="M30" s="18" t="s">
        <v>5120</v>
      </c>
      <c r="N30" s="16"/>
      <c r="O30" s="18" t="s">
        <v>5869</v>
      </c>
      <c r="P30" s="16"/>
      <c r="Q30" s="18" t="s">
        <v>6499</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0" priority="2" stopIfTrue="1">
      <formula>NOT(ISERROR(A3))</formula>
    </cfRule>
  </conditionalFormatting>
  <conditionalFormatting sqref="A3:T51">
    <cfRule type="containsErrors" dxfId="89" priority="1" stopIfTrue="1">
      <formula>ISERROR(A3)</formula>
    </cfRule>
    <cfRule type="notContainsBlanks" dxfId="88" priority="3">
      <formula>LEN(TRIM(A3))&gt;0</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512</v>
      </c>
      <c r="B3" s="16" t="str">
        <f>TRIM(_xlfn.TEXTBEFORE(A3, ":"))</f>
        <v>Item Class</v>
      </c>
      <c r="C3" s="17" t="s">
        <v>2252</v>
      </c>
      <c r="D3" s="16" t="str">
        <f>TRIM(_xlfn.TEXTBEFORE(C3, ":"))</f>
        <v>Gegenstandsklasse</v>
      </c>
      <c r="E3" s="17" t="s">
        <v>2973</v>
      </c>
      <c r="F3" s="16" t="str">
        <f>TRIM(_xlfn.TEXTBEFORE(E3, ":"))</f>
        <v>Clase de objeto</v>
      </c>
      <c r="G3" s="17" t="s">
        <v>1507</v>
      </c>
      <c r="H3" s="16" t="str">
        <f>TRIM(_xlfn.TEXTBEFORE(G3, ":"))</f>
        <v>Classe d'objet</v>
      </c>
      <c r="I3" s="17" t="s">
        <v>3715</v>
      </c>
      <c r="J3" s="16" t="str">
        <f>TRIM(_xlfn.TEXTBEFORE(I3, ":"))</f>
        <v>アイテムクラス</v>
      </c>
      <c r="K3" s="17" t="s">
        <v>4453</v>
      </c>
      <c r="L3" s="16" t="str">
        <f>TRIM(_xlfn.TEXTBEFORE(K3, ":"))</f>
        <v>아이템 종류</v>
      </c>
      <c r="M3" s="17" t="s">
        <v>5121</v>
      </c>
      <c r="N3" s="16" t="str">
        <f>TRIM(_xlfn.TEXTBEFORE(M3, ":"))</f>
        <v>Classe do Item</v>
      </c>
      <c r="O3" s="17" t="s">
        <v>5870</v>
      </c>
      <c r="P3" s="16" t="str">
        <f>TRIM(_xlfn.TEXTBEFORE(O3, ":"))</f>
        <v>Класс предмета</v>
      </c>
      <c r="Q3" s="17" t="s">
        <v>6500</v>
      </c>
      <c r="R3" s="16" t="str">
        <f>TRIM(_xlfn.TEXTBEFORE(Q3, ":"))</f>
        <v>ชนิดไอเทม</v>
      </c>
      <c r="S3" s="17"/>
      <c r="T3" s="16" t="e">
        <f>TRIM(_xlfn.TEXTBEFORE(S3, ":"))</f>
        <v>#N/A</v>
      </c>
    </row>
    <row r="4" spans="1:20" ht="15.95" customHeight="1" x14ac:dyDescent="0.25">
      <c r="A4" s="18" t="s">
        <v>513</v>
      </c>
      <c r="B4" s="16" t="str">
        <f>TRIM(_xlfn.TEXTAFTER(A3, ":"))</f>
        <v>Heist Brooches</v>
      </c>
      <c r="C4" s="18" t="s">
        <v>1879</v>
      </c>
      <c r="D4" s="16" t="str">
        <f>TRIM(_xlfn.TEXTAFTER(C3, ":"))</f>
        <v>Heist-Broschen</v>
      </c>
      <c r="E4" s="18" t="s">
        <v>2597</v>
      </c>
      <c r="F4" s="16" t="str">
        <f>TRIM(_xlfn.TEXTAFTER(E3, ":"))</f>
        <v>Broches de Heist</v>
      </c>
      <c r="G4" s="18" t="s">
        <v>1142</v>
      </c>
      <c r="H4" s="16" t="str">
        <f>TRIM(_xlfn.TEXTAFTER(G3, ":"))</f>
        <v>Broches de Malfaiteur</v>
      </c>
      <c r="I4" s="18" t="s">
        <v>3321</v>
      </c>
      <c r="J4" s="16" t="str">
        <f>TRIM(_xlfn.TEXTAFTER(I3, ":"))</f>
        <v>ハイストブローチ</v>
      </c>
      <c r="K4" s="18" t="s">
        <v>4066</v>
      </c>
      <c r="L4" s="16" t="str">
        <f>TRIM(_xlfn.TEXTAFTER(K3, ":"))</f>
        <v>강탈 브로치</v>
      </c>
      <c r="M4" s="18" t="s">
        <v>4787</v>
      </c>
      <c r="N4" s="16" t="str">
        <f>TRIM(_xlfn.TEXTAFTER(M3, ":"))</f>
        <v>Broches Heist</v>
      </c>
      <c r="O4" s="18" t="s">
        <v>5480</v>
      </c>
      <c r="P4" s="16" t="str">
        <f>TRIM(_xlfn.TEXTAFTER(O3, ":"))</f>
        <v>Разбойничьи броши</v>
      </c>
      <c r="Q4" s="18" t="s">
        <v>6191</v>
      </c>
      <c r="R4" s="16" t="str">
        <f>TRIM(_xlfn.TEXTAFTER(Q3, ":"))</f>
        <v>เข็มกลัดกองโจร</v>
      </c>
      <c r="S4" s="18"/>
      <c r="T4" s="16" t="e">
        <f>TRIM(_xlfn.TEXTAFTER(S3, ":"))</f>
        <v>#N/A</v>
      </c>
    </row>
    <row r="5" spans="1:20" ht="15.95" customHeight="1" x14ac:dyDescent="0.25">
      <c r="A5" s="18" t="s">
        <v>514</v>
      </c>
      <c r="B5" s="16" t="str">
        <f>TRIM(_xlfn.TEXTBEFORE(A4, ":"))</f>
        <v>Rarity</v>
      </c>
      <c r="C5" s="18" t="s">
        <v>2253</v>
      </c>
      <c r="D5" s="16" t="str">
        <f>TRIM(_xlfn.TEXTBEFORE(C4, ":"))</f>
        <v>Seltenheit</v>
      </c>
      <c r="E5" s="18" t="s">
        <v>2974</v>
      </c>
      <c r="F5" s="16" t="str">
        <f>TRIM(_xlfn.TEXTBEFORE(E4, ":"))</f>
        <v>Rareza</v>
      </c>
      <c r="G5" s="18" t="s">
        <v>1508</v>
      </c>
      <c r="H5" s="16" t="str">
        <f>TRIM(_xlfn.TEXTBEFORE(G4, ":"))</f>
        <v>Rareté</v>
      </c>
      <c r="I5" s="18" t="s">
        <v>3716</v>
      </c>
      <c r="J5" s="16" t="str">
        <f>TRIM(_xlfn.TEXTBEFORE(I4, ":"))</f>
        <v>レアリティ</v>
      </c>
      <c r="K5" s="18" t="s">
        <v>4454</v>
      </c>
      <c r="L5" s="16" t="str">
        <f>TRIM(_xlfn.TEXTBEFORE(K4, ":"))</f>
        <v>아이템 희귀도</v>
      </c>
      <c r="M5" s="18" t="s">
        <v>5122</v>
      </c>
      <c r="N5" s="16" t="str">
        <f>TRIM(_xlfn.TEXTBEFORE(M4, ":"))</f>
        <v>Raridade</v>
      </c>
      <c r="O5" s="18" t="s">
        <v>5871</v>
      </c>
      <c r="P5" s="16" t="str">
        <f>TRIM(_xlfn.TEXTBEFORE(O4, ":"))</f>
        <v>Редкость</v>
      </c>
      <c r="Q5" s="18" t="s">
        <v>514</v>
      </c>
      <c r="R5" s="16" t="str">
        <f>TRIM(_xlfn.TEXTBEFORE(Q4, ":"))</f>
        <v>ความหายาก</v>
      </c>
      <c r="S5" s="18"/>
      <c r="T5" s="16" t="e">
        <f>TRIM(_xlfn.TEXTBEFORE(S4, ":"))</f>
        <v>#N/A</v>
      </c>
    </row>
    <row r="6" spans="1:20" ht="15.95" customHeight="1" x14ac:dyDescent="0.25">
      <c r="A6" s="18" t="s">
        <v>515</v>
      </c>
      <c r="B6" s="16" t="str">
        <f>TRIM(_xlfn.TEXTAFTER(A4,":"))</f>
        <v>Rare</v>
      </c>
      <c r="C6" s="18" t="s">
        <v>2254</v>
      </c>
      <c r="D6" s="16" t="str">
        <f>TRIM(_xlfn.TEXTAFTER(C4,":"))</f>
        <v>Selten</v>
      </c>
      <c r="E6" s="18" t="s">
        <v>2975</v>
      </c>
      <c r="F6" s="16" t="str">
        <f>TRIM(_xlfn.TEXTAFTER(E4,":"))</f>
        <v>Raro</v>
      </c>
      <c r="G6" s="18" t="s">
        <v>1509</v>
      </c>
      <c r="H6" s="16" t="str">
        <f>TRIM(_xlfn.TEXTAFTER(G4,":"))</f>
        <v>Rare</v>
      </c>
      <c r="I6" s="18" t="s">
        <v>3717</v>
      </c>
      <c r="J6" s="16" t="str">
        <f>TRIM(_xlfn.TEXTAFTER(I4,":"))</f>
        <v>レア</v>
      </c>
      <c r="K6" s="18" t="s">
        <v>4455</v>
      </c>
      <c r="L6" s="16" t="str">
        <f>TRIM(_xlfn.TEXTAFTER(K4,":"))</f>
        <v>희귀</v>
      </c>
      <c r="M6" s="18" t="s">
        <v>5123</v>
      </c>
      <c r="N6" s="16" t="str">
        <f>TRIM(_xlfn.TEXTAFTER(M4,":"))</f>
        <v>Raro</v>
      </c>
      <c r="O6" s="18" t="s">
        <v>5872</v>
      </c>
      <c r="P6" s="16" t="str">
        <f>TRIM(_xlfn.TEXTAFTER(O4,":"))</f>
        <v>Редкий</v>
      </c>
      <c r="Q6" s="18" t="s">
        <v>6501</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516</v>
      </c>
      <c r="B8" s="16"/>
      <c r="C8" s="18" t="s">
        <v>2255</v>
      </c>
      <c r="D8" s="16"/>
      <c r="E8" s="18" t="s">
        <v>2976</v>
      </c>
      <c r="F8" s="16"/>
      <c r="G8" s="18" t="s">
        <v>1510</v>
      </c>
      <c r="H8" s="16"/>
      <c r="I8" s="18" t="s">
        <v>3718</v>
      </c>
      <c r="J8" s="16"/>
      <c r="K8" s="18" t="s">
        <v>4456</v>
      </c>
      <c r="L8" s="16"/>
      <c r="M8" s="18" t="s">
        <v>5124</v>
      </c>
      <c r="N8" s="16"/>
      <c r="O8" s="18" t="s">
        <v>5873</v>
      </c>
      <c r="P8" s="16"/>
      <c r="Q8" s="18" t="s">
        <v>6502</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t="s">
        <v>5212</v>
      </c>
      <c r="P10" s="16"/>
      <c r="Q10" s="18" t="s">
        <v>5957</v>
      </c>
      <c r="R10" s="16"/>
      <c r="S10" s="18"/>
      <c r="T10" s="16"/>
    </row>
    <row r="11" spans="1:20" ht="15.95" customHeight="1" x14ac:dyDescent="0.25">
      <c r="A11" s="18" t="s">
        <v>517</v>
      </c>
      <c r="B11" s="16"/>
      <c r="C11" s="18" t="s">
        <v>2256</v>
      </c>
      <c r="D11" s="16"/>
      <c r="E11" s="18" t="s">
        <v>2977</v>
      </c>
      <c r="F11" s="16"/>
      <c r="G11" s="18" t="s">
        <v>1511</v>
      </c>
      <c r="H11" s="16"/>
      <c r="I11" s="18" t="s">
        <v>3719</v>
      </c>
      <c r="J11" s="16"/>
      <c r="K11" s="18" t="s">
        <v>4457</v>
      </c>
      <c r="L11" s="16"/>
      <c r="M11" s="18" t="s">
        <v>5125</v>
      </c>
      <c r="N11" s="16"/>
      <c r="O11" s="18" t="s">
        <v>5874</v>
      </c>
      <c r="P11" s="16"/>
      <c r="Q11" s="18" t="s">
        <v>6503</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462</v>
      </c>
      <c r="B13" s="16"/>
      <c r="C13" s="18" t="s">
        <v>1728</v>
      </c>
      <c r="D13" s="16"/>
      <c r="E13" s="18" t="s">
        <v>2447</v>
      </c>
      <c r="F13" s="16"/>
      <c r="G13" s="18" t="s">
        <v>996</v>
      </c>
      <c r="H13" s="16"/>
      <c r="I13" s="18" t="s">
        <v>3165</v>
      </c>
      <c r="J13" s="16"/>
      <c r="K13" s="18" t="s">
        <v>3912</v>
      </c>
      <c r="L13" s="16"/>
      <c r="M13" s="18" t="s">
        <v>4641</v>
      </c>
      <c r="N13" s="16"/>
      <c r="O13" s="18" t="s">
        <v>5326</v>
      </c>
      <c r="P13" s="16"/>
      <c r="Q13" s="18" t="s">
        <v>6059</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518</v>
      </c>
      <c r="B15" s="16"/>
      <c r="C15" s="18" t="s">
        <v>2257</v>
      </c>
      <c r="D15" s="16"/>
      <c r="E15" s="18" t="s">
        <v>2978</v>
      </c>
      <c r="F15" s="16"/>
      <c r="G15" s="18" t="s">
        <v>1512</v>
      </c>
      <c r="H15" s="16"/>
      <c r="I15" s="18" t="s">
        <v>3720</v>
      </c>
      <c r="J15" s="16"/>
      <c r="K15" s="18" t="s">
        <v>4458</v>
      </c>
      <c r="L15" s="16"/>
      <c r="M15" s="18" t="s">
        <v>5126</v>
      </c>
      <c r="N15" s="16"/>
      <c r="O15" s="18" t="s">
        <v>5875</v>
      </c>
      <c r="P15" s="16"/>
      <c r="Q15" s="18" t="s">
        <v>6504</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519</v>
      </c>
      <c r="B17" s="16"/>
      <c r="C17" s="18" t="s">
        <v>2258</v>
      </c>
      <c r="D17" s="16"/>
      <c r="E17" s="18" t="s">
        <v>2979</v>
      </c>
      <c r="F17" s="16"/>
      <c r="G17" s="18" t="s">
        <v>1513</v>
      </c>
      <c r="H17" s="16"/>
      <c r="I17" s="18" t="s">
        <v>3721</v>
      </c>
      <c r="J17" s="16"/>
      <c r="K17" s="18" t="s">
        <v>4459</v>
      </c>
      <c r="L17" s="16"/>
      <c r="M17" s="18" t="s">
        <v>5127</v>
      </c>
      <c r="N17" s="16"/>
      <c r="O17" s="18" t="s">
        <v>5876</v>
      </c>
      <c r="P17" s="16"/>
      <c r="Q17" s="18" t="s">
        <v>6505</v>
      </c>
      <c r="R17" s="16"/>
      <c r="S17" s="18"/>
      <c r="T17" s="21"/>
    </row>
    <row r="18" spans="1:20" ht="15.95" customHeight="1" x14ac:dyDescent="0.25">
      <c r="A18" s="18" t="s">
        <v>520</v>
      </c>
      <c r="B18" s="16"/>
      <c r="C18" s="18" t="s">
        <v>2259</v>
      </c>
      <c r="D18" s="16"/>
      <c r="E18" s="18" t="s">
        <v>2980</v>
      </c>
      <c r="F18" s="16"/>
      <c r="G18" s="18" t="s">
        <v>1514</v>
      </c>
      <c r="H18" s="16"/>
      <c r="I18" s="18" t="s">
        <v>3722</v>
      </c>
      <c r="J18" s="16"/>
      <c r="K18" s="18" t="s">
        <v>4460</v>
      </c>
      <c r="L18" s="16"/>
      <c r="M18" s="18" t="s">
        <v>5128</v>
      </c>
      <c r="N18" s="16"/>
      <c r="O18" s="18" t="s">
        <v>5877</v>
      </c>
      <c r="P18" s="16"/>
      <c r="Q18" s="18" t="s">
        <v>6506</v>
      </c>
      <c r="R18" s="16"/>
      <c r="S18" s="18"/>
      <c r="T18" s="21"/>
    </row>
    <row r="19" spans="1:20" ht="15.95" customHeight="1" x14ac:dyDescent="0.25">
      <c r="A19" s="18" t="s">
        <v>521</v>
      </c>
      <c r="B19" s="16"/>
      <c r="C19" s="18" t="s">
        <v>2260</v>
      </c>
      <c r="D19" s="16"/>
      <c r="E19" s="18" t="s">
        <v>2981</v>
      </c>
      <c r="F19" s="16"/>
      <c r="G19" s="18" t="s">
        <v>1515</v>
      </c>
      <c r="H19" s="16"/>
      <c r="I19" s="18" t="s">
        <v>3723</v>
      </c>
      <c r="J19" s="16"/>
      <c r="K19" s="18" t="s">
        <v>4461</v>
      </c>
      <c r="L19" s="16"/>
      <c r="M19" s="18" t="s">
        <v>5129</v>
      </c>
      <c r="N19" s="16"/>
      <c r="O19" s="18" t="s">
        <v>5878</v>
      </c>
      <c r="P19" s="16"/>
      <c r="Q19" s="18" t="s">
        <v>6507</v>
      </c>
      <c r="R19" s="16"/>
      <c r="S19" s="18"/>
      <c r="T19" s="21"/>
    </row>
    <row r="20" spans="1:20" ht="15.95" customHeight="1" x14ac:dyDescent="0.25">
      <c r="A20" s="18" t="s">
        <v>522</v>
      </c>
      <c r="B20" s="16"/>
      <c r="C20" s="18" t="s">
        <v>2261</v>
      </c>
      <c r="D20" s="16"/>
      <c r="E20" s="18" t="s">
        <v>2982</v>
      </c>
      <c r="F20" s="16"/>
      <c r="G20" s="18" t="s">
        <v>1516</v>
      </c>
      <c r="H20" s="16"/>
      <c r="I20" s="18" t="s">
        <v>3724</v>
      </c>
      <c r="J20" s="16"/>
      <c r="K20" s="18" t="s">
        <v>4462</v>
      </c>
      <c r="L20" s="16"/>
      <c r="M20" s="18" t="s">
        <v>5130</v>
      </c>
      <c r="N20" s="16"/>
      <c r="O20" s="18" t="s">
        <v>5879</v>
      </c>
      <c r="P20" s="16"/>
      <c r="Q20" s="18" t="s">
        <v>6508</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523</v>
      </c>
      <c r="B22" s="16"/>
      <c r="C22" s="18" t="s">
        <v>2262</v>
      </c>
      <c r="D22" s="16"/>
      <c r="E22" s="18" t="s">
        <v>2983</v>
      </c>
      <c r="F22" s="16"/>
      <c r="G22" s="18" t="s">
        <v>1517</v>
      </c>
      <c r="H22" s="16"/>
      <c r="I22" s="18" t="s">
        <v>3725</v>
      </c>
      <c r="J22" s="16"/>
      <c r="K22" s="18" t="s">
        <v>4463</v>
      </c>
      <c r="L22" s="16"/>
      <c r="M22" s="18" t="s">
        <v>5131</v>
      </c>
      <c r="N22" s="16"/>
      <c r="O22" s="18" t="s">
        <v>5880</v>
      </c>
      <c r="P22" s="16"/>
      <c r="Q22" s="18" t="s">
        <v>6509</v>
      </c>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7" priority="2" stopIfTrue="1">
      <formula>NOT(ISERROR(A3))</formula>
    </cfRule>
  </conditionalFormatting>
  <conditionalFormatting sqref="A3:T51">
    <cfRule type="containsErrors" dxfId="86" priority="1" stopIfTrue="1">
      <formula>ISERROR(A3)</formula>
    </cfRule>
    <cfRule type="notContainsBlanks" dxfId="85"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755</v>
      </c>
      <c r="B3" s="16" t="str">
        <f>TRIM(_xlfn.TEXTBEFORE(A3, ":"))</f>
        <v>Item Class</v>
      </c>
      <c r="C3" s="17" t="s">
        <v>2263</v>
      </c>
      <c r="D3" s="16" t="str">
        <f>TRIM(_xlfn.TEXTBEFORE(C3, ":"))</f>
        <v>Gegenstandsklasse</v>
      </c>
      <c r="E3" s="17" t="s">
        <v>2984</v>
      </c>
      <c r="F3" s="16" t="str">
        <f>TRIM(_xlfn.TEXTBEFORE(E3, ":"))</f>
        <v>Clase de objeto</v>
      </c>
      <c r="G3" s="17" t="s">
        <v>1518</v>
      </c>
      <c r="H3" s="16" t="str">
        <f>TRIM(_xlfn.TEXTBEFORE(G3, ":"))</f>
        <v>Classe d'objet</v>
      </c>
      <c r="I3" s="17" t="s">
        <v>3726</v>
      </c>
      <c r="J3" s="16" t="str">
        <f>TRIM(_xlfn.TEXTBEFORE(I3, ":"))</f>
        <v>アイテムクラス</v>
      </c>
      <c r="K3" s="17" t="s">
        <v>4464</v>
      </c>
      <c r="L3" s="16" t="str">
        <f>TRIM(_xlfn.TEXTBEFORE(K3, ":"))</f>
        <v>아이템 종류</v>
      </c>
      <c r="M3" s="17" t="s">
        <v>5132</v>
      </c>
      <c r="N3" s="16" t="str">
        <f>TRIM(_xlfn.TEXTBEFORE(M3, ":"))</f>
        <v>Classe do Item</v>
      </c>
      <c r="O3" s="17" t="s">
        <v>5881</v>
      </c>
      <c r="P3" s="16" t="str">
        <f>TRIM(_xlfn.TEXTBEFORE(O3, ":"))</f>
        <v>Класс предмета</v>
      </c>
      <c r="Q3" s="17" t="s">
        <v>6510</v>
      </c>
      <c r="R3" s="16" t="str">
        <f>TRIM(_xlfn.TEXTBEFORE(Q3, ":"))</f>
        <v>ชนิดไอเทม</v>
      </c>
      <c r="S3" s="17"/>
      <c r="T3" s="20" t="e">
        <f>TRIM(_xlfn.TEXTBEFORE(S3, ":"))</f>
        <v>#N/A</v>
      </c>
    </row>
    <row r="4" spans="1:20" ht="15.95" customHeight="1" x14ac:dyDescent="0.25">
      <c r="A4" s="18" t="s">
        <v>513</v>
      </c>
      <c r="B4" s="16" t="str">
        <f>TRIM(_xlfn.TEXTAFTER(A3, ":"))</f>
        <v>Heist Cloaks</v>
      </c>
      <c r="C4" s="18" t="s">
        <v>1879</v>
      </c>
      <c r="D4" s="16" t="str">
        <f>TRIM(_xlfn.TEXTAFTER(C3, ":"))</f>
        <v>Heist-Umhänge</v>
      </c>
      <c r="E4" s="18" t="s">
        <v>2597</v>
      </c>
      <c r="F4" s="16" t="str">
        <f>TRIM(_xlfn.TEXTAFTER(E3, ":"))</f>
        <v>Capas de Heist</v>
      </c>
      <c r="G4" s="18" t="s">
        <v>1142</v>
      </c>
      <c r="H4" s="16" t="str">
        <f>TRIM(_xlfn.TEXTAFTER(G3, ":"))</f>
        <v>Capes de Malfaiteur</v>
      </c>
      <c r="I4" s="18" t="s">
        <v>3321</v>
      </c>
      <c r="J4" s="16" t="str">
        <f>TRIM(_xlfn.TEXTAFTER(I3, ":"))</f>
        <v>ハイストクローク</v>
      </c>
      <c r="K4" s="18" t="s">
        <v>4066</v>
      </c>
      <c r="L4" s="16" t="str">
        <f>TRIM(_xlfn.TEXTAFTER(K3, ":"))</f>
        <v>강탈 망토</v>
      </c>
      <c r="M4" s="18" t="s">
        <v>4787</v>
      </c>
      <c r="N4" s="16" t="str">
        <f>TRIM(_xlfn.TEXTAFTER(M3, ":"))</f>
        <v>Capas Heist</v>
      </c>
      <c r="O4" s="18" t="s">
        <v>5480</v>
      </c>
      <c r="P4" s="16" t="str">
        <f>TRIM(_xlfn.TEXTAFTER(O3, ":"))</f>
        <v>Разбойничьи накидки</v>
      </c>
      <c r="Q4" s="18" t="s">
        <v>6191</v>
      </c>
      <c r="R4" s="16" t="str">
        <f>TRIM(_xlfn.TEXTAFTER(Q3, ":"))</f>
        <v>ผ้าคลุมกองโจร</v>
      </c>
      <c r="S4" s="18"/>
      <c r="T4" s="20" t="e">
        <f>TRIM(_xlfn.TEXTAFTER(S3, ":"))</f>
        <v>#N/A</v>
      </c>
    </row>
    <row r="5" spans="1:20" ht="15.95" customHeight="1" x14ac:dyDescent="0.25">
      <c r="A5" s="18" t="s">
        <v>756</v>
      </c>
      <c r="B5" s="16" t="str">
        <f>TRIM(_xlfn.TEXTBEFORE(A4, ":"))</f>
        <v>Rarity</v>
      </c>
      <c r="C5" s="18" t="s">
        <v>2264</v>
      </c>
      <c r="D5" s="16" t="str">
        <f>TRIM(_xlfn.TEXTBEFORE(C4, ":"))</f>
        <v>Seltenheit</v>
      </c>
      <c r="E5" s="18" t="s">
        <v>2985</v>
      </c>
      <c r="F5" s="16" t="str">
        <f>TRIM(_xlfn.TEXTBEFORE(E4, ":"))</f>
        <v>Rareza</v>
      </c>
      <c r="G5" s="18" t="s">
        <v>1519</v>
      </c>
      <c r="H5" s="16" t="str">
        <f>TRIM(_xlfn.TEXTBEFORE(G4, ":"))</f>
        <v>Rareté</v>
      </c>
      <c r="I5" s="18" t="s">
        <v>3727</v>
      </c>
      <c r="J5" s="16" t="str">
        <f>TRIM(_xlfn.TEXTBEFORE(I4, ":"))</f>
        <v>レアリティ</v>
      </c>
      <c r="K5" s="18" t="s">
        <v>4465</v>
      </c>
      <c r="L5" s="16" t="str">
        <f>TRIM(_xlfn.TEXTBEFORE(K4, ":"))</f>
        <v>아이템 희귀도</v>
      </c>
      <c r="M5" s="18" t="s">
        <v>5133</v>
      </c>
      <c r="N5" s="16" t="str">
        <f>TRIM(_xlfn.TEXTBEFORE(M4, ":"))</f>
        <v>Raridade</v>
      </c>
      <c r="O5" s="18" t="s">
        <v>5882</v>
      </c>
      <c r="P5" s="16" t="str">
        <f>TRIM(_xlfn.TEXTBEFORE(O4, ":"))</f>
        <v>Редкость</v>
      </c>
      <c r="Q5" s="18" t="s">
        <v>756</v>
      </c>
      <c r="R5" s="16" t="str">
        <f>TRIM(_xlfn.TEXTBEFORE(Q4, ":"))</f>
        <v>ความหายาก</v>
      </c>
      <c r="S5" s="18"/>
      <c r="T5" s="20" t="e">
        <f>TRIM(_xlfn.TEXTBEFORE(S4, ":"))</f>
        <v>#N/A</v>
      </c>
    </row>
    <row r="6" spans="1:20" ht="15.95" customHeight="1" x14ac:dyDescent="0.25">
      <c r="A6" s="18" t="s">
        <v>757</v>
      </c>
      <c r="B6" s="16" t="str">
        <f>TRIM(_xlfn.TEXTAFTER(A4,":"))</f>
        <v>Rare</v>
      </c>
      <c r="C6" s="18" t="s">
        <v>2265</v>
      </c>
      <c r="D6" s="16" t="str">
        <f>TRIM(_xlfn.TEXTAFTER(C4,":"))</f>
        <v>Selten</v>
      </c>
      <c r="E6" s="18" t="s">
        <v>2986</v>
      </c>
      <c r="F6" s="16" t="str">
        <f>TRIM(_xlfn.TEXTAFTER(E4,":"))</f>
        <v>Raro</v>
      </c>
      <c r="G6" s="18" t="s">
        <v>1520</v>
      </c>
      <c r="H6" s="16" t="str">
        <f>TRIM(_xlfn.TEXTAFTER(G4,":"))</f>
        <v>Rare</v>
      </c>
      <c r="I6" s="18" t="s">
        <v>3728</v>
      </c>
      <c r="J6" s="16" t="str">
        <f>TRIM(_xlfn.TEXTAFTER(I4,":"))</f>
        <v>レア</v>
      </c>
      <c r="K6" s="18" t="s">
        <v>4466</v>
      </c>
      <c r="L6" s="16" t="str">
        <f>TRIM(_xlfn.TEXTAFTER(K4,":"))</f>
        <v>희귀</v>
      </c>
      <c r="M6" s="18" t="s">
        <v>5134</v>
      </c>
      <c r="N6" s="16" t="str">
        <f>TRIM(_xlfn.TEXTAFTER(M4,":"))</f>
        <v>Raro</v>
      </c>
      <c r="O6" s="18" t="s">
        <v>5883</v>
      </c>
      <c r="P6" s="16" t="str">
        <f>TRIM(_xlfn.TEXTAFTER(O4,":"))</f>
        <v>Редкий</v>
      </c>
      <c r="Q6" s="18" t="s">
        <v>6511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516</v>
      </c>
      <c r="B8" s="16"/>
      <c r="C8" s="18" t="s">
        <v>2255</v>
      </c>
      <c r="D8" s="16"/>
      <c r="E8" s="18" t="s">
        <v>2976</v>
      </c>
      <c r="F8" s="16"/>
      <c r="G8" s="18" t="s">
        <v>1510</v>
      </c>
      <c r="H8" s="16"/>
      <c r="I8" s="18" t="s">
        <v>3718</v>
      </c>
      <c r="J8" s="16"/>
      <c r="K8" s="18" t="s">
        <v>4456</v>
      </c>
      <c r="L8" s="16"/>
      <c r="M8" s="18" t="s">
        <v>5124</v>
      </c>
      <c r="N8" s="16"/>
      <c r="O8" s="18" t="s">
        <v>5873</v>
      </c>
      <c r="P8" s="16"/>
      <c r="Q8" s="18" t="s">
        <v>6502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t="s">
        <v>5212</v>
      </c>
      <c r="P10" s="16"/>
      <c r="Q10" s="18" t="s">
        <v>5957</v>
      </c>
      <c r="R10" s="16"/>
      <c r="S10" s="18"/>
      <c r="T10" s="20"/>
    </row>
    <row r="11" spans="1:20" ht="15.95" customHeight="1" x14ac:dyDescent="0.25">
      <c r="A11" s="18" t="s">
        <v>758</v>
      </c>
      <c r="B11" s="16"/>
      <c r="C11" s="18" t="s">
        <v>2266</v>
      </c>
      <c r="D11" s="16"/>
      <c r="E11" s="18" t="s">
        <v>2987</v>
      </c>
      <c r="F11" s="16"/>
      <c r="G11" s="18" t="s">
        <v>1521</v>
      </c>
      <c r="H11" s="16"/>
      <c r="I11" s="18" t="s">
        <v>3729</v>
      </c>
      <c r="J11" s="16"/>
      <c r="K11" s="18" t="s">
        <v>4467</v>
      </c>
      <c r="L11" s="16"/>
      <c r="M11" s="18" t="s">
        <v>5135</v>
      </c>
      <c r="N11" s="16"/>
      <c r="O11" s="18" t="s">
        <v>5884</v>
      </c>
      <c r="P11" s="16"/>
      <c r="Q11" s="18" t="s">
        <v>6512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117</v>
      </c>
      <c r="B13" s="16"/>
      <c r="C13" s="18" t="s">
        <v>1742</v>
      </c>
      <c r="D13" s="16"/>
      <c r="E13" s="18" t="s">
        <v>2461</v>
      </c>
      <c r="F13" s="16"/>
      <c r="G13" s="18" t="s">
        <v>1010</v>
      </c>
      <c r="H13" s="16"/>
      <c r="I13" s="18" t="s">
        <v>3179</v>
      </c>
      <c r="J13" s="16"/>
      <c r="K13" s="18" t="s">
        <v>3926</v>
      </c>
      <c r="L13" s="16"/>
      <c r="M13" s="18" t="s">
        <v>4655</v>
      </c>
      <c r="N13" s="16"/>
      <c r="O13" s="18" t="s">
        <v>5340</v>
      </c>
      <c r="P13" s="16"/>
      <c r="Q13" s="18" t="s">
        <v>6072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759</v>
      </c>
      <c r="B15" s="16"/>
      <c r="C15" s="18" t="s">
        <v>2267</v>
      </c>
      <c r="D15" s="16"/>
      <c r="E15" s="18" t="s">
        <v>2988</v>
      </c>
      <c r="F15" s="16"/>
      <c r="G15" s="18" t="s">
        <v>1522</v>
      </c>
      <c r="H15" s="16"/>
      <c r="I15" s="18" t="s">
        <v>3730</v>
      </c>
      <c r="J15" s="16"/>
      <c r="K15" s="18" t="s">
        <v>4468</v>
      </c>
      <c r="L15" s="16"/>
      <c r="M15" s="18" t="s">
        <v>5136</v>
      </c>
      <c r="N15" s="16"/>
      <c r="O15" s="18" t="s">
        <v>5885</v>
      </c>
      <c r="P15" s="16"/>
      <c r="Q15" s="18" t="s">
        <v>6513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760</v>
      </c>
      <c r="B17" s="16"/>
      <c r="C17" s="18" t="s">
        <v>2268</v>
      </c>
      <c r="D17" s="16"/>
      <c r="E17" s="18" t="s">
        <v>2989</v>
      </c>
      <c r="F17" s="16"/>
      <c r="G17" s="18" t="s">
        <v>1523</v>
      </c>
      <c r="H17" s="16"/>
      <c r="I17" s="18" t="s">
        <v>3731</v>
      </c>
      <c r="J17" s="16"/>
      <c r="K17" s="18" t="s">
        <v>4469</v>
      </c>
      <c r="L17" s="16"/>
      <c r="M17" s="18" t="s">
        <v>5137</v>
      </c>
      <c r="N17" s="16"/>
      <c r="O17" s="18" t="s">
        <v>5886</v>
      </c>
      <c r="P17" s="16"/>
      <c r="Q17" s="18" t="s">
        <v>6514</v>
      </c>
      <c r="R17" s="16"/>
      <c r="S17" s="18"/>
      <c r="T17" s="20"/>
    </row>
    <row r="18" spans="1:20" ht="15.95" customHeight="1" x14ac:dyDescent="0.25">
      <c r="A18" s="18" t="s">
        <v>761</v>
      </c>
      <c r="B18" s="16"/>
      <c r="C18" s="18" t="s">
        <v>2269</v>
      </c>
      <c r="D18" s="16"/>
      <c r="E18" s="18" t="s">
        <v>2990</v>
      </c>
      <c r="F18" s="16"/>
      <c r="G18" s="18" t="s">
        <v>1524</v>
      </c>
      <c r="H18" s="16"/>
      <c r="I18" s="18" t="s">
        <v>3732</v>
      </c>
      <c r="J18" s="16"/>
      <c r="K18" s="18" t="s">
        <v>4470</v>
      </c>
      <c r="L18" s="16"/>
      <c r="M18" s="18" t="s">
        <v>5138</v>
      </c>
      <c r="N18" s="16"/>
      <c r="O18" s="18" t="s">
        <v>5887</v>
      </c>
      <c r="P18" s="16"/>
      <c r="Q18" s="18" t="s">
        <v>6515</v>
      </c>
      <c r="R18" s="16"/>
      <c r="S18" s="18"/>
      <c r="T18" s="20"/>
    </row>
    <row r="19" spans="1:20" ht="15.95" customHeight="1" x14ac:dyDescent="0.25">
      <c r="A19" s="18" t="s">
        <v>762</v>
      </c>
      <c r="B19" s="16"/>
      <c r="C19" s="18" t="s">
        <v>2270</v>
      </c>
      <c r="D19" s="16"/>
      <c r="E19" s="18" t="s">
        <v>2991</v>
      </c>
      <c r="F19" s="16"/>
      <c r="G19" s="18" t="s">
        <v>1525</v>
      </c>
      <c r="H19" s="16"/>
      <c r="I19" s="18" t="s">
        <v>3733</v>
      </c>
      <c r="J19" s="16"/>
      <c r="K19" s="18" t="s">
        <v>4471</v>
      </c>
      <c r="L19" s="16"/>
      <c r="M19" s="18" t="s">
        <v>5139</v>
      </c>
      <c r="N19" s="16"/>
      <c r="O19" s="18" t="s">
        <v>5888</v>
      </c>
      <c r="P19" s="16"/>
      <c r="Q19" s="18" t="s">
        <v>6516</v>
      </c>
      <c r="R19" s="16"/>
      <c r="S19" s="18"/>
      <c r="T19" s="20"/>
    </row>
    <row r="20" spans="1:20" ht="15.95" customHeight="1" x14ac:dyDescent="0.25">
      <c r="A20" s="18" t="s">
        <v>521</v>
      </c>
      <c r="B20" s="16"/>
      <c r="C20" s="18" t="s">
        <v>2260</v>
      </c>
      <c r="D20" s="16"/>
      <c r="E20" s="18" t="s">
        <v>2981</v>
      </c>
      <c r="F20" s="16"/>
      <c r="G20" s="18" t="s">
        <v>1515</v>
      </c>
      <c r="H20" s="16"/>
      <c r="I20" s="18" t="s">
        <v>3723</v>
      </c>
      <c r="J20" s="16"/>
      <c r="K20" s="18" t="s">
        <v>4461</v>
      </c>
      <c r="L20" s="16"/>
      <c r="M20" s="18" t="s">
        <v>5129</v>
      </c>
      <c r="N20" s="16"/>
      <c r="O20" s="18" t="s">
        <v>5878</v>
      </c>
      <c r="P20" s="16"/>
      <c r="Q20" s="18" t="s">
        <v>6507</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523</v>
      </c>
      <c r="B22" s="16"/>
      <c r="C22" s="18" t="s">
        <v>2262</v>
      </c>
      <c r="D22" s="16"/>
      <c r="E22" s="18" t="s">
        <v>2983</v>
      </c>
      <c r="F22" s="16"/>
      <c r="G22" s="18" t="s">
        <v>1517</v>
      </c>
      <c r="H22" s="16"/>
      <c r="I22" s="18" t="s">
        <v>3725</v>
      </c>
      <c r="J22" s="16"/>
      <c r="K22" s="18" t="s">
        <v>4463</v>
      </c>
      <c r="L22" s="16"/>
      <c r="M22" s="18" t="s">
        <v>5131</v>
      </c>
      <c r="N22" s="16"/>
      <c r="O22" s="18" t="s">
        <v>5880</v>
      </c>
      <c r="P22" s="16"/>
      <c r="Q22" s="18" t="s">
        <v>6509</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4" priority="2" stopIfTrue="1">
      <formula>NOT(ISERROR(A3))</formula>
    </cfRule>
  </conditionalFormatting>
  <conditionalFormatting sqref="A3:T51">
    <cfRule type="containsErrors" dxfId="83" priority="1" stopIfTrue="1">
      <formula>ISERROR(A3)</formula>
    </cfRule>
    <cfRule type="notContainsBlanks" dxfId="82"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9" t="s">
        <v>746</v>
      </c>
      <c r="B3" s="16" t="str">
        <f>TRIM(_xlfn.TEXTBEFORE(A3, ":"))</f>
        <v>Item Class</v>
      </c>
      <c r="C3" s="17" t="s">
        <v>2271</v>
      </c>
      <c r="D3" s="16" t="str">
        <f>TRIM(_xlfn.TEXTBEFORE(C3, ":"))</f>
        <v>Gegenstandsklasse</v>
      </c>
      <c r="E3" s="17" t="s">
        <v>2992</v>
      </c>
      <c r="F3" s="16" t="str">
        <f>TRIM(_xlfn.TEXTBEFORE(E3, ":"))</f>
        <v>Clase de objeto</v>
      </c>
      <c r="G3" s="17" t="s">
        <v>1526</v>
      </c>
      <c r="H3" s="16" t="str">
        <f>TRIM(_xlfn.TEXTBEFORE(G3, ":"))</f>
        <v>Classe d'objet</v>
      </c>
      <c r="I3" s="17" t="s">
        <v>3734</v>
      </c>
      <c r="J3" s="16" t="str">
        <f>TRIM(_xlfn.TEXTBEFORE(I3, ":"))</f>
        <v>アイテムクラス</v>
      </c>
      <c r="K3" s="17" t="s">
        <v>4472</v>
      </c>
      <c r="L3" s="16" t="str">
        <f>TRIM(_xlfn.TEXTBEFORE(K3, ":"))</f>
        <v>아이템 종류</v>
      </c>
      <c r="M3" s="17" t="s">
        <v>5140</v>
      </c>
      <c r="N3" s="16" t="str">
        <f>TRIM(_xlfn.TEXTBEFORE(M3, ":"))</f>
        <v>Classe do Item</v>
      </c>
      <c r="O3" s="17" t="s">
        <v>5889</v>
      </c>
      <c r="P3" s="16" t="str">
        <f>TRIM(_xlfn.TEXTBEFORE(O3, ":"))</f>
        <v>Класс предмета</v>
      </c>
      <c r="Q3" s="17" t="s">
        <v>6517</v>
      </c>
      <c r="R3" s="16" t="str">
        <f>TRIM(_xlfn.TEXTBEFORE(Q3, ":"))</f>
        <v>ชนิดไอเทม</v>
      </c>
      <c r="S3" s="17"/>
      <c r="T3" s="20" t="e">
        <f>TRIM(_xlfn.TEXTBEFORE(S3, ":"))</f>
        <v>#N/A</v>
      </c>
    </row>
    <row r="4" spans="1:20" ht="15.95" customHeight="1" x14ac:dyDescent="0.25">
      <c r="A4" s="18" t="s">
        <v>513</v>
      </c>
      <c r="B4" s="16" t="str">
        <f>TRIM(_xlfn.TEXTAFTER(A3, ":"))</f>
        <v>Heist Gear</v>
      </c>
      <c r="C4" s="18" t="s">
        <v>1879</v>
      </c>
      <c r="D4" s="16" t="str">
        <f>TRIM(_xlfn.TEXTAFTER(C3, ":"))</f>
        <v>Heist-Ausrüstung</v>
      </c>
      <c r="E4" s="18" t="s">
        <v>2597</v>
      </c>
      <c r="F4" s="16" t="str">
        <f>TRIM(_xlfn.TEXTAFTER(E3, ":"))</f>
        <v>Accesorio de Heist</v>
      </c>
      <c r="G4" s="18" t="s">
        <v>1142</v>
      </c>
      <c r="H4" s="16" t="str">
        <f>TRIM(_xlfn.TEXTAFTER(G3, ":"))</f>
        <v>Équipements de Malfaiteur</v>
      </c>
      <c r="I4" s="18" t="s">
        <v>3321</v>
      </c>
      <c r="J4" s="16" t="str">
        <f>TRIM(_xlfn.TEXTAFTER(I3, ":"))</f>
        <v>ハイストギア</v>
      </c>
      <c r="K4" s="18" t="s">
        <v>4066</v>
      </c>
      <c r="L4" s="16" t="str">
        <f>TRIM(_xlfn.TEXTAFTER(K3, ":"))</f>
        <v>강탈 장비</v>
      </c>
      <c r="M4" s="18" t="s">
        <v>4787</v>
      </c>
      <c r="N4" s="16" t="str">
        <f>TRIM(_xlfn.TEXTAFTER(M3, ":"))</f>
        <v>Equipamento Heist</v>
      </c>
      <c r="O4" s="18" t="s">
        <v>5480</v>
      </c>
      <c r="P4" s="16" t="str">
        <f>TRIM(_xlfn.TEXTAFTER(O3, ":"))</f>
        <v>Разбойничьи принадлежности</v>
      </c>
      <c r="Q4" s="18" t="s">
        <v>6191</v>
      </c>
      <c r="R4" s="16" t="str">
        <f>TRIM(_xlfn.TEXTAFTER(Q3, ":"))</f>
        <v>อุปกรณ์สวมใส่กองโจร</v>
      </c>
      <c r="S4" s="18"/>
      <c r="T4" s="20" t="e">
        <f>TRIM(_xlfn.TEXTAFTER(S3, ":"))</f>
        <v>#N/A</v>
      </c>
    </row>
    <row r="5" spans="1:20" ht="15.95" customHeight="1" x14ac:dyDescent="0.25">
      <c r="A5" s="18" t="s">
        <v>747</v>
      </c>
      <c r="B5" s="16" t="str">
        <f>TRIM(_xlfn.TEXTBEFORE(A4, ":"))</f>
        <v>Rarity</v>
      </c>
      <c r="C5" s="18" t="s">
        <v>2272</v>
      </c>
      <c r="D5" s="16" t="str">
        <f>TRIM(_xlfn.TEXTBEFORE(C4, ":"))</f>
        <v>Seltenheit</v>
      </c>
      <c r="E5" s="18" t="s">
        <v>2993</v>
      </c>
      <c r="F5" s="16" t="str">
        <f>TRIM(_xlfn.TEXTBEFORE(E4, ":"))</f>
        <v>Rareza</v>
      </c>
      <c r="G5" s="18" t="s">
        <v>1527</v>
      </c>
      <c r="H5" s="16" t="str">
        <f>TRIM(_xlfn.TEXTBEFORE(G4, ":"))</f>
        <v>Rareté</v>
      </c>
      <c r="I5" s="18" t="s">
        <v>3735</v>
      </c>
      <c r="J5" s="16" t="str">
        <f>TRIM(_xlfn.TEXTBEFORE(I4, ":"))</f>
        <v>レアリティ</v>
      </c>
      <c r="K5" s="18" t="s">
        <v>4473</v>
      </c>
      <c r="L5" s="16" t="str">
        <f>TRIM(_xlfn.TEXTBEFORE(K4, ":"))</f>
        <v>아이템 희귀도</v>
      </c>
      <c r="M5" s="18" t="s">
        <v>5141</v>
      </c>
      <c r="N5" s="16" t="str">
        <f>TRIM(_xlfn.TEXTBEFORE(M4, ":"))</f>
        <v>Raridade</v>
      </c>
      <c r="O5" s="18" t="s">
        <v>5890</v>
      </c>
      <c r="P5" s="16" t="str">
        <f>TRIM(_xlfn.TEXTBEFORE(O4, ":"))</f>
        <v>Редкость</v>
      </c>
      <c r="Q5" s="18" t="s">
        <v>747</v>
      </c>
      <c r="R5" s="16" t="str">
        <f>TRIM(_xlfn.TEXTBEFORE(Q4, ":"))</f>
        <v>ความหายาก</v>
      </c>
      <c r="S5" s="18"/>
      <c r="T5" s="20" t="e">
        <f>TRIM(_xlfn.TEXTBEFORE(S4, ":"))</f>
        <v>#N/A</v>
      </c>
    </row>
    <row r="6" spans="1:20" ht="15.95" customHeight="1" x14ac:dyDescent="0.25">
      <c r="A6" s="18" t="s">
        <v>748</v>
      </c>
      <c r="B6" s="16" t="str">
        <f>TRIM(_xlfn.TEXTAFTER(A4,":"))</f>
        <v>Rare</v>
      </c>
      <c r="C6" s="18" t="s">
        <v>2273</v>
      </c>
      <c r="D6" s="16" t="str">
        <f>TRIM(_xlfn.TEXTAFTER(C4,":"))</f>
        <v>Selten</v>
      </c>
      <c r="E6" s="18" t="s">
        <v>2994</v>
      </c>
      <c r="F6" s="16" t="str">
        <f>TRIM(_xlfn.TEXTAFTER(E4,":"))</f>
        <v>Raro</v>
      </c>
      <c r="G6" s="18" t="s">
        <v>1528</v>
      </c>
      <c r="H6" s="16" t="str">
        <f>TRIM(_xlfn.TEXTAFTER(G4,":"))</f>
        <v>Rare</v>
      </c>
      <c r="I6" s="18" t="s">
        <v>3736</v>
      </c>
      <c r="J6" s="16" t="str">
        <f>TRIM(_xlfn.TEXTAFTER(I4,":"))</f>
        <v>レア</v>
      </c>
      <c r="K6" s="18" t="s">
        <v>4474</v>
      </c>
      <c r="L6" s="16" t="str">
        <f>TRIM(_xlfn.TEXTAFTER(K4,":"))</f>
        <v>희귀</v>
      </c>
      <c r="M6" s="18" t="s">
        <v>5142</v>
      </c>
      <c r="N6" s="16" t="str">
        <f>TRIM(_xlfn.TEXTAFTER(M4,":"))</f>
        <v>Raro</v>
      </c>
      <c r="O6" s="18" t="s">
        <v>5891</v>
      </c>
      <c r="P6" s="16" t="str">
        <f>TRIM(_xlfn.TEXTAFTER(O4,":"))</f>
        <v>Редкий</v>
      </c>
      <c r="Q6" s="18" t="s">
        <v>6518</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516</v>
      </c>
      <c r="B8" s="16"/>
      <c r="C8" s="18" t="s">
        <v>2255</v>
      </c>
      <c r="D8" s="16"/>
      <c r="E8" s="18" t="s">
        <v>2976</v>
      </c>
      <c r="F8" s="16"/>
      <c r="G8" s="18" t="s">
        <v>1510</v>
      </c>
      <c r="H8" s="16"/>
      <c r="I8" s="18" t="s">
        <v>3718</v>
      </c>
      <c r="J8" s="16"/>
      <c r="K8" s="18" t="s">
        <v>4456</v>
      </c>
      <c r="L8" s="16"/>
      <c r="M8" s="18" t="s">
        <v>5124</v>
      </c>
      <c r="N8" s="16"/>
      <c r="O8" s="18" t="s">
        <v>5873</v>
      </c>
      <c r="P8" s="16"/>
      <c r="Q8" s="18" t="s">
        <v>6502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t="s">
        <v>5212</v>
      </c>
      <c r="P10" s="16"/>
      <c r="Q10" s="18" t="s">
        <v>5957</v>
      </c>
      <c r="R10" s="16"/>
      <c r="S10" s="18"/>
      <c r="T10" s="20"/>
    </row>
    <row r="11" spans="1:20" ht="15.95" customHeight="1" x14ac:dyDescent="0.25">
      <c r="A11" s="18" t="s">
        <v>517</v>
      </c>
      <c r="B11" s="16"/>
      <c r="C11" s="18" t="s">
        <v>2256</v>
      </c>
      <c r="D11" s="16"/>
      <c r="E11" s="18" t="s">
        <v>2977</v>
      </c>
      <c r="F11" s="16"/>
      <c r="G11" s="18" t="s">
        <v>1511</v>
      </c>
      <c r="H11" s="16"/>
      <c r="I11" s="18" t="s">
        <v>3719</v>
      </c>
      <c r="J11" s="16"/>
      <c r="K11" s="18" t="s">
        <v>4457</v>
      </c>
      <c r="L11" s="16"/>
      <c r="M11" s="18" t="s">
        <v>5125</v>
      </c>
      <c r="N11" s="16"/>
      <c r="O11" s="18" t="s">
        <v>5874</v>
      </c>
      <c r="P11" s="16"/>
      <c r="Q11" s="18" t="s">
        <v>6503</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749</v>
      </c>
      <c r="B13" s="16"/>
      <c r="C13" s="18" t="s">
        <v>2274</v>
      </c>
      <c r="D13" s="16"/>
      <c r="E13" s="18" t="s">
        <v>2995</v>
      </c>
      <c r="F13" s="16"/>
      <c r="G13" s="18" t="s">
        <v>1529</v>
      </c>
      <c r="H13" s="16"/>
      <c r="I13" s="18" t="s">
        <v>3737</v>
      </c>
      <c r="J13" s="16"/>
      <c r="K13" s="18" t="s">
        <v>4475</v>
      </c>
      <c r="L13" s="16"/>
      <c r="M13" s="18" t="s">
        <v>5143</v>
      </c>
      <c r="N13" s="16"/>
      <c r="O13" s="18" t="s">
        <v>5892</v>
      </c>
      <c r="P13" s="16"/>
      <c r="Q13" s="18" t="s">
        <v>6519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750</v>
      </c>
      <c r="B15" s="16"/>
      <c r="C15" s="18" t="s">
        <v>2275</v>
      </c>
      <c r="D15" s="16"/>
      <c r="E15" s="18" t="s">
        <v>2996</v>
      </c>
      <c r="F15" s="16"/>
      <c r="G15" s="18" t="s">
        <v>1530</v>
      </c>
      <c r="H15" s="16"/>
      <c r="I15" s="18" t="s">
        <v>3738</v>
      </c>
      <c r="J15" s="16"/>
      <c r="K15" s="18" t="s">
        <v>4476</v>
      </c>
      <c r="L15" s="16"/>
      <c r="M15" s="18" t="s">
        <v>5144</v>
      </c>
      <c r="N15" s="16"/>
      <c r="O15" s="18" t="s">
        <v>5893</v>
      </c>
      <c r="P15" s="16"/>
      <c r="Q15" s="18" t="s">
        <v>6520</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751</v>
      </c>
      <c r="B17" s="16"/>
      <c r="C17" s="18" t="s">
        <v>2276</v>
      </c>
      <c r="D17" s="16"/>
      <c r="E17" s="18" t="s">
        <v>2997</v>
      </c>
      <c r="F17" s="16"/>
      <c r="G17" s="18" t="s">
        <v>1531</v>
      </c>
      <c r="H17" s="16"/>
      <c r="I17" s="18" t="s">
        <v>3739</v>
      </c>
      <c r="J17" s="16"/>
      <c r="K17" s="18" t="s">
        <v>4477</v>
      </c>
      <c r="L17" s="16"/>
      <c r="M17" s="18" t="s">
        <v>5145</v>
      </c>
      <c r="N17" s="16"/>
      <c r="O17" s="18" t="s">
        <v>5894</v>
      </c>
      <c r="P17" s="16"/>
      <c r="Q17" s="18" t="s">
        <v>6521</v>
      </c>
      <c r="R17" s="16"/>
      <c r="S17" s="18"/>
      <c r="T17" s="20"/>
    </row>
    <row r="18" spans="1:20" ht="15.95" customHeight="1" x14ac:dyDescent="0.25">
      <c r="A18" s="18" t="s">
        <v>752</v>
      </c>
      <c r="B18" s="16"/>
      <c r="C18" s="18" t="s">
        <v>2277</v>
      </c>
      <c r="D18" s="16"/>
      <c r="E18" s="18" t="s">
        <v>2998</v>
      </c>
      <c r="F18" s="16"/>
      <c r="G18" s="18" t="s">
        <v>1532</v>
      </c>
      <c r="H18" s="16"/>
      <c r="I18" s="18" t="s">
        <v>3740</v>
      </c>
      <c r="J18" s="16"/>
      <c r="K18" s="18" t="s">
        <v>4478</v>
      </c>
      <c r="L18" s="16"/>
      <c r="M18" s="18" t="s">
        <v>5146</v>
      </c>
      <c r="N18" s="16"/>
      <c r="O18" s="18" t="s">
        <v>5895</v>
      </c>
      <c r="P18" s="16"/>
      <c r="Q18" s="18" t="s">
        <v>6522</v>
      </c>
      <c r="R18" s="16"/>
      <c r="S18" s="18"/>
      <c r="T18" s="20"/>
    </row>
    <row r="19" spans="1:20" ht="15.95" customHeight="1" x14ac:dyDescent="0.25">
      <c r="A19" s="18" t="s">
        <v>753</v>
      </c>
      <c r="B19" s="16"/>
      <c r="C19" s="18" t="s">
        <v>2278</v>
      </c>
      <c r="D19" s="16"/>
      <c r="E19" s="18" t="s">
        <v>2999</v>
      </c>
      <c r="F19" s="16"/>
      <c r="G19" s="18" t="s">
        <v>1533</v>
      </c>
      <c r="H19" s="16"/>
      <c r="I19" s="18" t="s">
        <v>3741</v>
      </c>
      <c r="J19" s="16"/>
      <c r="K19" s="18" t="s">
        <v>4479</v>
      </c>
      <c r="L19" s="16"/>
      <c r="M19" s="18" t="s">
        <v>5147</v>
      </c>
      <c r="N19" s="16"/>
      <c r="O19" s="18" t="s">
        <v>5896</v>
      </c>
      <c r="P19" s="16"/>
      <c r="Q19" s="18" t="s">
        <v>6523</v>
      </c>
      <c r="R19" s="16"/>
      <c r="S19" s="18"/>
      <c r="T19" s="20"/>
    </row>
    <row r="20" spans="1:20" ht="15.95" customHeight="1" x14ac:dyDescent="0.25">
      <c r="A20" s="18" t="s">
        <v>754</v>
      </c>
      <c r="B20" s="16"/>
      <c r="C20" s="18" t="s">
        <v>2279</v>
      </c>
      <c r="D20" s="16"/>
      <c r="E20" s="18" t="s">
        <v>3000</v>
      </c>
      <c r="F20" s="16"/>
      <c r="G20" s="18" t="s">
        <v>1534</v>
      </c>
      <c r="H20" s="16"/>
      <c r="I20" s="18" t="s">
        <v>3742</v>
      </c>
      <c r="J20" s="16"/>
      <c r="K20" s="18" t="s">
        <v>4480</v>
      </c>
      <c r="L20" s="16"/>
      <c r="M20" s="18" t="s">
        <v>5148</v>
      </c>
      <c r="N20" s="16"/>
      <c r="O20" s="18" t="s">
        <v>5897</v>
      </c>
      <c r="P20" s="16"/>
      <c r="Q20" s="18" t="s">
        <v>6524</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523</v>
      </c>
      <c r="B22" s="16"/>
      <c r="C22" s="18" t="s">
        <v>2262</v>
      </c>
      <c r="D22" s="16"/>
      <c r="E22" s="18" t="s">
        <v>2983</v>
      </c>
      <c r="F22" s="16"/>
      <c r="G22" s="18" t="s">
        <v>1517</v>
      </c>
      <c r="H22" s="16"/>
      <c r="I22" s="18" t="s">
        <v>3725</v>
      </c>
      <c r="J22" s="16"/>
      <c r="K22" s="18" t="s">
        <v>4463</v>
      </c>
      <c r="L22" s="16"/>
      <c r="M22" s="18" t="s">
        <v>5131</v>
      </c>
      <c r="N22" s="16"/>
      <c r="O22" s="18" t="s">
        <v>5880</v>
      </c>
      <c r="P22" s="16"/>
      <c r="Q22" s="18" t="s">
        <v>6509</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81" priority="1" stopIfTrue="1" operator="equal">
      <formula>"-"</formula>
    </cfRule>
    <cfRule type="cellIs" dxfId="80" priority="2" operator="between">
      <formula>"(Lowest value)"</formula>
      <formula>0</formula>
    </cfRule>
    <cfRule type="containsBlanks" dxfId="79" priority="3">
      <formula>LEN(TRIM(A3))=0</formula>
    </cfRule>
    <cfRule type="notContainsBlanks" dxfId="78" priority="4">
      <formula>LEN(TRIM(A3))&gt;0</formula>
    </cfRule>
  </conditionalFormatting>
  <conditionalFormatting sqref="B3:T3 A4:T51">
    <cfRule type="containsErrors" dxfId="77" priority="5" stopIfTrue="1">
      <formula>ISERROR(A3)</formula>
    </cfRule>
    <cfRule type="notContainsBlanks" dxfId="76" priority="7">
      <formula>LEN(TRIM(A3))&gt;0</formula>
    </cfRule>
  </conditionalFormatting>
  <conditionalFormatting sqref="C3:C51 E3:E51 G3:G51 I3:I51 K3:K51 M3:M51 O3:O51 Q3:Q51 S3:S51 A4:A51">
    <cfRule type="notContainsErrors" dxfId="75" priority="6" stopIfTrue="1">
      <formula>NOT(ISERROR(A3))</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763</v>
      </c>
      <c r="B3" s="16" t="str">
        <f>TRIM(_xlfn.TEXTBEFORE(A3, ":"))</f>
        <v>Item Class</v>
      </c>
      <c r="C3" s="17" t="s">
        <v>2280</v>
      </c>
      <c r="D3" s="16" t="str">
        <f>TRIM(_xlfn.TEXTBEFORE(C3, ":"))</f>
        <v>Gegenstandsklasse</v>
      </c>
      <c r="E3" s="17" t="s">
        <v>3001</v>
      </c>
      <c r="F3" s="16" t="str">
        <f>TRIM(_xlfn.TEXTBEFORE(E3, ":"))</f>
        <v>Clase de objeto</v>
      </c>
      <c r="G3" s="17" t="s">
        <v>1535</v>
      </c>
      <c r="H3" s="16" t="str">
        <f>TRIM(_xlfn.TEXTBEFORE(G3, ":"))</f>
        <v>Classe d'objet</v>
      </c>
      <c r="I3" s="17" t="s">
        <v>3743</v>
      </c>
      <c r="J3" s="16" t="str">
        <f>TRIM(_xlfn.TEXTBEFORE(I3, ":"))</f>
        <v>アイテムクラス</v>
      </c>
      <c r="K3" s="17" t="s">
        <v>4481</v>
      </c>
      <c r="L3" s="16" t="str">
        <f>TRIM(_xlfn.TEXTBEFORE(K3, ":"))</f>
        <v>아이템 종류</v>
      </c>
      <c r="M3" s="17" t="s">
        <v>5149</v>
      </c>
      <c r="N3" s="16" t="str">
        <f>TRIM(_xlfn.TEXTBEFORE(M3, ":"))</f>
        <v>Classe do Item</v>
      </c>
      <c r="O3" s="17" t="s">
        <v>5898</v>
      </c>
      <c r="P3" s="16" t="str">
        <f>TRIM(_xlfn.TEXTBEFORE(O3, ":"))</f>
        <v>Класс предмета</v>
      </c>
      <c r="Q3" s="17" t="s">
        <v>6525</v>
      </c>
      <c r="R3" s="16" t="str">
        <f>TRIM(_xlfn.TEXTBEFORE(Q3, ":"))</f>
        <v>ชนิดไอเทม</v>
      </c>
      <c r="S3" s="17"/>
      <c r="T3" s="20" t="e">
        <f>TRIM(_xlfn.TEXTBEFORE(S3, ":"))</f>
        <v>#N/A</v>
      </c>
    </row>
    <row r="4" spans="1:20" ht="15.95" customHeight="1" x14ac:dyDescent="0.25">
      <c r="A4" s="18" t="s">
        <v>582</v>
      </c>
      <c r="B4" s="16" t="str">
        <f>TRIM(_xlfn.TEXTAFTER(A3, ":"))</f>
        <v>Heist Targets</v>
      </c>
      <c r="C4" s="18" t="s">
        <v>1654</v>
      </c>
      <c r="D4" s="16" t="str">
        <f>TRIM(_xlfn.TEXTAFTER(C3, ":"))</f>
        <v>Auftragsziele</v>
      </c>
      <c r="E4" s="18" t="s">
        <v>2322</v>
      </c>
      <c r="F4" s="16" t="str">
        <f>TRIM(_xlfn.TEXTAFTER(E3, ":"))</f>
        <v>Objetivos de Heist</v>
      </c>
      <c r="G4" s="18" t="s">
        <v>877</v>
      </c>
      <c r="H4" s="16" t="str">
        <f>TRIM(_xlfn.TEXTAFTER(G3, ":"))</f>
        <v>Objectifs de Casse</v>
      </c>
      <c r="I4" s="18" t="s">
        <v>3090</v>
      </c>
      <c r="J4" s="16" t="str">
        <f>TRIM(_xlfn.TEXTAFTER(I3, ":"))</f>
        <v>ハイストターゲット</v>
      </c>
      <c r="K4" s="18" t="s">
        <v>3784</v>
      </c>
      <c r="L4" s="16" t="str">
        <f>TRIM(_xlfn.TEXTAFTER(K3, ":"))</f>
        <v>강탈 대상</v>
      </c>
      <c r="M4" s="18" t="s">
        <v>4568</v>
      </c>
      <c r="N4" s="16" t="str">
        <f>TRIM(_xlfn.TEXTAFTER(M3, ":"))</f>
        <v>Alvos Heist</v>
      </c>
      <c r="O4" s="18" t="s">
        <v>5252</v>
      </c>
      <c r="P4" s="16" t="str">
        <f>TRIM(_xlfn.TEXTAFTER(O3, ":"))</f>
        <v>Предметы кражи</v>
      </c>
      <c r="Q4" s="18" t="s">
        <v>5940</v>
      </c>
      <c r="R4" s="16" t="str">
        <f>TRIM(_xlfn.TEXTAFTER(Q3, ":"))</f>
        <v>เป้าหมายโจรกรรม</v>
      </c>
      <c r="S4" s="18"/>
      <c r="T4" s="20" t="e">
        <f>TRIM(_xlfn.TEXTAFTER(S3, ":"))</f>
        <v>#N/A</v>
      </c>
    </row>
    <row r="5" spans="1:20" ht="15.95" customHeight="1" x14ac:dyDescent="0.25">
      <c r="A5" s="18" t="s">
        <v>764</v>
      </c>
      <c r="B5" s="16" t="str">
        <f>TRIM(_xlfn.TEXTBEFORE(A4, ":"))</f>
        <v>Rarity</v>
      </c>
      <c r="C5" s="18" t="s">
        <v>2281</v>
      </c>
      <c r="D5" s="16" t="str">
        <f>TRIM(_xlfn.TEXTBEFORE(C4, ":"))</f>
        <v>Seltenheit</v>
      </c>
      <c r="E5" s="18" t="s">
        <v>3002</v>
      </c>
      <c r="F5" s="16" t="str">
        <f>TRIM(_xlfn.TEXTBEFORE(E4, ":"))</f>
        <v>Rareza</v>
      </c>
      <c r="G5" s="18" t="s">
        <v>1536</v>
      </c>
      <c r="H5" s="16" t="str">
        <f>TRIM(_xlfn.TEXTBEFORE(G4, ":"))</f>
        <v>Rareté</v>
      </c>
      <c r="I5" s="18" t="s">
        <v>3744</v>
      </c>
      <c r="J5" s="16" t="str">
        <f>TRIM(_xlfn.TEXTBEFORE(I4, ":"))</f>
        <v>レアリティ</v>
      </c>
      <c r="K5" s="18" t="s">
        <v>4482</v>
      </c>
      <c r="L5" s="16" t="str">
        <f>TRIM(_xlfn.TEXTBEFORE(K4, ":"))</f>
        <v>아이템 희귀도</v>
      </c>
      <c r="M5" s="18" t="s">
        <v>5150</v>
      </c>
      <c r="N5" s="16" t="str">
        <f>TRIM(_xlfn.TEXTBEFORE(M4, ":"))</f>
        <v>Raridade</v>
      </c>
      <c r="O5" s="18" t="s">
        <v>5899</v>
      </c>
      <c r="P5" s="16" t="str">
        <f>TRIM(_xlfn.TEXTBEFORE(O4, ":"))</f>
        <v>Редкость</v>
      </c>
      <c r="Q5" s="18" t="s">
        <v>6526</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765</v>
      </c>
      <c r="B7" s="16"/>
      <c r="C7" s="18" t="s">
        <v>2282</v>
      </c>
      <c r="D7" s="16"/>
      <c r="E7" s="18" t="s">
        <v>3003</v>
      </c>
      <c r="F7" s="16"/>
      <c r="G7" s="18" t="s">
        <v>1537</v>
      </c>
      <c r="H7" s="16"/>
      <c r="I7" s="18" t="s">
        <v>3745</v>
      </c>
      <c r="J7" s="16"/>
      <c r="K7" s="18" t="s">
        <v>4483</v>
      </c>
      <c r="L7" s="16"/>
      <c r="M7" s="18" t="s">
        <v>5151</v>
      </c>
      <c r="N7" s="16"/>
      <c r="O7" s="18" t="s">
        <v>5900</v>
      </c>
      <c r="P7" s="16"/>
      <c r="Q7" s="18" t="s">
        <v>6527</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766</v>
      </c>
      <c r="B9" s="16"/>
      <c r="C9" s="18" t="s">
        <v>2283</v>
      </c>
      <c r="D9" s="16"/>
      <c r="E9" s="18" t="s">
        <v>3004</v>
      </c>
      <c r="F9" s="16"/>
      <c r="G9" s="18" t="s">
        <v>1538</v>
      </c>
      <c r="H9" s="16"/>
      <c r="I9" s="18" t="s">
        <v>3746</v>
      </c>
      <c r="J9" s="16"/>
      <c r="K9" s="18" t="s">
        <v>4484</v>
      </c>
      <c r="L9" s="16"/>
      <c r="M9" s="18" t="s">
        <v>5152</v>
      </c>
      <c r="N9" s="16"/>
      <c r="O9" s="18" t="s">
        <v>5901</v>
      </c>
      <c r="P9" s="16"/>
      <c r="Q9" s="18" t="s">
        <v>6528</v>
      </c>
      <c r="R9" s="16"/>
      <c r="S9" s="18"/>
      <c r="T9" s="20"/>
    </row>
    <row r="10" spans="1:20" ht="15.95" customHeight="1" x14ac:dyDescent="0.25">
      <c r="A10" s="18" t="s">
        <v>4</v>
      </c>
      <c r="B10" s="16"/>
      <c r="C10" s="18" t="s">
        <v>4</v>
      </c>
      <c r="D10" s="16"/>
      <c r="E10" s="18" t="s">
        <v>4</v>
      </c>
      <c r="F10" s="16"/>
      <c r="G10" s="18" t="s">
        <v>1539</v>
      </c>
      <c r="H10" s="16"/>
      <c r="I10" s="18" t="s">
        <v>4</v>
      </c>
      <c r="J10" s="16"/>
      <c r="K10" s="18" t="s">
        <v>4</v>
      </c>
      <c r="L10" s="16"/>
      <c r="M10" s="18" t="s">
        <v>4</v>
      </c>
      <c r="N10" s="16"/>
      <c r="O10" s="18" t="s">
        <v>5902</v>
      </c>
      <c r="P10" s="16"/>
      <c r="Q10" s="18" t="s">
        <v>4</v>
      </c>
      <c r="R10" s="16"/>
      <c r="S10" s="18"/>
      <c r="T10" s="20"/>
    </row>
    <row r="11" spans="1:20" ht="15.95" customHeight="1" x14ac:dyDescent="0.25">
      <c r="A11" s="18" t="s">
        <v>767</v>
      </c>
      <c r="B11" s="16"/>
      <c r="C11" s="18" t="s">
        <v>2284</v>
      </c>
      <c r="D11" s="16"/>
      <c r="E11" s="18" t="s">
        <v>3005</v>
      </c>
      <c r="F11" s="16"/>
      <c r="G11" s="18" t="s">
        <v>4</v>
      </c>
      <c r="H11" s="16"/>
      <c r="I11" s="18" t="s">
        <v>3747</v>
      </c>
      <c r="J11" s="16"/>
      <c r="K11" s="18" t="s">
        <v>4485</v>
      </c>
      <c r="L11" s="16"/>
      <c r="M11" s="18" t="s">
        <v>5153</v>
      </c>
      <c r="N11" s="16"/>
      <c r="O11" s="18" t="s">
        <v>4</v>
      </c>
      <c r="P11" s="16"/>
      <c r="Q11" s="18" t="s">
        <v>6529</v>
      </c>
      <c r="R11" s="16"/>
      <c r="S11" s="18"/>
      <c r="T11" s="20"/>
    </row>
    <row r="12" spans="1:20" ht="15.95" customHeight="1" x14ac:dyDescent="0.25">
      <c r="A12" s="18"/>
      <c r="B12" s="16"/>
      <c r="C12" s="18"/>
      <c r="D12" s="16"/>
      <c r="E12" s="18"/>
      <c r="F12" s="16"/>
      <c r="G12" s="18" t="s">
        <v>1540</v>
      </c>
      <c r="H12" s="16"/>
      <c r="I12" s="18"/>
      <c r="J12" s="16"/>
      <c r="K12" s="18"/>
      <c r="L12" s="16"/>
      <c r="M12" s="18"/>
      <c r="N12" s="16"/>
      <c r="O12" s="18" t="s">
        <v>5903</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4" priority="2" stopIfTrue="1">
      <formula>NOT(ISERROR(A3))</formula>
    </cfRule>
  </conditionalFormatting>
  <conditionalFormatting sqref="A3:T51">
    <cfRule type="containsErrors" dxfId="73" priority="1" stopIfTrue="1">
      <formula>ISERROR(A3)</formula>
    </cfRule>
    <cfRule type="notContainsBlanks" dxfId="72"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734</v>
      </c>
      <c r="B3" s="16" t="str">
        <f>TRIM(_xlfn.TEXTBEFORE(A3, ":"))</f>
        <v>Item Class</v>
      </c>
      <c r="C3" s="17" t="s">
        <v>2285</v>
      </c>
      <c r="D3" s="16" t="str">
        <f>TRIM(_xlfn.TEXTBEFORE(C3, ":"))</f>
        <v>Gegenstandsklasse</v>
      </c>
      <c r="E3" s="17" t="s">
        <v>3006</v>
      </c>
      <c r="F3" s="16" t="str">
        <f>TRIM(_xlfn.TEXTBEFORE(E3, ":"))</f>
        <v>Clase de objeto</v>
      </c>
      <c r="G3" s="17" t="s">
        <v>1541</v>
      </c>
      <c r="H3" s="16" t="str">
        <f>TRIM(_xlfn.TEXTBEFORE(G3, ":"))</f>
        <v>Classe d'objet</v>
      </c>
      <c r="I3" s="17" t="s">
        <v>3748</v>
      </c>
      <c r="J3" s="16" t="str">
        <f>TRIM(_xlfn.TEXTBEFORE(I3, ":"))</f>
        <v>アイテムクラス</v>
      </c>
      <c r="K3" s="17" t="s">
        <v>4486</v>
      </c>
      <c r="L3" s="16" t="str">
        <f>TRIM(_xlfn.TEXTBEFORE(K3, ":"))</f>
        <v>아이템 종류</v>
      </c>
      <c r="M3" s="17" t="s">
        <v>5154</v>
      </c>
      <c r="N3" s="16" t="str">
        <f>TRIM(_xlfn.TEXTBEFORE(M3, ":"))</f>
        <v>Classe do Item</v>
      </c>
      <c r="O3" s="17" t="s">
        <v>5904</v>
      </c>
      <c r="P3" s="16" t="str">
        <f>TRIM(_xlfn.TEXTBEFORE(O3, ":"))</f>
        <v>Класс предмета</v>
      </c>
      <c r="Q3" s="17" t="s">
        <v>6530</v>
      </c>
      <c r="R3" s="16" t="str">
        <f>TRIM(_xlfn.TEXTBEFORE(Q3, ":"))</f>
        <v>ชนิดไอเทม</v>
      </c>
      <c r="S3" s="17"/>
      <c r="T3" s="20" t="e">
        <f>TRIM(_xlfn.TEXTBEFORE(S3, ":"))</f>
        <v>#N/A</v>
      </c>
    </row>
    <row r="4" spans="1:20" ht="15.95" customHeight="1" x14ac:dyDescent="0.25">
      <c r="A4" s="18" t="s">
        <v>513</v>
      </c>
      <c r="B4" s="16" t="str">
        <f>TRIM(_xlfn.TEXTAFTER(A3, ":"))</f>
        <v>Heist Tools</v>
      </c>
      <c r="C4" s="18" t="s">
        <v>1879</v>
      </c>
      <c r="D4" s="16" t="str">
        <f>TRIM(_xlfn.TEXTAFTER(C3, ":"))</f>
        <v>Heist-Werkzeug</v>
      </c>
      <c r="E4" s="18" t="s">
        <v>2597</v>
      </c>
      <c r="F4" s="16" t="str">
        <f>TRIM(_xlfn.TEXTAFTER(E3, ":"))</f>
        <v>Herramientas de Heist</v>
      </c>
      <c r="G4" s="18" t="s">
        <v>1142</v>
      </c>
      <c r="H4" s="16" t="str">
        <f>TRIM(_xlfn.TEXTAFTER(G3, ":"))</f>
        <v>Outils de Malfaiteur</v>
      </c>
      <c r="I4" s="18" t="s">
        <v>3321</v>
      </c>
      <c r="J4" s="16" t="str">
        <f>TRIM(_xlfn.TEXTAFTER(I3, ":"))</f>
        <v>ハイストツール</v>
      </c>
      <c r="K4" s="18" t="s">
        <v>4066</v>
      </c>
      <c r="L4" s="16" t="str">
        <f>TRIM(_xlfn.TEXTAFTER(K3, ":"))</f>
        <v>강탈 도구</v>
      </c>
      <c r="M4" s="18" t="s">
        <v>4787</v>
      </c>
      <c r="N4" s="16" t="str">
        <f>TRIM(_xlfn.TEXTAFTER(M3, ":"))</f>
        <v>Ferramentas Heist</v>
      </c>
      <c r="O4" s="18" t="s">
        <v>5480</v>
      </c>
      <c r="P4" s="16" t="str">
        <f>TRIM(_xlfn.TEXTAFTER(O3, ":"))</f>
        <v>Разбойничий инструмент</v>
      </c>
      <c r="Q4" s="18" t="s">
        <v>6191</v>
      </c>
      <c r="R4" s="16" t="str">
        <f>TRIM(_xlfn.TEXTAFTER(Q3, ":"))</f>
        <v>เครื่องมือกองโจร</v>
      </c>
      <c r="S4" s="18"/>
      <c r="T4" s="20" t="e">
        <f>TRIM(_xlfn.TEXTAFTER(S3, ":"))</f>
        <v>#N/A</v>
      </c>
    </row>
    <row r="5" spans="1:20" ht="15.95" customHeight="1" x14ac:dyDescent="0.25">
      <c r="A5" s="18" t="s">
        <v>735</v>
      </c>
      <c r="B5" s="16" t="str">
        <f>TRIM(_xlfn.TEXTBEFORE(A4, ":"))</f>
        <v>Rarity</v>
      </c>
      <c r="C5" s="18" t="s">
        <v>2286</v>
      </c>
      <c r="D5" s="16" t="str">
        <f>TRIM(_xlfn.TEXTBEFORE(C4, ":"))</f>
        <v>Seltenheit</v>
      </c>
      <c r="E5" s="18" t="s">
        <v>3007</v>
      </c>
      <c r="F5" s="16" t="str">
        <f>TRIM(_xlfn.TEXTBEFORE(E4, ":"))</f>
        <v>Rareza</v>
      </c>
      <c r="G5" s="18" t="s">
        <v>1542</v>
      </c>
      <c r="H5" s="16" t="str">
        <f>TRIM(_xlfn.TEXTBEFORE(G4, ":"))</f>
        <v>Rareté</v>
      </c>
      <c r="I5" s="18" t="s">
        <v>3749</v>
      </c>
      <c r="J5" s="16" t="str">
        <f>TRIM(_xlfn.TEXTBEFORE(I4, ":"))</f>
        <v>レアリティ</v>
      </c>
      <c r="K5" s="18" t="s">
        <v>4487</v>
      </c>
      <c r="L5" s="16" t="str">
        <f>TRIM(_xlfn.TEXTBEFORE(K4, ":"))</f>
        <v>아이템 희귀도</v>
      </c>
      <c r="M5" s="18" t="s">
        <v>5155</v>
      </c>
      <c r="N5" s="16" t="str">
        <f>TRIM(_xlfn.TEXTBEFORE(M4, ":"))</f>
        <v>Raridade</v>
      </c>
      <c r="O5" s="18" t="s">
        <v>5905</v>
      </c>
      <c r="P5" s="16" t="str">
        <f>TRIM(_xlfn.TEXTBEFORE(O4, ":"))</f>
        <v>Редкость</v>
      </c>
      <c r="Q5" s="18" t="s">
        <v>735</v>
      </c>
      <c r="R5" s="16" t="str">
        <f>TRIM(_xlfn.TEXTBEFORE(Q4, ":"))</f>
        <v>ความหายาก</v>
      </c>
      <c r="S5" s="18"/>
      <c r="T5" s="20" t="e">
        <f>TRIM(_xlfn.TEXTBEFORE(S4, ":"))</f>
        <v>#N/A</v>
      </c>
    </row>
    <row r="6" spans="1:20" ht="15.95" customHeight="1" x14ac:dyDescent="0.25">
      <c r="A6" s="18" t="s">
        <v>736</v>
      </c>
      <c r="B6" s="16" t="str">
        <f>TRIM(_xlfn.TEXTAFTER(A4,":"))</f>
        <v>Rare</v>
      </c>
      <c r="C6" s="18" t="s">
        <v>2287</v>
      </c>
      <c r="D6" s="16" t="str">
        <f>TRIM(_xlfn.TEXTAFTER(C4,":"))</f>
        <v>Selten</v>
      </c>
      <c r="E6" s="18" t="s">
        <v>3008</v>
      </c>
      <c r="F6" s="16" t="str">
        <f>TRIM(_xlfn.TEXTAFTER(E4,":"))</f>
        <v>Raro</v>
      </c>
      <c r="G6" s="18" t="s">
        <v>1543</v>
      </c>
      <c r="H6" s="16" t="str">
        <f>TRIM(_xlfn.TEXTAFTER(G4,":"))</f>
        <v>Rare</v>
      </c>
      <c r="I6" s="18" t="s">
        <v>3750</v>
      </c>
      <c r="J6" s="16" t="str">
        <f>TRIM(_xlfn.TEXTAFTER(I4,":"))</f>
        <v>レア</v>
      </c>
      <c r="K6" s="18" t="s">
        <v>4488</v>
      </c>
      <c r="L6" s="16" t="str">
        <f>TRIM(_xlfn.TEXTAFTER(K4,":"))</f>
        <v>희귀</v>
      </c>
      <c r="M6" s="18" t="s">
        <v>5156</v>
      </c>
      <c r="N6" s="16" t="str">
        <f>TRIM(_xlfn.TEXTAFTER(M4,":"))</f>
        <v>Raro</v>
      </c>
      <c r="O6" s="18" t="s">
        <v>5906</v>
      </c>
      <c r="P6" s="16" t="str">
        <f>TRIM(_xlfn.TEXTAFTER(O4,":"))</f>
        <v>Редкий</v>
      </c>
      <c r="Q6" s="18" t="s">
        <v>6531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737</v>
      </c>
      <c r="B8" s="16"/>
      <c r="C8" s="18" t="s">
        <v>2288</v>
      </c>
      <c r="D8" s="16"/>
      <c r="E8" s="18" t="s">
        <v>3009</v>
      </c>
      <c r="F8" s="16"/>
      <c r="G8" s="18" t="s">
        <v>1544</v>
      </c>
      <c r="H8" s="16"/>
      <c r="I8" s="18" t="s">
        <v>3751</v>
      </c>
      <c r="J8" s="16"/>
      <c r="K8" s="18" t="s">
        <v>4489</v>
      </c>
      <c r="L8" s="16"/>
      <c r="M8" s="18" t="s">
        <v>5157</v>
      </c>
      <c r="N8" s="16"/>
      <c r="O8" s="18" t="s">
        <v>5907</v>
      </c>
      <c r="P8" s="16"/>
      <c r="Q8" s="18" t="s">
        <v>6532</v>
      </c>
      <c r="R8" s="16"/>
      <c r="S8" s="18"/>
      <c r="T8" s="20"/>
    </row>
    <row r="9" spans="1:20" ht="15.95" customHeight="1" x14ac:dyDescent="0.25">
      <c r="A9" s="18" t="s">
        <v>738</v>
      </c>
      <c r="B9" s="16"/>
      <c r="C9" s="18" t="s">
        <v>2289</v>
      </c>
      <c r="D9" s="16"/>
      <c r="E9" s="18" t="s">
        <v>3010</v>
      </c>
      <c r="F9" s="16"/>
      <c r="G9" s="18" t="s">
        <v>1545</v>
      </c>
      <c r="H9" s="16"/>
      <c r="I9" s="18" t="s">
        <v>3752</v>
      </c>
      <c r="J9" s="16"/>
      <c r="K9" s="18" t="s">
        <v>4490</v>
      </c>
      <c r="L9" s="16"/>
      <c r="M9" s="18" t="s">
        <v>5158</v>
      </c>
      <c r="N9" s="16"/>
      <c r="O9" s="18" t="s">
        <v>5908</v>
      </c>
      <c r="P9" s="16"/>
      <c r="Q9" s="18" t="s">
        <v>6533</v>
      </c>
      <c r="R9" s="16"/>
      <c r="S9" s="18"/>
      <c r="T9" s="20"/>
    </row>
    <row r="10" spans="1:20" ht="15.95" customHeight="1" x14ac:dyDescent="0.25">
      <c r="A10" s="18" t="s">
        <v>739</v>
      </c>
      <c r="B10" s="16"/>
      <c r="C10" s="18" t="s">
        <v>2290</v>
      </c>
      <c r="D10" s="16"/>
      <c r="E10" s="18" t="s">
        <v>3011</v>
      </c>
      <c r="F10" s="16"/>
      <c r="G10" s="18" t="s">
        <v>1546</v>
      </c>
      <c r="H10" s="16"/>
      <c r="I10" s="18" t="s">
        <v>3753</v>
      </c>
      <c r="J10" s="16"/>
      <c r="K10" s="18" t="s">
        <v>4491</v>
      </c>
      <c r="L10" s="16"/>
      <c r="M10" s="18" t="s">
        <v>5159</v>
      </c>
      <c r="N10" s="16"/>
      <c r="O10" s="18" t="s">
        <v>5909</v>
      </c>
      <c r="P10" s="16"/>
      <c r="Q10" s="18" t="s">
        <v>6534</v>
      </c>
      <c r="R10" s="16"/>
      <c r="S10" s="18"/>
      <c r="T10" s="20"/>
    </row>
    <row r="11" spans="1:20" ht="15.95" customHeight="1" x14ac:dyDescent="0.25">
      <c r="A11" s="18" t="s">
        <v>740</v>
      </c>
      <c r="B11" s="16"/>
      <c r="C11" s="18" t="s">
        <v>2291</v>
      </c>
      <c r="D11" s="16"/>
      <c r="E11" s="18" t="s">
        <v>3012</v>
      </c>
      <c r="F11" s="16"/>
      <c r="G11" s="18" t="s">
        <v>1547</v>
      </c>
      <c r="H11" s="16"/>
      <c r="I11" s="18" t="s">
        <v>3754</v>
      </c>
      <c r="J11" s="16"/>
      <c r="K11" s="18" t="s">
        <v>4492</v>
      </c>
      <c r="L11" s="16"/>
      <c r="M11" s="18" t="s">
        <v>5160</v>
      </c>
      <c r="N11" s="16"/>
      <c r="O11" s="18" t="s">
        <v>5910</v>
      </c>
      <c r="P11" s="16"/>
      <c r="Q11" s="18" t="s">
        <v>6535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110</v>
      </c>
      <c r="B13" s="16"/>
      <c r="C13" s="18" t="s">
        <v>1618</v>
      </c>
      <c r="D13" s="16"/>
      <c r="E13" s="18" t="s">
        <v>2337</v>
      </c>
      <c r="F13" s="16"/>
      <c r="G13" s="18" t="s">
        <v>5</v>
      </c>
      <c r="H13" s="16"/>
      <c r="I13" s="18" t="s">
        <v>3047</v>
      </c>
      <c r="J13" s="16"/>
      <c r="K13" s="18" t="s">
        <v>3801</v>
      </c>
      <c r="L13" s="16"/>
      <c r="M13" s="18" t="s">
        <v>2337</v>
      </c>
      <c r="N13" s="16"/>
      <c r="O13" s="18" t="s">
        <v>5212</v>
      </c>
      <c r="P13" s="16"/>
      <c r="Q13" s="18" t="s">
        <v>5957</v>
      </c>
      <c r="R13" s="16"/>
      <c r="S13" s="18"/>
      <c r="T13" s="20"/>
    </row>
    <row r="14" spans="1:20" ht="15.95" customHeight="1" x14ac:dyDescent="0.25">
      <c r="A14" s="18" t="s">
        <v>741</v>
      </c>
      <c r="B14" s="16"/>
      <c r="C14" s="18" t="s">
        <v>2292</v>
      </c>
      <c r="D14" s="16"/>
      <c r="E14" s="18" t="s">
        <v>3013</v>
      </c>
      <c r="F14" s="16"/>
      <c r="G14" s="18" t="s">
        <v>1548</v>
      </c>
      <c r="H14" s="16"/>
      <c r="I14" s="18" t="s">
        <v>3755</v>
      </c>
      <c r="J14" s="16"/>
      <c r="K14" s="18" t="s">
        <v>4493</v>
      </c>
      <c r="L14" s="16"/>
      <c r="M14" s="18" t="s">
        <v>5161</v>
      </c>
      <c r="N14" s="16"/>
      <c r="O14" s="18" t="s">
        <v>5911</v>
      </c>
      <c r="P14" s="16"/>
      <c r="Q14" s="18" t="s">
        <v>6536</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653</v>
      </c>
      <c r="B16" s="16"/>
      <c r="C16" s="18" t="s">
        <v>1801</v>
      </c>
      <c r="D16" s="16"/>
      <c r="E16" s="18" t="s">
        <v>2520</v>
      </c>
      <c r="F16" s="16"/>
      <c r="G16" s="18" t="s">
        <v>1069</v>
      </c>
      <c r="H16" s="16"/>
      <c r="I16" s="18" t="s">
        <v>3239</v>
      </c>
      <c r="J16" s="16"/>
      <c r="K16" s="18" t="s">
        <v>3985</v>
      </c>
      <c r="L16" s="16"/>
      <c r="M16" s="18" t="s">
        <v>4714</v>
      </c>
      <c r="N16" s="16"/>
      <c r="O16" s="18" t="s">
        <v>5399</v>
      </c>
      <c r="P16" s="16"/>
      <c r="Q16" s="18" t="s">
        <v>6125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742</v>
      </c>
      <c r="B18" s="16"/>
      <c r="C18" s="18" t="s">
        <v>2293</v>
      </c>
      <c r="D18" s="16"/>
      <c r="E18" s="18" t="s">
        <v>3014</v>
      </c>
      <c r="F18" s="16"/>
      <c r="G18" s="18" t="s">
        <v>1549</v>
      </c>
      <c r="H18" s="16"/>
      <c r="I18" s="18" t="s">
        <v>3756</v>
      </c>
      <c r="J18" s="16"/>
      <c r="K18" s="18" t="s">
        <v>4494</v>
      </c>
      <c r="L18" s="16"/>
      <c r="M18" s="18" t="s">
        <v>5162</v>
      </c>
      <c r="N18" s="16"/>
      <c r="O18" s="18" t="s">
        <v>5912</v>
      </c>
      <c r="P18" s="16"/>
      <c r="Q18" s="18" t="s">
        <v>6537</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743</v>
      </c>
      <c r="B20" s="16"/>
      <c r="C20" s="18" t="s">
        <v>2294</v>
      </c>
      <c r="D20" s="16"/>
      <c r="E20" s="18" t="s">
        <v>3015</v>
      </c>
      <c r="F20" s="16"/>
      <c r="G20" s="18" t="s">
        <v>1550</v>
      </c>
      <c r="H20" s="16"/>
      <c r="I20" s="18" t="s">
        <v>3757</v>
      </c>
      <c r="J20" s="16"/>
      <c r="K20" s="18" t="s">
        <v>4495</v>
      </c>
      <c r="L20" s="16"/>
      <c r="M20" s="18" t="s">
        <v>5163</v>
      </c>
      <c r="N20" s="16"/>
      <c r="O20" s="18" t="s">
        <v>5913</v>
      </c>
      <c r="P20" s="16"/>
      <c r="Q20" s="18" t="s">
        <v>6538</v>
      </c>
      <c r="R20" s="16"/>
      <c r="S20" s="18"/>
      <c r="T20" s="20"/>
    </row>
    <row r="21" spans="1:20" ht="15.95" customHeight="1" x14ac:dyDescent="0.25">
      <c r="A21" s="18" t="s">
        <v>744</v>
      </c>
      <c r="B21" s="16"/>
      <c r="C21" s="18" t="s">
        <v>2295</v>
      </c>
      <c r="D21" s="16"/>
      <c r="E21" s="18" t="s">
        <v>3016</v>
      </c>
      <c r="F21" s="16"/>
      <c r="G21" s="18" t="s">
        <v>1551</v>
      </c>
      <c r="H21" s="16"/>
      <c r="I21" s="18" t="s">
        <v>3758</v>
      </c>
      <c r="J21" s="16"/>
      <c r="K21" s="18" t="s">
        <v>4496</v>
      </c>
      <c r="L21" s="16"/>
      <c r="M21" s="18" t="s">
        <v>5164</v>
      </c>
      <c r="N21" s="16"/>
      <c r="O21" s="18" t="s">
        <v>5914</v>
      </c>
      <c r="P21" s="16"/>
      <c r="Q21" s="18" t="s">
        <v>6539</v>
      </c>
      <c r="R21" s="16"/>
      <c r="S21" s="18"/>
      <c r="T21" s="20"/>
    </row>
    <row r="22" spans="1:20" ht="15.95" customHeight="1" x14ac:dyDescent="0.25">
      <c r="A22" s="18" t="s">
        <v>745</v>
      </c>
      <c r="B22" s="16"/>
      <c r="C22" s="18" t="s">
        <v>2296</v>
      </c>
      <c r="D22" s="16"/>
      <c r="E22" s="18" t="s">
        <v>3017</v>
      </c>
      <c r="F22" s="16"/>
      <c r="G22" s="18" t="s">
        <v>1552</v>
      </c>
      <c r="H22" s="16"/>
      <c r="I22" s="18" t="s">
        <v>3759</v>
      </c>
      <c r="J22" s="16"/>
      <c r="K22" s="18" t="s">
        <v>4497</v>
      </c>
      <c r="L22" s="16"/>
      <c r="M22" s="18" t="s">
        <v>5165</v>
      </c>
      <c r="N22" s="16"/>
      <c r="O22" s="18" t="s">
        <v>5915</v>
      </c>
      <c r="P22" s="16"/>
      <c r="Q22" s="18" t="s">
        <v>6540</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523</v>
      </c>
      <c r="B24" s="16"/>
      <c r="C24" s="18" t="s">
        <v>2262</v>
      </c>
      <c r="D24" s="16"/>
      <c r="E24" s="18" t="s">
        <v>2983</v>
      </c>
      <c r="F24" s="16"/>
      <c r="G24" s="18" t="s">
        <v>1517</v>
      </c>
      <c r="H24" s="16"/>
      <c r="I24" s="18" t="s">
        <v>3725</v>
      </c>
      <c r="J24" s="16"/>
      <c r="K24" s="18" t="s">
        <v>4463</v>
      </c>
      <c r="L24" s="16"/>
      <c r="M24" s="18" t="s">
        <v>5131</v>
      </c>
      <c r="N24" s="16"/>
      <c r="O24" s="18" t="s">
        <v>5880</v>
      </c>
      <c r="P24" s="16"/>
      <c r="Q24" s="18" t="s">
        <v>6509</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1" priority="2" stopIfTrue="1">
      <formula>NOT(ISERROR(A3))</formula>
    </cfRule>
  </conditionalFormatting>
  <conditionalFormatting sqref="A3:T51">
    <cfRule type="containsErrors" dxfId="70" priority="1" stopIfTrue="1">
      <formula>ISERROR(A3)</formula>
    </cfRule>
    <cfRule type="notContainsBlanks" dxfId="69" priority="3">
      <formula>LEN(TRIM(A3))&gt;0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dimension ref="A1:T51"/>
  <sheetViews>
    <sheetView workbookViewId="0">
      <selection activeCell="Q3" sqref="Q3:Q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1555</v>
      </c>
      <c r="B3" s="16" t="str">
        <f>TRIM(_xlfn.TEXTBEFORE(A3, ":"))</f>
        <v>Item Class</v>
      </c>
      <c r="C3" s="17" t="s">
        <v>2297</v>
      </c>
      <c r="D3" s="16" t="str">
        <f>TRIM(_xlfn.TEXTBEFORE(C3, ":"))</f>
        <v>Gegenstandsklasse</v>
      </c>
      <c r="E3" s="17" t="s">
        <v>3018</v>
      </c>
      <c r="F3" s="16" t="str">
        <f>TRIM(_xlfn.TEXTBEFORE(E3, ":"))</f>
        <v>Clase de objeto</v>
      </c>
      <c r="G3" s="17" t="s">
        <v>1574</v>
      </c>
      <c r="H3" s="16" t="str">
        <f>TRIM(_xlfn.TEXTBEFORE(G3, ":"))</f>
        <v>Classe d'objet</v>
      </c>
      <c r="I3" s="17" t="s">
        <v>3760</v>
      </c>
      <c r="J3" s="16" t="str">
        <f>TRIM(_xlfn.TEXTBEFORE(I3, ":"))</f>
        <v>アイテムクラス</v>
      </c>
      <c r="K3" s="17" t="s">
        <v>4498</v>
      </c>
      <c r="L3" s="16" t="str">
        <f>TRIM(_xlfn.TEXTBEFORE(K3, ":"))</f>
        <v>아이템 종류</v>
      </c>
      <c r="M3" s="17" t="s">
        <v>5166</v>
      </c>
      <c r="N3" s="16" t="str">
        <f>TRIM(_xlfn.TEXTBEFORE(M3, ":"))</f>
        <v>Classe do Item</v>
      </c>
      <c r="O3" s="17" t="s">
        <v>5916</v>
      </c>
      <c r="P3" s="16" t="str">
        <f>TRIM(_xlfn.TEXTBEFORE(O3, ":"))</f>
        <v>Класс предмета</v>
      </c>
      <c r="Q3" s="17" t="s">
        <v>6541</v>
      </c>
      <c r="R3" s="16" t="str">
        <f>TRIM(_xlfn.TEXTBEFORE(Q3, ":"))</f>
        <v>ชนิดไอเทม</v>
      </c>
      <c r="S3" s="17"/>
      <c r="T3" s="20" t="e">
        <f>TRIM(_xlfn.TEXTBEFORE(S3, ":"))</f>
        <v>#N/A</v>
      </c>
    </row>
    <row r="4" spans="1:20" ht="15.95" customHeight="1" x14ac:dyDescent="0.25">
      <c r="A4" s="18" t="s">
        <v>513</v>
      </c>
      <c r="B4" s="16" t="str">
        <f>TRIM(_xlfn.TEXTAFTER(A3, ":"))</f>
        <v>Trinkets</v>
      </c>
      <c r="C4" s="18" t="s">
        <v>1879</v>
      </c>
      <c r="D4" s="16" t="str">
        <f>TRIM(_xlfn.TEXTAFTER(C3, ":"))</f>
        <v>Schmuckstücke</v>
      </c>
      <c r="E4" s="18" t="s">
        <v>2597</v>
      </c>
      <c r="F4" s="16" t="str">
        <f>TRIM(_xlfn.TEXTAFTER(E3, ":"))</f>
        <v>Abalorios</v>
      </c>
      <c r="G4" s="18" t="s">
        <v>1142</v>
      </c>
      <c r="H4" s="16" t="str">
        <f>TRIM(_xlfn.TEXTAFTER(G3, ":"))</f>
        <v>Babioles</v>
      </c>
      <c r="I4" s="18" t="s">
        <v>3321</v>
      </c>
      <c r="J4" s="16" t="str">
        <f>TRIM(_xlfn.TEXTAFTER(I3, ":"))</f>
        <v>トリンケット</v>
      </c>
      <c r="K4" s="18" t="s">
        <v>4066</v>
      </c>
      <c r="L4" s="16" t="str">
        <f>TRIM(_xlfn.TEXTAFTER(K3, ":"))</f>
        <v>장신구</v>
      </c>
      <c r="M4" s="18" t="s">
        <v>4787</v>
      </c>
      <c r="N4" s="16" t="str">
        <f>TRIM(_xlfn.TEXTAFTER(M3, ":"))</f>
        <v>Adornos</v>
      </c>
      <c r="O4" s="18" t="s">
        <v>5480</v>
      </c>
      <c r="P4" s="16" t="str">
        <f>TRIM(_xlfn.TEXTAFTER(O3, ":"))</f>
        <v>Украшения</v>
      </c>
      <c r="Q4" s="18" t="s">
        <v>6191</v>
      </c>
      <c r="R4" s="16" t="str">
        <f>TRIM(_xlfn.TEXTAFTER(Q3, ":"))</f>
        <v>เครื่องประดับโจร</v>
      </c>
      <c r="S4" s="18"/>
      <c r="T4" s="20" t="e">
        <f>TRIM(_xlfn.TEXTAFTER(S3, ":"))</f>
        <v>#N/A</v>
      </c>
    </row>
    <row r="5" spans="1:20" ht="15.95" customHeight="1" x14ac:dyDescent="0.25">
      <c r="A5" s="18" t="s">
        <v>1556</v>
      </c>
      <c r="B5" s="16" t="str">
        <f>TRIM(_xlfn.TEXTBEFORE(A4, ":"))</f>
        <v>Rarity</v>
      </c>
      <c r="C5" s="18" t="s">
        <v>2298</v>
      </c>
      <c r="D5" s="16" t="str">
        <f>TRIM(_xlfn.TEXTBEFORE(C4, ":"))</f>
        <v>Seltenheit</v>
      </c>
      <c r="E5" s="18" t="s">
        <v>3019</v>
      </c>
      <c r="F5" s="16" t="str">
        <f>TRIM(_xlfn.TEXTBEFORE(E4, ":"))</f>
        <v>Rareza</v>
      </c>
      <c r="G5" s="18" t="s">
        <v>1575</v>
      </c>
      <c r="H5" s="16" t="str">
        <f>TRIM(_xlfn.TEXTBEFORE(G4, ":"))</f>
        <v>Rareté</v>
      </c>
      <c r="I5" s="18" t="s">
        <v>3761</v>
      </c>
      <c r="J5" s="16" t="str">
        <f>TRIM(_xlfn.TEXTBEFORE(I4, ":"))</f>
        <v>レアリティ</v>
      </c>
      <c r="K5" s="18" t="s">
        <v>4499</v>
      </c>
      <c r="L5" s="16" t="str">
        <f>TRIM(_xlfn.TEXTBEFORE(K4, ":"))</f>
        <v>아이템 희귀도</v>
      </c>
      <c r="M5" s="18" t="s">
        <v>5167</v>
      </c>
      <c r="N5" s="16" t="str">
        <f>TRIM(_xlfn.TEXTBEFORE(M4, ":"))</f>
        <v>Raridade</v>
      </c>
      <c r="O5" s="18" t="s">
        <v>5917</v>
      </c>
      <c r="P5" s="16" t="str">
        <f>TRIM(_xlfn.TEXTBEFORE(O4, ":"))</f>
        <v>Редкость</v>
      </c>
      <c r="Q5" s="18" t="s">
        <v>1556</v>
      </c>
      <c r="R5" s="16" t="str">
        <f>TRIM(_xlfn.TEXTBEFORE(Q4, ":"))</f>
        <v>ความหายาก</v>
      </c>
      <c r="S5" s="18"/>
      <c r="T5" s="20" t="e">
        <f>TRIM(_xlfn.TEXTBEFORE(S4, ":"))</f>
        <v>#N/A</v>
      </c>
    </row>
    <row r="6" spans="1:20" ht="15.95" customHeight="1" x14ac:dyDescent="0.25">
      <c r="A6" s="18" t="s">
        <v>1557</v>
      </c>
      <c r="B6" s="16" t="str">
        <f>TRIM(_xlfn.TEXTAFTER(A4,":"))</f>
        <v>Rare</v>
      </c>
      <c r="C6" s="18" t="s">
        <v>2299</v>
      </c>
      <c r="D6" s="16" t="str">
        <f>TRIM(_xlfn.TEXTAFTER(C4,":"))</f>
        <v>Selten</v>
      </c>
      <c r="E6" s="18" t="s">
        <v>3020</v>
      </c>
      <c r="F6" s="16" t="str">
        <f>TRIM(_xlfn.TEXTAFTER(E4,":"))</f>
        <v>Raro</v>
      </c>
      <c r="G6" s="18" t="s">
        <v>1576</v>
      </c>
      <c r="H6" s="16" t="str">
        <f>TRIM(_xlfn.TEXTAFTER(G4,":"))</f>
        <v>Rare</v>
      </c>
      <c r="I6" s="18" t="s">
        <v>3762</v>
      </c>
      <c r="J6" s="16" t="str">
        <f>TRIM(_xlfn.TEXTAFTER(I4,":"))</f>
        <v>レア</v>
      </c>
      <c r="K6" s="18" t="s">
        <v>4500</v>
      </c>
      <c r="L6" s="16" t="str">
        <f>TRIM(_xlfn.TEXTAFTER(K4,":"))</f>
        <v>희귀</v>
      </c>
      <c r="M6" s="18" t="s">
        <v>5168</v>
      </c>
      <c r="N6" s="16" t="str">
        <f>TRIM(_xlfn.TEXTAFTER(M4,":"))</f>
        <v>Raro</v>
      </c>
      <c r="O6" s="18" t="s">
        <v>5918</v>
      </c>
      <c r="P6" s="16" t="str">
        <f>TRIM(_xlfn.TEXTAFTER(O4,":"))</f>
        <v>Редкий</v>
      </c>
      <c r="Q6" s="18" t="s">
        <v>6542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t="s">
        <v>5212</v>
      </c>
      <c r="P8" s="16"/>
      <c r="Q8" s="18" t="s">
        <v>5957</v>
      </c>
      <c r="R8" s="16"/>
      <c r="S8" s="18"/>
      <c r="T8" s="20"/>
    </row>
    <row r="9" spans="1:20" ht="15.95" customHeight="1" x14ac:dyDescent="0.25">
      <c r="A9" s="18" t="s">
        <v>1558</v>
      </c>
      <c r="B9" s="16"/>
      <c r="C9" s="18" t="s">
        <v>2300</v>
      </c>
      <c r="D9" s="16"/>
      <c r="E9" s="18" t="s">
        <v>3021</v>
      </c>
      <c r="F9" s="16"/>
      <c r="G9" s="18" t="s">
        <v>1577</v>
      </c>
      <c r="H9" s="16"/>
      <c r="I9" s="18" t="s">
        <v>3763</v>
      </c>
      <c r="J9" s="16"/>
      <c r="K9" s="18" t="s">
        <v>4501</v>
      </c>
      <c r="L9" s="16"/>
      <c r="M9" s="18" t="s">
        <v>5169</v>
      </c>
      <c r="N9" s="16"/>
      <c r="O9" s="18" t="s">
        <v>5919</v>
      </c>
      <c r="P9" s="16"/>
      <c r="Q9" s="18" t="s">
        <v>6543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117</v>
      </c>
      <c r="B11" s="16"/>
      <c r="C11" s="18" t="s">
        <v>1742</v>
      </c>
      <c r="D11" s="16"/>
      <c r="E11" s="18" t="s">
        <v>2461</v>
      </c>
      <c r="F11" s="16"/>
      <c r="G11" s="18" t="s">
        <v>1010</v>
      </c>
      <c r="H11" s="16"/>
      <c r="I11" s="18" t="s">
        <v>3179</v>
      </c>
      <c r="J11" s="16"/>
      <c r="K11" s="18" t="s">
        <v>3926</v>
      </c>
      <c r="L11" s="16"/>
      <c r="M11" s="18" t="s">
        <v>4655</v>
      </c>
      <c r="N11" s="16"/>
      <c r="O11" s="18" t="s">
        <v>5340</v>
      </c>
      <c r="P11" s="16"/>
      <c r="Q11" s="18" t="s">
        <v>6072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1559</v>
      </c>
      <c r="B13" s="16"/>
      <c r="C13" s="18" t="s">
        <v>2301</v>
      </c>
      <c r="D13" s="16"/>
      <c r="E13" s="18" t="s">
        <v>3022</v>
      </c>
      <c r="F13" s="16"/>
      <c r="G13" s="18" t="s">
        <v>1578</v>
      </c>
      <c r="H13" s="16"/>
      <c r="I13" s="18" t="s">
        <v>3764</v>
      </c>
      <c r="J13" s="16"/>
      <c r="K13" s="18" t="s">
        <v>4502</v>
      </c>
      <c r="L13" s="16"/>
      <c r="M13" s="18" t="s">
        <v>5170</v>
      </c>
      <c r="N13" s="16"/>
      <c r="O13" s="18" t="s">
        <v>5920</v>
      </c>
      <c r="P13" s="16"/>
      <c r="Q13" s="18" t="s">
        <v>6544</v>
      </c>
      <c r="R13" s="16"/>
      <c r="S13" s="18"/>
      <c r="T13" s="20"/>
    </row>
    <row r="14" spans="1:20" ht="15.95" customHeight="1" x14ac:dyDescent="0.25">
      <c r="A14" s="18" t="s">
        <v>1560</v>
      </c>
      <c r="B14" s="16"/>
      <c r="C14" s="18" t="s">
        <v>2302</v>
      </c>
      <c r="D14" s="16"/>
      <c r="E14" s="18" t="s">
        <v>3023</v>
      </c>
      <c r="F14" s="16"/>
      <c r="G14" s="18" t="s">
        <v>1579</v>
      </c>
      <c r="H14" s="16"/>
      <c r="I14" s="18" t="s">
        <v>3765</v>
      </c>
      <c r="J14" s="16"/>
      <c r="K14" s="18" t="s">
        <v>4503</v>
      </c>
      <c r="L14" s="16"/>
      <c r="M14" s="18" t="s">
        <v>5171</v>
      </c>
      <c r="N14" s="16"/>
      <c r="O14" s="18" t="s">
        <v>5921</v>
      </c>
      <c r="P14" s="16"/>
      <c r="Q14" s="18" t="s">
        <v>6545</v>
      </c>
      <c r="R14" s="16"/>
      <c r="S14" s="18"/>
      <c r="T14" s="20"/>
    </row>
    <row r="15" spans="1:20" ht="15.95" customHeight="1" x14ac:dyDescent="0.25">
      <c r="A15" s="18" t="s">
        <v>1561</v>
      </c>
      <c r="B15" s="16"/>
      <c r="C15" s="18" t="s">
        <v>2303</v>
      </c>
      <c r="D15" s="16"/>
      <c r="E15" s="18" t="s">
        <v>3024</v>
      </c>
      <c r="F15" s="16"/>
      <c r="G15" s="18" t="s">
        <v>1580</v>
      </c>
      <c r="H15" s="16"/>
      <c r="I15" s="18" t="s">
        <v>3766</v>
      </c>
      <c r="J15" s="16"/>
      <c r="K15" s="18" t="s">
        <v>4504</v>
      </c>
      <c r="L15" s="16"/>
      <c r="M15" s="18" t="s">
        <v>5172</v>
      </c>
      <c r="N15" s="16"/>
      <c r="O15" s="18" t="s">
        <v>5922</v>
      </c>
      <c r="P15" s="16"/>
      <c r="Q15" s="18" t="s">
        <v>6546</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1562</v>
      </c>
      <c r="B17" s="16"/>
      <c r="C17" s="18" t="s">
        <v>2304</v>
      </c>
      <c r="D17" s="16"/>
      <c r="E17" s="18" t="s">
        <v>3025</v>
      </c>
      <c r="F17" s="16"/>
      <c r="G17" s="18" t="s">
        <v>1581</v>
      </c>
      <c r="H17" s="16"/>
      <c r="I17" s="18" t="s">
        <v>3767</v>
      </c>
      <c r="J17" s="16"/>
      <c r="K17" s="18" t="s">
        <v>4505</v>
      </c>
      <c r="L17" s="16"/>
      <c r="M17" s="18" t="s">
        <v>5173</v>
      </c>
      <c r="N17" s="16"/>
      <c r="O17" s="18" t="s">
        <v>5923</v>
      </c>
      <c r="P17" s="16"/>
      <c r="Q17" s="18" t="s">
        <v>6547</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78</v>
      </c>
      <c r="B19" s="16"/>
      <c r="C19" s="18" t="s">
        <v>1640</v>
      </c>
      <c r="D19" s="16"/>
      <c r="E19" s="18" t="s">
        <v>2345</v>
      </c>
      <c r="F19" s="16"/>
      <c r="G19" s="18" t="s">
        <v>914</v>
      </c>
      <c r="H19" s="16"/>
      <c r="I19" s="18" t="s">
        <v>3055</v>
      </c>
      <c r="J19" s="16"/>
      <c r="K19" s="18" t="s">
        <v>3809</v>
      </c>
      <c r="L19" s="16"/>
      <c r="M19" s="18" t="s">
        <v>4539</v>
      </c>
      <c r="N19" s="16"/>
      <c r="O19" s="18" t="s">
        <v>5220</v>
      </c>
      <c r="P19" s="16"/>
      <c r="Q19" s="18" t="s">
        <v>5964</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8" priority="2" stopIfTrue="1">
      <formula>NOT(ISERROR(A3))</formula>
    </cfRule>
  </conditionalFormatting>
  <conditionalFormatting sqref="A3:T51">
    <cfRule type="containsErrors" dxfId="67" priority="1" stopIfTrue="1">
      <formula>ISERROR(A3)</formula>
    </cfRule>
    <cfRule type="notContainsBlanks" dxfId="66"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1563</v>
      </c>
      <c r="B3" s="16" t="str">
        <f>TRIM(_xlfn.TEXTBEFORE(A3, ":"))</f>
        <v>Item Class</v>
      </c>
      <c r="C3" s="17" t="s">
        <v>2305</v>
      </c>
      <c r="D3" s="16" t="str">
        <f>TRIM(_xlfn.TEXTBEFORE(C3, ":"))</f>
        <v>Gegenstandsklasse</v>
      </c>
      <c r="E3" s="17" t="s">
        <v>3026</v>
      </c>
      <c r="F3" s="16" t="str">
        <f>TRIM(_xlfn.TEXTBEFORE(E3, ":"))</f>
        <v>Clase de objeto</v>
      </c>
      <c r="G3" s="17" t="s">
        <v>1582</v>
      </c>
      <c r="H3" s="16" t="str">
        <f>TRIM(_xlfn.TEXTBEFORE(G3, ":"))</f>
        <v>Classe d'objet</v>
      </c>
      <c r="I3" s="17" t="s">
        <v>3768</v>
      </c>
      <c r="J3" s="16" t="str">
        <f>TRIM(_xlfn.TEXTBEFORE(I3, ":"))</f>
        <v>アイテムクラス</v>
      </c>
      <c r="K3" s="17" t="s">
        <v>4506</v>
      </c>
      <c r="L3" s="16" t="str">
        <f>TRIM(_xlfn.TEXTBEFORE(K3, ":"))</f>
        <v>아이템 종류</v>
      </c>
      <c r="M3" s="17" t="s">
        <v>5174</v>
      </c>
      <c r="N3" s="16" t="str">
        <f>TRIM(_xlfn.TEXTBEFORE(M3, ":"))</f>
        <v>Classe do Item</v>
      </c>
      <c r="O3" s="17" t="s">
        <v>5924</v>
      </c>
      <c r="P3" s="16" t="str">
        <f>TRIM(_xlfn.TEXTBEFORE(O3, ":"))</f>
        <v>Класс предмета</v>
      </c>
      <c r="Q3" s="17" t="s">
        <v>6548</v>
      </c>
      <c r="R3" s="16" t="str">
        <f>TRIM(_xlfn.TEXTBEFORE(Q3, ":"))</f>
        <v>ชนิดไอเทม</v>
      </c>
      <c r="S3" s="17"/>
      <c r="T3" s="20" t="e">
        <f>TRIM(_xlfn.TEXTBEFORE(S3, ":"))</f>
        <v>#N/A</v>
      </c>
    </row>
    <row r="4" spans="1:20" ht="15.95" customHeight="1" x14ac:dyDescent="0.25">
      <c r="A4" s="18" t="s">
        <v>109</v>
      </c>
      <c r="B4" s="16" t="str">
        <f>TRIM(_xlfn.TEXTAFTER(A3, ":"))</f>
        <v>Fishing Rods</v>
      </c>
      <c r="C4" s="18" t="s">
        <v>1672</v>
      </c>
      <c r="D4" s="16" t="str">
        <f>TRIM(_xlfn.TEXTAFTER(C3, ":"))</f>
        <v>Angelruten</v>
      </c>
      <c r="E4" s="18" t="s">
        <v>2392</v>
      </c>
      <c r="F4" s="16" t="str">
        <f>TRIM(_xlfn.TEXTAFTER(E3, ":"))</f>
        <v>Cañas de pescar</v>
      </c>
      <c r="G4" s="18" t="s">
        <v>1</v>
      </c>
      <c r="H4" s="16" t="str">
        <f>TRIM(_xlfn.TEXTAFTER(G3, ":"))</f>
        <v>Cannes à pêche</v>
      </c>
      <c r="I4" s="18" t="s">
        <v>3107</v>
      </c>
      <c r="J4" s="16" t="str">
        <f>TRIM(_xlfn.TEXTAFTER(I3, ":"))</f>
        <v>釣り竿</v>
      </c>
      <c r="K4" s="18" t="s">
        <v>3857</v>
      </c>
      <c r="L4" s="16" t="str">
        <f>TRIM(_xlfn.TEXTAFTER(K3, ":"))</f>
        <v>낚싯대</v>
      </c>
      <c r="M4" s="18" t="s">
        <v>4586</v>
      </c>
      <c r="N4" s="16" t="str">
        <f>TRIM(_xlfn.TEXTAFTER(M3, ":"))</f>
        <v>Varas de Pescar</v>
      </c>
      <c r="O4" s="18" t="s">
        <v>5269</v>
      </c>
      <c r="P4" s="16" t="str">
        <f>TRIM(_xlfn.TEXTAFTER(O3, ":"))</f>
        <v>Удочки</v>
      </c>
      <c r="Q4" s="18" t="s">
        <v>6006</v>
      </c>
      <c r="R4" s="16" t="str">
        <f>TRIM(_xlfn.TEXTAFTER(Q3, ":"))</f>
        <v>เบ็ดตกปลา</v>
      </c>
      <c r="S4" s="18"/>
      <c r="T4" s="20" t="e">
        <f>TRIM(_xlfn.TEXTAFTER(S3, ":"))</f>
        <v>#N/A</v>
      </c>
    </row>
    <row r="5" spans="1:20" ht="15.95" customHeight="1" x14ac:dyDescent="0.25">
      <c r="A5" s="18" t="s">
        <v>1564</v>
      </c>
      <c r="B5" s="16" t="str">
        <f>TRIM(_xlfn.TEXTBEFORE(A4, ":"))</f>
        <v>Rarity</v>
      </c>
      <c r="C5" s="18" t="s">
        <v>2306</v>
      </c>
      <c r="D5" s="16" t="str">
        <f>TRIM(_xlfn.TEXTBEFORE(C4, ":"))</f>
        <v>Seltenheit</v>
      </c>
      <c r="E5" s="18" t="s">
        <v>3027</v>
      </c>
      <c r="F5" s="16" t="str">
        <f>TRIM(_xlfn.TEXTBEFORE(E4, ":"))</f>
        <v>Rareza</v>
      </c>
      <c r="G5" s="18" t="s">
        <v>1583</v>
      </c>
      <c r="H5" s="16" t="str">
        <f>TRIM(_xlfn.TEXTBEFORE(G4, ":"))</f>
        <v>Rareté</v>
      </c>
      <c r="I5" s="18" t="s">
        <v>3769</v>
      </c>
      <c r="J5" s="16" t="str">
        <f>TRIM(_xlfn.TEXTBEFORE(I4, ":"))</f>
        <v>レアリティ</v>
      </c>
      <c r="K5" s="18" t="s">
        <v>4507</v>
      </c>
      <c r="L5" s="16" t="str">
        <f>TRIM(_xlfn.TEXTBEFORE(K4, ":"))</f>
        <v>아이템 희귀도</v>
      </c>
      <c r="M5" s="18" t="s">
        <v>5175</v>
      </c>
      <c r="N5" s="16" t="str">
        <f>TRIM(_xlfn.TEXTBEFORE(M4, ":"))</f>
        <v>Raridade</v>
      </c>
      <c r="O5" s="18" t="s">
        <v>5925</v>
      </c>
      <c r="P5" s="16" t="str">
        <f>TRIM(_xlfn.TEXTBEFORE(O4, ":"))</f>
        <v>Редкость</v>
      </c>
      <c r="Q5" s="18" t="s">
        <v>1564</v>
      </c>
      <c r="R5" s="16" t="str">
        <f>TRIM(_xlfn.TEXTBEFORE(Q4, ":"))</f>
        <v>ความหายาก</v>
      </c>
      <c r="S5" s="18"/>
      <c r="T5" s="20" t="e">
        <f>TRIM(_xlfn.TEXTBEFORE(S4, ":"))</f>
        <v>#N/A</v>
      </c>
    </row>
    <row r="6" spans="1:20" ht="15.95" customHeight="1" x14ac:dyDescent="0.25">
      <c r="A6" s="18" t="s">
        <v>1565</v>
      </c>
      <c r="B6" s="16" t="str">
        <f>TRIM(_xlfn.TEXTAFTER(A4,":"))</f>
        <v>Unique</v>
      </c>
      <c r="C6" s="18" t="s">
        <v>2307</v>
      </c>
      <c r="D6" s="16" t="str">
        <f>TRIM(_xlfn.TEXTAFTER(C4,":"))</f>
        <v>Einzigartig</v>
      </c>
      <c r="E6" s="18" t="s">
        <v>3028</v>
      </c>
      <c r="F6" s="16" t="str">
        <f>TRIM(_xlfn.TEXTAFTER(E4,":"))</f>
        <v>Único</v>
      </c>
      <c r="G6" s="18" t="s">
        <v>1584</v>
      </c>
      <c r="H6" s="16" t="str">
        <f>TRIM(_xlfn.TEXTAFTER(G4,":"))</f>
        <v>Unique</v>
      </c>
      <c r="I6" s="18" t="s">
        <v>3770</v>
      </c>
      <c r="J6" s="16" t="str">
        <f>TRIM(_xlfn.TEXTAFTER(I4,":"))</f>
        <v>ユニーク</v>
      </c>
      <c r="K6" s="18" t="s">
        <v>4508</v>
      </c>
      <c r="L6" s="16" t="str">
        <f>TRIM(_xlfn.TEXTAFTER(K4,":"))</f>
        <v>고유</v>
      </c>
      <c r="M6" s="18" t="s">
        <v>5176</v>
      </c>
      <c r="N6" s="16" t="str">
        <f>TRIM(_xlfn.TEXTAFTER(M4,":"))</f>
        <v>Único</v>
      </c>
      <c r="O6" s="18" t="s">
        <v>5926</v>
      </c>
      <c r="P6" s="16" t="str">
        <f>TRIM(_xlfn.TEXTAFTER(O4,":"))</f>
        <v>Уникальный</v>
      </c>
      <c r="Q6" s="18" t="s">
        <v>1565</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1565</v>
      </c>
      <c r="B8" s="16"/>
      <c r="C8" s="18" t="s">
        <v>2307</v>
      </c>
      <c r="D8" s="16"/>
      <c r="E8" s="18" t="s">
        <v>3028</v>
      </c>
      <c r="F8" s="16"/>
      <c r="G8" s="18" t="s">
        <v>1584</v>
      </c>
      <c r="H8" s="16"/>
      <c r="I8" s="18" t="s">
        <v>3770</v>
      </c>
      <c r="J8" s="16"/>
      <c r="K8" s="18" t="s">
        <v>4508</v>
      </c>
      <c r="L8" s="16"/>
      <c r="M8" s="18" t="s">
        <v>5176</v>
      </c>
      <c r="N8" s="16"/>
      <c r="O8" s="18" t="s">
        <v>5926</v>
      </c>
      <c r="P8" s="16"/>
      <c r="Q8" s="18" t="s">
        <v>6549</v>
      </c>
      <c r="R8" s="16"/>
      <c r="S8" s="18"/>
      <c r="T8" s="20"/>
    </row>
    <row r="9" spans="1:20" ht="15.95" customHeight="1" x14ac:dyDescent="0.25">
      <c r="A9" s="18" t="s">
        <v>1566</v>
      </c>
      <c r="B9" s="16"/>
      <c r="C9" s="18" t="s">
        <v>2308</v>
      </c>
      <c r="D9" s="16"/>
      <c r="E9" s="18" t="s">
        <v>3029</v>
      </c>
      <c r="F9" s="16"/>
      <c r="G9" s="18" t="s">
        <v>1585</v>
      </c>
      <c r="H9" s="16"/>
      <c r="I9" s="18" t="s">
        <v>3771</v>
      </c>
      <c r="J9" s="16"/>
      <c r="K9" s="18" t="s">
        <v>4509</v>
      </c>
      <c r="L9" s="16"/>
      <c r="M9" s="18" t="s">
        <v>5177</v>
      </c>
      <c r="N9" s="16"/>
      <c r="O9" s="18" t="s">
        <v>5927</v>
      </c>
      <c r="P9" s="16"/>
      <c r="Q9" s="18" t="s">
        <v>6550</v>
      </c>
      <c r="R9" s="16"/>
      <c r="S9" s="18"/>
      <c r="T9" s="20"/>
    </row>
    <row r="10" spans="1:20" ht="15.95" customHeight="1" x14ac:dyDescent="0.25">
      <c r="A10" s="18" t="s">
        <v>214</v>
      </c>
      <c r="B10" s="16"/>
      <c r="C10" s="18" t="s">
        <v>2137</v>
      </c>
      <c r="D10" s="16"/>
      <c r="E10" s="18" t="s">
        <v>2855</v>
      </c>
      <c r="F10" s="16"/>
      <c r="G10" s="18" t="s">
        <v>1393</v>
      </c>
      <c r="H10" s="16"/>
      <c r="I10" s="18" t="s">
        <v>3594</v>
      </c>
      <c r="J10" s="16"/>
      <c r="K10" s="18" t="s">
        <v>4332</v>
      </c>
      <c r="L10" s="16"/>
      <c r="M10" s="18" t="s">
        <v>5013</v>
      </c>
      <c r="N10" s="16"/>
      <c r="O10" s="18" t="s">
        <v>5749</v>
      </c>
      <c r="P10" s="16"/>
      <c r="Q10" s="18" t="s">
        <v>6401</v>
      </c>
      <c r="R10" s="16"/>
      <c r="S10" s="18"/>
      <c r="T10" s="20"/>
    </row>
    <row r="11" spans="1:20" ht="15.95" customHeight="1" x14ac:dyDescent="0.25">
      <c r="A11" s="18" t="s">
        <v>1567</v>
      </c>
      <c r="B11" s="16"/>
      <c r="C11" s="18" t="s">
        <v>2309</v>
      </c>
      <c r="D11" s="16"/>
      <c r="E11" s="18" t="s">
        <v>3030</v>
      </c>
      <c r="F11" s="16"/>
      <c r="G11" s="18" t="s">
        <v>1586</v>
      </c>
      <c r="H11" s="16"/>
      <c r="I11" s="18" t="s">
        <v>3772</v>
      </c>
      <c r="J11" s="16"/>
      <c r="K11" s="18" t="s">
        <v>4510</v>
      </c>
      <c r="L11" s="16"/>
      <c r="M11" s="18" t="s">
        <v>5178</v>
      </c>
      <c r="N11" s="16"/>
      <c r="O11" s="18" t="s">
        <v>5928</v>
      </c>
      <c r="P11" s="16"/>
      <c r="Q11" s="18" t="s">
        <v>6551</v>
      </c>
      <c r="R11" s="16"/>
      <c r="S11" s="18"/>
      <c r="T11" s="20"/>
    </row>
    <row r="12" spans="1:20" ht="15.95" customHeight="1" x14ac:dyDescent="0.25">
      <c r="A12" s="18" t="s">
        <v>255</v>
      </c>
      <c r="B12" s="16"/>
      <c r="C12" s="18" t="s">
        <v>2092</v>
      </c>
      <c r="D12" s="16"/>
      <c r="E12" s="18" t="s">
        <v>2811</v>
      </c>
      <c r="F12" s="16"/>
      <c r="G12" s="18" t="s">
        <v>1346</v>
      </c>
      <c r="H12" s="16"/>
      <c r="I12" s="18" t="s">
        <v>3545</v>
      </c>
      <c r="J12" s="16"/>
      <c r="K12" s="18" t="s">
        <v>4285</v>
      </c>
      <c r="L12" s="16"/>
      <c r="M12" s="18" t="s">
        <v>4970</v>
      </c>
      <c r="N12" s="16"/>
      <c r="O12" s="18" t="s">
        <v>5700</v>
      </c>
      <c r="P12" s="16"/>
      <c r="Q12" s="18" t="s">
        <v>6363</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160</v>
      </c>
      <c r="B14" s="16"/>
      <c r="C14" s="18" t="s">
        <v>1869</v>
      </c>
      <c r="D14" s="16"/>
      <c r="E14" s="18" t="s">
        <v>2587</v>
      </c>
      <c r="F14" s="16"/>
      <c r="G14" s="18" t="s">
        <v>1132</v>
      </c>
      <c r="H14" s="16"/>
      <c r="I14" s="18" t="s">
        <v>3311</v>
      </c>
      <c r="J14" s="16"/>
      <c r="K14" s="18" t="s">
        <v>4056</v>
      </c>
      <c r="L14" s="16"/>
      <c r="M14" s="18" t="s">
        <v>4777</v>
      </c>
      <c r="N14" s="16"/>
      <c r="O14" s="18" t="s">
        <v>5470</v>
      </c>
      <c r="P14" s="16"/>
      <c r="Q14" s="18" t="s">
        <v>6181</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321</v>
      </c>
      <c r="B16" s="16"/>
      <c r="C16" s="18" t="s">
        <v>1772</v>
      </c>
      <c r="D16" s="16"/>
      <c r="E16" s="18" t="s">
        <v>2491</v>
      </c>
      <c r="F16" s="16"/>
      <c r="G16" s="18" t="s">
        <v>1040</v>
      </c>
      <c r="H16" s="16"/>
      <c r="I16" s="18" t="s">
        <v>3209</v>
      </c>
      <c r="J16" s="16"/>
      <c r="K16" s="18" t="s">
        <v>3956</v>
      </c>
      <c r="L16" s="16"/>
      <c r="M16" s="18" t="s">
        <v>4685</v>
      </c>
      <c r="N16" s="16"/>
      <c r="O16" s="18" t="s">
        <v>5370</v>
      </c>
      <c r="P16" s="16"/>
      <c r="Q16" s="18" t="s">
        <v>6101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1568</v>
      </c>
      <c r="B18" s="16"/>
      <c r="C18" s="18" t="s">
        <v>2310</v>
      </c>
      <c r="D18" s="16"/>
      <c r="E18" s="18" t="s">
        <v>3031</v>
      </c>
      <c r="F18" s="16"/>
      <c r="G18" s="18" t="s">
        <v>1587</v>
      </c>
      <c r="H18" s="16"/>
      <c r="I18" s="18" t="s">
        <v>3773</v>
      </c>
      <c r="J18" s="16"/>
      <c r="K18" s="18" t="s">
        <v>4511</v>
      </c>
      <c r="L18" s="16"/>
      <c r="M18" s="18" t="s">
        <v>5179</v>
      </c>
      <c r="N18" s="16"/>
      <c r="O18" s="18" t="s">
        <v>5929</v>
      </c>
      <c r="P18" s="16"/>
      <c r="Q18" s="18" t="s">
        <v>6552</v>
      </c>
      <c r="R18" s="16"/>
      <c r="S18" s="18"/>
      <c r="T18" s="20"/>
    </row>
    <row r="19" spans="1:20" ht="15.95" customHeight="1" x14ac:dyDescent="0.25">
      <c r="A19" s="18" t="s">
        <v>1569</v>
      </c>
      <c r="B19" s="16"/>
      <c r="C19" s="18" t="s">
        <v>2311</v>
      </c>
      <c r="D19" s="16"/>
      <c r="E19" s="18" t="s">
        <v>3032</v>
      </c>
      <c r="F19" s="16"/>
      <c r="G19" s="18" t="s">
        <v>1588</v>
      </c>
      <c r="H19" s="16"/>
      <c r="I19" s="18" t="s">
        <v>3774</v>
      </c>
      <c r="J19" s="16"/>
      <c r="K19" s="18" t="s">
        <v>4512</v>
      </c>
      <c r="L19" s="16"/>
      <c r="M19" s="18" t="s">
        <v>5180</v>
      </c>
      <c r="N19" s="16"/>
      <c r="O19" s="18" t="s">
        <v>5930</v>
      </c>
      <c r="P19" s="16"/>
      <c r="Q19" s="18" t="s">
        <v>6553</v>
      </c>
      <c r="R19" s="16"/>
      <c r="S19" s="18"/>
      <c r="T19" s="20"/>
    </row>
    <row r="20" spans="1:20" ht="15.95" customHeight="1" x14ac:dyDescent="0.25">
      <c r="A20" s="18" t="s">
        <v>1570</v>
      </c>
      <c r="B20" s="16"/>
      <c r="C20" s="18" t="s">
        <v>2312</v>
      </c>
      <c r="D20" s="16"/>
      <c r="E20" s="18" t="s">
        <v>3033</v>
      </c>
      <c r="F20" s="16"/>
      <c r="G20" s="18" t="s">
        <v>1589</v>
      </c>
      <c r="H20" s="16"/>
      <c r="I20" s="18" t="s">
        <v>3775</v>
      </c>
      <c r="J20" s="16"/>
      <c r="K20" s="18" t="s">
        <v>4513</v>
      </c>
      <c r="L20" s="16"/>
      <c r="M20" s="18" t="s">
        <v>5181</v>
      </c>
      <c r="N20" s="16"/>
      <c r="O20" s="18" t="s">
        <v>5931</v>
      </c>
      <c r="P20" s="16"/>
      <c r="Q20" s="18" t="s">
        <v>6554</v>
      </c>
      <c r="R20" s="16"/>
      <c r="S20" s="18"/>
      <c r="T20" s="20"/>
    </row>
    <row r="21" spans="1:20" ht="15.95" customHeight="1" x14ac:dyDescent="0.25">
      <c r="A21" s="18" t="s">
        <v>1571</v>
      </c>
      <c r="B21" s="16"/>
      <c r="C21" s="18" t="s">
        <v>2313</v>
      </c>
      <c r="D21" s="16"/>
      <c r="E21" s="18" t="s">
        <v>3034</v>
      </c>
      <c r="F21" s="16"/>
      <c r="G21" s="18" t="s">
        <v>1590</v>
      </c>
      <c r="H21" s="16"/>
      <c r="I21" s="18" t="s">
        <v>3776</v>
      </c>
      <c r="J21" s="16"/>
      <c r="K21" s="18" t="s">
        <v>4514</v>
      </c>
      <c r="L21" s="16"/>
      <c r="M21" s="18" t="s">
        <v>5182</v>
      </c>
      <c r="N21" s="16"/>
      <c r="O21" s="18" t="s">
        <v>5932</v>
      </c>
      <c r="P21" s="16"/>
      <c r="Q21" s="18" t="s">
        <v>6555</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1572</v>
      </c>
      <c r="B23" s="16"/>
      <c r="C23" s="18" t="s">
        <v>2314</v>
      </c>
      <c r="D23" s="16"/>
      <c r="E23" s="18" t="s">
        <v>3035</v>
      </c>
      <c r="F23" s="16"/>
      <c r="G23" s="18" t="s">
        <v>1591</v>
      </c>
      <c r="H23" s="16"/>
      <c r="I23" s="18" t="s">
        <v>3777</v>
      </c>
      <c r="J23" s="16"/>
      <c r="K23" s="18" t="s">
        <v>4515</v>
      </c>
      <c r="L23" s="16"/>
      <c r="M23" s="18" t="s">
        <v>5183</v>
      </c>
      <c r="N23" s="16"/>
      <c r="O23" s="18" t="s">
        <v>5933</v>
      </c>
      <c r="P23" s="16"/>
      <c r="Q23" s="18" t="s">
        <v>6556</v>
      </c>
      <c r="R23" s="16"/>
      <c r="S23" s="18"/>
      <c r="T23" s="20"/>
    </row>
    <row r="24" spans="1:20" ht="15.95" customHeight="1" x14ac:dyDescent="0.25">
      <c r="A24" s="18" t="s">
        <v>1573</v>
      </c>
      <c r="B24" s="16"/>
      <c r="C24" s="18" t="s">
        <v>2315</v>
      </c>
      <c r="D24" s="16"/>
      <c r="E24" s="18" t="s">
        <v>3036</v>
      </c>
      <c r="F24" s="16"/>
      <c r="G24" s="18" t="s">
        <v>1592</v>
      </c>
      <c r="H24" s="16"/>
      <c r="I24" s="18" t="s">
        <v>3778</v>
      </c>
      <c r="J24" s="16"/>
      <c r="K24" s="18" t="s">
        <v>4516</v>
      </c>
      <c r="L24" s="16"/>
      <c r="M24" s="18" t="s">
        <v>5184</v>
      </c>
      <c r="N24" s="16"/>
      <c r="O24" s="18" t="s">
        <v>5934</v>
      </c>
      <c r="P24" s="16"/>
      <c r="Q24" s="18" t="s">
        <v>6557</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5" priority="2" stopIfTrue="1">
      <formula>NOT(ISERROR(A3))</formula>
    </cfRule>
  </conditionalFormatting>
  <conditionalFormatting sqref="A3:T51">
    <cfRule type="containsErrors" dxfId="64" priority="1" stopIfTrue="1">
      <formula>ISERROR(A3)</formula>
    </cfRule>
    <cfRule type="notContainsBlanks" dxfId="63" priority="3">
      <formula>LEN(TRIM(A3))&gt;0</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dimension ref="A1:T51"/>
  <sheetViews>
    <sheetView workbookViewId="0">
      <selection activeCell="S3" sqref="S3:S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6558</v>
      </c>
      <c r="B3" s="16" t="str">
        <f>TRIM(_xlfn.TEXTBEFORE(A3, ":"))</f>
        <v>Item Class</v>
      </c>
      <c r="C3" s="17" t="s">
        <v>6575</v>
      </c>
      <c r="D3" s="16" t="str">
        <f>TRIM(_xlfn.TEXTBEFORE(C3, ":"))</f>
        <v/>
      </c>
      <c r="E3" s="17" t="s">
        <v>6575</v>
      </c>
      <c r="F3" s="16" t="str">
        <f>TRIM(_xlfn.TEXTBEFORE(E3, ":"))</f>
        <v/>
      </c>
      <c r="G3" s="17" t="s">
        <v>6575</v>
      </c>
      <c r="H3" s="16" t="str">
        <f>TRIM(_xlfn.TEXTBEFORE(G3, ":"))</f>
        <v/>
      </c>
      <c r="I3" s="17" t="s">
        <v>6575</v>
      </c>
      <c r="J3" s="16" t="str">
        <f>TRIM(_xlfn.TEXTBEFORE(I3, ":"))</f>
        <v/>
      </c>
      <c r="K3" s="17" t="s">
        <v>6575</v>
      </c>
      <c r="L3" s="16" t="str">
        <f>TRIM(_xlfn.TEXTBEFORE(K3, ":"))</f>
        <v/>
      </c>
      <c r="M3" s="17" t="s">
        <v>6575</v>
      </c>
      <c r="N3" s="16" t="str">
        <f>TRIM(_xlfn.TEXTBEFORE(M3, ":"))</f>
        <v/>
      </c>
      <c r="O3" s="17" t="s">
        <v>6575</v>
      </c>
      <c r="P3" s="16" t="str">
        <f>TRIM(_xlfn.TEXTBEFORE(O3, ":"))</f>
        <v/>
      </c>
      <c r="Q3" s="17" t="s">
        <v>6575</v>
      </c>
      <c r="R3" s="16" t="str">
        <f>TRIM(_xlfn.TEXTBEFORE(Q3, ":"))</f>
        <v/>
      </c>
      <c r="S3" s="17" t="s">
        <v>6575</v>
      </c>
      <c r="T3" s="20" t="str">
        <f>TRIM(_xlfn.TEXTBEFORE(S3, ":"))</f>
        <v/>
      </c>
    </row>
    <row r="4" spans="1:20" ht="15.95" customHeight="1" x14ac:dyDescent="0.25">
      <c r="A4" s="18" t="s">
        <v>499</v>
      </c>
      <c r="B4" s="16" t="str">
        <f>TRIM(_xlfn.TEXTAFTER(A3, ":"))</f>
        <v>Charms</v>
      </c>
      <c r="C4" s="18" t="s">
        <v>6575</v>
      </c>
      <c r="D4" s="16" t="str">
        <f>TRIM(_xlfn.TEXTAFTER(C3, ":"))</f>
        <v/>
      </c>
      <c r="E4" s="18" t="s">
        <v>6575</v>
      </c>
      <c r="F4" s="16" t="str">
        <f>TRIM(_xlfn.TEXTAFTER(E3, ":"))</f>
        <v/>
      </c>
      <c r="G4" s="18" t="s">
        <v>6575</v>
      </c>
      <c r="H4" s="16" t="str">
        <f>TRIM(_xlfn.TEXTAFTER(G3, ":"))</f>
        <v/>
      </c>
      <c r="I4" s="18" t="s">
        <v>6575</v>
      </c>
      <c r="J4" s="16" t="str">
        <f>TRIM(_xlfn.TEXTAFTER(I3, ":"))</f>
        <v/>
      </c>
      <c r="K4" s="18" t="s">
        <v>6575</v>
      </c>
      <c r="L4" s="16" t="str">
        <f>TRIM(_xlfn.TEXTAFTER(K3, ":"))</f>
        <v/>
      </c>
      <c r="M4" s="18" t="s">
        <v>6575</v>
      </c>
      <c r="N4" s="16" t="str">
        <f>TRIM(_xlfn.TEXTAFTER(M3, ":"))</f>
        <v/>
      </c>
      <c r="O4" s="18" t="s">
        <v>6575</v>
      </c>
      <c r="P4" s="16" t="str">
        <f>TRIM(_xlfn.TEXTAFTER(O3, ":"))</f>
        <v/>
      </c>
      <c r="Q4" s="18" t="s">
        <v>6575</v>
      </c>
      <c r="R4" s="16" t="str">
        <f>TRIM(_xlfn.TEXTAFTER(Q3, ":"))</f>
        <v/>
      </c>
      <c r="S4" s="18" t="s">
        <v>6575</v>
      </c>
      <c r="T4" s="20" t="str">
        <f>TRIM(_xlfn.TEXTAFTER(S3, ":"))</f>
        <v/>
      </c>
    </row>
    <row r="5" spans="1:20" ht="15.95" customHeight="1" x14ac:dyDescent="0.25">
      <c r="A5" s="18" t="s">
        <v>6559</v>
      </c>
      <c r="B5" s="16" t="str">
        <f>TRIM(_xlfn.TEXTBEFORE(A4, ":"))</f>
        <v>Rarity</v>
      </c>
      <c r="C5" s="18"/>
      <c r="D5" s="16" t="str">
        <f>TRIM(_xlfn.TEXTBEFORE(C4, ":"))</f>
        <v/>
      </c>
      <c r="E5" s="18"/>
      <c r="F5" s="16" t="str">
        <f>TRIM(_xlfn.TEXTBEFORE(E4, ":"))</f>
        <v/>
      </c>
      <c r="G5" s="18"/>
      <c r="H5" s="16" t="str">
        <f>TRIM(_xlfn.TEXTBEFORE(G4, ":"))</f>
        <v/>
      </c>
      <c r="I5" s="18"/>
      <c r="J5" s="16" t="str">
        <f>TRIM(_xlfn.TEXTBEFORE(I4, ":"))</f>
        <v/>
      </c>
      <c r="K5" s="18"/>
      <c r="L5" s="16" t="str">
        <f>TRIM(_xlfn.TEXTBEFORE(K4, ":"))</f>
        <v/>
      </c>
      <c r="M5" s="18"/>
      <c r="N5" s="16" t="str">
        <f>TRIM(_xlfn.TEXTBEFORE(M4, ":"))</f>
        <v/>
      </c>
      <c r="O5" s="18"/>
      <c r="P5" s="16" t="str">
        <f>TRIM(_xlfn.TEXTBEFORE(O4, ":"))</f>
        <v/>
      </c>
      <c r="Q5" s="18"/>
      <c r="R5" s="16" t="str">
        <f>TRIM(_xlfn.TEXTBEFORE(Q4, ":"))</f>
        <v/>
      </c>
      <c r="S5" s="18"/>
      <c r="T5" s="20" t="str">
        <f>TRIM(_xlfn.TEXTBEFORE(S4, ":"))</f>
        <v/>
      </c>
    </row>
    <row r="6" spans="1:20" ht="15.95" customHeight="1" x14ac:dyDescent="0.25">
      <c r="A6" s="18" t="s">
        <v>4</v>
      </c>
      <c r="B6" s="16" t="str">
        <f>TRIM(_xlfn.TEXTAFTER(A4,":"))</f>
        <v>Magic</v>
      </c>
      <c r="C6" s="18"/>
      <c r="D6" s="16" t="str">
        <f>TRIM(_xlfn.TEXTAFTER(C4,":"))</f>
        <v/>
      </c>
      <c r="E6" s="18"/>
      <c r="F6" s="16" t="str">
        <f>TRIM(_xlfn.TEXTAFTER(E4,":"))</f>
        <v/>
      </c>
      <c r="G6" s="18"/>
      <c r="H6" s="16" t="str">
        <f>TRIM(_xlfn.TEXTAFTER(G4,":"))</f>
        <v/>
      </c>
      <c r="I6" s="18"/>
      <c r="J6" s="16" t="str">
        <f>TRIM(_xlfn.TEXTAFTER(I4,":"))</f>
        <v/>
      </c>
      <c r="K6" s="18"/>
      <c r="L6" s="16" t="str">
        <f>TRIM(_xlfn.TEXTAFTER(K4,":"))</f>
        <v/>
      </c>
      <c r="M6" s="18"/>
      <c r="N6" s="16" t="str">
        <f>TRIM(_xlfn.TEXTAFTER(M4,":"))</f>
        <v/>
      </c>
      <c r="O6" s="18"/>
      <c r="P6" s="16" t="str">
        <f>TRIM(_xlfn.TEXTAFTER(O4,":"))</f>
        <v/>
      </c>
      <c r="Q6" s="18"/>
      <c r="R6" s="16" t="str">
        <f>TRIM(_xlfn.TEXTAFTER(Q4,":"))</f>
        <v/>
      </c>
      <c r="S6" s="18"/>
      <c r="T6" s="20" t="str">
        <f>TRIM(_xlfn.TEXTAFTER(S4,":"))</f>
        <v/>
      </c>
    </row>
    <row r="7" spans="1:20" ht="15.95" customHeight="1" x14ac:dyDescent="0.25">
      <c r="A7" s="18" t="s">
        <v>260</v>
      </c>
      <c r="B7" s="16"/>
      <c r="C7" s="18"/>
      <c r="D7" s="16"/>
      <c r="E7" s="18"/>
      <c r="F7" s="16"/>
      <c r="G7" s="18"/>
      <c r="H7" s="16"/>
      <c r="I7" s="18"/>
      <c r="J7" s="16"/>
      <c r="K7" s="18"/>
      <c r="L7" s="16"/>
      <c r="M7" s="18"/>
      <c r="N7" s="16"/>
      <c r="O7" s="18"/>
      <c r="P7" s="16"/>
      <c r="Q7" s="18"/>
      <c r="R7" s="16"/>
      <c r="S7" s="18"/>
      <c r="T7" s="20"/>
    </row>
    <row r="8" spans="1:20" ht="15.95" customHeight="1" x14ac:dyDescent="0.25">
      <c r="A8" s="18" t="s">
        <v>4</v>
      </c>
      <c r="B8" s="16"/>
      <c r="C8" s="18"/>
      <c r="D8" s="16"/>
      <c r="E8" s="18"/>
      <c r="F8" s="16"/>
      <c r="G8" s="18"/>
      <c r="H8" s="16"/>
      <c r="I8" s="18"/>
      <c r="J8" s="16"/>
      <c r="K8" s="18"/>
      <c r="L8" s="16"/>
      <c r="M8" s="18"/>
      <c r="N8" s="16"/>
      <c r="O8" s="18"/>
      <c r="P8" s="16"/>
      <c r="Q8" s="18"/>
      <c r="R8" s="16"/>
      <c r="S8" s="18"/>
      <c r="T8" s="20"/>
    </row>
    <row r="9" spans="1:20" ht="15.95" customHeight="1" x14ac:dyDescent="0.25">
      <c r="A9" s="18" t="s">
        <v>6560</v>
      </c>
      <c r="B9" s="16"/>
      <c r="C9" s="18"/>
      <c r="D9" s="16"/>
      <c r="E9" s="18"/>
      <c r="F9" s="16"/>
      <c r="G9" s="18"/>
      <c r="H9" s="16"/>
      <c r="I9" s="18"/>
      <c r="J9" s="16"/>
      <c r="K9" s="18"/>
      <c r="L9" s="16"/>
      <c r="M9" s="18"/>
      <c r="N9" s="16"/>
      <c r="O9" s="18"/>
      <c r="P9" s="16"/>
      <c r="Q9" s="18"/>
      <c r="R9" s="16"/>
      <c r="S9" s="18"/>
      <c r="T9" s="20"/>
    </row>
    <row r="10" spans="1:20" ht="15.95" customHeight="1" x14ac:dyDescent="0.25">
      <c r="A10" s="18" t="s">
        <v>6561</v>
      </c>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t="s">
        <v>6562</v>
      </c>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t="s">
        <v>4</v>
      </c>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t="s">
        <v>6563</v>
      </c>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t="s">
        <v>4</v>
      </c>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t="s">
        <v>795</v>
      </c>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2" priority="2" stopIfTrue="1">
      <formula>NOT(ISERROR(A3))</formula>
    </cfRule>
  </conditionalFormatting>
  <conditionalFormatting sqref="A3:T51">
    <cfRule type="containsErrors" dxfId="61" priority="1" stopIfTrue="1">
      <formula>ISERROR(A3)</formula>
    </cfRule>
    <cfRule type="notContainsBlanks" dxfId="60" priority="3">
      <formula>LEN(TRIM(A3))&gt;0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dimension ref="A1:T51"/>
  <sheetViews>
    <sheetView workbookViewId="0">
      <selection activeCell="S3" sqref="S3:S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6564</v>
      </c>
      <c r="B3" s="16" t="str">
        <f>TRIM(_xlfn.TEXTBEFORE(A3, ":"))</f>
        <v>Item Class</v>
      </c>
      <c r="C3" s="17" t="s">
        <v>6575</v>
      </c>
      <c r="D3" s="16" t="str">
        <f>TRIM(_xlfn.TEXTBEFORE(C3, ":"))</f>
        <v/>
      </c>
      <c r="E3" s="17" t="s">
        <v>6575</v>
      </c>
      <c r="F3" s="16" t="str">
        <f>TRIM(_xlfn.TEXTBEFORE(E3, ":"))</f>
        <v/>
      </c>
      <c r="G3" s="17" t="s">
        <v>6575</v>
      </c>
      <c r="H3" s="16" t="str">
        <f>TRIM(_xlfn.TEXTBEFORE(G3, ":"))</f>
        <v/>
      </c>
      <c r="I3" s="17" t="s">
        <v>6575</v>
      </c>
      <c r="J3" s="16" t="str">
        <f>TRIM(_xlfn.TEXTBEFORE(I3, ":"))</f>
        <v/>
      </c>
      <c r="K3" s="17" t="s">
        <v>6575</v>
      </c>
      <c r="L3" s="16" t="str">
        <f>TRIM(_xlfn.TEXTBEFORE(K3, ":"))</f>
        <v/>
      </c>
      <c r="M3" s="17" t="s">
        <v>6575</v>
      </c>
      <c r="N3" s="16" t="str">
        <f>TRIM(_xlfn.TEXTBEFORE(M3, ":"))</f>
        <v/>
      </c>
      <c r="O3" s="17" t="s">
        <v>6575</v>
      </c>
      <c r="P3" s="16" t="str">
        <f>TRIM(_xlfn.TEXTBEFORE(O3, ":"))</f>
        <v/>
      </c>
      <c r="Q3" s="17" t="s">
        <v>6575</v>
      </c>
      <c r="R3" s="16" t="str">
        <f>TRIM(_xlfn.TEXTBEFORE(Q3, ":"))</f>
        <v/>
      </c>
      <c r="S3" s="17" t="s">
        <v>6575</v>
      </c>
      <c r="T3" s="20" t="str">
        <f>TRIM(_xlfn.TEXTBEFORE(S3, ":"))</f>
        <v/>
      </c>
    </row>
    <row r="4" spans="1:20" ht="15.95" customHeight="1" x14ac:dyDescent="0.25">
      <c r="A4" s="18" t="s">
        <v>499</v>
      </c>
      <c r="B4" s="16" t="str">
        <f>TRIM(_xlfn.TEXTAFTER(A3, ":"))</f>
        <v>Tinctures</v>
      </c>
      <c r="C4" s="18" t="s">
        <v>6575</v>
      </c>
      <c r="D4" s="16" t="str">
        <f>TRIM(_xlfn.TEXTAFTER(C3, ":"))</f>
        <v/>
      </c>
      <c r="E4" s="18" t="s">
        <v>6575</v>
      </c>
      <c r="F4" s="16" t="str">
        <f>TRIM(_xlfn.TEXTAFTER(E3, ":"))</f>
        <v/>
      </c>
      <c r="G4" s="18" t="s">
        <v>6575</v>
      </c>
      <c r="H4" s="16" t="str">
        <f>TRIM(_xlfn.TEXTAFTER(G3, ":"))</f>
        <v/>
      </c>
      <c r="I4" s="18" t="s">
        <v>6575</v>
      </c>
      <c r="J4" s="16" t="str">
        <f>TRIM(_xlfn.TEXTAFTER(I3, ":"))</f>
        <v/>
      </c>
      <c r="K4" s="18" t="s">
        <v>6575</v>
      </c>
      <c r="L4" s="16" t="str">
        <f>TRIM(_xlfn.TEXTAFTER(K3, ":"))</f>
        <v/>
      </c>
      <c r="M4" s="18" t="s">
        <v>6575</v>
      </c>
      <c r="N4" s="16" t="str">
        <f>TRIM(_xlfn.TEXTAFTER(M3, ":"))</f>
        <v/>
      </c>
      <c r="O4" s="18" t="s">
        <v>6575</v>
      </c>
      <c r="P4" s="16" t="str">
        <f>TRIM(_xlfn.TEXTAFTER(O3, ":"))</f>
        <v/>
      </c>
      <c r="Q4" s="18" t="s">
        <v>6575</v>
      </c>
      <c r="R4" s="16" t="str">
        <f>TRIM(_xlfn.TEXTAFTER(Q3, ":"))</f>
        <v/>
      </c>
      <c r="S4" s="18" t="s">
        <v>6575</v>
      </c>
      <c r="T4" s="20" t="str">
        <f>TRIM(_xlfn.TEXTAFTER(S3, ":"))</f>
        <v/>
      </c>
    </row>
    <row r="5" spans="1:20" ht="15.95" customHeight="1" x14ac:dyDescent="0.25">
      <c r="A5" s="18"/>
      <c r="B5" s="16" t="str">
        <f>TRIM(_xlfn.TEXTBEFORE(A4, ":"))</f>
        <v>Rarity</v>
      </c>
      <c r="C5" s="18"/>
      <c r="D5" s="16" t="str">
        <f>TRIM(_xlfn.TEXTBEFORE(C4, ":"))</f>
        <v/>
      </c>
      <c r="E5" s="18"/>
      <c r="F5" s="16" t="str">
        <f>TRIM(_xlfn.TEXTBEFORE(E4, ":"))</f>
        <v/>
      </c>
      <c r="G5" s="18"/>
      <c r="H5" s="16" t="str">
        <f>TRIM(_xlfn.TEXTBEFORE(G4, ":"))</f>
        <v/>
      </c>
      <c r="I5" s="18"/>
      <c r="J5" s="16" t="str">
        <f>TRIM(_xlfn.TEXTBEFORE(I4, ":"))</f>
        <v/>
      </c>
      <c r="K5" s="18"/>
      <c r="L5" s="16" t="str">
        <f>TRIM(_xlfn.TEXTBEFORE(K4, ":"))</f>
        <v/>
      </c>
      <c r="M5" s="18"/>
      <c r="N5" s="16" t="str">
        <f>TRIM(_xlfn.TEXTBEFORE(M4, ":"))</f>
        <v/>
      </c>
      <c r="O5" s="18"/>
      <c r="P5" s="16" t="str">
        <f>TRIM(_xlfn.TEXTBEFORE(O4, ":"))</f>
        <v/>
      </c>
      <c r="Q5" s="18"/>
      <c r="R5" s="16" t="str">
        <f>TRIM(_xlfn.TEXTBEFORE(Q4, ":"))</f>
        <v/>
      </c>
      <c r="S5" s="18"/>
      <c r="T5" s="20" t="str">
        <f>TRIM(_xlfn.TEXTBEFORE(S4, ":"))</f>
        <v/>
      </c>
    </row>
    <row r="6" spans="1:20" ht="15.95" customHeight="1" x14ac:dyDescent="0.25">
      <c r="A6" s="18"/>
      <c r="B6" s="16" t="str">
        <f>TRIM(_xlfn.TEXTAFTER(A4,":"))</f>
        <v>Magic</v>
      </c>
      <c r="C6" s="18"/>
      <c r="D6" s="16" t="str">
        <f>TRIM(_xlfn.TEXTAFTER(C4,":"))</f>
        <v/>
      </c>
      <c r="E6" s="18"/>
      <c r="F6" s="16" t="str">
        <f>TRIM(_xlfn.TEXTAFTER(E4,":"))</f>
        <v/>
      </c>
      <c r="G6" s="18"/>
      <c r="H6" s="16" t="str">
        <f>TRIM(_xlfn.TEXTAFTER(G4,":"))</f>
        <v/>
      </c>
      <c r="I6" s="18"/>
      <c r="J6" s="16" t="str">
        <f>TRIM(_xlfn.TEXTAFTER(I4,":"))</f>
        <v/>
      </c>
      <c r="K6" s="18"/>
      <c r="L6" s="16" t="str">
        <f>TRIM(_xlfn.TEXTAFTER(K4,":"))</f>
        <v/>
      </c>
      <c r="M6" s="18"/>
      <c r="N6" s="16" t="str">
        <f>TRIM(_xlfn.TEXTAFTER(M4,":"))</f>
        <v/>
      </c>
      <c r="O6" s="18"/>
      <c r="P6" s="16" t="str">
        <f>TRIM(_xlfn.TEXTAFTER(O4,":"))</f>
        <v/>
      </c>
      <c r="Q6" s="18"/>
      <c r="R6" s="16" t="str">
        <f>TRIM(_xlfn.TEXTAFTER(Q4,":"))</f>
        <v/>
      </c>
      <c r="S6" s="18"/>
      <c r="T6" s="20" t="str">
        <f>TRIM(_xlfn.TEXTAFTER(S4,":"))</f>
        <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5:C51 E5:E51 G5:G51 I5:I51 K5:K51 M5:M51 O5:O51 Q5:Q51 S5:S51">
    <cfRule type="notContainsErrors" dxfId="59" priority="29" stopIfTrue="1">
      <formula>NOT(ISERROR(A3))</formula>
    </cfRule>
  </conditionalFormatting>
  <conditionalFormatting sqref="A5:T51 A3:B4 D3:D4 F3:F4 H3:H4 J3:J4 L3:L4 N3:N4 P3:P4 R3:R4 T3:T4">
    <cfRule type="containsErrors" dxfId="58" priority="28" stopIfTrue="1">
      <formula>ISERROR(A3)</formula>
    </cfRule>
    <cfRule type="notContainsBlanks" dxfId="57" priority="30">
      <formula>LEN(TRIM(A3))&gt;0</formula>
    </cfRule>
  </conditionalFormatting>
  <conditionalFormatting sqref="C3:C4">
    <cfRule type="notContainsErrors" dxfId="53" priority="26" stopIfTrue="1">
      <formula>NOT(ISERROR(C3))</formula>
    </cfRule>
  </conditionalFormatting>
  <conditionalFormatting sqref="C3:C4">
    <cfRule type="containsErrors" dxfId="52" priority="25" stopIfTrue="1">
      <formula>ISERROR(C3)</formula>
    </cfRule>
    <cfRule type="notContainsBlanks" dxfId="51" priority="27">
      <formula>LEN(TRIM(C3))&gt;0</formula>
    </cfRule>
  </conditionalFormatting>
  <conditionalFormatting sqref="E3:E4">
    <cfRule type="notContainsErrors" dxfId="50" priority="23" stopIfTrue="1">
      <formula>NOT(ISERROR(E3))</formula>
    </cfRule>
  </conditionalFormatting>
  <conditionalFormatting sqref="E3:E4">
    <cfRule type="containsErrors" dxfId="49" priority="22" stopIfTrue="1">
      <formula>ISERROR(E3)</formula>
    </cfRule>
    <cfRule type="notContainsBlanks" dxfId="48" priority="24">
      <formula>LEN(TRIM(E3))&gt;0</formula>
    </cfRule>
  </conditionalFormatting>
  <conditionalFormatting sqref="G3:G4">
    <cfRule type="notContainsErrors" dxfId="47" priority="20" stopIfTrue="1">
      <formula>NOT(ISERROR(G3))</formula>
    </cfRule>
  </conditionalFormatting>
  <conditionalFormatting sqref="G3:G4">
    <cfRule type="containsErrors" dxfId="46" priority="19" stopIfTrue="1">
      <formula>ISERROR(G3)</formula>
    </cfRule>
    <cfRule type="notContainsBlanks" dxfId="45" priority="21">
      <formula>LEN(TRIM(G3))&gt;0</formula>
    </cfRule>
  </conditionalFormatting>
  <conditionalFormatting sqref="I3:I4">
    <cfRule type="notContainsErrors" dxfId="44" priority="17" stopIfTrue="1">
      <formula>NOT(ISERROR(I3))</formula>
    </cfRule>
  </conditionalFormatting>
  <conditionalFormatting sqref="I3:I4">
    <cfRule type="containsErrors" dxfId="43" priority="16" stopIfTrue="1">
      <formula>ISERROR(I3)</formula>
    </cfRule>
    <cfRule type="notContainsBlanks" dxfId="42" priority="18">
      <formula>LEN(TRIM(I3))&gt;0</formula>
    </cfRule>
  </conditionalFormatting>
  <conditionalFormatting sqref="K3:K4">
    <cfRule type="notContainsErrors" dxfId="41" priority="14" stopIfTrue="1">
      <formula>NOT(ISERROR(K3))</formula>
    </cfRule>
  </conditionalFormatting>
  <conditionalFormatting sqref="K3:K4">
    <cfRule type="containsErrors" dxfId="40" priority="13" stopIfTrue="1">
      <formula>ISERROR(K3)</formula>
    </cfRule>
    <cfRule type="notContainsBlanks" dxfId="39" priority="15">
      <formula>LEN(TRIM(K3))&gt;0</formula>
    </cfRule>
  </conditionalFormatting>
  <conditionalFormatting sqref="M3:M4">
    <cfRule type="notContainsErrors" dxfId="38" priority="11" stopIfTrue="1">
      <formula>NOT(ISERROR(M3))</formula>
    </cfRule>
  </conditionalFormatting>
  <conditionalFormatting sqref="M3:M4">
    <cfRule type="containsErrors" dxfId="37" priority="10" stopIfTrue="1">
      <formula>ISERROR(M3)</formula>
    </cfRule>
    <cfRule type="notContainsBlanks" dxfId="36" priority="12">
      <formula>LEN(TRIM(M3))&gt;0</formula>
    </cfRule>
  </conditionalFormatting>
  <conditionalFormatting sqref="O3:O4">
    <cfRule type="notContainsErrors" dxfId="35" priority="8" stopIfTrue="1">
      <formula>NOT(ISERROR(O3))</formula>
    </cfRule>
  </conditionalFormatting>
  <conditionalFormatting sqref="O3:O4">
    <cfRule type="containsErrors" dxfId="34" priority="7" stopIfTrue="1">
      <formula>ISERROR(O3)</formula>
    </cfRule>
    <cfRule type="notContainsBlanks" dxfId="33" priority="9">
      <formula>LEN(TRIM(O3))&gt;0</formula>
    </cfRule>
  </conditionalFormatting>
  <conditionalFormatting sqref="Q3:Q4">
    <cfRule type="notContainsErrors" dxfId="32" priority="5" stopIfTrue="1">
      <formula>NOT(ISERROR(Q3))</formula>
    </cfRule>
  </conditionalFormatting>
  <conditionalFormatting sqref="Q3:Q4">
    <cfRule type="containsErrors" dxfId="31" priority="4" stopIfTrue="1">
      <formula>ISERROR(Q3)</formula>
    </cfRule>
    <cfRule type="notContainsBlanks" dxfId="30" priority="6">
      <formula>LEN(TRIM(Q3))&gt;0</formula>
    </cfRule>
  </conditionalFormatting>
  <conditionalFormatting sqref="S3:S4">
    <cfRule type="notContainsErrors" dxfId="29" priority="2" stopIfTrue="1">
      <formula>NOT(ISERROR(S3))</formula>
    </cfRule>
  </conditionalFormatting>
  <conditionalFormatting sqref="S3:S4">
    <cfRule type="containsErrors" dxfId="28" priority="1" stopIfTrue="1">
      <formula>ISERROR(S3)</formula>
    </cfRule>
    <cfRule type="notContainsBlanks" dxfId="27" priority="3">
      <formula>LEN(TRIM(S3))&gt;0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dimension ref="A1:T51"/>
  <sheetViews>
    <sheetView tabSelected="1" workbookViewId="0">
      <selection activeCell="C3" sqref="C3:C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6565</v>
      </c>
      <c r="B3" s="16" t="str">
        <f>TRIM(_xlfn.TEXTBEFORE(A3, ":"))</f>
        <v>Item Class</v>
      </c>
      <c r="C3" s="17" t="s">
        <v>6575</v>
      </c>
      <c r="D3" s="16" t="str">
        <f>TRIM(_xlfn.TEXTBEFORE(C3, ":"))</f>
        <v/>
      </c>
      <c r="E3" s="17" t="s">
        <v>6575</v>
      </c>
      <c r="F3" s="16" t="str">
        <f>TRIM(_xlfn.TEXTBEFORE(E3, ":"))</f>
        <v/>
      </c>
      <c r="G3" s="17" t="s">
        <v>6575</v>
      </c>
      <c r="H3" s="16" t="str">
        <f>TRIM(_xlfn.TEXTBEFORE(G3, ":"))</f>
        <v/>
      </c>
      <c r="I3" s="17" t="s">
        <v>6575</v>
      </c>
      <c r="J3" s="16" t="str">
        <f>TRIM(_xlfn.TEXTBEFORE(I3, ":"))</f>
        <v/>
      </c>
      <c r="K3" s="17" t="s">
        <v>6575</v>
      </c>
      <c r="L3" s="16" t="str">
        <f>TRIM(_xlfn.TEXTBEFORE(K3, ":"))</f>
        <v/>
      </c>
      <c r="M3" s="17" t="s">
        <v>6575</v>
      </c>
      <c r="N3" s="16" t="str">
        <f>TRIM(_xlfn.TEXTBEFORE(M3, ":"))</f>
        <v/>
      </c>
      <c r="O3" s="17" t="s">
        <v>6575</v>
      </c>
      <c r="P3" s="16" t="str">
        <f>TRIM(_xlfn.TEXTBEFORE(O3, ":"))</f>
        <v/>
      </c>
      <c r="Q3" s="17" t="s">
        <v>6575</v>
      </c>
      <c r="R3" s="16" t="str">
        <f>TRIM(_xlfn.TEXTBEFORE(Q3, ":"))</f>
        <v/>
      </c>
      <c r="S3" s="17" t="s">
        <v>6575</v>
      </c>
      <c r="T3" s="20" t="str">
        <f>TRIM(_xlfn.TEXTBEFORE(S3, ":"))</f>
        <v/>
      </c>
    </row>
    <row r="4" spans="1:20" ht="15.95" customHeight="1" x14ac:dyDescent="0.25">
      <c r="A4" s="18" t="s">
        <v>582</v>
      </c>
      <c r="B4" s="16" t="str">
        <f>TRIM(_xlfn.TEXTAFTER(A3, ":"))</f>
        <v>Corpses</v>
      </c>
      <c r="C4" s="18" t="s">
        <v>6575</v>
      </c>
      <c r="D4" s="16" t="str">
        <f>TRIM(_xlfn.TEXTAFTER(C3, ":"))</f>
        <v/>
      </c>
      <c r="E4" s="18" t="s">
        <v>6575</v>
      </c>
      <c r="F4" s="16" t="str">
        <f>TRIM(_xlfn.TEXTAFTER(E3, ":"))</f>
        <v/>
      </c>
      <c r="G4" s="18" t="s">
        <v>6575</v>
      </c>
      <c r="H4" s="16" t="str">
        <f>TRIM(_xlfn.TEXTAFTER(G3, ":"))</f>
        <v/>
      </c>
      <c r="I4" s="18" t="s">
        <v>6575</v>
      </c>
      <c r="J4" s="16" t="str">
        <f>TRIM(_xlfn.TEXTAFTER(I3, ":"))</f>
        <v/>
      </c>
      <c r="K4" s="18" t="s">
        <v>6575</v>
      </c>
      <c r="L4" s="16" t="str">
        <f>TRIM(_xlfn.TEXTAFTER(K3, ":"))</f>
        <v/>
      </c>
      <c r="M4" s="18" t="s">
        <v>6575</v>
      </c>
      <c r="N4" s="16" t="str">
        <f>TRIM(_xlfn.TEXTAFTER(M3, ":"))</f>
        <v/>
      </c>
      <c r="O4" s="18" t="s">
        <v>6575</v>
      </c>
      <c r="P4" s="16" t="str">
        <f>TRIM(_xlfn.TEXTAFTER(O3, ":"))</f>
        <v/>
      </c>
      <c r="Q4" s="18" t="s">
        <v>6575</v>
      </c>
      <c r="R4" s="16" t="str">
        <f>TRIM(_xlfn.TEXTAFTER(Q3, ":"))</f>
        <v/>
      </c>
      <c r="S4" s="18" t="s">
        <v>6575</v>
      </c>
      <c r="T4" s="20" t="str">
        <f>TRIM(_xlfn.TEXTAFTER(S3, ":"))</f>
        <v/>
      </c>
    </row>
    <row r="5" spans="1:20" ht="15.95" customHeight="1" x14ac:dyDescent="0.25">
      <c r="A5" s="18" t="s">
        <v>6566</v>
      </c>
      <c r="B5" s="16" t="str">
        <f>TRIM(_xlfn.TEXTBEFORE(A4, ":"))</f>
        <v>Rarity</v>
      </c>
      <c r="C5" s="18"/>
      <c r="D5" s="16" t="str">
        <f>TRIM(_xlfn.TEXTBEFORE(C4, ":"))</f>
        <v/>
      </c>
      <c r="E5" s="18"/>
      <c r="F5" s="16" t="str">
        <f>TRIM(_xlfn.TEXTBEFORE(E4, ":"))</f>
        <v/>
      </c>
      <c r="G5" s="18"/>
      <c r="H5" s="16" t="str">
        <f>TRIM(_xlfn.TEXTBEFORE(G4, ":"))</f>
        <v/>
      </c>
      <c r="I5" s="18"/>
      <c r="J5" s="16" t="str">
        <f>TRIM(_xlfn.TEXTBEFORE(I4, ":"))</f>
        <v/>
      </c>
      <c r="K5" s="18"/>
      <c r="L5" s="16" t="str">
        <f>TRIM(_xlfn.TEXTBEFORE(K4, ":"))</f>
        <v/>
      </c>
      <c r="M5" s="18"/>
      <c r="N5" s="16" t="str">
        <f>TRIM(_xlfn.TEXTBEFORE(M4, ":"))</f>
        <v/>
      </c>
      <c r="O5" s="18"/>
      <c r="P5" s="16" t="str">
        <f>TRIM(_xlfn.TEXTBEFORE(O4, ":"))</f>
        <v/>
      </c>
      <c r="Q5" s="18"/>
      <c r="R5" s="16" t="str">
        <f>TRIM(_xlfn.TEXTBEFORE(Q4, ":"))</f>
        <v/>
      </c>
      <c r="S5" s="18"/>
      <c r="T5" s="20" t="str">
        <f>TRIM(_xlfn.TEXTBEFORE(S4, ":"))</f>
        <v/>
      </c>
    </row>
    <row r="6" spans="1:20" ht="15.95" customHeight="1" x14ac:dyDescent="0.25">
      <c r="A6" s="18" t="s">
        <v>4</v>
      </c>
      <c r="B6" s="16" t="str">
        <f>TRIM(_xlfn.TEXTAFTER(A4,":"))</f>
        <v>Currency</v>
      </c>
      <c r="C6" s="18"/>
      <c r="D6" s="16" t="str">
        <f>TRIM(_xlfn.TEXTAFTER(C4,":"))</f>
        <v/>
      </c>
      <c r="E6" s="18"/>
      <c r="F6" s="16" t="str">
        <f>TRIM(_xlfn.TEXTAFTER(E4,":"))</f>
        <v/>
      </c>
      <c r="G6" s="18"/>
      <c r="H6" s="16" t="str">
        <f>TRIM(_xlfn.TEXTAFTER(G4,":"))</f>
        <v/>
      </c>
      <c r="I6" s="18"/>
      <c r="J6" s="16" t="str">
        <f>TRIM(_xlfn.TEXTAFTER(I4,":"))</f>
        <v/>
      </c>
      <c r="K6" s="18"/>
      <c r="L6" s="16" t="str">
        <f>TRIM(_xlfn.TEXTAFTER(K4,":"))</f>
        <v/>
      </c>
      <c r="M6" s="18"/>
      <c r="N6" s="16" t="str">
        <f>TRIM(_xlfn.TEXTAFTER(M4,":"))</f>
        <v/>
      </c>
      <c r="O6" s="18"/>
      <c r="P6" s="16" t="str">
        <f>TRIM(_xlfn.TEXTAFTER(O4,":"))</f>
        <v/>
      </c>
      <c r="Q6" s="18"/>
      <c r="R6" s="16" t="str">
        <f>TRIM(_xlfn.TEXTAFTER(Q4,":"))</f>
        <v/>
      </c>
      <c r="S6" s="18"/>
      <c r="T6" s="20" t="str">
        <f>TRIM(_xlfn.TEXTAFTER(S4,":"))</f>
        <v/>
      </c>
    </row>
    <row r="7" spans="1:20" ht="15.95" customHeight="1" x14ac:dyDescent="0.25">
      <c r="A7" s="18" t="s">
        <v>6567</v>
      </c>
      <c r="B7" s="16"/>
      <c r="C7" s="18"/>
      <c r="D7" s="16"/>
      <c r="E7" s="18"/>
      <c r="F7" s="16"/>
      <c r="G7" s="18"/>
      <c r="H7" s="16"/>
      <c r="I7" s="18"/>
      <c r="J7" s="16"/>
      <c r="K7" s="18"/>
      <c r="L7" s="16"/>
      <c r="M7" s="18"/>
      <c r="N7" s="16"/>
      <c r="O7" s="18"/>
      <c r="P7" s="16"/>
      <c r="Q7" s="18"/>
      <c r="R7" s="16"/>
      <c r="S7" s="18"/>
      <c r="T7" s="20"/>
    </row>
    <row r="8" spans="1:20" ht="15.95" customHeight="1" x14ac:dyDescent="0.25">
      <c r="A8" s="18" t="s">
        <v>6568</v>
      </c>
      <c r="B8" s="16"/>
      <c r="C8" s="18"/>
      <c r="D8" s="16"/>
      <c r="E8" s="18"/>
      <c r="F8" s="16"/>
      <c r="G8" s="18"/>
      <c r="H8" s="16"/>
      <c r="I8" s="18"/>
      <c r="J8" s="16"/>
      <c r="K8" s="18"/>
      <c r="L8" s="16"/>
      <c r="M8" s="18"/>
      <c r="N8" s="16"/>
      <c r="O8" s="18"/>
      <c r="P8" s="16"/>
      <c r="Q8" s="18"/>
      <c r="R8" s="16"/>
      <c r="S8" s="18"/>
      <c r="T8" s="20"/>
    </row>
    <row r="9" spans="1:20" ht="15.95" customHeight="1" x14ac:dyDescent="0.25">
      <c r="A9" s="18" t="s">
        <v>4</v>
      </c>
      <c r="B9" s="16"/>
      <c r="C9" s="18"/>
      <c r="D9" s="16"/>
      <c r="E9" s="18"/>
      <c r="F9" s="16"/>
      <c r="G9" s="18"/>
      <c r="H9" s="16"/>
      <c r="I9" s="18"/>
      <c r="J9" s="16"/>
      <c r="K9" s="18"/>
      <c r="L9" s="16"/>
      <c r="M9" s="18"/>
      <c r="N9" s="16"/>
      <c r="O9" s="18"/>
      <c r="P9" s="16"/>
      <c r="Q9" s="18"/>
      <c r="R9" s="16"/>
      <c r="S9" s="18"/>
      <c r="T9" s="20"/>
    </row>
    <row r="10" spans="1:20" ht="15.95" customHeight="1" x14ac:dyDescent="0.25">
      <c r="A10" s="18" t="s">
        <v>6569</v>
      </c>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t="s">
        <v>4</v>
      </c>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t="s">
        <v>6570</v>
      </c>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t="s">
        <v>6571</v>
      </c>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t="s">
        <v>4</v>
      </c>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t="s">
        <v>6572</v>
      </c>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t="s">
        <v>4</v>
      </c>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t="s">
        <v>6573</v>
      </c>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5:C51 E5:E51 G5:G51 I5:I51 K5:K51 M5:M51 O5:O51 Q5:Q51 S5:S51">
    <cfRule type="notContainsErrors" dxfId="56" priority="29" stopIfTrue="1">
      <formula>NOT(ISERROR(A3))</formula>
    </cfRule>
  </conditionalFormatting>
  <conditionalFormatting sqref="A5:T51 A3:B4 T3:T4 R3:R4 P3:P4 N3:N4 L3:L4 J3:J4 H3:H4 F3:F4 D3:D4">
    <cfRule type="containsErrors" dxfId="55" priority="28" stopIfTrue="1">
      <formula>ISERROR(A3)</formula>
    </cfRule>
    <cfRule type="notContainsBlanks" dxfId="54" priority="30">
      <formula>LEN(TRIM(A3))&gt;0</formula>
    </cfRule>
  </conditionalFormatting>
  <conditionalFormatting sqref="S3:S4">
    <cfRule type="notContainsErrors" dxfId="26" priority="26" stopIfTrue="1">
      <formula>NOT(ISERROR(S3))</formula>
    </cfRule>
  </conditionalFormatting>
  <conditionalFormatting sqref="S3:S4">
    <cfRule type="containsErrors" dxfId="25" priority="25" stopIfTrue="1">
      <formula>ISERROR(S3)</formula>
    </cfRule>
    <cfRule type="notContainsBlanks" dxfId="24" priority="27">
      <formula>LEN(TRIM(S3))&gt;0</formula>
    </cfRule>
  </conditionalFormatting>
  <conditionalFormatting sqref="Q3:Q4">
    <cfRule type="notContainsErrors" dxfId="23" priority="23" stopIfTrue="1">
      <formula>NOT(ISERROR(Q3))</formula>
    </cfRule>
  </conditionalFormatting>
  <conditionalFormatting sqref="Q3:Q4">
    <cfRule type="containsErrors" dxfId="22" priority="22" stopIfTrue="1">
      <formula>ISERROR(Q3)</formula>
    </cfRule>
    <cfRule type="notContainsBlanks" dxfId="21" priority="24">
      <formula>LEN(TRIM(Q3))&gt;0</formula>
    </cfRule>
  </conditionalFormatting>
  <conditionalFormatting sqref="O3:O4">
    <cfRule type="notContainsErrors" dxfId="20" priority="20" stopIfTrue="1">
      <formula>NOT(ISERROR(O3))</formula>
    </cfRule>
  </conditionalFormatting>
  <conditionalFormatting sqref="O3:O4">
    <cfRule type="containsErrors" dxfId="19" priority="19" stopIfTrue="1">
      <formula>ISERROR(O3)</formula>
    </cfRule>
    <cfRule type="notContainsBlanks" dxfId="18" priority="21">
      <formula>LEN(TRIM(O3))&gt;0</formula>
    </cfRule>
  </conditionalFormatting>
  <conditionalFormatting sqref="M3:M4">
    <cfRule type="notContainsErrors" dxfId="17" priority="17" stopIfTrue="1">
      <formula>NOT(ISERROR(M3))</formula>
    </cfRule>
  </conditionalFormatting>
  <conditionalFormatting sqref="M3:M4">
    <cfRule type="containsErrors" dxfId="16" priority="16" stopIfTrue="1">
      <formula>ISERROR(M3)</formula>
    </cfRule>
    <cfRule type="notContainsBlanks" dxfId="15" priority="18">
      <formula>LEN(TRIM(M3))&gt;0</formula>
    </cfRule>
  </conditionalFormatting>
  <conditionalFormatting sqref="K3:K4">
    <cfRule type="notContainsErrors" dxfId="14" priority="14" stopIfTrue="1">
      <formula>NOT(ISERROR(K3))</formula>
    </cfRule>
  </conditionalFormatting>
  <conditionalFormatting sqref="K3:K4">
    <cfRule type="containsErrors" dxfId="13" priority="13" stopIfTrue="1">
      <formula>ISERROR(K3)</formula>
    </cfRule>
    <cfRule type="notContainsBlanks" dxfId="12" priority="15">
      <formula>LEN(TRIM(K3))&gt;0</formula>
    </cfRule>
  </conditionalFormatting>
  <conditionalFormatting sqref="I3:I4">
    <cfRule type="notContainsErrors" dxfId="11" priority="11" stopIfTrue="1">
      <formula>NOT(ISERROR(I3))</formula>
    </cfRule>
  </conditionalFormatting>
  <conditionalFormatting sqref="I3:I4">
    <cfRule type="containsErrors" dxfId="10" priority="10" stopIfTrue="1">
      <formula>ISERROR(I3)</formula>
    </cfRule>
    <cfRule type="notContainsBlanks" dxfId="9" priority="12">
      <formula>LEN(TRIM(I3))&gt;0</formula>
    </cfRule>
  </conditionalFormatting>
  <conditionalFormatting sqref="G3:G4">
    <cfRule type="notContainsErrors" dxfId="8" priority="8" stopIfTrue="1">
      <formula>NOT(ISERROR(G3))</formula>
    </cfRule>
  </conditionalFormatting>
  <conditionalFormatting sqref="G3:G4">
    <cfRule type="containsErrors" dxfId="7" priority="7" stopIfTrue="1">
      <formula>ISERROR(G3)</formula>
    </cfRule>
    <cfRule type="notContainsBlanks" dxfId="6" priority="9">
      <formula>LEN(TRIM(G3))&gt;0</formula>
    </cfRule>
  </conditionalFormatting>
  <conditionalFormatting sqref="E3:E4">
    <cfRule type="notContainsErrors" dxfId="5" priority="5" stopIfTrue="1">
      <formula>NOT(ISERROR(E3))</formula>
    </cfRule>
  </conditionalFormatting>
  <conditionalFormatting sqref="E3:E4">
    <cfRule type="containsErrors" dxfId="4" priority="4" stopIfTrue="1">
      <formula>ISERROR(E3)</formula>
    </cfRule>
    <cfRule type="notContainsBlanks" dxfId="3" priority="6">
      <formula>LEN(TRIM(E3))&gt;0</formula>
    </cfRule>
  </conditionalFormatting>
  <conditionalFormatting sqref="C3:C4">
    <cfRule type="notContainsErrors" dxfId="2" priority="2" stopIfTrue="1">
      <formula>NOT(ISERROR(C3))</formula>
    </cfRule>
  </conditionalFormatting>
  <conditionalFormatting sqref="C3:C4">
    <cfRule type="containsErrors" dxfId="1" priority="1" stopIfTrue="1">
      <formula>ISERROR(C3)</formula>
    </cfRule>
    <cfRule type="notContainsBlanks" dxfId="0" priority="3">
      <formula>LEN(TRIM(C3))&gt;0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66</vt:i4>
      </vt:variant>
    </vt:vector>
  </HeadingPairs>
  <TitlesOfParts>
    <vt:vector size="66" baseType="lpstr">
      <vt:lpstr>Sheets</vt:lpstr>
      <vt:lpstr>Result</vt:lpstr>
      <vt:lpstr>Empty</vt:lpstr>
      <vt:lpstr>Anomalous Gem</vt:lpstr>
      <vt:lpstr>Divergent Support Gem</vt:lpstr>
      <vt:lpstr>Phantasmal Gem</vt:lpstr>
      <vt:lpstr>Chaos Orb</vt:lpstr>
      <vt:lpstr>Resonator</vt:lpstr>
      <vt:lpstr>Card</vt:lpstr>
      <vt:lpstr>Metamorph Sample</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Charms</vt:lpstr>
      <vt:lpstr>Tinctures</vt:lpstr>
      <vt:lpstr>Corspes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2023-12-09T21:48:44Z</dcterms:modified>
</cp:coreProperties>
</file>