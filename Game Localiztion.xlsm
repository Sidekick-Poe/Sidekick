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epos\Sidekick\"/>
    </mc:Choice>
  </mc:AlternateContent>
  <xr:revisionPtr revIDLastSave="0" documentId="13_ncr:1_{BF0C9977-A7FE-41EC-86C6-F5B910C8A149}" xr6:coauthVersionLast="47" xr6:coauthVersionMax="47" xr10:uidLastSave="{00000000-0000-0000-0000-000000000000}"/>
  <bookViews>
    <workbookView xWindow="-120" yWindow="-120" windowWidth="38640" windowHeight="21120" tabRatio="822" activeTab="1" xr2:uid="{E781D705-06FC-40F3-B1CD-33347556BC5A}"/>
  </bookViews>
  <sheets>
    <sheet name="Sheets" sheetId="39" r:id="rId1"/>
    <sheet name="Result" sheetId="2" r:id="rId2"/>
    <sheet name="Empty" sheetId="31" r:id="rId3"/>
    <sheet name="Anomalous Gem" sheetId="41" r:id="rId4"/>
    <sheet name="Divergent Support Gem" sheetId="15" r:id="rId5"/>
    <sheet name="Phantasmal Gem" sheetId="30" r:id="rId6"/>
    <sheet name="Chaos Orb" sheetId="35" r:id="rId7"/>
    <sheet name="Resonator" sheetId="38" r:id="rId8"/>
    <sheet name="Card" sheetId="32" r:id="rId9"/>
    <sheet name="Metamorph Sample" sheetId="40" r:id="rId10"/>
    <sheet name="Blighted Map" sheetId="29" r:id="rId11"/>
    <sheet name="Blight-ravaged Map" sheetId="47" r:id="rId12"/>
    <sheet name="Blueprint" sheetId="50" r:id="rId13"/>
    <sheet name="Contract" sheetId="54" r:id="rId14"/>
    <sheet name="Logbook" sheetId="36" r:id="rId15"/>
    <sheet name="Map" sheetId="34" r:id="rId16"/>
    <sheet name="Map Fragment" sheetId="48" r:id="rId17"/>
    <sheet name="Memory" sheetId="56" r:id="rId18"/>
    <sheet name="Misc Map Item" sheetId="49" r:id="rId19"/>
    <sheet name="Tome" sheetId="64" r:id="rId20"/>
    <sheet name="Hybrid Flask" sheetId="45" r:id="rId21"/>
    <sheet name="Mana Flask" sheetId="44" r:id="rId22"/>
    <sheet name="Life Flask" sheetId="43" r:id="rId23"/>
    <sheet name="Magic Utility Flask" sheetId="27" r:id="rId24"/>
    <sheet name="Foiled Amulet" sheetId="42" r:id="rId25"/>
    <sheet name="Unidentified ring" sheetId="33" r:id="rId26"/>
    <sheet name="Abyssus" sheetId="25" r:id="rId27"/>
    <sheet name="Carcass Jack" sheetId="24" r:id="rId28"/>
    <sheet name="Mistwall" sheetId="26" r:id="rId29"/>
    <sheet name="White Wind" sheetId="5" r:id="rId30"/>
    <sheet name="Crusader" sheetId="57" r:id="rId31"/>
    <sheet name="Elder" sheetId="60" r:id="rId32"/>
    <sheet name="Hunter" sheetId="62" r:id="rId33"/>
    <sheet name="Redeemer" sheetId="58" r:id="rId34"/>
    <sheet name="Shaper" sheetId="61" r:id="rId35"/>
    <sheet name="Warlord" sheetId="59" r:id="rId36"/>
    <sheet name="Abyssal Jewel" sheetId="63" r:id="rId37"/>
    <sheet name="Belt" sheetId="1" r:id="rId38"/>
    <sheet name="Boots" sheetId="23" r:id="rId39"/>
    <sheet name="Gloves" sheetId="22" r:id="rId40"/>
    <sheet name="Bow" sheetId="18" r:id="rId41"/>
    <sheet name="Claw" sheetId="4" r:id="rId42"/>
    <sheet name="Dagger" sheetId="6" r:id="rId43"/>
    <sheet name="Jewel" sheetId="46" r:id="rId44"/>
    <sheet name="Quiver" sheetId="21" r:id="rId45"/>
    <sheet name="Sceptre" sheetId="17" r:id="rId46"/>
    <sheet name="Staff" sheetId="19" r:id="rId47"/>
    <sheet name="Wand" sheetId="7" r:id="rId48"/>
    <sheet name="Warstaff" sheetId="20" r:id="rId49"/>
    <sheet name="1H Sword" sheetId="8" r:id="rId50"/>
    <sheet name="1H Thrusting Sword" sheetId="9" r:id="rId51"/>
    <sheet name="2H Sword" sheetId="10" r:id="rId52"/>
    <sheet name="1H Axe" sheetId="11" r:id="rId53"/>
    <sheet name="2H Axe" sheetId="12" r:id="rId54"/>
    <sheet name="1H Mace" sheetId="13" r:id="rId55"/>
    <sheet name="2H Mace" sheetId="14" r:id="rId56"/>
    <sheet name="Heist Brooch" sheetId="28" r:id="rId57"/>
    <sheet name="Heist Cloak" sheetId="51" r:id="rId58"/>
    <sheet name="Heist Gear" sheetId="52" r:id="rId59"/>
    <sheet name="Heist Target" sheetId="55" r:id="rId60"/>
    <sheet name="Heist Tool" sheetId="53" r:id="rId61"/>
    <sheet name="Heist Trinket" sheetId="65" r:id="rId62"/>
    <sheet name="Fishing Rod" sheetId="66" r:id="rId63"/>
  </sheets>
  <definedNames>
    <definedName name="LISTSHEETS">REPLACE(GET.WORKBOOK(1),1,FIND("]",GET.WORKBOOK(1)),"")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2" i="2" l="1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57" i="2"/>
  <c r="T56" i="2"/>
  <c r="T55" i="2"/>
  <c r="T54" i="2"/>
  <c r="T53" i="2"/>
  <c r="T52" i="2"/>
  <c r="T50" i="2"/>
  <c r="T49" i="2"/>
  <c r="T48" i="2"/>
  <c r="T47" i="2"/>
  <c r="T46" i="2"/>
  <c r="T45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2" i="2"/>
  <c r="T11" i="2"/>
  <c r="T10" i="2"/>
  <c r="T9" i="2"/>
  <c r="T7" i="2"/>
  <c r="T5" i="2"/>
  <c r="T4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57" i="2"/>
  <c r="R56" i="2"/>
  <c r="R55" i="2"/>
  <c r="R54" i="2"/>
  <c r="R53" i="2"/>
  <c r="R52" i="2"/>
  <c r="R50" i="2"/>
  <c r="R49" i="2"/>
  <c r="R48" i="2"/>
  <c r="R47" i="2"/>
  <c r="R46" i="2"/>
  <c r="R45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0" i="2"/>
  <c r="R19" i="2"/>
  <c r="R18" i="2"/>
  <c r="R17" i="2"/>
  <c r="R16" i="2"/>
  <c r="R15" i="2"/>
  <c r="R14" i="2"/>
  <c r="R12" i="2"/>
  <c r="R11" i="2"/>
  <c r="R10" i="2"/>
  <c r="R9" i="2"/>
  <c r="R7" i="2"/>
  <c r="R5" i="2"/>
  <c r="R4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57" i="2"/>
  <c r="P56" i="2"/>
  <c r="P55" i="2"/>
  <c r="P54" i="2"/>
  <c r="P53" i="2"/>
  <c r="P52" i="2"/>
  <c r="P50" i="2"/>
  <c r="P49" i="2"/>
  <c r="P48" i="2"/>
  <c r="P47" i="2"/>
  <c r="P46" i="2"/>
  <c r="P45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0" i="2"/>
  <c r="P19" i="2"/>
  <c r="P18" i="2"/>
  <c r="P17" i="2"/>
  <c r="P16" i="2"/>
  <c r="P15" i="2"/>
  <c r="P14" i="2"/>
  <c r="P12" i="2"/>
  <c r="P11" i="2"/>
  <c r="P10" i="2"/>
  <c r="P9" i="2"/>
  <c r="P7" i="2"/>
  <c r="P5" i="2"/>
  <c r="P4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57" i="2"/>
  <c r="N56" i="2"/>
  <c r="N55" i="2"/>
  <c r="N54" i="2"/>
  <c r="N53" i="2"/>
  <c r="N52" i="2"/>
  <c r="N50" i="2"/>
  <c r="N49" i="2"/>
  <c r="N48" i="2"/>
  <c r="N47" i="2"/>
  <c r="N46" i="2"/>
  <c r="N45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0" i="2"/>
  <c r="N19" i="2"/>
  <c r="N18" i="2"/>
  <c r="N17" i="2"/>
  <c r="N16" i="2"/>
  <c r="N15" i="2"/>
  <c r="N14" i="2"/>
  <c r="N12" i="2"/>
  <c r="N11" i="2"/>
  <c r="N10" i="2"/>
  <c r="N9" i="2"/>
  <c r="N7" i="2"/>
  <c r="N5" i="2"/>
  <c r="N4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57" i="2"/>
  <c r="L56" i="2"/>
  <c r="L55" i="2"/>
  <c r="L54" i="2"/>
  <c r="L53" i="2"/>
  <c r="L52" i="2"/>
  <c r="L50" i="2"/>
  <c r="L49" i="2"/>
  <c r="L48" i="2"/>
  <c r="L47" i="2"/>
  <c r="L46" i="2"/>
  <c r="L45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0" i="2"/>
  <c r="L19" i="2"/>
  <c r="L18" i="2"/>
  <c r="L17" i="2"/>
  <c r="L16" i="2"/>
  <c r="L15" i="2"/>
  <c r="L14" i="2"/>
  <c r="L12" i="2"/>
  <c r="L11" i="2"/>
  <c r="L10" i="2"/>
  <c r="L9" i="2"/>
  <c r="L7" i="2"/>
  <c r="L5" i="2"/>
  <c r="L4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57" i="2"/>
  <c r="J56" i="2"/>
  <c r="J55" i="2"/>
  <c r="J54" i="2"/>
  <c r="J53" i="2"/>
  <c r="J52" i="2"/>
  <c r="J50" i="2"/>
  <c r="J49" i="2"/>
  <c r="J48" i="2"/>
  <c r="J47" i="2"/>
  <c r="J46" i="2"/>
  <c r="J45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0" i="2"/>
  <c r="J19" i="2"/>
  <c r="J18" i="2"/>
  <c r="J17" i="2"/>
  <c r="J16" i="2"/>
  <c r="J15" i="2"/>
  <c r="J14" i="2"/>
  <c r="J12" i="2"/>
  <c r="J11" i="2"/>
  <c r="J10" i="2"/>
  <c r="J9" i="2"/>
  <c r="J7" i="2"/>
  <c r="J5" i="2"/>
  <c r="J4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57" i="2"/>
  <c r="F56" i="2"/>
  <c r="F55" i="2"/>
  <c r="F54" i="2"/>
  <c r="F53" i="2"/>
  <c r="F52" i="2"/>
  <c r="F50" i="2"/>
  <c r="F49" i="2"/>
  <c r="F48" i="2"/>
  <c r="F47" i="2"/>
  <c r="F46" i="2"/>
  <c r="F45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0" i="2"/>
  <c r="F19" i="2"/>
  <c r="F18" i="2"/>
  <c r="F17" i="2"/>
  <c r="F16" i="2"/>
  <c r="F15" i="2"/>
  <c r="F14" i="2"/>
  <c r="F12" i="2"/>
  <c r="F11" i="2"/>
  <c r="F10" i="2"/>
  <c r="F9" i="2"/>
  <c r="F7" i="2"/>
  <c r="F5" i="2"/>
  <c r="F4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57" i="2"/>
  <c r="D56" i="2"/>
  <c r="D55" i="2"/>
  <c r="D54" i="2"/>
  <c r="D53" i="2"/>
  <c r="D52" i="2"/>
  <c r="D50" i="2"/>
  <c r="D49" i="2"/>
  <c r="D48" i="2"/>
  <c r="D47" i="2"/>
  <c r="D46" i="2"/>
  <c r="D45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0" i="2"/>
  <c r="D19" i="2"/>
  <c r="D18" i="2"/>
  <c r="D17" i="2"/>
  <c r="D16" i="2"/>
  <c r="D15" i="2"/>
  <c r="D14" i="2"/>
  <c r="D12" i="2"/>
  <c r="D11" i="2"/>
  <c r="D10" i="2"/>
  <c r="D9" i="2"/>
  <c r="D7" i="2"/>
  <c r="D5" i="2"/>
  <c r="D4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57" i="2"/>
  <c r="H56" i="2"/>
  <c r="H55" i="2"/>
  <c r="H54" i="2"/>
  <c r="H53" i="2"/>
  <c r="H52" i="2"/>
  <c r="H50" i="2"/>
  <c r="H49" i="2"/>
  <c r="H48" i="2"/>
  <c r="H47" i="2"/>
  <c r="H46" i="2"/>
  <c r="H45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0" i="2"/>
  <c r="H19" i="2"/>
  <c r="H18" i="2"/>
  <c r="H17" i="2"/>
  <c r="H16" i="2"/>
  <c r="H15" i="2"/>
  <c r="H14" i="2"/>
  <c r="H12" i="2"/>
  <c r="H11" i="2"/>
  <c r="H10" i="2"/>
  <c r="H9" i="2"/>
  <c r="H7" i="2"/>
  <c r="H5" i="2"/>
  <c r="H4" i="2"/>
  <c r="B50" i="2"/>
  <c r="B49" i="2"/>
  <c r="B48" i="2"/>
  <c r="B47" i="2"/>
  <c r="B46" i="2"/>
  <c r="B45" i="2"/>
  <c r="H7" i="47"/>
  <c r="H10" i="29"/>
  <c r="H7" i="43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57" i="2"/>
  <c r="S56" i="2"/>
  <c r="S55" i="2"/>
  <c r="S54" i="2"/>
  <c r="S53" i="2"/>
  <c r="S52" i="2"/>
  <c r="S50" i="2"/>
  <c r="S49" i="2"/>
  <c r="S48" i="2"/>
  <c r="S47" i="2"/>
  <c r="S46" i="2"/>
  <c r="S45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57" i="2"/>
  <c r="Q56" i="2"/>
  <c r="Q55" i="2"/>
  <c r="Q54" i="2"/>
  <c r="Q53" i="2"/>
  <c r="Q52" i="2"/>
  <c r="Q50" i="2"/>
  <c r="Q49" i="2"/>
  <c r="Q48" i="2"/>
  <c r="Q47" i="2"/>
  <c r="Q46" i="2"/>
  <c r="Q45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0" i="2"/>
  <c r="Q19" i="2"/>
  <c r="Q18" i="2"/>
  <c r="Q17" i="2"/>
  <c r="Q16" i="2"/>
  <c r="Q15" i="2"/>
  <c r="Q14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57" i="2"/>
  <c r="O56" i="2"/>
  <c r="O55" i="2"/>
  <c r="O54" i="2"/>
  <c r="O53" i="2"/>
  <c r="O52" i="2"/>
  <c r="O50" i="2"/>
  <c r="O49" i="2"/>
  <c r="O48" i="2"/>
  <c r="O47" i="2"/>
  <c r="O46" i="2"/>
  <c r="O45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0" i="2"/>
  <c r="O19" i="2"/>
  <c r="O18" i="2"/>
  <c r="O17" i="2"/>
  <c r="O16" i="2"/>
  <c r="O15" i="2"/>
  <c r="O14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57" i="2"/>
  <c r="M56" i="2"/>
  <c r="M55" i="2"/>
  <c r="M54" i="2"/>
  <c r="M53" i="2"/>
  <c r="M52" i="2"/>
  <c r="M50" i="2"/>
  <c r="M49" i="2"/>
  <c r="M48" i="2"/>
  <c r="M47" i="2"/>
  <c r="M46" i="2"/>
  <c r="M45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0" i="2"/>
  <c r="M19" i="2"/>
  <c r="M18" i="2"/>
  <c r="M17" i="2"/>
  <c r="M16" i="2"/>
  <c r="M15" i="2"/>
  <c r="M14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57" i="2"/>
  <c r="K56" i="2"/>
  <c r="K55" i="2"/>
  <c r="K54" i="2"/>
  <c r="K53" i="2"/>
  <c r="K52" i="2"/>
  <c r="K50" i="2"/>
  <c r="K49" i="2"/>
  <c r="K48" i="2"/>
  <c r="K47" i="2"/>
  <c r="K46" i="2"/>
  <c r="K45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0" i="2"/>
  <c r="K19" i="2"/>
  <c r="K18" i="2"/>
  <c r="K17" i="2"/>
  <c r="K16" i="2"/>
  <c r="K15" i="2"/>
  <c r="K14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57" i="2"/>
  <c r="I56" i="2"/>
  <c r="I55" i="2"/>
  <c r="I54" i="2"/>
  <c r="I53" i="2"/>
  <c r="I52" i="2"/>
  <c r="I50" i="2"/>
  <c r="I49" i="2"/>
  <c r="I48" i="2"/>
  <c r="I47" i="2"/>
  <c r="I46" i="2"/>
  <c r="I45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0" i="2"/>
  <c r="I19" i="2"/>
  <c r="I18" i="2"/>
  <c r="I17" i="2"/>
  <c r="I16" i="2"/>
  <c r="I15" i="2"/>
  <c r="I14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57" i="2"/>
  <c r="G56" i="2"/>
  <c r="G55" i="2"/>
  <c r="G54" i="2"/>
  <c r="G53" i="2"/>
  <c r="G52" i="2"/>
  <c r="G50" i="2"/>
  <c r="G49" i="2"/>
  <c r="G48" i="2"/>
  <c r="G47" i="2"/>
  <c r="G46" i="2"/>
  <c r="G45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0" i="2"/>
  <c r="G19" i="2"/>
  <c r="G18" i="2"/>
  <c r="G17" i="2"/>
  <c r="G16" i="2"/>
  <c r="G15" i="2"/>
  <c r="G14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57" i="2"/>
  <c r="E56" i="2"/>
  <c r="E55" i="2"/>
  <c r="E54" i="2"/>
  <c r="E53" i="2"/>
  <c r="E52" i="2"/>
  <c r="E50" i="2"/>
  <c r="E49" i="2"/>
  <c r="E48" i="2"/>
  <c r="E47" i="2"/>
  <c r="E46" i="2"/>
  <c r="E45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0" i="2"/>
  <c r="E19" i="2"/>
  <c r="E18" i="2"/>
  <c r="E17" i="2"/>
  <c r="E16" i="2"/>
  <c r="E15" i="2"/>
  <c r="E14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57" i="2"/>
  <c r="C56" i="2"/>
  <c r="C55" i="2"/>
  <c r="C54" i="2"/>
  <c r="C53" i="2"/>
  <c r="C52" i="2"/>
  <c r="C50" i="2"/>
  <c r="C49" i="2"/>
  <c r="C48" i="2"/>
  <c r="C47" i="2"/>
  <c r="C46" i="2"/>
  <c r="C45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A103" i="2"/>
  <c r="T6" i="66"/>
  <c r="R6" i="66"/>
  <c r="P6" i="66"/>
  <c r="N6" i="66"/>
  <c r="L6" i="66"/>
  <c r="J6" i="66"/>
  <c r="H6" i="66"/>
  <c r="F6" i="66"/>
  <c r="D6" i="66"/>
  <c r="B6" i="66"/>
  <c r="T5" i="66"/>
  <c r="R5" i="66"/>
  <c r="P5" i="66"/>
  <c r="N5" i="66"/>
  <c r="L5" i="66"/>
  <c r="J5" i="66"/>
  <c r="H5" i="66"/>
  <c r="F5" i="66"/>
  <c r="D5" i="66"/>
  <c r="B5" i="66"/>
  <c r="T4" i="66"/>
  <c r="R4" i="66"/>
  <c r="P4" i="66"/>
  <c r="N4" i="66"/>
  <c r="L4" i="66"/>
  <c r="J4" i="66"/>
  <c r="H4" i="66"/>
  <c r="F4" i="66"/>
  <c r="D4" i="66"/>
  <c r="B4" i="66"/>
  <c r="T3" i="66"/>
  <c r="R3" i="66"/>
  <c r="P3" i="66"/>
  <c r="N3" i="66"/>
  <c r="L3" i="66"/>
  <c r="J3" i="66"/>
  <c r="H3" i="66"/>
  <c r="F3" i="66"/>
  <c r="D3" i="66"/>
  <c r="B3" i="66"/>
  <c r="A1" i="66"/>
  <c r="A109" i="2"/>
  <c r="T6" i="65"/>
  <c r="R6" i="65"/>
  <c r="P6" i="65"/>
  <c r="N6" i="65"/>
  <c r="L6" i="65"/>
  <c r="J6" i="65"/>
  <c r="H6" i="65"/>
  <c r="F6" i="65"/>
  <c r="D6" i="65"/>
  <c r="B6" i="65"/>
  <c r="T5" i="65"/>
  <c r="R5" i="65"/>
  <c r="P5" i="65"/>
  <c r="N5" i="65"/>
  <c r="L5" i="65"/>
  <c r="J5" i="65"/>
  <c r="H5" i="65"/>
  <c r="F5" i="65"/>
  <c r="D5" i="65"/>
  <c r="B5" i="65"/>
  <c r="T4" i="65"/>
  <c r="R4" i="65"/>
  <c r="P4" i="65"/>
  <c r="N4" i="65"/>
  <c r="L4" i="65"/>
  <c r="J4" i="65"/>
  <c r="H4" i="65"/>
  <c r="F4" i="65"/>
  <c r="D4" i="65"/>
  <c r="B4" i="65"/>
  <c r="T3" i="65"/>
  <c r="R3" i="65"/>
  <c r="P3" i="65"/>
  <c r="N3" i="65"/>
  <c r="L3" i="65"/>
  <c r="J3" i="65"/>
  <c r="H3" i="65"/>
  <c r="F3" i="65"/>
  <c r="D3" i="65"/>
  <c r="B3" i="65"/>
  <c r="A1" i="65"/>
  <c r="G26" i="19" a="1"/>
  <c r="G26" i="19" s="1"/>
  <c r="G23" i="21"/>
  <c r="G17" i="46" a="1"/>
  <c r="G17" i="46" s="1"/>
  <c r="B93" i="2"/>
  <c r="B34" i="2"/>
  <c r="A112" i="2"/>
  <c r="T6" i="64"/>
  <c r="R6" i="64"/>
  <c r="P6" i="64"/>
  <c r="N6" i="64"/>
  <c r="L6" i="64"/>
  <c r="J6" i="64"/>
  <c r="H6" i="64"/>
  <c r="F6" i="64"/>
  <c r="D6" i="64"/>
  <c r="B6" i="64"/>
  <c r="T5" i="64"/>
  <c r="R5" i="64"/>
  <c r="P5" i="64"/>
  <c r="N5" i="64"/>
  <c r="L5" i="64"/>
  <c r="J5" i="64"/>
  <c r="H5" i="64"/>
  <c r="F5" i="64"/>
  <c r="D5" i="64"/>
  <c r="B5" i="64"/>
  <c r="T4" i="64"/>
  <c r="R4" i="64"/>
  <c r="P4" i="64"/>
  <c r="N4" i="64"/>
  <c r="L4" i="64"/>
  <c r="J4" i="64"/>
  <c r="H4" i="64"/>
  <c r="F4" i="64"/>
  <c r="D4" i="64"/>
  <c r="B4" i="64"/>
  <c r="T3" i="64"/>
  <c r="R3" i="64"/>
  <c r="P3" i="64"/>
  <c r="N3" i="64"/>
  <c r="L3" i="64"/>
  <c r="J3" i="64"/>
  <c r="H3" i="64"/>
  <c r="F3" i="64"/>
  <c r="D3" i="64"/>
  <c r="B3" i="64"/>
  <c r="A1" i="64"/>
  <c r="A57" i="2"/>
  <c r="A56" i="2"/>
  <c r="A55" i="2"/>
  <c r="A54" i="2"/>
  <c r="A53" i="2"/>
  <c r="A52" i="2"/>
  <c r="A108" i="2"/>
  <c r="T6" i="63"/>
  <c r="R6" i="63"/>
  <c r="P6" i="63"/>
  <c r="N6" i="63"/>
  <c r="L6" i="63"/>
  <c r="J6" i="63"/>
  <c r="H6" i="63"/>
  <c r="F6" i="63"/>
  <c r="D6" i="63"/>
  <c r="B6" i="63"/>
  <c r="T5" i="63"/>
  <c r="R5" i="63"/>
  <c r="P5" i="63"/>
  <c r="N5" i="63"/>
  <c r="L5" i="63"/>
  <c r="J5" i="63"/>
  <c r="H5" i="63"/>
  <c r="F5" i="63"/>
  <c r="D5" i="63"/>
  <c r="B5" i="63"/>
  <c r="T4" i="63"/>
  <c r="R4" i="63"/>
  <c r="P4" i="63"/>
  <c r="N4" i="63"/>
  <c r="L4" i="63"/>
  <c r="J4" i="63"/>
  <c r="H4" i="63"/>
  <c r="F4" i="63"/>
  <c r="D4" i="63"/>
  <c r="B4" i="63"/>
  <c r="T3" i="63"/>
  <c r="R3" i="63"/>
  <c r="P3" i="63"/>
  <c r="N3" i="63"/>
  <c r="L3" i="63"/>
  <c r="J3" i="63"/>
  <c r="H3" i="63"/>
  <c r="F3" i="63"/>
  <c r="D3" i="63"/>
  <c r="B3" i="63"/>
  <c r="A1" i="63"/>
  <c r="T20" i="57"/>
  <c r="R20" i="57"/>
  <c r="P20" i="57"/>
  <c r="N20" i="57"/>
  <c r="L20" i="57"/>
  <c r="J20" i="57"/>
  <c r="H20" i="57"/>
  <c r="F20" i="57"/>
  <c r="D20" i="57"/>
  <c r="B20" i="57"/>
  <c r="T21" i="58"/>
  <c r="R21" i="58"/>
  <c r="P21" i="58"/>
  <c r="N21" i="58"/>
  <c r="L21" i="58"/>
  <c r="J21" i="58"/>
  <c r="H21" i="58"/>
  <c r="F21" i="58"/>
  <c r="D21" i="58"/>
  <c r="B21" i="58"/>
  <c r="T27" i="60"/>
  <c r="R27" i="60"/>
  <c r="P27" i="60"/>
  <c r="N27" i="60"/>
  <c r="L27" i="60"/>
  <c r="J27" i="60"/>
  <c r="H27" i="60"/>
  <c r="F27" i="60"/>
  <c r="D27" i="60"/>
  <c r="B27" i="60"/>
  <c r="T23" i="62"/>
  <c r="R23" i="62"/>
  <c r="P23" i="62"/>
  <c r="N23" i="62"/>
  <c r="L23" i="62"/>
  <c r="J23" i="62"/>
  <c r="H23" i="62"/>
  <c r="F23" i="62"/>
  <c r="D23" i="62"/>
  <c r="B23" i="62"/>
  <c r="T23" i="61"/>
  <c r="R23" i="61"/>
  <c r="P23" i="61"/>
  <c r="N23" i="61"/>
  <c r="L23" i="61"/>
  <c r="J23" i="61"/>
  <c r="H23" i="61"/>
  <c r="F23" i="61"/>
  <c r="D23" i="61"/>
  <c r="B23" i="61"/>
  <c r="T24" i="59"/>
  <c r="R24" i="59"/>
  <c r="P24" i="59"/>
  <c r="N24" i="59"/>
  <c r="L24" i="59"/>
  <c r="J24" i="59"/>
  <c r="H24" i="59"/>
  <c r="F24" i="59"/>
  <c r="D24" i="59"/>
  <c r="B24" i="59"/>
  <c r="T6" i="62"/>
  <c r="R6" i="62"/>
  <c r="P6" i="62"/>
  <c r="N6" i="62"/>
  <c r="L6" i="62"/>
  <c r="J6" i="62"/>
  <c r="H6" i="62"/>
  <c r="F6" i="62"/>
  <c r="D6" i="62"/>
  <c r="B6" i="62"/>
  <c r="T5" i="62"/>
  <c r="R5" i="62"/>
  <c r="P5" i="62"/>
  <c r="N5" i="62"/>
  <c r="L5" i="62"/>
  <c r="J5" i="62"/>
  <c r="H5" i="62"/>
  <c r="F5" i="62"/>
  <c r="D5" i="62"/>
  <c r="B5" i="62"/>
  <c r="T4" i="62"/>
  <c r="R4" i="62"/>
  <c r="P4" i="62"/>
  <c r="N4" i="62"/>
  <c r="L4" i="62"/>
  <c r="J4" i="62"/>
  <c r="H4" i="62"/>
  <c r="F4" i="62"/>
  <c r="D4" i="62"/>
  <c r="B4" i="62"/>
  <c r="T3" i="62"/>
  <c r="R3" i="62"/>
  <c r="P3" i="62"/>
  <c r="N3" i="62"/>
  <c r="L3" i="62"/>
  <c r="J3" i="62"/>
  <c r="H3" i="62"/>
  <c r="F3" i="62"/>
  <c r="D3" i="62"/>
  <c r="B3" i="62"/>
  <c r="A1" i="62"/>
  <c r="T6" i="61"/>
  <c r="R6" i="61"/>
  <c r="P6" i="61"/>
  <c r="N6" i="61"/>
  <c r="L6" i="61"/>
  <c r="J6" i="61"/>
  <c r="H6" i="61"/>
  <c r="F6" i="61"/>
  <c r="D6" i="61"/>
  <c r="B6" i="61"/>
  <c r="T5" i="61"/>
  <c r="R5" i="61"/>
  <c r="P5" i="61"/>
  <c r="N5" i="61"/>
  <c r="L5" i="61"/>
  <c r="J5" i="61"/>
  <c r="H5" i="61"/>
  <c r="F5" i="61"/>
  <c r="D5" i="61"/>
  <c r="B5" i="61"/>
  <c r="T4" i="61"/>
  <c r="R4" i="61"/>
  <c r="P4" i="61"/>
  <c r="N4" i="61"/>
  <c r="L4" i="61"/>
  <c r="J4" i="61"/>
  <c r="H4" i="61"/>
  <c r="F4" i="61"/>
  <c r="D4" i="61"/>
  <c r="B4" i="61"/>
  <c r="T3" i="61"/>
  <c r="R3" i="61"/>
  <c r="P3" i="61"/>
  <c r="N3" i="61"/>
  <c r="L3" i="61"/>
  <c r="J3" i="61"/>
  <c r="H3" i="61"/>
  <c r="F3" i="61"/>
  <c r="D3" i="61"/>
  <c r="B3" i="61"/>
  <c r="A1" i="61"/>
  <c r="T6" i="60"/>
  <c r="R6" i="60"/>
  <c r="P6" i="60"/>
  <c r="N6" i="60"/>
  <c r="L6" i="60"/>
  <c r="J6" i="60"/>
  <c r="H6" i="60"/>
  <c r="F6" i="60"/>
  <c r="D6" i="60"/>
  <c r="B6" i="60"/>
  <c r="T5" i="60"/>
  <c r="R5" i="60"/>
  <c r="P5" i="60"/>
  <c r="N5" i="60"/>
  <c r="L5" i="60"/>
  <c r="J5" i="60"/>
  <c r="H5" i="60"/>
  <c r="F5" i="60"/>
  <c r="D5" i="60"/>
  <c r="B5" i="60"/>
  <c r="T4" i="60"/>
  <c r="R4" i="60"/>
  <c r="P4" i="60"/>
  <c r="N4" i="60"/>
  <c r="L4" i="60"/>
  <c r="J4" i="60"/>
  <c r="H4" i="60"/>
  <c r="F4" i="60"/>
  <c r="D4" i="60"/>
  <c r="B4" i="60"/>
  <c r="T3" i="60"/>
  <c r="R3" i="60"/>
  <c r="P3" i="60"/>
  <c r="N3" i="60"/>
  <c r="L3" i="60"/>
  <c r="J3" i="60"/>
  <c r="H3" i="60"/>
  <c r="F3" i="60"/>
  <c r="D3" i="60"/>
  <c r="B3" i="60"/>
  <c r="A1" i="60"/>
  <c r="T6" i="59"/>
  <c r="R6" i="59"/>
  <c r="P6" i="59"/>
  <c r="N6" i="59"/>
  <c r="L6" i="59"/>
  <c r="J6" i="59"/>
  <c r="H6" i="59"/>
  <c r="F6" i="59"/>
  <c r="D6" i="59"/>
  <c r="B6" i="59"/>
  <c r="T5" i="59"/>
  <c r="R5" i="59"/>
  <c r="P5" i="59"/>
  <c r="N5" i="59"/>
  <c r="L5" i="59"/>
  <c r="J5" i="59"/>
  <c r="H5" i="59"/>
  <c r="F5" i="59"/>
  <c r="D5" i="59"/>
  <c r="B5" i="59"/>
  <c r="T4" i="59"/>
  <c r="R4" i="59"/>
  <c r="P4" i="59"/>
  <c r="N4" i="59"/>
  <c r="L4" i="59"/>
  <c r="J4" i="59"/>
  <c r="H4" i="59"/>
  <c r="F4" i="59"/>
  <c r="D4" i="59"/>
  <c r="B4" i="59"/>
  <c r="T3" i="59"/>
  <c r="R3" i="59"/>
  <c r="P3" i="59"/>
  <c r="N3" i="59"/>
  <c r="L3" i="59"/>
  <c r="J3" i="59"/>
  <c r="H3" i="59"/>
  <c r="F3" i="59"/>
  <c r="D3" i="59"/>
  <c r="B3" i="59"/>
  <c r="A1" i="59"/>
  <c r="T6" i="58"/>
  <c r="R6" i="58"/>
  <c r="P6" i="58"/>
  <c r="N6" i="58"/>
  <c r="L6" i="58"/>
  <c r="J6" i="58"/>
  <c r="H6" i="58"/>
  <c r="F6" i="58"/>
  <c r="D6" i="58"/>
  <c r="B6" i="58"/>
  <c r="T5" i="58"/>
  <c r="R5" i="58"/>
  <c r="P5" i="58"/>
  <c r="N5" i="58"/>
  <c r="L5" i="58"/>
  <c r="J5" i="58"/>
  <c r="H5" i="58"/>
  <c r="F5" i="58"/>
  <c r="D5" i="58"/>
  <c r="B5" i="58"/>
  <c r="T4" i="58"/>
  <c r="R4" i="58"/>
  <c r="P4" i="58"/>
  <c r="N4" i="58"/>
  <c r="L4" i="58"/>
  <c r="J4" i="58"/>
  <c r="H4" i="58"/>
  <c r="F4" i="58"/>
  <c r="D4" i="58"/>
  <c r="B4" i="58"/>
  <c r="T3" i="58"/>
  <c r="R3" i="58"/>
  <c r="P3" i="58"/>
  <c r="N3" i="58"/>
  <c r="L3" i="58"/>
  <c r="J3" i="58"/>
  <c r="H3" i="58"/>
  <c r="F3" i="58"/>
  <c r="D3" i="58"/>
  <c r="B3" i="58"/>
  <c r="A1" i="58"/>
  <c r="T6" i="57"/>
  <c r="R6" i="57"/>
  <c r="P6" i="57"/>
  <c r="N6" i="57"/>
  <c r="L6" i="57"/>
  <c r="J6" i="57"/>
  <c r="H6" i="57"/>
  <c r="F6" i="57"/>
  <c r="D6" i="57"/>
  <c r="B6" i="57"/>
  <c r="T5" i="57"/>
  <c r="R5" i="57"/>
  <c r="P5" i="57"/>
  <c r="N5" i="57"/>
  <c r="L5" i="57"/>
  <c r="J5" i="57"/>
  <c r="H5" i="57"/>
  <c r="F5" i="57"/>
  <c r="D5" i="57"/>
  <c r="B5" i="57"/>
  <c r="T4" i="57"/>
  <c r="R4" i="57"/>
  <c r="P4" i="57"/>
  <c r="N4" i="57"/>
  <c r="L4" i="57"/>
  <c r="J4" i="57"/>
  <c r="H4" i="57"/>
  <c r="F4" i="57"/>
  <c r="D4" i="57"/>
  <c r="B4" i="57"/>
  <c r="T3" i="57"/>
  <c r="R3" i="57"/>
  <c r="P3" i="57"/>
  <c r="N3" i="57"/>
  <c r="L3" i="57"/>
  <c r="J3" i="57"/>
  <c r="H3" i="57"/>
  <c r="F3" i="57"/>
  <c r="D3" i="57"/>
  <c r="B3" i="57"/>
  <c r="A1" i="57"/>
  <c r="A111" i="2"/>
  <c r="T6" i="56"/>
  <c r="R6" i="56"/>
  <c r="P6" i="56"/>
  <c r="N6" i="56"/>
  <c r="L6" i="56"/>
  <c r="J6" i="56"/>
  <c r="H6" i="56"/>
  <c r="F6" i="56"/>
  <c r="D6" i="56"/>
  <c r="B6" i="56"/>
  <c r="T5" i="56"/>
  <c r="R5" i="56"/>
  <c r="P5" i="56"/>
  <c r="N5" i="56"/>
  <c r="L5" i="56"/>
  <c r="J5" i="56"/>
  <c r="H5" i="56"/>
  <c r="F5" i="56"/>
  <c r="D5" i="56"/>
  <c r="B5" i="56"/>
  <c r="T4" i="56"/>
  <c r="R4" i="56"/>
  <c r="P4" i="56"/>
  <c r="N4" i="56"/>
  <c r="L4" i="56"/>
  <c r="J4" i="56"/>
  <c r="H4" i="56"/>
  <c r="F4" i="56"/>
  <c r="D4" i="56"/>
  <c r="B4" i="56"/>
  <c r="T3" i="56"/>
  <c r="R3" i="56"/>
  <c r="P3" i="56"/>
  <c r="N3" i="56"/>
  <c r="L3" i="56"/>
  <c r="J3" i="56"/>
  <c r="H3" i="56"/>
  <c r="F3" i="56"/>
  <c r="D3" i="56"/>
  <c r="B3" i="56"/>
  <c r="A1" i="56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A106" i="2"/>
  <c r="T6" i="55"/>
  <c r="R6" i="55"/>
  <c r="P6" i="55"/>
  <c r="N6" i="55"/>
  <c r="L6" i="55"/>
  <c r="J6" i="55"/>
  <c r="H6" i="55"/>
  <c r="F6" i="55"/>
  <c r="D6" i="55"/>
  <c r="B6" i="55"/>
  <c r="T5" i="55"/>
  <c r="R5" i="55"/>
  <c r="P5" i="55"/>
  <c r="N5" i="55"/>
  <c r="L5" i="55"/>
  <c r="J5" i="55"/>
  <c r="H5" i="55"/>
  <c r="F5" i="55"/>
  <c r="D5" i="55"/>
  <c r="B5" i="55"/>
  <c r="T4" i="55"/>
  <c r="R4" i="55"/>
  <c r="P4" i="55"/>
  <c r="N4" i="55"/>
  <c r="L4" i="55"/>
  <c r="J4" i="55"/>
  <c r="H4" i="55"/>
  <c r="F4" i="55"/>
  <c r="D4" i="55"/>
  <c r="B4" i="55"/>
  <c r="T3" i="55"/>
  <c r="R3" i="55"/>
  <c r="P3" i="55"/>
  <c r="N3" i="55"/>
  <c r="L3" i="55"/>
  <c r="J3" i="55"/>
  <c r="H3" i="55"/>
  <c r="F3" i="55"/>
  <c r="D3" i="55"/>
  <c r="B3" i="55"/>
  <c r="A1" i="55"/>
  <c r="A107" i="2"/>
  <c r="A104" i="2"/>
  <c r="A67" i="2"/>
  <c r="A86" i="2"/>
  <c r="A85" i="2"/>
  <c r="T6" i="54"/>
  <c r="R6" i="54"/>
  <c r="P6" i="54"/>
  <c r="N6" i="54"/>
  <c r="L6" i="54"/>
  <c r="J6" i="54"/>
  <c r="H6" i="54"/>
  <c r="F6" i="54"/>
  <c r="D6" i="54"/>
  <c r="B6" i="54"/>
  <c r="T5" i="54"/>
  <c r="R5" i="54"/>
  <c r="P5" i="54"/>
  <c r="N5" i="54"/>
  <c r="L5" i="54"/>
  <c r="J5" i="54"/>
  <c r="H5" i="54"/>
  <c r="F5" i="54"/>
  <c r="D5" i="54"/>
  <c r="B5" i="54"/>
  <c r="T4" i="54"/>
  <c r="R4" i="54"/>
  <c r="P4" i="54"/>
  <c r="N4" i="54"/>
  <c r="L4" i="54"/>
  <c r="J4" i="54"/>
  <c r="H4" i="54"/>
  <c r="F4" i="54"/>
  <c r="D4" i="54"/>
  <c r="B4" i="54"/>
  <c r="T3" i="54"/>
  <c r="R3" i="54"/>
  <c r="P3" i="54"/>
  <c r="N3" i="54"/>
  <c r="L3" i="54"/>
  <c r="J3" i="54"/>
  <c r="H3" i="54"/>
  <c r="F3" i="54"/>
  <c r="D3" i="54"/>
  <c r="B3" i="54"/>
  <c r="A1" i="54"/>
  <c r="T6" i="53"/>
  <c r="R6" i="53"/>
  <c r="P6" i="53"/>
  <c r="N6" i="53"/>
  <c r="L6" i="53"/>
  <c r="J6" i="53"/>
  <c r="H6" i="53"/>
  <c r="F6" i="53"/>
  <c r="D6" i="53"/>
  <c r="B6" i="53"/>
  <c r="T5" i="53"/>
  <c r="R5" i="53"/>
  <c r="P5" i="53"/>
  <c r="N5" i="53"/>
  <c r="L5" i="53"/>
  <c r="J5" i="53"/>
  <c r="H5" i="53"/>
  <c r="F5" i="53"/>
  <c r="D5" i="53"/>
  <c r="B5" i="53"/>
  <c r="T4" i="53"/>
  <c r="R4" i="53"/>
  <c r="P4" i="53"/>
  <c r="N4" i="53"/>
  <c r="L4" i="53"/>
  <c r="J4" i="53"/>
  <c r="H4" i="53"/>
  <c r="F4" i="53"/>
  <c r="D4" i="53"/>
  <c r="B4" i="53"/>
  <c r="T3" i="53"/>
  <c r="R3" i="53"/>
  <c r="P3" i="53"/>
  <c r="N3" i="53"/>
  <c r="L3" i="53"/>
  <c r="J3" i="53"/>
  <c r="H3" i="53"/>
  <c r="F3" i="53"/>
  <c r="D3" i="53"/>
  <c r="B3" i="53"/>
  <c r="A1" i="53"/>
  <c r="T6" i="52"/>
  <c r="R6" i="52"/>
  <c r="P6" i="52"/>
  <c r="N6" i="52"/>
  <c r="L6" i="52"/>
  <c r="J6" i="52"/>
  <c r="H6" i="52"/>
  <c r="F6" i="52"/>
  <c r="D6" i="52"/>
  <c r="B6" i="52"/>
  <c r="T5" i="52"/>
  <c r="R5" i="52"/>
  <c r="P5" i="52"/>
  <c r="N5" i="52"/>
  <c r="L5" i="52"/>
  <c r="J5" i="52"/>
  <c r="H5" i="52"/>
  <c r="F5" i="52"/>
  <c r="D5" i="52"/>
  <c r="B5" i="52"/>
  <c r="T4" i="52"/>
  <c r="R4" i="52"/>
  <c r="P4" i="52"/>
  <c r="N4" i="52"/>
  <c r="L4" i="52"/>
  <c r="J4" i="52"/>
  <c r="H4" i="52"/>
  <c r="F4" i="52"/>
  <c r="D4" i="52"/>
  <c r="B4" i="52"/>
  <c r="T3" i="52"/>
  <c r="R3" i="52"/>
  <c r="P3" i="52"/>
  <c r="N3" i="52"/>
  <c r="L3" i="52"/>
  <c r="J3" i="52"/>
  <c r="H3" i="52"/>
  <c r="F3" i="52"/>
  <c r="D3" i="52"/>
  <c r="B3" i="52"/>
  <c r="A1" i="52"/>
  <c r="T6" i="51"/>
  <c r="R6" i="51"/>
  <c r="P6" i="51"/>
  <c r="N6" i="51"/>
  <c r="L6" i="51"/>
  <c r="J6" i="51"/>
  <c r="H6" i="51"/>
  <c r="F6" i="51"/>
  <c r="D6" i="51"/>
  <c r="B6" i="51"/>
  <c r="T5" i="51"/>
  <c r="R5" i="51"/>
  <c r="P5" i="51"/>
  <c r="N5" i="51"/>
  <c r="L5" i="51"/>
  <c r="J5" i="51"/>
  <c r="H5" i="51"/>
  <c r="F5" i="51"/>
  <c r="D5" i="51"/>
  <c r="B5" i="51"/>
  <c r="T4" i="51"/>
  <c r="R4" i="51"/>
  <c r="P4" i="51"/>
  <c r="N4" i="51"/>
  <c r="L4" i="51"/>
  <c r="J4" i="51"/>
  <c r="H4" i="51"/>
  <c r="F4" i="51"/>
  <c r="D4" i="51"/>
  <c r="B4" i="51"/>
  <c r="T3" i="51"/>
  <c r="R3" i="51"/>
  <c r="P3" i="51"/>
  <c r="N3" i="51"/>
  <c r="L3" i="51"/>
  <c r="J3" i="51"/>
  <c r="H3" i="51"/>
  <c r="F3" i="51"/>
  <c r="D3" i="51"/>
  <c r="B3" i="51"/>
  <c r="A1" i="51"/>
  <c r="T6" i="50"/>
  <c r="R6" i="50"/>
  <c r="P6" i="50"/>
  <c r="N6" i="50"/>
  <c r="L6" i="50"/>
  <c r="J6" i="50"/>
  <c r="H6" i="50"/>
  <c r="F6" i="50"/>
  <c r="D6" i="50"/>
  <c r="B6" i="50"/>
  <c r="T5" i="50"/>
  <c r="R5" i="50"/>
  <c r="P5" i="50"/>
  <c r="N5" i="50"/>
  <c r="L5" i="50"/>
  <c r="J5" i="50"/>
  <c r="H5" i="50"/>
  <c r="F5" i="50"/>
  <c r="D5" i="50"/>
  <c r="B5" i="50"/>
  <c r="T4" i="50"/>
  <c r="R4" i="50"/>
  <c r="P4" i="50"/>
  <c r="N4" i="50"/>
  <c r="L4" i="50"/>
  <c r="J4" i="50"/>
  <c r="H4" i="50"/>
  <c r="F4" i="50"/>
  <c r="D4" i="50"/>
  <c r="B4" i="50"/>
  <c r="T3" i="50"/>
  <c r="R3" i="50"/>
  <c r="P3" i="50"/>
  <c r="N3" i="50"/>
  <c r="L3" i="50"/>
  <c r="J3" i="50"/>
  <c r="H3" i="50"/>
  <c r="F3" i="50"/>
  <c r="D3" i="50"/>
  <c r="B3" i="50"/>
  <c r="A1" i="50"/>
  <c r="A87" i="2"/>
  <c r="T6" i="49"/>
  <c r="R6" i="49"/>
  <c r="P6" i="49"/>
  <c r="N6" i="49"/>
  <c r="L6" i="49"/>
  <c r="J6" i="49"/>
  <c r="H6" i="49"/>
  <c r="F6" i="49"/>
  <c r="D6" i="49"/>
  <c r="B6" i="49"/>
  <c r="T5" i="49"/>
  <c r="R5" i="49"/>
  <c r="P5" i="49"/>
  <c r="N5" i="49"/>
  <c r="L5" i="49"/>
  <c r="J5" i="49"/>
  <c r="H5" i="49"/>
  <c r="F5" i="49"/>
  <c r="D5" i="49"/>
  <c r="B5" i="49"/>
  <c r="T4" i="49"/>
  <c r="R4" i="49"/>
  <c r="P4" i="49"/>
  <c r="N4" i="49"/>
  <c r="L4" i="49"/>
  <c r="J4" i="49"/>
  <c r="H4" i="49"/>
  <c r="F4" i="49"/>
  <c r="D4" i="49"/>
  <c r="B4" i="49"/>
  <c r="T3" i="49"/>
  <c r="R3" i="49"/>
  <c r="P3" i="49"/>
  <c r="N3" i="49"/>
  <c r="L3" i="49"/>
  <c r="J3" i="49"/>
  <c r="H3" i="49"/>
  <c r="F3" i="49"/>
  <c r="D3" i="49"/>
  <c r="B3" i="49"/>
  <c r="A1" i="49"/>
  <c r="A84" i="2"/>
  <c r="T6" i="48"/>
  <c r="R6" i="48"/>
  <c r="P6" i="48"/>
  <c r="N6" i="48"/>
  <c r="L6" i="48"/>
  <c r="J6" i="48"/>
  <c r="H6" i="48"/>
  <c r="F6" i="48"/>
  <c r="D6" i="48"/>
  <c r="B6" i="48"/>
  <c r="T5" i="48"/>
  <c r="R5" i="48"/>
  <c r="P5" i="48"/>
  <c r="N5" i="48"/>
  <c r="L5" i="48"/>
  <c r="J5" i="48"/>
  <c r="H5" i="48"/>
  <c r="F5" i="48"/>
  <c r="D5" i="48"/>
  <c r="B5" i="48"/>
  <c r="T4" i="48"/>
  <c r="R4" i="48"/>
  <c r="P4" i="48"/>
  <c r="N4" i="48"/>
  <c r="L4" i="48"/>
  <c r="J4" i="48"/>
  <c r="H4" i="48"/>
  <c r="F4" i="48"/>
  <c r="D4" i="48"/>
  <c r="B4" i="48"/>
  <c r="T3" i="48"/>
  <c r="R3" i="48"/>
  <c r="P3" i="48"/>
  <c r="N3" i="48"/>
  <c r="L3" i="48"/>
  <c r="J3" i="48"/>
  <c r="H3" i="48"/>
  <c r="F3" i="48"/>
  <c r="D3" i="48"/>
  <c r="B3" i="48"/>
  <c r="A1" i="48"/>
  <c r="A23" i="2"/>
  <c r="T8" i="43"/>
  <c r="R8" i="43"/>
  <c r="P8" i="43"/>
  <c r="N8" i="43"/>
  <c r="L8" i="43"/>
  <c r="J8" i="43"/>
  <c r="H8" i="43"/>
  <c r="F8" i="43"/>
  <c r="D8" i="43"/>
  <c r="B8" i="43"/>
  <c r="T10" i="29"/>
  <c r="R10" i="29"/>
  <c r="P10" i="29"/>
  <c r="N10" i="29"/>
  <c r="L10" i="29"/>
  <c r="J10" i="29"/>
  <c r="F10" i="29"/>
  <c r="D10" i="29"/>
  <c r="A46" i="2"/>
  <c r="T10" i="34"/>
  <c r="T9" i="34"/>
  <c r="T8" i="34"/>
  <c r="R10" i="34"/>
  <c r="R9" i="34"/>
  <c r="R8" i="34"/>
  <c r="P10" i="34"/>
  <c r="P9" i="34"/>
  <c r="P8" i="34"/>
  <c r="N10" i="34"/>
  <c r="N9" i="34"/>
  <c r="N8" i="34"/>
  <c r="L10" i="34"/>
  <c r="L9" i="34"/>
  <c r="L8" i="34"/>
  <c r="J10" i="34"/>
  <c r="J9" i="34"/>
  <c r="J8" i="34"/>
  <c r="H10" i="34"/>
  <c r="H9" i="34"/>
  <c r="H8" i="34"/>
  <c r="F10" i="34"/>
  <c r="F9" i="34"/>
  <c r="F8" i="34"/>
  <c r="D10" i="34"/>
  <c r="D9" i="34"/>
  <c r="D8" i="34"/>
  <c r="B8" i="34"/>
  <c r="A39" i="2" s="1"/>
  <c r="T7" i="43"/>
  <c r="R7" i="43"/>
  <c r="P7" i="43"/>
  <c r="N7" i="43"/>
  <c r="L7" i="43"/>
  <c r="J7" i="43"/>
  <c r="F7" i="43"/>
  <c r="D7" i="43"/>
  <c r="B7" i="43"/>
  <c r="A45" i="2" s="1"/>
  <c r="A47" i="2"/>
  <c r="T7" i="47"/>
  <c r="R7" i="47"/>
  <c r="P7" i="47"/>
  <c r="N7" i="47"/>
  <c r="L7" i="47"/>
  <c r="J7" i="47"/>
  <c r="F7" i="47"/>
  <c r="D7" i="47"/>
  <c r="B7" i="47"/>
  <c r="T6" i="47"/>
  <c r="R6" i="47"/>
  <c r="P6" i="47"/>
  <c r="N6" i="47"/>
  <c r="L6" i="47"/>
  <c r="J6" i="47"/>
  <c r="H6" i="47"/>
  <c r="F6" i="47"/>
  <c r="D6" i="47"/>
  <c r="B6" i="47"/>
  <c r="T5" i="47"/>
  <c r="R5" i="47"/>
  <c r="P5" i="47"/>
  <c r="N5" i="47"/>
  <c r="L5" i="47"/>
  <c r="J5" i="47"/>
  <c r="H5" i="47"/>
  <c r="F5" i="47"/>
  <c r="D5" i="47"/>
  <c r="B5" i="47"/>
  <c r="T4" i="47"/>
  <c r="R4" i="47"/>
  <c r="P4" i="47"/>
  <c r="N4" i="47"/>
  <c r="L4" i="47"/>
  <c r="J4" i="47"/>
  <c r="H4" i="47"/>
  <c r="F4" i="47"/>
  <c r="D4" i="47"/>
  <c r="B4" i="47"/>
  <c r="T3" i="47"/>
  <c r="R3" i="47"/>
  <c r="P3" i="47"/>
  <c r="N3" i="47"/>
  <c r="L3" i="47"/>
  <c r="J3" i="47"/>
  <c r="H3" i="47"/>
  <c r="F3" i="47"/>
  <c r="D3" i="47"/>
  <c r="B3" i="47"/>
  <c r="A1" i="47"/>
  <c r="A64" i="2"/>
  <c r="A15" i="46"/>
  <c r="T6" i="46"/>
  <c r="R6" i="46"/>
  <c r="P6" i="46"/>
  <c r="N6" i="46"/>
  <c r="L6" i="46"/>
  <c r="J6" i="46"/>
  <c r="H6" i="46"/>
  <c r="F6" i="46"/>
  <c r="D6" i="46"/>
  <c r="B6" i="46"/>
  <c r="T5" i="46"/>
  <c r="R5" i="46"/>
  <c r="P5" i="46"/>
  <c r="N5" i="46"/>
  <c r="L5" i="46"/>
  <c r="J5" i="46"/>
  <c r="H5" i="46"/>
  <c r="F5" i="46"/>
  <c r="D5" i="46"/>
  <c r="B5" i="46"/>
  <c r="T4" i="46"/>
  <c r="R4" i="46"/>
  <c r="P4" i="46"/>
  <c r="N4" i="46"/>
  <c r="L4" i="46"/>
  <c r="J4" i="46"/>
  <c r="H4" i="46"/>
  <c r="F4" i="46"/>
  <c r="D4" i="46"/>
  <c r="B4" i="46"/>
  <c r="T3" i="46"/>
  <c r="R3" i="46"/>
  <c r="P3" i="46"/>
  <c r="N3" i="46"/>
  <c r="L3" i="46"/>
  <c r="J3" i="46"/>
  <c r="H3" i="46"/>
  <c r="F3" i="46"/>
  <c r="D3" i="46"/>
  <c r="B3" i="46"/>
  <c r="A1" i="46"/>
  <c r="A79" i="2"/>
  <c r="T6" i="45"/>
  <c r="R6" i="45"/>
  <c r="P6" i="45"/>
  <c r="N6" i="45"/>
  <c r="L6" i="45"/>
  <c r="J6" i="45"/>
  <c r="H6" i="45"/>
  <c r="F6" i="45"/>
  <c r="D6" i="45"/>
  <c r="B6" i="45"/>
  <c r="T5" i="45"/>
  <c r="R5" i="45"/>
  <c r="P5" i="45"/>
  <c r="N5" i="45"/>
  <c r="L5" i="45"/>
  <c r="J5" i="45"/>
  <c r="H5" i="45"/>
  <c r="F5" i="45"/>
  <c r="D5" i="45"/>
  <c r="B5" i="45"/>
  <c r="T4" i="45"/>
  <c r="R4" i="45"/>
  <c r="P4" i="45"/>
  <c r="N4" i="45"/>
  <c r="L4" i="45"/>
  <c r="J4" i="45"/>
  <c r="H4" i="45"/>
  <c r="F4" i="45"/>
  <c r="D4" i="45"/>
  <c r="B4" i="45"/>
  <c r="T3" i="45"/>
  <c r="R3" i="45"/>
  <c r="P3" i="45"/>
  <c r="N3" i="45"/>
  <c r="L3" i="45"/>
  <c r="J3" i="45"/>
  <c r="H3" i="45"/>
  <c r="F3" i="45"/>
  <c r="D3" i="45"/>
  <c r="B3" i="45"/>
  <c r="A1" i="45"/>
  <c r="A78" i="2"/>
  <c r="T6" i="44"/>
  <c r="R6" i="44"/>
  <c r="P6" i="44"/>
  <c r="N6" i="44"/>
  <c r="L6" i="44"/>
  <c r="J6" i="44"/>
  <c r="H6" i="44"/>
  <c r="F6" i="44"/>
  <c r="D6" i="44"/>
  <c r="B6" i="44"/>
  <c r="T5" i="44"/>
  <c r="R5" i="44"/>
  <c r="P5" i="44"/>
  <c r="N5" i="44"/>
  <c r="L5" i="44"/>
  <c r="J5" i="44"/>
  <c r="H5" i="44"/>
  <c r="F5" i="44"/>
  <c r="D5" i="44"/>
  <c r="B5" i="44"/>
  <c r="T4" i="44"/>
  <c r="R4" i="44"/>
  <c r="P4" i="44"/>
  <c r="N4" i="44"/>
  <c r="L4" i="44"/>
  <c r="J4" i="44"/>
  <c r="H4" i="44"/>
  <c r="F4" i="44"/>
  <c r="D4" i="44"/>
  <c r="B4" i="44"/>
  <c r="T3" i="44"/>
  <c r="R3" i="44"/>
  <c r="P3" i="44"/>
  <c r="N3" i="44"/>
  <c r="L3" i="44"/>
  <c r="J3" i="44"/>
  <c r="H3" i="44"/>
  <c r="F3" i="44"/>
  <c r="D3" i="44"/>
  <c r="B3" i="44"/>
  <c r="A1" i="44"/>
  <c r="A77" i="2"/>
  <c r="T6" i="43"/>
  <c r="R6" i="43"/>
  <c r="P6" i="43"/>
  <c r="N6" i="43"/>
  <c r="L6" i="43"/>
  <c r="J6" i="43"/>
  <c r="H6" i="43"/>
  <c r="F6" i="43"/>
  <c r="D6" i="43"/>
  <c r="B6" i="43"/>
  <c r="T5" i="43"/>
  <c r="R5" i="43"/>
  <c r="P5" i="43"/>
  <c r="N5" i="43"/>
  <c r="L5" i="43"/>
  <c r="J5" i="43"/>
  <c r="H5" i="43"/>
  <c r="F5" i="43"/>
  <c r="D5" i="43"/>
  <c r="B5" i="43"/>
  <c r="T4" i="43"/>
  <c r="R4" i="43"/>
  <c r="P4" i="43"/>
  <c r="N4" i="43"/>
  <c r="L4" i="43"/>
  <c r="J4" i="43"/>
  <c r="H4" i="43"/>
  <c r="F4" i="43"/>
  <c r="D4" i="43"/>
  <c r="B4" i="43"/>
  <c r="T3" i="43"/>
  <c r="R3" i="43"/>
  <c r="P3" i="43"/>
  <c r="N3" i="43"/>
  <c r="L3" i="43"/>
  <c r="J3" i="43"/>
  <c r="H3" i="43"/>
  <c r="F3" i="43"/>
  <c r="D3" i="43"/>
  <c r="B3" i="43"/>
  <c r="A1" i="43"/>
  <c r="A68" i="2"/>
  <c r="T6" i="42"/>
  <c r="R6" i="42"/>
  <c r="P6" i="42"/>
  <c r="N6" i="42"/>
  <c r="L6" i="42"/>
  <c r="J6" i="42"/>
  <c r="H6" i="42"/>
  <c r="F6" i="42"/>
  <c r="D6" i="42"/>
  <c r="B6" i="42"/>
  <c r="T5" i="42"/>
  <c r="R5" i="42"/>
  <c r="P5" i="42"/>
  <c r="N5" i="42"/>
  <c r="L5" i="42"/>
  <c r="J5" i="42"/>
  <c r="H5" i="42"/>
  <c r="F5" i="42"/>
  <c r="D5" i="42"/>
  <c r="B5" i="42"/>
  <c r="T4" i="42"/>
  <c r="R4" i="42"/>
  <c r="P4" i="42"/>
  <c r="N4" i="42"/>
  <c r="L4" i="42"/>
  <c r="J4" i="42"/>
  <c r="H4" i="42"/>
  <c r="F4" i="42"/>
  <c r="D4" i="42"/>
  <c r="B4" i="42"/>
  <c r="T3" i="42"/>
  <c r="R3" i="42"/>
  <c r="P3" i="42"/>
  <c r="N3" i="42"/>
  <c r="L3" i="42"/>
  <c r="J3" i="42"/>
  <c r="H3" i="42"/>
  <c r="F3" i="42"/>
  <c r="D3" i="42"/>
  <c r="B3" i="42"/>
  <c r="A1" i="42"/>
  <c r="A50" i="2"/>
  <c r="T7" i="30"/>
  <c r="R7" i="30"/>
  <c r="P7" i="30"/>
  <c r="N7" i="30"/>
  <c r="L7" i="30"/>
  <c r="J7" i="30"/>
  <c r="F7" i="30"/>
  <c r="D7" i="30"/>
  <c r="B7" i="30"/>
  <c r="T27" i="41"/>
  <c r="R27" i="41"/>
  <c r="P27" i="41"/>
  <c r="N27" i="41"/>
  <c r="L27" i="41"/>
  <c r="J27" i="41"/>
  <c r="H27" i="41"/>
  <c r="F27" i="41"/>
  <c r="D27" i="41"/>
  <c r="B27" i="41"/>
  <c r="A26" i="2" s="1"/>
  <c r="B26" i="2" s="1"/>
  <c r="A29" i="2"/>
  <c r="B29" i="2" s="1"/>
  <c r="T28" i="30"/>
  <c r="R28" i="30"/>
  <c r="P28" i="30"/>
  <c r="N28" i="30"/>
  <c r="L28" i="30"/>
  <c r="J28" i="30"/>
  <c r="H28" i="30"/>
  <c r="F28" i="30"/>
  <c r="D28" i="30"/>
  <c r="B28" i="30"/>
  <c r="A48" i="2"/>
  <c r="T7" i="41"/>
  <c r="R7" i="41"/>
  <c r="P7" i="41"/>
  <c r="N7" i="41"/>
  <c r="L7" i="41"/>
  <c r="J7" i="41"/>
  <c r="F7" i="41"/>
  <c r="D7" i="41"/>
  <c r="B7" i="41"/>
  <c r="T6" i="41"/>
  <c r="R6" i="41"/>
  <c r="P6" i="41"/>
  <c r="N6" i="41"/>
  <c r="L6" i="41"/>
  <c r="J6" i="41"/>
  <c r="H6" i="41"/>
  <c r="F6" i="41"/>
  <c r="D6" i="41"/>
  <c r="B6" i="41"/>
  <c r="T5" i="41"/>
  <c r="R5" i="41"/>
  <c r="P5" i="41"/>
  <c r="N5" i="41"/>
  <c r="L5" i="41"/>
  <c r="J5" i="41"/>
  <c r="H5" i="41"/>
  <c r="F5" i="41"/>
  <c r="D5" i="41"/>
  <c r="B5" i="41"/>
  <c r="T4" i="41"/>
  <c r="R4" i="41"/>
  <c r="P4" i="41"/>
  <c r="N4" i="41"/>
  <c r="L4" i="41"/>
  <c r="J4" i="41"/>
  <c r="H4" i="41"/>
  <c r="F4" i="41"/>
  <c r="D4" i="41"/>
  <c r="B4" i="41"/>
  <c r="T3" i="41"/>
  <c r="R3" i="41"/>
  <c r="P3" i="41"/>
  <c r="N3" i="41"/>
  <c r="L3" i="41"/>
  <c r="J3" i="41"/>
  <c r="H3" i="41"/>
  <c r="F3" i="41"/>
  <c r="D3" i="41"/>
  <c r="B3" i="41"/>
  <c r="A1" i="41"/>
  <c r="A66" i="2"/>
  <c r="T6" i="40"/>
  <c r="R6" i="40"/>
  <c r="P6" i="40"/>
  <c r="N6" i="40"/>
  <c r="L6" i="40"/>
  <c r="J6" i="40"/>
  <c r="H6" i="40"/>
  <c r="F6" i="40"/>
  <c r="D6" i="40"/>
  <c r="B6" i="40"/>
  <c r="T5" i="40"/>
  <c r="R5" i="40"/>
  <c r="P5" i="40"/>
  <c r="N5" i="40"/>
  <c r="L5" i="40"/>
  <c r="J5" i="40"/>
  <c r="H5" i="40"/>
  <c r="F5" i="40"/>
  <c r="D5" i="40"/>
  <c r="B5" i="40"/>
  <c r="T4" i="40"/>
  <c r="R4" i="40"/>
  <c r="P4" i="40"/>
  <c r="N4" i="40"/>
  <c r="L4" i="40"/>
  <c r="J4" i="40"/>
  <c r="H4" i="40"/>
  <c r="F4" i="40"/>
  <c r="D4" i="40"/>
  <c r="B4" i="40"/>
  <c r="T3" i="40"/>
  <c r="R3" i="40"/>
  <c r="P3" i="40"/>
  <c r="N3" i="40"/>
  <c r="L3" i="40"/>
  <c r="J3" i="40"/>
  <c r="H3" i="40"/>
  <c r="F3" i="40"/>
  <c r="D3" i="40"/>
  <c r="B3" i="40"/>
  <c r="A1" i="40"/>
  <c r="A1" i="14"/>
  <c r="A1" i="13"/>
  <c r="A1" i="12"/>
  <c r="A1" i="11"/>
  <c r="A1" i="10"/>
  <c r="A1" i="9"/>
  <c r="A1" i="8"/>
  <c r="A1" i="7"/>
  <c r="A1" i="6"/>
  <c r="A1" i="4"/>
  <c r="A1" i="1"/>
  <c r="A1" i="17"/>
  <c r="A1" i="18"/>
  <c r="A1" i="19"/>
  <c r="A1" i="20"/>
  <c r="A1" i="21"/>
  <c r="A1" i="22"/>
  <c r="A1" i="23"/>
  <c r="A1" i="5"/>
  <c r="A1" i="24"/>
  <c r="A1" i="25"/>
  <c r="A1" i="26"/>
  <c r="A1" i="33"/>
  <c r="A1" i="27"/>
  <c r="A1" i="28"/>
  <c r="A1" i="29"/>
  <c r="A1" i="34"/>
  <c r="A1" i="15"/>
  <c r="A1" i="30"/>
  <c r="A1" i="35"/>
  <c r="A1" i="32"/>
  <c r="A1" i="36"/>
  <c r="A1" i="38"/>
  <c r="A1" i="31"/>
  <c r="A65" i="2"/>
  <c r="T6" i="38"/>
  <c r="R6" i="38"/>
  <c r="P6" i="38"/>
  <c r="N6" i="38"/>
  <c r="L6" i="38"/>
  <c r="J6" i="38"/>
  <c r="H6" i="38"/>
  <c r="F6" i="38"/>
  <c r="D6" i="38"/>
  <c r="B6" i="38"/>
  <c r="T5" i="38"/>
  <c r="R5" i="38"/>
  <c r="P5" i="38"/>
  <c r="N5" i="38"/>
  <c r="L5" i="38"/>
  <c r="J5" i="38"/>
  <c r="H5" i="38"/>
  <c r="F5" i="38"/>
  <c r="D5" i="38"/>
  <c r="B5" i="38"/>
  <c r="T4" i="38"/>
  <c r="R4" i="38"/>
  <c r="P4" i="38"/>
  <c r="N4" i="38"/>
  <c r="L4" i="38"/>
  <c r="J4" i="38"/>
  <c r="H4" i="38"/>
  <c r="F4" i="38"/>
  <c r="D4" i="38"/>
  <c r="B4" i="38"/>
  <c r="T3" i="38"/>
  <c r="R3" i="38"/>
  <c r="P3" i="38"/>
  <c r="N3" i="38"/>
  <c r="L3" i="38"/>
  <c r="J3" i="38"/>
  <c r="H3" i="38"/>
  <c r="F3" i="38"/>
  <c r="D3" i="38"/>
  <c r="B3" i="38"/>
  <c r="A49" i="2"/>
  <c r="T7" i="15"/>
  <c r="R7" i="15"/>
  <c r="P7" i="15"/>
  <c r="N7" i="15"/>
  <c r="L7" i="15"/>
  <c r="J7" i="15"/>
  <c r="F7" i="15"/>
  <c r="D7" i="15"/>
  <c r="B7" i="15"/>
  <c r="T10" i="15"/>
  <c r="R10" i="15"/>
  <c r="P10" i="15"/>
  <c r="N10" i="15"/>
  <c r="L10" i="15"/>
  <c r="J10" i="15"/>
  <c r="H10" i="15"/>
  <c r="F10" i="15"/>
  <c r="D10" i="15"/>
  <c r="B10" i="15"/>
  <c r="A24" i="2" s="1"/>
  <c r="B24" i="2" s="1"/>
  <c r="B10" i="29"/>
  <c r="A43" i="2"/>
  <c r="B43" i="2" s="1"/>
  <c r="A110" i="2"/>
  <c r="A17" i="2"/>
  <c r="B17" i="2" s="1"/>
  <c r="T8" i="30"/>
  <c r="R8" i="30"/>
  <c r="P8" i="30"/>
  <c r="N8" i="30"/>
  <c r="L8" i="30"/>
  <c r="J8" i="30"/>
  <c r="H8" i="30"/>
  <c r="F8" i="30"/>
  <c r="D8" i="30"/>
  <c r="T7" i="36"/>
  <c r="R7" i="36"/>
  <c r="P7" i="36"/>
  <c r="N7" i="36"/>
  <c r="L7" i="36"/>
  <c r="J7" i="36"/>
  <c r="H7" i="36"/>
  <c r="F7" i="36"/>
  <c r="D7" i="36"/>
  <c r="B7" i="36"/>
  <c r="T6" i="36"/>
  <c r="R6" i="36"/>
  <c r="P6" i="36"/>
  <c r="N6" i="36"/>
  <c r="L6" i="36"/>
  <c r="J6" i="36"/>
  <c r="H6" i="36"/>
  <c r="F6" i="36"/>
  <c r="D6" i="36"/>
  <c r="B6" i="36"/>
  <c r="T5" i="36"/>
  <c r="R5" i="36"/>
  <c r="P5" i="36"/>
  <c r="N5" i="36"/>
  <c r="L5" i="36"/>
  <c r="J5" i="36"/>
  <c r="H5" i="36"/>
  <c r="F5" i="36"/>
  <c r="D5" i="36"/>
  <c r="B5" i="36"/>
  <c r="T4" i="36"/>
  <c r="R4" i="36"/>
  <c r="P4" i="36"/>
  <c r="N4" i="36"/>
  <c r="L4" i="36"/>
  <c r="J4" i="36"/>
  <c r="H4" i="36"/>
  <c r="F4" i="36"/>
  <c r="D4" i="36"/>
  <c r="B4" i="36"/>
  <c r="T3" i="36"/>
  <c r="R3" i="36"/>
  <c r="P3" i="36"/>
  <c r="N3" i="36"/>
  <c r="L3" i="36"/>
  <c r="J3" i="36"/>
  <c r="H3" i="36"/>
  <c r="F3" i="36"/>
  <c r="D3" i="36"/>
  <c r="B3" i="36"/>
  <c r="A63" i="2"/>
  <c r="T6" i="35"/>
  <c r="R6" i="35"/>
  <c r="P6" i="35"/>
  <c r="N6" i="35"/>
  <c r="L6" i="35"/>
  <c r="J6" i="35"/>
  <c r="H6" i="35"/>
  <c r="F6" i="35"/>
  <c r="D6" i="35"/>
  <c r="B6" i="35"/>
  <c r="A18" i="2" s="1"/>
  <c r="B18" i="2" s="1"/>
  <c r="T5" i="35"/>
  <c r="R5" i="35"/>
  <c r="P5" i="35"/>
  <c r="N5" i="35"/>
  <c r="L5" i="35"/>
  <c r="J5" i="35"/>
  <c r="H5" i="35"/>
  <c r="F5" i="35"/>
  <c r="D5" i="35"/>
  <c r="B5" i="35"/>
  <c r="T4" i="35"/>
  <c r="R4" i="35"/>
  <c r="P4" i="35"/>
  <c r="N4" i="35"/>
  <c r="L4" i="35"/>
  <c r="J4" i="35"/>
  <c r="H4" i="35"/>
  <c r="F4" i="35"/>
  <c r="D4" i="35"/>
  <c r="B4" i="35"/>
  <c r="T3" i="35"/>
  <c r="R3" i="35"/>
  <c r="P3" i="35"/>
  <c r="N3" i="35"/>
  <c r="L3" i="35"/>
  <c r="J3" i="35"/>
  <c r="H3" i="35"/>
  <c r="F3" i="35"/>
  <c r="D3" i="35"/>
  <c r="B3" i="35"/>
  <c r="B10" i="34"/>
  <c r="A41" i="2" s="1"/>
  <c r="B41" i="2" s="1"/>
  <c r="B9" i="34"/>
  <c r="A40" i="2" s="1"/>
  <c r="B40" i="2" s="1"/>
  <c r="T6" i="34"/>
  <c r="R6" i="34"/>
  <c r="P6" i="34"/>
  <c r="N6" i="34"/>
  <c r="L6" i="34"/>
  <c r="J6" i="34"/>
  <c r="H6" i="34"/>
  <c r="F6" i="34"/>
  <c r="D6" i="34"/>
  <c r="B6" i="34"/>
  <c r="T5" i="34"/>
  <c r="R5" i="34"/>
  <c r="P5" i="34"/>
  <c r="N5" i="34"/>
  <c r="L5" i="34"/>
  <c r="J5" i="34"/>
  <c r="H5" i="34"/>
  <c r="F5" i="34"/>
  <c r="D5" i="34"/>
  <c r="B5" i="34"/>
  <c r="T4" i="34"/>
  <c r="R4" i="34"/>
  <c r="P4" i="34"/>
  <c r="N4" i="34"/>
  <c r="L4" i="34"/>
  <c r="J4" i="34"/>
  <c r="H4" i="34"/>
  <c r="F4" i="34"/>
  <c r="D4" i="34"/>
  <c r="B4" i="34"/>
  <c r="A83" i="2" s="1"/>
  <c r="T3" i="34"/>
  <c r="R3" i="34"/>
  <c r="P3" i="34"/>
  <c r="N3" i="34"/>
  <c r="L3" i="34"/>
  <c r="J3" i="34"/>
  <c r="H3" i="34"/>
  <c r="F3" i="34"/>
  <c r="D3" i="34"/>
  <c r="B3" i="34"/>
  <c r="T11" i="33"/>
  <c r="R11" i="33"/>
  <c r="P11" i="33"/>
  <c r="N11" i="33"/>
  <c r="L11" i="33"/>
  <c r="J11" i="33"/>
  <c r="H11" i="33"/>
  <c r="F11" i="33"/>
  <c r="D11" i="33"/>
  <c r="B11" i="33"/>
  <c r="A22" i="2" s="1"/>
  <c r="B22" i="2" s="1"/>
  <c r="T6" i="33"/>
  <c r="R6" i="33"/>
  <c r="P6" i="33"/>
  <c r="N6" i="33"/>
  <c r="L6" i="33"/>
  <c r="J6" i="33"/>
  <c r="H6" i="33"/>
  <c r="F6" i="33"/>
  <c r="D6" i="33"/>
  <c r="B6" i="33"/>
  <c r="T5" i="33"/>
  <c r="R5" i="33"/>
  <c r="P5" i="33"/>
  <c r="N5" i="33"/>
  <c r="L5" i="33"/>
  <c r="J5" i="33"/>
  <c r="H5" i="33"/>
  <c r="F5" i="33"/>
  <c r="D5" i="33"/>
  <c r="B5" i="33"/>
  <c r="T4" i="33"/>
  <c r="R4" i="33"/>
  <c r="P4" i="33"/>
  <c r="N4" i="33"/>
  <c r="L4" i="33"/>
  <c r="J4" i="33"/>
  <c r="H4" i="33"/>
  <c r="F4" i="33"/>
  <c r="D4" i="33"/>
  <c r="B4" i="33"/>
  <c r="A69" i="2" s="1"/>
  <c r="T3" i="33"/>
  <c r="R3" i="33"/>
  <c r="P3" i="33"/>
  <c r="N3" i="33"/>
  <c r="L3" i="33"/>
  <c r="J3" i="33"/>
  <c r="H3" i="33"/>
  <c r="F3" i="33"/>
  <c r="D3" i="33"/>
  <c r="B3" i="33"/>
  <c r="A20" i="2"/>
  <c r="B20" i="2" s="1"/>
  <c r="A62" i="2"/>
  <c r="T6" i="32"/>
  <c r="R6" i="32"/>
  <c r="P6" i="32"/>
  <c r="N6" i="32"/>
  <c r="L6" i="32"/>
  <c r="J6" i="32"/>
  <c r="H6" i="32"/>
  <c r="F6" i="32"/>
  <c r="D6" i="32"/>
  <c r="B6" i="32"/>
  <c r="T5" i="32"/>
  <c r="R5" i="32"/>
  <c r="P5" i="32"/>
  <c r="N5" i="32"/>
  <c r="L5" i="32"/>
  <c r="J5" i="32"/>
  <c r="H5" i="32"/>
  <c r="F5" i="32"/>
  <c r="D5" i="32"/>
  <c r="B5" i="32"/>
  <c r="T4" i="32"/>
  <c r="R4" i="32"/>
  <c r="P4" i="32"/>
  <c r="N4" i="32"/>
  <c r="L4" i="32"/>
  <c r="J4" i="32"/>
  <c r="H4" i="32"/>
  <c r="F4" i="32"/>
  <c r="D4" i="32"/>
  <c r="B4" i="32"/>
  <c r="T3" i="32"/>
  <c r="R3" i="32"/>
  <c r="P3" i="32"/>
  <c r="N3" i="32"/>
  <c r="L3" i="32"/>
  <c r="J3" i="32"/>
  <c r="H3" i="32"/>
  <c r="F3" i="32"/>
  <c r="D3" i="32"/>
  <c r="B3" i="32"/>
  <c r="T6" i="31"/>
  <c r="R6" i="31"/>
  <c r="P6" i="31"/>
  <c r="N6" i="31"/>
  <c r="L6" i="31"/>
  <c r="J6" i="31"/>
  <c r="H6" i="31"/>
  <c r="F6" i="31"/>
  <c r="D6" i="31"/>
  <c r="B6" i="31"/>
  <c r="T5" i="31"/>
  <c r="R5" i="31"/>
  <c r="P5" i="31"/>
  <c r="N5" i="31"/>
  <c r="L5" i="31"/>
  <c r="J5" i="31"/>
  <c r="H5" i="31"/>
  <c r="F5" i="31"/>
  <c r="D5" i="31"/>
  <c r="B5" i="31"/>
  <c r="T4" i="31"/>
  <c r="R4" i="31"/>
  <c r="P4" i="31"/>
  <c r="N4" i="31"/>
  <c r="L4" i="31"/>
  <c r="J4" i="31"/>
  <c r="H4" i="31"/>
  <c r="F4" i="31"/>
  <c r="D4" i="31"/>
  <c r="B4" i="31"/>
  <c r="T3" i="31"/>
  <c r="R3" i="31"/>
  <c r="P3" i="31"/>
  <c r="N3" i="31"/>
  <c r="L3" i="31"/>
  <c r="J3" i="31"/>
  <c r="H3" i="31"/>
  <c r="F3" i="31"/>
  <c r="D3" i="31"/>
  <c r="B3" i="31"/>
  <c r="B8" i="30"/>
  <c r="A25" i="2" s="1"/>
  <c r="B25" i="2" s="1"/>
  <c r="T6" i="30"/>
  <c r="R6" i="30"/>
  <c r="P6" i="30"/>
  <c r="N6" i="30"/>
  <c r="L6" i="30"/>
  <c r="J6" i="30"/>
  <c r="H6" i="30"/>
  <c r="F6" i="30"/>
  <c r="D6" i="30"/>
  <c r="B6" i="30"/>
  <c r="A19" i="2" s="1"/>
  <c r="B19" i="2" s="1"/>
  <c r="T5" i="30"/>
  <c r="R5" i="30"/>
  <c r="P5" i="30"/>
  <c r="N5" i="30"/>
  <c r="L5" i="30"/>
  <c r="J5" i="30"/>
  <c r="H5" i="30"/>
  <c r="F5" i="30"/>
  <c r="D5" i="30"/>
  <c r="B5" i="30"/>
  <c r="T4" i="30"/>
  <c r="R4" i="30"/>
  <c r="P4" i="30"/>
  <c r="N4" i="30"/>
  <c r="L4" i="30"/>
  <c r="J4" i="30"/>
  <c r="H4" i="30"/>
  <c r="F4" i="30"/>
  <c r="D4" i="30"/>
  <c r="B4" i="30"/>
  <c r="A81" i="2" s="1"/>
  <c r="T3" i="30"/>
  <c r="R3" i="30"/>
  <c r="P3" i="30"/>
  <c r="N3" i="30"/>
  <c r="L3" i="30"/>
  <c r="J3" i="30"/>
  <c r="H3" i="30"/>
  <c r="F3" i="30"/>
  <c r="D3" i="30"/>
  <c r="B3" i="30"/>
  <c r="T7" i="29"/>
  <c r="R7" i="29"/>
  <c r="P7" i="29"/>
  <c r="N7" i="29"/>
  <c r="L7" i="29"/>
  <c r="J7" i="29"/>
  <c r="H7" i="29"/>
  <c r="F7" i="29"/>
  <c r="D7" i="29"/>
  <c r="B23" i="2"/>
  <c r="B7" i="29"/>
  <c r="A38" i="2" s="1"/>
  <c r="B38" i="2" s="1"/>
  <c r="T6" i="29"/>
  <c r="R6" i="29"/>
  <c r="P6" i="29"/>
  <c r="N6" i="29"/>
  <c r="L6" i="29"/>
  <c r="J6" i="29"/>
  <c r="H6" i="29"/>
  <c r="F6" i="29"/>
  <c r="D6" i="29"/>
  <c r="B6" i="29"/>
  <c r="T5" i="29"/>
  <c r="R5" i="29"/>
  <c r="P5" i="29"/>
  <c r="N5" i="29"/>
  <c r="L5" i="29"/>
  <c r="J5" i="29"/>
  <c r="H5" i="29"/>
  <c r="F5" i="29"/>
  <c r="D5" i="29"/>
  <c r="B5" i="29"/>
  <c r="T4" i="29"/>
  <c r="R4" i="29"/>
  <c r="P4" i="29"/>
  <c r="N4" i="29"/>
  <c r="L4" i="29"/>
  <c r="J4" i="29"/>
  <c r="H4" i="29"/>
  <c r="F4" i="29"/>
  <c r="D4" i="29"/>
  <c r="B4" i="29"/>
  <c r="T3" i="29"/>
  <c r="R3" i="29"/>
  <c r="P3" i="29"/>
  <c r="N3" i="29"/>
  <c r="L3" i="29"/>
  <c r="J3" i="29"/>
  <c r="H3" i="29"/>
  <c r="F3" i="29"/>
  <c r="D3" i="29"/>
  <c r="B3" i="29"/>
  <c r="A15" i="2"/>
  <c r="B15" i="2" s="1"/>
  <c r="A105" i="2"/>
  <c r="T6" i="28"/>
  <c r="R6" i="28"/>
  <c r="P6" i="28"/>
  <c r="N6" i="28"/>
  <c r="L6" i="28"/>
  <c r="J6" i="28"/>
  <c r="H6" i="28"/>
  <c r="F6" i="28"/>
  <c r="D6" i="28"/>
  <c r="B6" i="28"/>
  <c r="T5" i="28"/>
  <c r="R5" i="28"/>
  <c r="P5" i="28"/>
  <c r="N5" i="28"/>
  <c r="L5" i="28"/>
  <c r="J5" i="28"/>
  <c r="H5" i="28"/>
  <c r="F5" i="28"/>
  <c r="D5" i="28"/>
  <c r="B5" i="28"/>
  <c r="T4" i="28"/>
  <c r="R4" i="28"/>
  <c r="P4" i="28"/>
  <c r="N4" i="28"/>
  <c r="L4" i="28"/>
  <c r="J4" i="28"/>
  <c r="H4" i="28"/>
  <c r="F4" i="28"/>
  <c r="D4" i="28"/>
  <c r="B4" i="28"/>
  <c r="T3" i="28"/>
  <c r="R3" i="28"/>
  <c r="P3" i="28"/>
  <c r="N3" i="28"/>
  <c r="L3" i="28"/>
  <c r="J3" i="28"/>
  <c r="H3" i="28"/>
  <c r="F3" i="28"/>
  <c r="D3" i="28"/>
  <c r="B3" i="28"/>
  <c r="T6" i="27"/>
  <c r="R6" i="27"/>
  <c r="P6" i="27"/>
  <c r="N6" i="27"/>
  <c r="L6" i="27"/>
  <c r="J6" i="27"/>
  <c r="H6" i="27"/>
  <c r="F6" i="27"/>
  <c r="D6" i="27"/>
  <c r="B6" i="27"/>
  <c r="A16" i="2" s="1"/>
  <c r="B16" i="2" s="1"/>
  <c r="T5" i="27"/>
  <c r="R5" i="27"/>
  <c r="P5" i="27"/>
  <c r="N5" i="27"/>
  <c r="L5" i="27"/>
  <c r="J5" i="27"/>
  <c r="H5" i="27"/>
  <c r="F5" i="27"/>
  <c r="D5" i="27"/>
  <c r="B5" i="27"/>
  <c r="T4" i="27"/>
  <c r="R4" i="27"/>
  <c r="P4" i="27"/>
  <c r="N4" i="27"/>
  <c r="L4" i="27"/>
  <c r="J4" i="27"/>
  <c r="H4" i="27"/>
  <c r="F4" i="27"/>
  <c r="D4" i="27"/>
  <c r="B4" i="27"/>
  <c r="A80" i="2" s="1"/>
  <c r="T3" i="27"/>
  <c r="R3" i="27"/>
  <c r="P3" i="27"/>
  <c r="N3" i="27"/>
  <c r="L3" i="27"/>
  <c r="J3" i="27"/>
  <c r="H3" i="27"/>
  <c r="F3" i="27"/>
  <c r="D3" i="27"/>
  <c r="B3" i="27"/>
  <c r="A75" i="2"/>
  <c r="T8" i="26"/>
  <c r="R8" i="26"/>
  <c r="P8" i="26"/>
  <c r="N8" i="26"/>
  <c r="L8" i="26"/>
  <c r="J8" i="26"/>
  <c r="H8" i="26"/>
  <c r="F8" i="26"/>
  <c r="D8" i="26"/>
  <c r="B8" i="26"/>
  <c r="A35" i="2" s="1"/>
  <c r="B35" i="2" s="1"/>
  <c r="T6" i="26"/>
  <c r="R6" i="26"/>
  <c r="P6" i="26"/>
  <c r="N6" i="26"/>
  <c r="L6" i="26"/>
  <c r="J6" i="26"/>
  <c r="H6" i="26"/>
  <c r="F6" i="26"/>
  <c r="D6" i="26"/>
  <c r="B6" i="26"/>
  <c r="T5" i="26"/>
  <c r="R5" i="26"/>
  <c r="P5" i="26"/>
  <c r="N5" i="26"/>
  <c r="L5" i="26"/>
  <c r="J5" i="26"/>
  <c r="H5" i="26"/>
  <c r="F5" i="26"/>
  <c r="D5" i="26"/>
  <c r="B5" i="26"/>
  <c r="T4" i="26"/>
  <c r="R4" i="26"/>
  <c r="P4" i="26"/>
  <c r="N4" i="26"/>
  <c r="L4" i="26"/>
  <c r="J4" i="26"/>
  <c r="H4" i="26"/>
  <c r="F4" i="26"/>
  <c r="D4" i="26"/>
  <c r="B4" i="26"/>
  <c r="T3" i="26"/>
  <c r="R3" i="26"/>
  <c r="P3" i="26"/>
  <c r="N3" i="26"/>
  <c r="L3" i="26"/>
  <c r="J3" i="26"/>
  <c r="H3" i="26"/>
  <c r="F3" i="26"/>
  <c r="D3" i="26"/>
  <c r="B3" i="26"/>
  <c r="A33" i="2"/>
  <c r="B33" i="2" s="1"/>
  <c r="A74" i="2"/>
  <c r="T9" i="24"/>
  <c r="T8" i="24"/>
  <c r="R9" i="24"/>
  <c r="R8" i="24"/>
  <c r="P9" i="24"/>
  <c r="P8" i="24"/>
  <c r="N9" i="24"/>
  <c r="N8" i="24"/>
  <c r="L9" i="24"/>
  <c r="L8" i="24"/>
  <c r="J9" i="24"/>
  <c r="J8" i="24"/>
  <c r="H9" i="24"/>
  <c r="H8" i="24"/>
  <c r="F9" i="24"/>
  <c r="F8" i="24"/>
  <c r="D9" i="24"/>
  <c r="D8" i="24"/>
  <c r="T8" i="25"/>
  <c r="R8" i="25"/>
  <c r="P8" i="25"/>
  <c r="N8" i="25"/>
  <c r="L8" i="25"/>
  <c r="J8" i="25"/>
  <c r="H8" i="25"/>
  <c r="F8" i="25"/>
  <c r="D8" i="25"/>
  <c r="B8" i="25"/>
  <c r="T6" i="25"/>
  <c r="R6" i="25"/>
  <c r="P6" i="25"/>
  <c r="N6" i="25"/>
  <c r="L6" i="25"/>
  <c r="J6" i="25"/>
  <c r="H6" i="25"/>
  <c r="F6" i="25"/>
  <c r="D6" i="25"/>
  <c r="B6" i="25"/>
  <c r="T5" i="25"/>
  <c r="R5" i="25"/>
  <c r="P5" i="25"/>
  <c r="N5" i="25"/>
  <c r="L5" i="25"/>
  <c r="J5" i="25"/>
  <c r="H5" i="25"/>
  <c r="F5" i="25"/>
  <c r="D5" i="25"/>
  <c r="B5" i="25"/>
  <c r="T4" i="25"/>
  <c r="R4" i="25"/>
  <c r="P4" i="25"/>
  <c r="N4" i="25"/>
  <c r="L4" i="25"/>
  <c r="J4" i="25"/>
  <c r="H4" i="25"/>
  <c r="F4" i="25"/>
  <c r="D4" i="25"/>
  <c r="B4" i="25"/>
  <c r="T3" i="25"/>
  <c r="R3" i="25"/>
  <c r="P3" i="25"/>
  <c r="N3" i="25"/>
  <c r="L3" i="25"/>
  <c r="J3" i="25"/>
  <c r="H3" i="25"/>
  <c r="F3" i="25"/>
  <c r="D3" i="25"/>
  <c r="B3" i="25"/>
  <c r="B9" i="24"/>
  <c r="A32" i="2" s="1"/>
  <c r="B32" i="2" s="1"/>
  <c r="B8" i="24"/>
  <c r="A34" i="2" s="1"/>
  <c r="T6" i="24"/>
  <c r="R6" i="24"/>
  <c r="P6" i="24"/>
  <c r="N6" i="24"/>
  <c r="L6" i="24"/>
  <c r="J6" i="24"/>
  <c r="H6" i="24"/>
  <c r="F6" i="24"/>
  <c r="D6" i="24"/>
  <c r="B6" i="24"/>
  <c r="T5" i="24"/>
  <c r="R5" i="24"/>
  <c r="P5" i="24"/>
  <c r="N5" i="24"/>
  <c r="L5" i="24"/>
  <c r="J5" i="24"/>
  <c r="H5" i="24"/>
  <c r="F5" i="24"/>
  <c r="D5" i="24"/>
  <c r="B5" i="24"/>
  <c r="T4" i="24"/>
  <c r="R4" i="24"/>
  <c r="P4" i="24"/>
  <c r="N4" i="24"/>
  <c r="L4" i="24"/>
  <c r="J4" i="24"/>
  <c r="H4" i="24"/>
  <c r="F4" i="24"/>
  <c r="D4" i="24"/>
  <c r="B4" i="24"/>
  <c r="A73" i="2" s="1"/>
  <c r="T3" i="24"/>
  <c r="R3" i="24"/>
  <c r="P3" i="24"/>
  <c r="N3" i="24"/>
  <c r="L3" i="24"/>
  <c r="J3" i="24"/>
  <c r="H3" i="24"/>
  <c r="F3" i="24"/>
  <c r="D3" i="24"/>
  <c r="B3" i="24"/>
  <c r="A72" i="2"/>
  <c r="T6" i="23"/>
  <c r="R6" i="23"/>
  <c r="P6" i="23"/>
  <c r="N6" i="23"/>
  <c r="L6" i="23"/>
  <c r="J6" i="23"/>
  <c r="H6" i="23"/>
  <c r="F6" i="23"/>
  <c r="D6" i="23"/>
  <c r="B6" i="23"/>
  <c r="T5" i="23"/>
  <c r="R5" i="23"/>
  <c r="P5" i="23"/>
  <c r="N5" i="23"/>
  <c r="L5" i="23"/>
  <c r="J5" i="23"/>
  <c r="H5" i="23"/>
  <c r="F5" i="23"/>
  <c r="D5" i="23"/>
  <c r="B5" i="23"/>
  <c r="T4" i="23"/>
  <c r="R4" i="23"/>
  <c r="P4" i="23"/>
  <c r="N4" i="23"/>
  <c r="L4" i="23"/>
  <c r="J4" i="23"/>
  <c r="H4" i="23"/>
  <c r="F4" i="23"/>
  <c r="D4" i="23"/>
  <c r="B4" i="23"/>
  <c r="T3" i="23"/>
  <c r="R3" i="23"/>
  <c r="P3" i="23"/>
  <c r="N3" i="23"/>
  <c r="L3" i="23"/>
  <c r="J3" i="23"/>
  <c r="H3" i="23"/>
  <c r="F3" i="23"/>
  <c r="D3" i="23"/>
  <c r="B3" i="23"/>
  <c r="A71" i="2"/>
  <c r="A29" i="22"/>
  <c r="T6" i="22"/>
  <c r="R6" i="22"/>
  <c r="P6" i="22"/>
  <c r="N6" i="22"/>
  <c r="L6" i="22"/>
  <c r="J6" i="22"/>
  <c r="H6" i="22"/>
  <c r="F6" i="22"/>
  <c r="D6" i="22"/>
  <c r="B6" i="22"/>
  <c r="T5" i="22"/>
  <c r="R5" i="22"/>
  <c r="P5" i="22"/>
  <c r="N5" i="22"/>
  <c r="L5" i="22"/>
  <c r="J5" i="22"/>
  <c r="H5" i="22"/>
  <c r="F5" i="22"/>
  <c r="D5" i="22"/>
  <c r="B5" i="22"/>
  <c r="T4" i="22"/>
  <c r="R4" i="22"/>
  <c r="P4" i="22"/>
  <c r="N4" i="22"/>
  <c r="L4" i="22"/>
  <c r="J4" i="22"/>
  <c r="H4" i="22"/>
  <c r="F4" i="22"/>
  <c r="D4" i="22"/>
  <c r="B4" i="22"/>
  <c r="T3" i="22"/>
  <c r="R3" i="22"/>
  <c r="P3" i="22"/>
  <c r="N3" i="22"/>
  <c r="L3" i="22"/>
  <c r="J3" i="22"/>
  <c r="H3" i="22"/>
  <c r="F3" i="22"/>
  <c r="D3" i="22"/>
  <c r="B3" i="22"/>
  <c r="A76" i="2"/>
  <c r="T6" i="21"/>
  <c r="R6" i="21"/>
  <c r="P6" i="21"/>
  <c r="N6" i="21"/>
  <c r="L6" i="21"/>
  <c r="J6" i="21"/>
  <c r="H6" i="21"/>
  <c r="F6" i="21"/>
  <c r="D6" i="21"/>
  <c r="B6" i="21"/>
  <c r="T5" i="21"/>
  <c r="R5" i="21"/>
  <c r="P5" i="21"/>
  <c r="N5" i="21"/>
  <c r="L5" i="21"/>
  <c r="J5" i="21"/>
  <c r="H5" i="21"/>
  <c r="F5" i="21"/>
  <c r="D5" i="21"/>
  <c r="B5" i="21"/>
  <c r="T4" i="21"/>
  <c r="R4" i="21"/>
  <c r="P4" i="21"/>
  <c r="N4" i="21"/>
  <c r="L4" i="21"/>
  <c r="J4" i="21"/>
  <c r="H4" i="21"/>
  <c r="F4" i="21"/>
  <c r="D4" i="21"/>
  <c r="B4" i="21"/>
  <c r="T3" i="21"/>
  <c r="R3" i="21"/>
  <c r="P3" i="21"/>
  <c r="N3" i="21"/>
  <c r="L3" i="21"/>
  <c r="J3" i="21"/>
  <c r="H3" i="21"/>
  <c r="F3" i="21"/>
  <c r="D3" i="21"/>
  <c r="B3" i="21"/>
  <c r="A102" i="2"/>
  <c r="T6" i="20"/>
  <c r="R6" i="20"/>
  <c r="P6" i="20"/>
  <c r="N6" i="20"/>
  <c r="L6" i="20"/>
  <c r="J6" i="20"/>
  <c r="H6" i="20"/>
  <c r="F6" i="20"/>
  <c r="D6" i="20"/>
  <c r="B6" i="20"/>
  <c r="T5" i="20"/>
  <c r="R5" i="20"/>
  <c r="P5" i="20"/>
  <c r="N5" i="20"/>
  <c r="L5" i="20"/>
  <c r="J5" i="20"/>
  <c r="H5" i="20"/>
  <c r="F5" i="20"/>
  <c r="D5" i="20"/>
  <c r="B5" i="20"/>
  <c r="T4" i="20"/>
  <c r="R4" i="20"/>
  <c r="P4" i="20"/>
  <c r="N4" i="20"/>
  <c r="L4" i="20"/>
  <c r="J4" i="20"/>
  <c r="H4" i="20"/>
  <c r="F4" i="20"/>
  <c r="D4" i="20"/>
  <c r="B4" i="20"/>
  <c r="T3" i="20"/>
  <c r="R3" i="20"/>
  <c r="P3" i="20"/>
  <c r="N3" i="20"/>
  <c r="L3" i="20"/>
  <c r="J3" i="20"/>
  <c r="H3" i="20"/>
  <c r="F3" i="20"/>
  <c r="D3" i="20"/>
  <c r="B3" i="20"/>
  <c r="A96" i="2"/>
  <c r="T6" i="19"/>
  <c r="R6" i="19"/>
  <c r="P6" i="19"/>
  <c r="N6" i="19"/>
  <c r="L6" i="19"/>
  <c r="J6" i="19"/>
  <c r="H6" i="19"/>
  <c r="F6" i="19"/>
  <c r="D6" i="19"/>
  <c r="B6" i="19"/>
  <c r="T5" i="19"/>
  <c r="R5" i="19"/>
  <c r="P5" i="19"/>
  <c r="N5" i="19"/>
  <c r="L5" i="19"/>
  <c r="J5" i="19"/>
  <c r="H5" i="19"/>
  <c r="F5" i="19"/>
  <c r="D5" i="19"/>
  <c r="B5" i="19"/>
  <c r="T4" i="19"/>
  <c r="R4" i="19"/>
  <c r="P4" i="19"/>
  <c r="N4" i="19"/>
  <c r="L4" i="19"/>
  <c r="J4" i="19"/>
  <c r="H4" i="19"/>
  <c r="F4" i="19"/>
  <c r="D4" i="19"/>
  <c r="B4" i="19"/>
  <c r="T3" i="19"/>
  <c r="R3" i="19"/>
  <c r="P3" i="19"/>
  <c r="N3" i="19"/>
  <c r="L3" i="19"/>
  <c r="J3" i="19"/>
  <c r="H3" i="19"/>
  <c r="F3" i="19"/>
  <c r="D3" i="19"/>
  <c r="B3" i="19"/>
  <c r="A95" i="2"/>
  <c r="T6" i="18"/>
  <c r="R6" i="18"/>
  <c r="P6" i="18"/>
  <c r="N6" i="18"/>
  <c r="L6" i="18"/>
  <c r="J6" i="18"/>
  <c r="H6" i="18"/>
  <c r="F6" i="18"/>
  <c r="D6" i="18"/>
  <c r="B6" i="18"/>
  <c r="T5" i="18"/>
  <c r="R5" i="18"/>
  <c r="P5" i="18"/>
  <c r="N5" i="18"/>
  <c r="L5" i="18"/>
  <c r="J5" i="18"/>
  <c r="H5" i="18"/>
  <c r="F5" i="18"/>
  <c r="D5" i="18"/>
  <c r="B5" i="18"/>
  <c r="T4" i="18"/>
  <c r="R4" i="18"/>
  <c r="P4" i="18"/>
  <c r="N4" i="18"/>
  <c r="L4" i="18"/>
  <c r="J4" i="18"/>
  <c r="H4" i="18"/>
  <c r="F4" i="18"/>
  <c r="D4" i="18"/>
  <c r="B4" i="18"/>
  <c r="T3" i="18"/>
  <c r="R3" i="18"/>
  <c r="P3" i="18"/>
  <c r="N3" i="18"/>
  <c r="L3" i="18"/>
  <c r="J3" i="18"/>
  <c r="H3" i="18"/>
  <c r="F3" i="18"/>
  <c r="D3" i="18"/>
  <c r="B3" i="18"/>
  <c r="A100" i="2"/>
  <c r="T6" i="17"/>
  <c r="R6" i="17"/>
  <c r="P6" i="17"/>
  <c r="N6" i="17"/>
  <c r="L6" i="17"/>
  <c r="J6" i="17"/>
  <c r="H6" i="17"/>
  <c r="F6" i="17"/>
  <c r="D6" i="17"/>
  <c r="B6" i="17"/>
  <c r="T5" i="17"/>
  <c r="R5" i="17"/>
  <c r="P5" i="17"/>
  <c r="N5" i="17"/>
  <c r="L5" i="17"/>
  <c r="J5" i="17"/>
  <c r="H5" i="17"/>
  <c r="F5" i="17"/>
  <c r="D5" i="17"/>
  <c r="B5" i="17"/>
  <c r="T4" i="17"/>
  <c r="R4" i="17"/>
  <c r="P4" i="17"/>
  <c r="N4" i="17"/>
  <c r="L4" i="17"/>
  <c r="J4" i="17"/>
  <c r="H4" i="17"/>
  <c r="F4" i="17"/>
  <c r="D4" i="17"/>
  <c r="B4" i="17"/>
  <c r="T3" i="17"/>
  <c r="R3" i="17"/>
  <c r="P3" i="17"/>
  <c r="N3" i="17"/>
  <c r="L3" i="17"/>
  <c r="J3" i="17"/>
  <c r="H3" i="17"/>
  <c r="F3" i="17"/>
  <c r="D3" i="17"/>
  <c r="B3" i="17"/>
  <c r="A42" i="2"/>
  <c r="B42" i="2" s="1"/>
  <c r="A28" i="2"/>
  <c r="B28" i="2" s="1"/>
  <c r="A27" i="2"/>
  <c r="B27" i="2" s="1"/>
  <c r="T22" i="5"/>
  <c r="T20" i="5"/>
  <c r="T15" i="5"/>
  <c r="R22" i="5"/>
  <c r="R20" i="5"/>
  <c r="R15" i="5"/>
  <c r="P22" i="5"/>
  <c r="P20" i="5"/>
  <c r="P15" i="5"/>
  <c r="N22" i="5"/>
  <c r="N20" i="5"/>
  <c r="N15" i="5"/>
  <c r="L22" i="5"/>
  <c r="L20" i="5"/>
  <c r="L15" i="5"/>
  <c r="J22" i="5"/>
  <c r="J20" i="5"/>
  <c r="J15" i="5"/>
  <c r="H22" i="5"/>
  <c r="H20" i="5"/>
  <c r="H15" i="5"/>
  <c r="F22" i="5"/>
  <c r="F20" i="5"/>
  <c r="F15" i="5"/>
  <c r="D22" i="5"/>
  <c r="D20" i="5"/>
  <c r="D15" i="5"/>
  <c r="B20" i="5"/>
  <c r="B15" i="5"/>
  <c r="B22" i="5"/>
  <c r="T12" i="5"/>
  <c r="T11" i="5"/>
  <c r="T10" i="5"/>
  <c r="T9" i="5"/>
  <c r="T6" i="5"/>
  <c r="T5" i="5"/>
  <c r="T4" i="5"/>
  <c r="T3" i="5"/>
  <c r="R12" i="5"/>
  <c r="R11" i="5"/>
  <c r="R10" i="5"/>
  <c r="R9" i="5"/>
  <c r="R6" i="5"/>
  <c r="R5" i="5"/>
  <c r="R4" i="5"/>
  <c r="R3" i="5"/>
  <c r="P12" i="5"/>
  <c r="P11" i="5"/>
  <c r="P10" i="5"/>
  <c r="P9" i="5"/>
  <c r="P6" i="5"/>
  <c r="P5" i="5"/>
  <c r="P4" i="5"/>
  <c r="P3" i="5"/>
  <c r="N12" i="5"/>
  <c r="N11" i="5"/>
  <c r="N10" i="5"/>
  <c r="N9" i="5"/>
  <c r="N6" i="5"/>
  <c r="N5" i="5"/>
  <c r="N4" i="5"/>
  <c r="N3" i="5"/>
  <c r="L12" i="5"/>
  <c r="L11" i="5"/>
  <c r="L10" i="5"/>
  <c r="L9" i="5"/>
  <c r="L6" i="5"/>
  <c r="L5" i="5"/>
  <c r="L4" i="5"/>
  <c r="L3" i="5"/>
  <c r="J12" i="5"/>
  <c r="J11" i="5"/>
  <c r="J10" i="5"/>
  <c r="J9" i="5"/>
  <c r="J6" i="5"/>
  <c r="J5" i="5"/>
  <c r="J4" i="5"/>
  <c r="J3" i="5"/>
  <c r="H12" i="5"/>
  <c r="H11" i="5"/>
  <c r="H10" i="5"/>
  <c r="H9" i="5"/>
  <c r="H6" i="5"/>
  <c r="H5" i="5"/>
  <c r="H4" i="5"/>
  <c r="H3" i="5"/>
  <c r="F12" i="5"/>
  <c r="F11" i="5"/>
  <c r="F10" i="5"/>
  <c r="F9" i="5"/>
  <c r="F6" i="5"/>
  <c r="F5" i="5"/>
  <c r="F4" i="5"/>
  <c r="F3" i="5"/>
  <c r="D12" i="5"/>
  <c r="D11" i="5"/>
  <c r="D10" i="5"/>
  <c r="D9" i="5"/>
  <c r="D6" i="5"/>
  <c r="D5" i="5"/>
  <c r="D4" i="5"/>
  <c r="D3" i="5"/>
  <c r="T6" i="15"/>
  <c r="R6" i="15"/>
  <c r="P6" i="15"/>
  <c r="N6" i="15"/>
  <c r="L6" i="15"/>
  <c r="J6" i="15"/>
  <c r="H6" i="15"/>
  <c r="F6" i="15"/>
  <c r="D6" i="15"/>
  <c r="B6" i="15"/>
  <c r="T5" i="15"/>
  <c r="R5" i="15"/>
  <c r="P5" i="15"/>
  <c r="N5" i="15"/>
  <c r="L5" i="15"/>
  <c r="J5" i="15"/>
  <c r="H5" i="15"/>
  <c r="F5" i="15"/>
  <c r="D5" i="15"/>
  <c r="B5" i="15"/>
  <c r="T4" i="15"/>
  <c r="R4" i="15"/>
  <c r="P4" i="15"/>
  <c r="N4" i="15"/>
  <c r="L4" i="15"/>
  <c r="J4" i="15"/>
  <c r="H4" i="15"/>
  <c r="F4" i="15"/>
  <c r="D4" i="15"/>
  <c r="B4" i="15"/>
  <c r="A82" i="2" s="1"/>
  <c r="T3" i="15"/>
  <c r="R3" i="15"/>
  <c r="P3" i="15"/>
  <c r="N3" i="15"/>
  <c r="L3" i="15"/>
  <c r="J3" i="15"/>
  <c r="H3" i="15"/>
  <c r="F3" i="15"/>
  <c r="D3" i="15"/>
  <c r="B3" i="15"/>
  <c r="T6" i="14"/>
  <c r="R6" i="14"/>
  <c r="P6" i="14"/>
  <c r="N6" i="14"/>
  <c r="L6" i="14"/>
  <c r="J6" i="14"/>
  <c r="H6" i="14"/>
  <c r="F6" i="14"/>
  <c r="D6" i="14"/>
  <c r="B6" i="14"/>
  <c r="T5" i="14"/>
  <c r="R5" i="14"/>
  <c r="P5" i="14"/>
  <c r="N5" i="14"/>
  <c r="L5" i="14"/>
  <c r="J5" i="14"/>
  <c r="H5" i="14"/>
  <c r="F5" i="14"/>
  <c r="D5" i="14"/>
  <c r="B5" i="14"/>
  <c r="T4" i="14"/>
  <c r="R4" i="14"/>
  <c r="P4" i="14"/>
  <c r="N4" i="14"/>
  <c r="L4" i="14"/>
  <c r="J4" i="14"/>
  <c r="H4" i="14"/>
  <c r="F4" i="14"/>
  <c r="D4" i="14"/>
  <c r="B4" i="14"/>
  <c r="A99" i="2" s="1"/>
  <c r="T3" i="14"/>
  <c r="R3" i="14"/>
  <c r="P3" i="14"/>
  <c r="N3" i="14"/>
  <c r="L3" i="14"/>
  <c r="J3" i="14"/>
  <c r="H3" i="14"/>
  <c r="F3" i="14"/>
  <c r="D3" i="14"/>
  <c r="B3" i="14"/>
  <c r="T6" i="13"/>
  <c r="R6" i="13"/>
  <c r="P6" i="13"/>
  <c r="N6" i="13"/>
  <c r="L6" i="13"/>
  <c r="J6" i="13"/>
  <c r="H6" i="13"/>
  <c r="F6" i="13"/>
  <c r="D6" i="13"/>
  <c r="B6" i="13"/>
  <c r="T5" i="13"/>
  <c r="R5" i="13"/>
  <c r="P5" i="13"/>
  <c r="N5" i="13"/>
  <c r="L5" i="13"/>
  <c r="J5" i="13"/>
  <c r="H5" i="13"/>
  <c r="F5" i="13"/>
  <c r="D5" i="13"/>
  <c r="B5" i="13"/>
  <c r="T4" i="13"/>
  <c r="R4" i="13"/>
  <c r="P4" i="13"/>
  <c r="N4" i="13"/>
  <c r="L4" i="13"/>
  <c r="J4" i="13"/>
  <c r="H4" i="13"/>
  <c r="F4" i="13"/>
  <c r="D4" i="13"/>
  <c r="B4" i="13"/>
  <c r="A94" i="2" s="1"/>
  <c r="T3" i="13"/>
  <c r="R3" i="13"/>
  <c r="P3" i="13"/>
  <c r="N3" i="13"/>
  <c r="L3" i="13"/>
  <c r="J3" i="13"/>
  <c r="H3" i="13"/>
  <c r="F3" i="13"/>
  <c r="D3" i="13"/>
  <c r="B3" i="13"/>
  <c r="T6" i="12"/>
  <c r="R6" i="12"/>
  <c r="P6" i="12"/>
  <c r="N6" i="12"/>
  <c r="L6" i="12"/>
  <c r="J6" i="12"/>
  <c r="H6" i="12"/>
  <c r="F6" i="12"/>
  <c r="D6" i="12"/>
  <c r="B6" i="12"/>
  <c r="T5" i="12"/>
  <c r="R5" i="12"/>
  <c r="P5" i="12"/>
  <c r="N5" i="12"/>
  <c r="L5" i="12"/>
  <c r="J5" i="12"/>
  <c r="H5" i="12"/>
  <c r="F5" i="12"/>
  <c r="D5" i="12"/>
  <c r="B5" i="12"/>
  <c r="T4" i="12"/>
  <c r="R4" i="12"/>
  <c r="P4" i="12"/>
  <c r="N4" i="12"/>
  <c r="L4" i="12"/>
  <c r="J4" i="12"/>
  <c r="H4" i="12"/>
  <c r="F4" i="12"/>
  <c r="D4" i="12"/>
  <c r="B4" i="12"/>
  <c r="A98" i="2" s="1"/>
  <c r="T3" i="12"/>
  <c r="R3" i="12"/>
  <c r="P3" i="12"/>
  <c r="N3" i="12"/>
  <c r="L3" i="12"/>
  <c r="J3" i="12"/>
  <c r="H3" i="12"/>
  <c r="F3" i="12"/>
  <c r="D3" i="12"/>
  <c r="B3" i="12"/>
  <c r="A93" i="2"/>
  <c r="T6" i="11"/>
  <c r="R6" i="11"/>
  <c r="P6" i="11"/>
  <c r="N6" i="11"/>
  <c r="L6" i="11"/>
  <c r="J6" i="11"/>
  <c r="H6" i="11"/>
  <c r="F6" i="11"/>
  <c r="D6" i="11"/>
  <c r="B6" i="11"/>
  <c r="T5" i="11"/>
  <c r="R5" i="11"/>
  <c r="P5" i="11"/>
  <c r="N5" i="11"/>
  <c r="L5" i="11"/>
  <c r="J5" i="11"/>
  <c r="H5" i="11"/>
  <c r="F5" i="11"/>
  <c r="D5" i="11"/>
  <c r="B5" i="11"/>
  <c r="T4" i="11"/>
  <c r="R4" i="11"/>
  <c r="P4" i="11"/>
  <c r="N4" i="11"/>
  <c r="L4" i="11"/>
  <c r="J4" i="11"/>
  <c r="H4" i="11"/>
  <c r="F4" i="11"/>
  <c r="D4" i="11"/>
  <c r="B4" i="11"/>
  <c r="T3" i="11"/>
  <c r="R3" i="11"/>
  <c r="P3" i="11"/>
  <c r="N3" i="11"/>
  <c r="L3" i="11"/>
  <c r="J3" i="11"/>
  <c r="H3" i="11"/>
  <c r="F3" i="11"/>
  <c r="D3" i="11"/>
  <c r="B3" i="11"/>
  <c r="A97" i="2"/>
  <c r="T6" i="10"/>
  <c r="R6" i="10"/>
  <c r="P6" i="10"/>
  <c r="N6" i="10"/>
  <c r="L6" i="10"/>
  <c r="J6" i="10"/>
  <c r="H6" i="10"/>
  <c r="F6" i="10"/>
  <c r="D6" i="10"/>
  <c r="B6" i="10"/>
  <c r="T5" i="10"/>
  <c r="R5" i="10"/>
  <c r="P5" i="10"/>
  <c r="N5" i="10"/>
  <c r="L5" i="10"/>
  <c r="J5" i="10"/>
  <c r="H5" i="10"/>
  <c r="F5" i="10"/>
  <c r="D5" i="10"/>
  <c r="B5" i="10"/>
  <c r="T4" i="10"/>
  <c r="R4" i="10"/>
  <c r="P4" i="10"/>
  <c r="N4" i="10"/>
  <c r="L4" i="10"/>
  <c r="J4" i="10"/>
  <c r="H4" i="10"/>
  <c r="F4" i="10"/>
  <c r="D4" i="10"/>
  <c r="B4" i="10"/>
  <c r="T3" i="10"/>
  <c r="R3" i="10"/>
  <c r="P3" i="10"/>
  <c r="N3" i="10"/>
  <c r="L3" i="10"/>
  <c r="J3" i="10"/>
  <c r="H3" i="10"/>
  <c r="F3" i="10"/>
  <c r="D3" i="10"/>
  <c r="B3" i="10"/>
  <c r="A92" i="2"/>
  <c r="T6" i="9"/>
  <c r="R6" i="9"/>
  <c r="P6" i="9"/>
  <c r="N6" i="9"/>
  <c r="L6" i="9"/>
  <c r="J6" i="9"/>
  <c r="H6" i="9"/>
  <c r="F6" i="9"/>
  <c r="D6" i="9"/>
  <c r="B6" i="9"/>
  <c r="T5" i="9"/>
  <c r="R5" i="9"/>
  <c r="P5" i="9"/>
  <c r="N5" i="9"/>
  <c r="L5" i="9"/>
  <c r="J5" i="9"/>
  <c r="H5" i="9"/>
  <c r="F5" i="9"/>
  <c r="D5" i="9"/>
  <c r="B5" i="9"/>
  <c r="T4" i="9"/>
  <c r="R4" i="9"/>
  <c r="P4" i="9"/>
  <c r="N4" i="9"/>
  <c r="L4" i="9"/>
  <c r="J4" i="9"/>
  <c r="H4" i="9"/>
  <c r="F4" i="9"/>
  <c r="D4" i="9"/>
  <c r="B4" i="9"/>
  <c r="T3" i="9"/>
  <c r="R3" i="9"/>
  <c r="P3" i="9"/>
  <c r="N3" i="9"/>
  <c r="L3" i="9"/>
  <c r="J3" i="9"/>
  <c r="H3" i="9"/>
  <c r="F3" i="9"/>
  <c r="D3" i="9"/>
  <c r="B3" i="9"/>
  <c r="A91" i="2"/>
  <c r="T6" i="8"/>
  <c r="R6" i="8"/>
  <c r="P6" i="8"/>
  <c r="N6" i="8"/>
  <c r="L6" i="8"/>
  <c r="J6" i="8"/>
  <c r="H6" i="8"/>
  <c r="F6" i="8"/>
  <c r="D6" i="8"/>
  <c r="B6" i="8"/>
  <c r="T5" i="8"/>
  <c r="R5" i="8"/>
  <c r="P5" i="8"/>
  <c r="N5" i="8"/>
  <c r="L5" i="8"/>
  <c r="J5" i="8"/>
  <c r="H5" i="8"/>
  <c r="F5" i="8"/>
  <c r="D5" i="8"/>
  <c r="B5" i="8"/>
  <c r="T4" i="8"/>
  <c r="R4" i="8"/>
  <c r="P4" i="8"/>
  <c r="N4" i="8"/>
  <c r="L4" i="8"/>
  <c r="J4" i="8"/>
  <c r="H4" i="8"/>
  <c r="F4" i="8"/>
  <c r="D4" i="8"/>
  <c r="B4" i="8"/>
  <c r="T3" i="8"/>
  <c r="R3" i="8"/>
  <c r="P3" i="8"/>
  <c r="N3" i="8"/>
  <c r="L3" i="8"/>
  <c r="J3" i="8"/>
  <c r="H3" i="8"/>
  <c r="F3" i="8"/>
  <c r="D3" i="8"/>
  <c r="B3" i="8"/>
  <c r="A90" i="2"/>
  <c r="A30" i="2"/>
  <c r="B30" i="2" s="1"/>
  <c r="T6" i="7"/>
  <c r="R6" i="7"/>
  <c r="P6" i="7"/>
  <c r="N6" i="7"/>
  <c r="L6" i="7"/>
  <c r="J6" i="7"/>
  <c r="H6" i="7"/>
  <c r="F6" i="7"/>
  <c r="D6" i="7"/>
  <c r="B6" i="7"/>
  <c r="T5" i="7"/>
  <c r="R5" i="7"/>
  <c r="P5" i="7"/>
  <c r="N5" i="7"/>
  <c r="L5" i="7"/>
  <c r="J5" i="7"/>
  <c r="H5" i="7"/>
  <c r="F5" i="7"/>
  <c r="D5" i="7"/>
  <c r="B5" i="7"/>
  <c r="T4" i="7"/>
  <c r="R4" i="7"/>
  <c r="P4" i="7"/>
  <c r="N4" i="7"/>
  <c r="L4" i="7"/>
  <c r="J4" i="7"/>
  <c r="H4" i="7"/>
  <c r="F4" i="7"/>
  <c r="D4" i="7"/>
  <c r="B4" i="7"/>
  <c r="T3" i="7"/>
  <c r="R3" i="7"/>
  <c r="P3" i="7"/>
  <c r="N3" i="7"/>
  <c r="L3" i="7"/>
  <c r="J3" i="7"/>
  <c r="H3" i="7"/>
  <c r="F3" i="7"/>
  <c r="D3" i="7"/>
  <c r="B3" i="7"/>
  <c r="A89" i="2"/>
  <c r="T6" i="6"/>
  <c r="R6" i="6"/>
  <c r="P6" i="6"/>
  <c r="N6" i="6"/>
  <c r="L6" i="6"/>
  <c r="J6" i="6"/>
  <c r="H6" i="6"/>
  <c r="F6" i="6"/>
  <c r="D6" i="6"/>
  <c r="B6" i="6"/>
  <c r="T5" i="6"/>
  <c r="R5" i="6"/>
  <c r="P5" i="6"/>
  <c r="N5" i="6"/>
  <c r="L5" i="6"/>
  <c r="J5" i="6"/>
  <c r="H5" i="6"/>
  <c r="F5" i="6"/>
  <c r="D5" i="6"/>
  <c r="B5" i="6"/>
  <c r="T4" i="6"/>
  <c r="R4" i="6"/>
  <c r="P4" i="6"/>
  <c r="N4" i="6"/>
  <c r="L4" i="6"/>
  <c r="J4" i="6"/>
  <c r="H4" i="6"/>
  <c r="F4" i="6"/>
  <c r="D4" i="6"/>
  <c r="B4" i="6"/>
  <c r="T3" i="6"/>
  <c r="R3" i="6"/>
  <c r="P3" i="6"/>
  <c r="N3" i="6"/>
  <c r="L3" i="6"/>
  <c r="J3" i="6"/>
  <c r="H3" i="6"/>
  <c r="F3" i="6"/>
  <c r="D3" i="6"/>
  <c r="B3" i="6"/>
  <c r="A101" i="2"/>
  <c r="B12" i="5"/>
  <c r="A36" i="2" s="1"/>
  <c r="B36" i="2" s="1"/>
  <c r="B11" i="5"/>
  <c r="A37" i="2" s="1"/>
  <c r="B37" i="2" s="1"/>
  <c r="B10" i="5"/>
  <c r="A31" i="2" s="1"/>
  <c r="B31" i="2" s="1"/>
  <c r="B9" i="5"/>
  <c r="B6" i="5"/>
  <c r="B5" i="5"/>
  <c r="B4" i="5"/>
  <c r="B3" i="5"/>
  <c r="B3" i="4"/>
  <c r="B4" i="4"/>
  <c r="A88" i="2" s="1"/>
  <c r="B5" i="4"/>
  <c r="B6" i="4"/>
  <c r="T6" i="4"/>
  <c r="R6" i="4"/>
  <c r="P6" i="4"/>
  <c r="N6" i="4"/>
  <c r="L6" i="4"/>
  <c r="J6" i="4"/>
  <c r="H6" i="4"/>
  <c r="F6" i="4"/>
  <c r="D6" i="4"/>
  <c r="T5" i="4"/>
  <c r="R5" i="4"/>
  <c r="P5" i="4"/>
  <c r="N5" i="4"/>
  <c r="L5" i="4"/>
  <c r="J5" i="4"/>
  <c r="H5" i="4"/>
  <c r="F5" i="4"/>
  <c r="D5" i="4"/>
  <c r="T4" i="4"/>
  <c r="R4" i="4"/>
  <c r="P4" i="4"/>
  <c r="N4" i="4"/>
  <c r="L4" i="4"/>
  <c r="J4" i="4"/>
  <c r="H4" i="4"/>
  <c r="F4" i="4"/>
  <c r="D4" i="4"/>
  <c r="T3" i="4"/>
  <c r="R3" i="4"/>
  <c r="P3" i="4"/>
  <c r="N3" i="4"/>
  <c r="L3" i="4"/>
  <c r="J3" i="4"/>
  <c r="H3" i="4"/>
  <c r="F3" i="4"/>
  <c r="D3" i="4"/>
  <c r="T6" i="1"/>
  <c r="T5" i="1"/>
  <c r="T4" i="1"/>
  <c r="T3" i="1"/>
  <c r="R6" i="1"/>
  <c r="R5" i="1"/>
  <c r="R4" i="1"/>
  <c r="R3" i="1"/>
  <c r="P6" i="1"/>
  <c r="P5" i="1"/>
  <c r="P4" i="1"/>
  <c r="P3" i="1"/>
  <c r="N6" i="1"/>
  <c r="N5" i="1"/>
  <c r="N4" i="1"/>
  <c r="N3" i="1"/>
  <c r="L6" i="1"/>
  <c r="L5" i="1"/>
  <c r="L4" i="1"/>
  <c r="L3" i="1"/>
  <c r="J6" i="1"/>
  <c r="J5" i="1"/>
  <c r="J4" i="1"/>
  <c r="J3" i="1"/>
  <c r="H6" i="1"/>
  <c r="H5" i="1"/>
  <c r="H4" i="1"/>
  <c r="H3" i="1"/>
  <c r="F6" i="1"/>
  <c r="F5" i="1"/>
  <c r="F4" i="1"/>
  <c r="F3" i="1"/>
  <c r="D6" i="1"/>
  <c r="D5" i="1"/>
  <c r="D4" i="1"/>
  <c r="D3" i="1"/>
  <c r="B4" i="1"/>
  <c r="A70" i="2" s="1"/>
  <c r="B6" i="1"/>
  <c r="A14" i="2" s="1"/>
  <c r="B14" i="2" s="1"/>
  <c r="B5" i="1"/>
  <c r="B3" i="1"/>
  <c r="A61" i="2" s="1"/>
  <c r="B57" i="2"/>
  <c r="B56" i="2"/>
  <c r="B55" i="2"/>
  <c r="B54" i="2"/>
  <c r="B53" i="2"/>
  <c r="B52" i="2"/>
  <c r="B7" i="2"/>
  <c r="B5" i="2"/>
  <c r="B4" i="2"/>
  <c r="B12" i="2"/>
  <c r="B11" i="2"/>
  <c r="B10" i="2"/>
  <c r="B9" i="2"/>
  <c r="B12" i="39" a="1"/>
  <c r="N7" i="39" a="1"/>
  <c r="N10" i="39" a="1"/>
  <c r="B3" i="39" a="1"/>
  <c r="F19" i="39" a="1"/>
  <c r="N2" i="39" a="1"/>
  <c r="F21" i="39" a="1"/>
  <c r="J12" i="39" a="1"/>
  <c r="F9" i="39" a="1"/>
  <c r="N3" i="39" a="1"/>
  <c r="B7" i="39" a="1"/>
  <c r="J13" i="39" a="1"/>
  <c r="B8" i="39" a="1"/>
  <c r="J14" i="39" a="1"/>
  <c r="B9" i="39" a="1"/>
  <c r="B25" i="39" a="1"/>
  <c r="N6" i="39" a="1"/>
  <c r="J5" i="39" a="1"/>
  <c r="B20" i="39" a="1"/>
  <c r="J10" i="39" a="1"/>
  <c r="J2" i="39" a="1"/>
  <c r="B13" i="39" a="1"/>
  <c r="F5" i="39" a="1"/>
  <c r="J21" i="39" a="1"/>
  <c r="F8" i="39" a="1"/>
  <c r="B23" i="39" a="1"/>
  <c r="B4" i="39" a="1"/>
  <c r="F20" i="39" a="1"/>
  <c r="F11" i="39" a="1"/>
  <c r="B21" i="39" a="1"/>
  <c r="J11" i="39" a="1"/>
  <c r="B22" i="39" a="1"/>
  <c r="F12" i="39" a="1"/>
  <c r="J3" i="39" a="1"/>
  <c r="N5" i="39" a="1"/>
  <c r="J15" i="39" a="1"/>
  <c r="J4" i="39" a="1"/>
  <c r="B24" i="39" a="1"/>
  <c r="F10" i="39" a="1"/>
  <c r="N4" i="39" a="1"/>
  <c r="B26" i="39" a="1"/>
  <c r="J16" i="39" a="1"/>
  <c r="F13" i="39" a="1"/>
  <c r="B14" i="39" a="1"/>
  <c r="J6" i="39" a="1"/>
  <c r="B27" i="39" a="1"/>
  <c r="J17" i="39" a="1"/>
  <c r="F16" i="39" a="1"/>
  <c r="B15" i="39" a="1"/>
  <c r="J7" i="39" a="1"/>
  <c r="F2" i="39" a="1"/>
  <c r="J18" i="39" a="1"/>
  <c r="F17" i="39" a="1"/>
  <c r="B18" i="39" a="1"/>
  <c r="J8" i="39" a="1"/>
  <c r="J19" i="39" a="1"/>
  <c r="F18" i="39" a="1"/>
  <c r="B19" i="39" a="1"/>
  <c r="J9" i="39" a="1"/>
  <c r="F4" i="39" a="1"/>
  <c r="J20" i="39" a="1"/>
  <c r="F3" i="39" a="1"/>
  <c r="B2" i="39" a="1"/>
  <c r="B12" i="39" l="1"/>
  <c r="C12" i="39" s="1"/>
  <c r="N10" i="39"/>
  <c r="O10" i="39" s="1"/>
  <c r="N7" i="39"/>
  <c r="O7" i="39" s="1"/>
  <c r="F3" i="39"/>
  <c r="G3" i="39" s="1"/>
  <c r="J20" i="39"/>
  <c r="K20" i="39" s="1"/>
  <c r="F4" i="39"/>
  <c r="G4" i="39" s="1"/>
  <c r="J9" i="39"/>
  <c r="K9" i="39" s="1"/>
  <c r="B19" i="39"/>
  <c r="C19" i="39" s="1"/>
  <c r="F18" i="39"/>
  <c r="G18" i="39" s="1"/>
  <c r="J19" i="39"/>
  <c r="K19" i="39" s="1"/>
  <c r="J8" i="39"/>
  <c r="K8" i="39" s="1"/>
  <c r="B18" i="39"/>
  <c r="C18" i="39" s="1"/>
  <c r="F17" i="39"/>
  <c r="G17" i="39" s="1"/>
  <c r="J18" i="39"/>
  <c r="K18" i="39" s="1"/>
  <c r="F2" i="39"/>
  <c r="G2" i="39" s="1"/>
  <c r="J7" i="39"/>
  <c r="K7" i="39" s="1"/>
  <c r="B15" i="39"/>
  <c r="C15" i="39" s="1"/>
  <c r="F16" i="39"/>
  <c r="G16" i="39" s="1"/>
  <c r="J17" i="39"/>
  <c r="K17" i="39" s="1"/>
  <c r="B27" i="39"/>
  <c r="C27" i="39" s="1"/>
  <c r="J6" i="39"/>
  <c r="K6" i="39" s="1"/>
  <c r="B14" i="39"/>
  <c r="C14" i="39" s="1"/>
  <c r="F13" i="39"/>
  <c r="G13" i="39" s="1"/>
  <c r="J16" i="39"/>
  <c r="K16" i="39" s="1"/>
  <c r="B26" i="39"/>
  <c r="C26" i="39" s="1"/>
  <c r="N4" i="39"/>
  <c r="O4" i="39" s="1"/>
  <c r="F10" i="39"/>
  <c r="G10" i="39" s="1"/>
  <c r="B24" i="39"/>
  <c r="C24" i="39" s="1"/>
  <c r="J4" i="39"/>
  <c r="K4" i="39" s="1"/>
  <c r="J15" i="39"/>
  <c r="K15" i="39" s="1"/>
  <c r="N5" i="39"/>
  <c r="O5" i="39" s="1"/>
  <c r="J3" i="39"/>
  <c r="K3" i="39" s="1"/>
  <c r="F12" i="39"/>
  <c r="G12" i="39" s="1"/>
  <c r="B22" i="39"/>
  <c r="C22" i="39" s="1"/>
  <c r="J11" i="39"/>
  <c r="K11" i="39" s="1"/>
  <c r="B21" i="39"/>
  <c r="C21" i="39" s="1"/>
  <c r="F11" i="39"/>
  <c r="G11" i="39" s="1"/>
  <c r="F20" i="39"/>
  <c r="G20" i="39" s="1"/>
  <c r="B4" i="39"/>
  <c r="C4" i="39" s="1"/>
  <c r="B23" i="39"/>
  <c r="C23" i="39" s="1"/>
  <c r="F8" i="39"/>
  <c r="G8" i="39" s="1"/>
  <c r="J21" i="39"/>
  <c r="K21" i="39" s="1"/>
  <c r="F5" i="39"/>
  <c r="G5" i="39" s="1"/>
  <c r="B13" i="39"/>
  <c r="C13" i="39" s="1"/>
  <c r="J2" i="39"/>
  <c r="K2" i="39" s="1"/>
  <c r="J10" i="39"/>
  <c r="K10" i="39" s="1"/>
  <c r="B20" i="39"/>
  <c r="C20" i="39" s="1"/>
  <c r="J5" i="39"/>
  <c r="K5" i="39" s="1"/>
  <c r="N6" i="39"/>
  <c r="O6" i="39" s="1"/>
  <c r="B25" i="39"/>
  <c r="C25" i="39" s="1"/>
  <c r="B9" i="39"/>
  <c r="C9" i="39" s="1"/>
  <c r="J14" i="39"/>
  <c r="K14" i="39" s="1"/>
  <c r="B8" i="39"/>
  <c r="C8" i="39" s="1"/>
  <c r="J13" i="39"/>
  <c r="K13" i="39" s="1"/>
  <c r="B7" i="39"/>
  <c r="C7" i="39" s="1"/>
  <c r="N3" i="39"/>
  <c r="O3" i="39" s="1"/>
  <c r="F9" i="39"/>
  <c r="G9" i="39" s="1"/>
  <c r="J12" i="39"/>
  <c r="K12" i="39" s="1"/>
  <c r="F21" i="39"/>
  <c r="G21" i="39" s="1"/>
  <c r="N2" i="39"/>
  <c r="O2" i="39" s="1"/>
  <c r="F19" i="39"/>
  <c r="G19" i="39" s="1"/>
  <c r="B3" i="39"/>
  <c r="C3" i="39" s="1"/>
  <c r="B39" i="2"/>
  <c r="B2" i="39"/>
  <c r="C2" i="3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<sst xmlns="http://schemas.openxmlformats.org/spreadsheetml/2006/main" count="4195" uniqueCount="1607">
  <si>
    <t>Classe d'objet: Ceintures</t>
  </si>
  <si>
    <t>Rareté: Unique</t>
  </si>
  <si>
    <t>Aube de Dyadian</t>
  </si>
  <si>
    <t>Ceinture lourde</t>
  </si>
  <si>
    <t>--------</t>
  </si>
  <si>
    <t>Prérequis::</t>
  </si>
  <si>
    <t>Niveau: 66</t>
  </si>
  <si>
    <t>Niveau de l'objet: 85</t>
  </si>
  <si>
    <t>1% des Dégâts Drainent de la Vie aux Ennemis Frigorifiés</t>
  </si>
  <si>
    <t>Vous n'infligez pas de Dégâts physiques</t>
  </si>
  <si>
    <t>De sa froide résolution</t>
  </si>
  <si>
    <t>Et de son sacrifice par le feu</t>
  </si>
  <si>
    <t>Sont nés les jumeaux éternels.</t>
  </si>
  <si>
    <t>namespace Sidekick.Common.Game.Languages.Implementations</t>
  </si>
  <si>
    <t>{</t>
  </si>
  <si>
    <t xml:space="preserve">    {</t>
  </si>
  <si>
    <t xml:space="preserve">        {</t>
  </si>
  <si>
    <t xml:space="preserve">        };</t>
  </si>
  <si>
    <t xml:space="preserve">    }</t>
  </si>
  <si>
    <t>}</t>
  </si>
  <si>
    <t>English</t>
  </si>
  <si>
    <t>Unique</t>
  </si>
  <si>
    <t>Rare</t>
  </si>
  <si>
    <t>https://www.pathofexile.com/trade/search/</t>
  </si>
  <si>
    <t>https://www.pathofexile.com/trade/exchange/</t>
  </si>
  <si>
    <t>https://www.pathofexile.com/api/trade/</t>
  </si>
  <si>
    <t>https://web.poecdn.com/</t>
  </si>
  <si>
    <t>en</t>
  </si>
  <si>
    <t>-</t>
  </si>
  <si>
    <t>Class</t>
  </si>
  <si>
    <t>German</t>
  </si>
  <si>
    <t>de</t>
  </si>
  <si>
    <t>Spanish</t>
  </si>
  <si>
    <t>French</t>
  </si>
  <si>
    <t>Japanese</t>
  </si>
  <si>
    <t>Korean</t>
  </si>
  <si>
    <t>Portuguese</t>
  </si>
  <si>
    <t>Russian</t>
  </si>
  <si>
    <t>Thai</t>
  </si>
  <si>
    <t>Traditional Chinese</t>
  </si>
  <si>
    <t>es</t>
  </si>
  <si>
    <t>fr</t>
  </si>
  <si>
    <t>jp</t>
  </si>
  <si>
    <t>kr</t>
  </si>
  <si>
    <t>pt</t>
  </si>
  <si>
    <t>ru</t>
  </si>
  <si>
    <t>th</t>
  </si>
  <si>
    <t>zh</t>
  </si>
  <si>
    <t>https://de.pathofexile.com/trade/search/</t>
  </si>
  <si>
    <t>https://de.pathofexile.com/trade/exchange/</t>
  </si>
  <si>
    <t>https://de.pathofexile.com/api/trade/</t>
  </si>
  <si>
    <t>https://es.pathofexile.com/trade/search/</t>
  </si>
  <si>
    <t>https://es.pathofexile.com/trade/exchange/</t>
  </si>
  <si>
    <t>https://es.pathofexile.com/api/trade/</t>
  </si>
  <si>
    <t>https://fr.pathofexile.com/trade/search/</t>
  </si>
  <si>
    <t>https://fr.pathofexile.com/trade/exchange/</t>
  </si>
  <si>
    <t>https://fr.pathofexile.com/api/trade/</t>
  </si>
  <si>
    <t>https://jp.pathofexile.com/trade/search/</t>
  </si>
  <si>
    <t>https://jp.pathofexile.com/trade/exchange/</t>
  </si>
  <si>
    <t>https://jp.pathofexile.com/api/trade/</t>
  </si>
  <si>
    <t>https://poe.game.daum.net/trade/search/</t>
  </si>
  <si>
    <t>https://poe.game.daum.net/trade/exchange/</t>
  </si>
  <si>
    <t>https://poe.game.daum.net/api/trade/</t>
  </si>
  <si>
    <t>https://br.pathofexile.com/trade/search/</t>
  </si>
  <si>
    <t>https://br.pathofexile.com/trade/exchange/</t>
  </si>
  <si>
    <t>https://br.pathofexile.com/api/trade/</t>
  </si>
  <si>
    <t>https://ru.pathofexile.com/trade/search/</t>
  </si>
  <si>
    <t>https://ru.pathofexile.com/trade/exchange/</t>
  </si>
  <si>
    <t>https://ru.pathofexile.com/api/trade/</t>
  </si>
  <si>
    <t>https://th.pathofexile.com/api/trade/</t>
  </si>
  <si>
    <t>https://th.pathofexile.com/trade/exchange/</t>
  </si>
  <si>
    <t>https://th.pathofexile.com/trade/search/</t>
  </si>
  <si>
    <t>http://web.poe.garena.tw/trade/search/</t>
  </si>
  <si>
    <t>http://web.poe.garena.tw/trade/exchange/</t>
  </si>
  <si>
    <t>http://web.poe.garena.tw/api/trade/</t>
  </si>
  <si>
    <t>Unidentified</t>
  </si>
  <si>
    <t>Quality</t>
  </si>
  <si>
    <t>Level</t>
  </si>
  <si>
    <t>Corrupted</t>
  </si>
  <si>
    <t>Sockets</t>
  </si>
  <si>
    <t>Experience</t>
  </si>
  <si>
    <t>Armour</t>
  </si>
  <si>
    <t>Requirements</t>
  </si>
  <si>
    <t>Superior</t>
  </si>
  <si>
    <t>Blighted</t>
  </si>
  <si>
    <t>Anomalous</t>
  </si>
  <si>
    <t>Divergent</t>
  </si>
  <si>
    <t>Item Level</t>
  </si>
  <si>
    <t>Physical Damage</t>
  </si>
  <si>
    <t>Elemental Damage</t>
  </si>
  <si>
    <t>Energy Shield</t>
  </si>
  <si>
    <t>Evasion Rating</t>
  </si>
  <si>
    <t>Chance to Block</t>
  </si>
  <si>
    <t>Attacks per Second</t>
  </si>
  <si>
    <t>Critical Strike Chance</t>
  </si>
  <si>
    <t>Map Tier</t>
  </si>
  <si>
    <t>Item Quantity</t>
  </si>
  <si>
    <t>Item Rarity</t>
  </si>
  <si>
    <t>Monster Pack Size</t>
  </si>
  <si>
    <t>Area Level</t>
  </si>
  <si>
    <t>Phantasmal</t>
  </si>
  <si>
    <t>Heist</t>
  </si>
  <si>
    <t>Gloves</t>
  </si>
  <si>
    <t>Boots</t>
  </si>
  <si>
    <t>Helmets</t>
  </si>
  <si>
    <t>Shields</t>
  </si>
  <si>
    <t>Quivers</t>
  </si>
  <si>
    <t xml:space="preserve">        public ClassLanguage Classes { get; } = new()</t>
  </si>
  <si>
    <t>Item Class: Belts</t>
  </si>
  <si>
    <t>Rarity: Unique</t>
  </si>
  <si>
    <t>Requirements:</t>
  </si>
  <si>
    <t>Item Level: 81</t>
  </si>
  <si>
    <t>0.4% of Physical Attack Damage Leeched as Mana</t>
  </si>
  <si>
    <t>Values</t>
  </si>
  <si>
    <t>Dyadian Dawn</t>
  </si>
  <si>
    <t>Heavy Belt</t>
  </si>
  <si>
    <t>Level: 52</t>
  </si>
  <si>
    <t>Item Level: 84</t>
  </si>
  <si>
    <t>+25 to Strength (implicit)</t>
  </si>
  <si>
    <t>+73 to maximum Life</t>
  </si>
  <si>
    <t>+29% to Fire Resistance</t>
  </si>
  <si>
    <t>+32% to Cold Resistance</t>
  </si>
  <si>
    <t>1% of Attack Damage Leeched as Life against Chilled Enemies</t>
  </si>
  <si>
    <t>Ignites you inflict with Attacks deal Damage 35% faster</t>
  </si>
  <si>
    <t>Deal no Physical Damage</t>
  </si>
  <si>
    <t>With her cold resolve</t>
  </si>
  <si>
    <t>And burning sacrifice</t>
  </si>
  <si>
    <t>The Eternal twins arose.</t>
  </si>
  <si>
    <t>Item Class: Claws</t>
  </si>
  <si>
    <t>Bloodseeker</t>
  </si>
  <si>
    <t>Hellion's Paw</t>
  </si>
  <si>
    <t>Claw</t>
  </si>
  <si>
    <t>Physical Damage: 99-171 (augmented)</t>
  </si>
  <si>
    <t>Critical Strike Chance: 6.00%</t>
  </si>
  <si>
    <t>Attacks per Second: 1.68 (augmented)</t>
  </si>
  <si>
    <t>Weapon Range: 1.1 metres</t>
  </si>
  <si>
    <t>Level: 62</t>
  </si>
  <si>
    <t>Dex: 131</t>
  </si>
  <si>
    <t>Int: 95</t>
  </si>
  <si>
    <t xml:space="preserve">Sockets: G-B </t>
  </si>
  <si>
    <t>1.6% of Physical Attack Damage Leeched as Life (implicit)</t>
  </si>
  <si>
    <t>155% increased Physical Damage</t>
  </si>
  <si>
    <t>Adds 10 to 12 Physical Damage</t>
  </si>
  <si>
    <t>5% increased Attack Speed</t>
  </si>
  <si>
    <t>1.2% of Physical Attack Damage Leeched as Life</t>
  </si>
  <si>
    <t>5% increased Movement Speed</t>
  </si>
  <si>
    <t>Life Leech from Hits with this Weapon is instant</t>
  </si>
  <si>
    <t>For the life of the flesh will always be in the blood.</t>
  </si>
  <si>
    <t>- Atalui, Vaal Priestess</t>
  </si>
  <si>
    <t>Item Class: Rune Daggers</t>
  </si>
  <si>
    <t>White Wind</t>
  </si>
  <si>
    <t>Imperial Skean</t>
  </si>
  <si>
    <t>Rune Dagger</t>
  </si>
  <si>
    <t>Physical Damage: 18-73</t>
  </si>
  <si>
    <t>Elemental Damage: 167-304 (augmented)</t>
  </si>
  <si>
    <t>Critical Strike Chance: 6.30%</t>
  </si>
  <si>
    <t>Weapon Range: 1 metre</t>
  </si>
  <si>
    <t>Level: 66</t>
  </si>
  <si>
    <t>Dex: 95</t>
  </si>
  <si>
    <t>Int: 131</t>
  </si>
  <si>
    <t xml:space="preserve">Sockets: B </t>
  </si>
  <si>
    <t>30% increased Global Critical Strike Chance (implicit)</t>
  </si>
  <si>
    <t>Adds 167 to 304 Cold Damage</t>
  </si>
  <si>
    <t>12% increased Attack Speed</t>
  </si>
  <si>
    <t>+368 to Evasion Rating</t>
  </si>
  <si>
    <t>100% increased Cold Damage while your Off Hand is empty</t>
  </si>
  <si>
    <t>+20% chance to Suppress Spell Damage while your Off Hand is empty</t>
  </si>
  <si>
    <t xml:space="preserve">The Maraketh fear very little, </t>
  </si>
  <si>
    <t>but they dare not whisper the name</t>
  </si>
  <si>
    <t>of the demon that flies on Winter's gales.</t>
  </si>
  <si>
    <t>Item Class: Daggers</t>
  </si>
  <si>
    <t>Goredrill</t>
  </si>
  <si>
    <t>Skinning Knife</t>
  </si>
  <si>
    <t>Dagger</t>
  </si>
  <si>
    <t>Physical Damage: 8-31 (augmented)</t>
  </si>
  <si>
    <t>Critical Strike Chance: 7.80% (augmented)</t>
  </si>
  <si>
    <t>Attacks per Second: 1.45</t>
  </si>
  <si>
    <t>Level: 5</t>
  </si>
  <si>
    <t>Dex: 16</t>
  </si>
  <si>
    <t xml:space="preserve">Sockets: G-G </t>
  </si>
  <si>
    <t>+14 to Dexterity</t>
  </si>
  <si>
    <t>57% increased Physical Damage</t>
  </si>
  <si>
    <t>Adds 1 to 3 Physical Damage</t>
  </si>
  <si>
    <t>30% increased Critical Strike Chance</t>
  </si>
  <si>
    <t>40% increased Attack Damage against Bleeding Enemies</t>
  </si>
  <si>
    <t>50% chance to cause Bleeding on Critical Strike</t>
  </si>
  <si>
    <t>A tap on the shoulder</t>
  </si>
  <si>
    <t>A peck on the cheek</t>
  </si>
  <si>
    <t>A sip of your wine</t>
  </si>
  <si>
    <t>So red and so sleek</t>
  </si>
  <si>
    <t>Item Class: Wands</t>
  </si>
  <si>
    <t>Lifesprig</t>
  </si>
  <si>
    <t>Driftwood Wand</t>
  </si>
  <si>
    <t>Wand</t>
  </si>
  <si>
    <t>Physical Damage: 5-9</t>
  </si>
  <si>
    <t>Critical Strike Chance: 7.00%</t>
  </si>
  <si>
    <t>Attacks per Second: 1.40</t>
  </si>
  <si>
    <t xml:space="preserve">Sockets: G </t>
  </si>
  <si>
    <t>Item Level: 80</t>
  </si>
  <si>
    <t>12% increased Spell Damage (implicit)</t>
  </si>
  <si>
    <t>+1 to Level of Socketed Spell Gems</t>
  </si>
  <si>
    <t>26% increased Spell Damage</t>
  </si>
  <si>
    <t>6% increased Cast Speed</t>
  </si>
  <si>
    <t>+16 to maximum Life</t>
  </si>
  <si>
    <t>+19 to maximum Mana</t>
  </si>
  <si>
    <t>Regenerate 7 Life over 1 second when you Cast a Spell</t>
  </si>
  <si>
    <t>From the smallest seeds</t>
  </si>
  <si>
    <t>To the tallest redwoods,</t>
  </si>
  <si>
    <t>Life endures in Wraeclast.</t>
  </si>
  <si>
    <t>Item Class: One Hand Swords</t>
  </si>
  <si>
    <t>Ichimonji</t>
  </si>
  <si>
    <t>Corsair Sword</t>
  </si>
  <si>
    <t>One Handed Sword</t>
  </si>
  <si>
    <t>Physical Damage: 55-183 (augmented)</t>
  </si>
  <si>
    <t>Critical Strike Chance: 5.00%</t>
  </si>
  <si>
    <t>Attacks per Second: 1.91 (augmented)</t>
  </si>
  <si>
    <t>Level: 58</t>
  </si>
  <si>
    <t>Str: 81</t>
  </si>
  <si>
    <t>Dex: 117</t>
  </si>
  <si>
    <t xml:space="preserve">Sockets: R B G </t>
  </si>
  <si>
    <t>Item Level: 78</t>
  </si>
  <si>
    <t>40% increased Global Accuracy Rating (implicit)</t>
  </si>
  <si>
    <t>85% increased Physical Damage</t>
  </si>
  <si>
    <t>Adds 10 to 19 Physical Damage</t>
  </si>
  <si>
    <t>23% increased Attack Speed</t>
  </si>
  <si>
    <t>10% increased Effect of Buffs on you</t>
  </si>
  <si>
    <t>10% increased Mana Reservation Efficiency of Skills</t>
  </si>
  <si>
    <t>Allies' Aura Buffs do not affect you</t>
  </si>
  <si>
    <t>Your Aura Buffs do not affect allies</t>
  </si>
  <si>
    <t>Master yourself before you seek to master others.</t>
  </si>
  <si>
    <t>Item Class: Thrusting One Hand Swords</t>
  </si>
  <si>
    <t>Aurumvorax</t>
  </si>
  <si>
    <t>Basket Rapier</t>
  </si>
  <si>
    <t>Physical Damage: 27-62 (augmented)</t>
  </si>
  <si>
    <t>Critical Strike Chance: 5.50%</t>
  </si>
  <si>
    <t>Attacks per Second: 1.55</t>
  </si>
  <si>
    <t>Weapon Range: 1.4 metres</t>
  </si>
  <si>
    <t>Level: 17</t>
  </si>
  <si>
    <t>Dex: 62</t>
  </si>
  <si>
    <t xml:space="preserve">Sockets: G R-G </t>
  </si>
  <si>
    <t>Item Level: 73</t>
  </si>
  <si>
    <t>+25% to Global Critical Strike Multiplier (implicit)</t>
  </si>
  <si>
    <t>149% increased Physical Damage</t>
  </si>
  <si>
    <t>20% reduced Rarity of Items found</t>
  </si>
  <si>
    <t>+57% to all Elemental Resistances</t>
  </si>
  <si>
    <t>Grants 3 Life per Enemy Hit</t>
  </si>
  <si>
    <t>Many a collector of rarities discovered to his dismay</t>
  </si>
  <si>
    <t>that the intelligent spirit in this sword</t>
  </si>
  <si>
    <t>does not like to share its master's attention</t>
  </si>
  <si>
    <t>Item Class: Two Hand Swords</t>
  </si>
  <si>
    <t>Terminus Est</t>
  </si>
  <si>
    <t>Tiger Sword</t>
  </si>
  <si>
    <t>Two Handed Sword</t>
  </si>
  <si>
    <t>Physical Damage: 192-316 (augmented)</t>
  </si>
  <si>
    <t>Critical Strike Chance: 7.90% (augmented)</t>
  </si>
  <si>
    <t>Weapon Range: 1.3 metres</t>
  </si>
  <si>
    <t>Level: 51</t>
  </si>
  <si>
    <t>Str: 80</t>
  </si>
  <si>
    <t>Dex: 96</t>
  </si>
  <si>
    <t xml:space="preserve">Sockets: G R </t>
  </si>
  <si>
    <t>Item Level: 70</t>
  </si>
  <si>
    <t>+360 to Accuracy Rating (implicit)</t>
  </si>
  <si>
    <t>255% increased Physical Damage</t>
  </si>
  <si>
    <t>20% increased Attack Speed</t>
  </si>
  <si>
    <t>58% increased Critical Strike Chance</t>
  </si>
  <si>
    <t>Gain 10 Mana per Enemy Killed</t>
  </si>
  <si>
    <t>10% increased Movement Speed</t>
  </si>
  <si>
    <t>Gain a Frenzy Charge on Critical Strike</t>
  </si>
  <si>
    <t>His final sensation was of the executioner's blade.</t>
  </si>
  <si>
    <t>It was not cold, instead warm and reassuring,</t>
  </si>
  <si>
    <t>murmuring a promise of better times ahead.</t>
  </si>
  <si>
    <t>Smiling, he returned death's embrace.</t>
  </si>
  <si>
    <t>Item Class: One Hand Axes</t>
  </si>
  <si>
    <t>Dyadus</t>
  </si>
  <si>
    <t>Infernal Axe</t>
  </si>
  <si>
    <t>One Handed Axe</t>
  </si>
  <si>
    <t>Physical Damage: 51-85</t>
  </si>
  <si>
    <t>Elemental Damage: 276-323 (augmented), 282-315 (augmented)</t>
  </si>
  <si>
    <t>Attacks per Second: 1.45 (augmented)</t>
  </si>
  <si>
    <t>Level: 69</t>
  </si>
  <si>
    <t>Str: 158</t>
  </si>
  <si>
    <t>Dex: 76</t>
  </si>
  <si>
    <t xml:space="preserve">Sockets: R-G </t>
  </si>
  <si>
    <t>Item Level: 83</t>
  </si>
  <si>
    <t>Adds 276 to 323 Fire Damage in Main Hand</t>
  </si>
  <si>
    <t>Adds 282 to 315 Cold Damage in Off Hand</t>
  </si>
  <si>
    <t>11% increased Attack Speed</t>
  </si>
  <si>
    <t>25% chance to Ignite when in Main Hand</t>
  </si>
  <si>
    <t>100% increased Damage with Ignite inflicted on Chilled Enemies</t>
  </si>
  <si>
    <t>Chill Enemies for 1 second on Hit with this Weapon when in Off Hand</t>
  </si>
  <si>
    <t>Born of love, forged in blood</t>
  </si>
  <si>
    <t>He burned as a torch in the blackest night</t>
  </si>
  <si>
    <t>She shone as ice in the winter sun</t>
  </si>
  <si>
    <t>Proudly, fiercely</t>
  </si>
  <si>
    <t>At their mother's side, forever.</t>
  </si>
  <si>
    <t>Item Class: Two Hand Axes</t>
  </si>
  <si>
    <t>Limbsplit</t>
  </si>
  <si>
    <t>Woodsplitter</t>
  </si>
  <si>
    <t>Two Handed Axe</t>
  </si>
  <si>
    <t>Physical Damage: 45-91 (augmented)</t>
  </si>
  <si>
    <t>Attacks per Second: 1.30</t>
  </si>
  <si>
    <t>Level: 13</t>
  </si>
  <si>
    <t>Str: 36</t>
  </si>
  <si>
    <t>Dex: 17</t>
  </si>
  <si>
    <t>+1 to Level of Socketed Strength Gems</t>
  </si>
  <si>
    <t>+27 to Strength</t>
  </si>
  <si>
    <t>86% increased Physical Damage</t>
  </si>
  <si>
    <t>Adds 5 to 10 Physical Damage</t>
  </si>
  <si>
    <t>Culling Strike</t>
  </si>
  <si>
    <t>Swinging through the air, it sings</t>
  </si>
  <si>
    <t>of sundered, severed, missing things.</t>
  </si>
  <si>
    <t>Item Class: One Hand Maces</t>
  </si>
  <si>
    <t>Frostbreath</t>
  </si>
  <si>
    <t>Ornate Mace</t>
  </si>
  <si>
    <t>One Handed Mace</t>
  </si>
  <si>
    <t>Physical Damage: 83-105 (augmented)</t>
  </si>
  <si>
    <t>Elemental Damage: 31-40 (augmented)</t>
  </si>
  <si>
    <t>Attacks per Second: 1.36 (augmented)</t>
  </si>
  <si>
    <t>Level: 50</t>
  </si>
  <si>
    <t>Str: 161</t>
  </si>
  <si>
    <t xml:space="preserve">Sockets: R </t>
  </si>
  <si>
    <t>Item Level: 77</t>
  </si>
  <si>
    <t>15% reduced Enemy Stun Threshold (implicit)</t>
  </si>
  <si>
    <t>Adds 30 to 38 Physical Damage</t>
  </si>
  <si>
    <t>Adds 31 to 40 Cold Damage</t>
  </si>
  <si>
    <t>13% increased Attack Speed</t>
  </si>
  <si>
    <t>+50% to Fire Resistance</t>
  </si>
  <si>
    <t>39% increased Chill Duration on Enemies</t>
  </si>
  <si>
    <t>Attacks with this Weapon deal Double Damage to Chilled Enemies</t>
  </si>
  <si>
    <t>A merciful murderer swept through the streets of Sarn</t>
  </si>
  <si>
    <t>Robbing breath from the weak and worthless.</t>
  </si>
  <si>
    <t>Item Class: Two Hand Maces</t>
  </si>
  <si>
    <t>Voidhome</t>
  </si>
  <si>
    <t>Dread Maul</t>
  </si>
  <si>
    <t>Two Handed Mace</t>
  </si>
  <si>
    <t>Physical Damage: 193-260 (augmented)</t>
  </si>
  <si>
    <t>Attacks per Second: 1.88 (augmented)</t>
  </si>
  <si>
    <t>Level: 54</t>
  </si>
  <si>
    <t>Str: 173</t>
  </si>
  <si>
    <t xml:space="preserve">Sockets: R R-R </t>
  </si>
  <si>
    <t>Item Level: 79</t>
  </si>
  <si>
    <t>30% increased Stun Duration on Enemies (implicit)</t>
  </si>
  <si>
    <t>150% increased Physical Damage</t>
  </si>
  <si>
    <t>50% increased Attack Speed</t>
  </si>
  <si>
    <t>50% reduced Rarity of Items found</t>
  </si>
  <si>
    <t>35% reduced Experience gain</t>
  </si>
  <si>
    <t>Cursed is the star whence it came.</t>
  </si>
  <si>
    <t>Item Class: Sceptres</t>
  </si>
  <si>
    <t>Bitterdream</t>
  </si>
  <si>
    <t>Shadow Sceptre</t>
  </si>
  <si>
    <t>Sceptre</t>
  </si>
  <si>
    <t>Physical Damage: 29-44</t>
  </si>
  <si>
    <t>Critical Strike Chance: 6.20%</t>
  </si>
  <si>
    <t>Attacks per Second: 1.25</t>
  </si>
  <si>
    <t>Level: 32</t>
  </si>
  <si>
    <t>Str: 52</t>
  </si>
  <si>
    <t>Int: 62</t>
  </si>
  <si>
    <t xml:space="preserve">Sockets: B-R </t>
  </si>
  <si>
    <t>22% increased Elemental Damage (implicit)</t>
  </si>
  <si>
    <t>Socketed Gems are Supported by Level 1 Hypothermia</t>
  </si>
  <si>
    <t>Socketed Gems are Supported by Level 1 Ice Bite</t>
  </si>
  <si>
    <t>Socketed Gems are Supported by Level 1 Cold Penetration</t>
  </si>
  <si>
    <t>Socketed Gems are Supported by Level 1 Mana Leech</t>
  </si>
  <si>
    <t>Socketed Gems are Supported by Level 10 Added Cold Damage</t>
  </si>
  <si>
    <t>Socketed Gems are Supported by Level 1 Inspiration</t>
  </si>
  <si>
    <t>Fight not the cold</t>
  </si>
  <si>
    <t>Forsake hope</t>
  </si>
  <si>
    <t>Be still.</t>
  </si>
  <si>
    <t>Item Class: Bows</t>
  </si>
  <si>
    <t>Storm Cloud</t>
  </si>
  <si>
    <t>Long Bow</t>
  </si>
  <si>
    <t>Bow</t>
  </si>
  <si>
    <t>Elemental Damage: 1-85 (augmented)</t>
  </si>
  <si>
    <t>Attacks per Second: 1.93 (augmented)</t>
  </si>
  <si>
    <t>Level: 9</t>
  </si>
  <si>
    <t>Dex: 38</t>
  </si>
  <si>
    <t>No Physical Damage</t>
  </si>
  <si>
    <t>Adds 1 to 85 Lightning Damage</t>
  </si>
  <si>
    <t>48% increased Attack Speed</t>
  </si>
  <si>
    <t>Centuries of development in steel armoursmithing</t>
  </si>
  <si>
    <t>turned the armies of the Eternal Empire</t>
  </si>
  <si>
    <t>into very effective lightning rods.</t>
  </si>
  <si>
    <t>Item Class: Staves</t>
  </si>
  <si>
    <t>Fencoil</t>
  </si>
  <si>
    <t>Gnarled Branch</t>
  </si>
  <si>
    <t>Staff</t>
  </si>
  <si>
    <t>Physical Damage: 9-19</t>
  </si>
  <si>
    <t xml:space="preserve">Sockets: B-B </t>
  </si>
  <si>
    <t>+18% Chance to Block Attack Damage while wielding a Staff (implicit)</t>
  </si>
  <si>
    <t>Socketed Gems are Supported by Level 8 Trap</t>
  </si>
  <si>
    <t>45% increased Global Damage</t>
  </si>
  <si>
    <t>18% increased maximum Life</t>
  </si>
  <si>
    <t>11% increased maximum Mana</t>
  </si>
  <si>
    <t>You've no reason for fear when you're a root in a fen</t>
  </si>
  <si>
    <t>- Old Ezomyte saying.</t>
  </si>
  <si>
    <t>Item Class: Warstaves</t>
  </si>
  <si>
    <t>Realmshaper</t>
  </si>
  <si>
    <t>Iron Staff</t>
  </si>
  <si>
    <t>Warstaff</t>
  </si>
  <si>
    <t>Physical Damage: 14-42</t>
  </si>
  <si>
    <t>Elemental Damage: 13-25 (augmented), 13-24 (augmented)</t>
  </si>
  <si>
    <t>Critical Strike Chance: 6.40%</t>
  </si>
  <si>
    <t>Str: 27</t>
  </si>
  <si>
    <t>Int: 27</t>
  </si>
  <si>
    <t xml:space="preserve">Sockets: R-R </t>
  </si>
  <si>
    <t>+1 to Level of Socketed Fire Gems</t>
  </si>
  <si>
    <t>+1 to Level of Socketed Cold Gems</t>
  </si>
  <si>
    <t>Socketed Gems are Supported by Level 5 Cold to Fire</t>
  </si>
  <si>
    <t>Adds 13 to 25 Fire Damage</t>
  </si>
  <si>
    <t>Adds 13 to 24 Cold Damage</t>
  </si>
  <si>
    <t>48% increased Elemental Damage</t>
  </si>
  <si>
    <t>God's creations always begin and end_x000D_
with flames and ice._x000D_
We should count ourselves lucky when we see neither.</t>
  </si>
  <si>
    <t>- Archbishop Geofri</t>
  </si>
  <si>
    <t>Item Class: Quivers</t>
  </si>
  <si>
    <t>Rearguard</t>
  </si>
  <si>
    <t>Broadhead Arrow Quiver</t>
  </si>
  <si>
    <t>Level: 28</t>
  </si>
  <si>
    <t>Item Level: 82</t>
  </si>
  <si>
    <t>6 to 12 Added Physical Damage with Bow Attacks (implicit)</t>
  </si>
  <si>
    <t>24% Chance to Block Attack Damage</t>
  </si>
  <si>
    <t>15% Chance to Block Spell Damage</t>
  </si>
  <si>
    <t>+421 to Armour</t>
  </si>
  <si>
    <t>20% increased Projectile Speed</t>
  </si>
  <si>
    <t>50% increased Stun and Block Recovery</t>
  </si>
  <si>
    <t>19% increased Projectile Damage</t>
  </si>
  <si>
    <t>It's a rare man that has eyes in the back of his head.</t>
  </si>
  <si>
    <t>- Kiravi, Vaal Archer</t>
  </si>
  <si>
    <t>Item Class: Gloves</t>
  </si>
  <si>
    <t>Haemophilia</t>
  </si>
  <si>
    <t>Serpentscale Gauntlets</t>
  </si>
  <si>
    <t>Armour: 78</t>
  </si>
  <si>
    <t>Evasion Rating: 78</t>
  </si>
  <si>
    <t>Level: 43</t>
  </si>
  <si>
    <t>Str: 34</t>
  </si>
  <si>
    <t>Dex: 34</t>
  </si>
  <si>
    <t xml:space="preserve">Sockets: R-R-G </t>
  </si>
  <si>
    <t>+25 to Strength</t>
  </si>
  <si>
    <t>25% increased Damage over Time</t>
  </si>
  <si>
    <t>Attacks have 25% chance to cause Bleeding</t>
  </si>
  <si>
    <t>34% increased Attack Damage against Bleeding Enemies</t>
  </si>
  <si>
    <t>Bleeding Enemies you Kill Explode, dealing 5% of</t>
  </si>
  <si>
    <t>their Maximum Life as Physical Damage</t>
  </si>
  <si>
    <t>25% reduced Bleeding Duration</t>
  </si>
  <si>
    <t>A master artist takes his time when he's painting._x000D_
Unfortunately, my kind doesn't often have that luxury.</t>
  </si>
  <si>
    <t>Item Class: Boots</t>
  </si>
  <si>
    <t>Wanderlust</t>
  </si>
  <si>
    <t>Wool Shoes</t>
  </si>
  <si>
    <t>Energy Shield: 22 (augmented)</t>
  </si>
  <si>
    <t xml:space="preserve">Sockets: G-B-B B </t>
  </si>
  <si>
    <t>Item Level: 85</t>
  </si>
  <si>
    <t>+5 to Dexterity</t>
  </si>
  <si>
    <t>+17 to maximum Energy Shield</t>
  </si>
  <si>
    <t>37% increased Mana Regeneration Rate</t>
  </si>
  <si>
    <t>20% increased Movement Speed</t>
  </si>
  <si>
    <t>Cannot be Frozen</t>
  </si>
  <si>
    <t>All the world is my home.</t>
  </si>
  <si>
    <t>Item Class: Body Armours</t>
  </si>
  <si>
    <t>Carcass Jack</t>
  </si>
  <si>
    <t>Varnished Coat</t>
  </si>
  <si>
    <t>Evasion Rating: 964 (augmented)</t>
  </si>
  <si>
    <t>Energy Shield: 197 (augmented)</t>
  </si>
  <si>
    <t>Int: 96</t>
  </si>
  <si>
    <t>Item Level: 76</t>
  </si>
  <si>
    <t>149% increased Evasion and Energy Shield</t>
  </si>
  <si>
    <t>+51 to maximum Life</t>
  </si>
  <si>
    <t>+11% to all Elemental Resistances</t>
  </si>
  <si>
    <t>47% increased Area of Effect</t>
  </si>
  <si>
    <t>42% increased Area Damage</t>
  </si>
  <si>
    <t>Extra gore</t>
  </si>
  <si>
    <t>...The discomfort shown by the others is amusing, but none_x000D_
can deny that my work has made quite the splash...</t>
  </si>
  <si>
    <t>- Maligaro's Journal</t>
  </si>
  <si>
    <t>Item Class: Helmets</t>
  </si>
  <si>
    <t>Abyssus</t>
  </si>
  <si>
    <t>Ezomyte Burgonet</t>
  </si>
  <si>
    <t>Armour: 702 (augmented)</t>
  </si>
  <si>
    <t>Level: 60</t>
  </si>
  <si>
    <t>Str: 138</t>
  </si>
  <si>
    <t>+21 to all Attributes</t>
  </si>
  <si>
    <t>Adds 40 to 60 Physical Damage to Attacks</t>
  </si>
  <si>
    <t>+112% to Melee Critical Strike Multiplier</t>
  </si>
  <si>
    <t>103% increased Armour</t>
  </si>
  <si>
    <t>49% increased Physical Damage taken</t>
  </si>
  <si>
    <t>When you have slain all of your enemies,</t>
  </si>
  <si>
    <t>what is left to fear?</t>
  </si>
  <si>
    <t>Item Class: Shields</t>
  </si>
  <si>
    <t>Mistwall</t>
  </si>
  <si>
    <t>Lacquered Buckler</t>
  </si>
  <si>
    <t>Chance to Block: 24%</t>
  </si>
  <si>
    <t>Evasion Rating: 1154 (augmented)</t>
  </si>
  <si>
    <t>Dex: 154</t>
  </si>
  <si>
    <t>6% increased Movement Speed (implicit)</t>
  </si>
  <si>
    <t>142% increased Evasion Rating</t>
  </si>
  <si>
    <t>+16% to Fire and Cold Resistances</t>
  </si>
  <si>
    <t>+10% chance to Avoid Elemental Damage from Hits while Phasing</t>
  </si>
  <si>
    <t>You are at Maximum Chance to Block Attack Damage if you have not Blocked Recently</t>
  </si>
  <si>
    <t>You have Phasing if you have Blocked Recently</t>
  </si>
  <si>
    <t>Light as a board,</t>
  </si>
  <si>
    <t>Stiff as a feather.</t>
  </si>
  <si>
    <t>Item Class: Utility Flasks</t>
  </si>
  <si>
    <t>Rarity: Magic</t>
  </si>
  <si>
    <t>Quality: +20% (augmented)</t>
  </si>
  <si>
    <t>Currently has 0 Charges</t>
  </si>
  <si>
    <t>Right click to drink. Can only hold charges while in belt. Refills as you kill monsters.</t>
  </si>
  <si>
    <t>Scholar's Silver Flask of the Pangolin</t>
  </si>
  <si>
    <t>Quality: +2% (augmented)</t>
  </si>
  <si>
    <t>Lasts 6.10 (augmented) Seconds</t>
  </si>
  <si>
    <t>Consumes 32 (augmented) of 60 Charges on use</t>
  </si>
  <si>
    <t>Onslaught</t>
  </si>
  <si>
    <t>Level: 46</t>
  </si>
  <si>
    <t>Item Level: 63</t>
  </si>
  <si>
    <t>18% reduced Charges per use</t>
  </si>
  <si>
    <t>53% increased Armour during Effect</t>
  </si>
  <si>
    <t>Item Class: Heist Brooches</t>
  </si>
  <si>
    <t>Rarity: Rare</t>
  </si>
  <si>
    <t>Horror Gorget</t>
  </si>
  <si>
    <t>Silver Brooch</t>
  </si>
  <si>
    <t>Any Heist member can equip this item.</t>
  </si>
  <si>
    <t>Level 2 in Any Job</t>
  </si>
  <si>
    <t>14% increased Rarity of Items dropped in Heists (implicit)</t>
  </si>
  <si>
    <t>38% increased Damage</t>
  </si>
  <si>
    <t>Heist Chests have a 7% chance to Duplicate contained Delirium Orbs and Splinters</t>
  </si>
  <si>
    <t>7% reduced Hiring Fee</t>
  </si>
  <si>
    <t>23% increased Rarity of Items dropped in Heists</t>
  </si>
  <si>
    <t>Can only be equipped to Heist members.</t>
  </si>
  <si>
    <t>Item Class: Maps</t>
  </si>
  <si>
    <t>Rarity: Normal</t>
  </si>
  <si>
    <t>Area is infested with Fungal Growths (implicit)</t>
  </si>
  <si>
    <t>Map's Item Quantity Modifiers also affect Blight Chest count at 25% value (implicit)</t>
  </si>
  <si>
    <t>Can be Anointed up to 3 times (implicit)</t>
  </si>
  <si>
    <t>Natural inhabitants of this area have been removed (implicit)</t>
  </si>
  <si>
    <t>Travel to this Map by using it in a personal Map Device. Maps can only be used once.</t>
  </si>
  <si>
    <t>Item Class: Skill Gems</t>
  </si>
  <si>
    <t>Rarity: Gem</t>
  </si>
  <si>
    <t>Place into an item socket of the right colour to gain this skill. Right click to remove from a socket.</t>
  </si>
  <si>
    <t>Item Class: Support Gems</t>
  </si>
  <si>
    <t>Level: 16</t>
  </si>
  <si>
    <t>This is a Support Gem. It does not grant a bonus to your character, but to skills in sockets connected to it. Place into an item socket connected to a socket containing the Skill Gem you wish to augment. Right click to remove from a socket.</t>
  </si>
  <si>
    <t>Item Class: Divination Cards</t>
  </si>
  <si>
    <t>Rarity: Divination Card</t>
  </si>
  <si>
    <t>Chaotic Disposition</t>
  </si>
  <si>
    <t>5x Chaos Orb</t>
  </si>
  <si>
    <t>Life isn't what you make of it, it's already been made for you.</t>
  </si>
  <si>
    <t>Item Class: Rings</t>
  </si>
  <si>
    <t>Paua Ring</t>
  </si>
  <si>
    <t>+24 to maximum Mana (implicit)</t>
  </si>
  <si>
    <t>Test</t>
  </si>
  <si>
    <t>Magic</t>
  </si>
  <si>
    <t>Gem</t>
  </si>
  <si>
    <t>Divination Card</t>
  </si>
  <si>
    <t>Item Class</t>
  </si>
  <si>
    <t>Divination Cards</t>
  </si>
  <si>
    <t>Rings</t>
  </si>
  <si>
    <t>Belts</t>
  </si>
  <si>
    <t>Body Armours</t>
  </si>
  <si>
    <t>Utility Flasks</t>
  </si>
  <si>
    <t>Skill Gems</t>
  </si>
  <si>
    <t>Support Gems</t>
  </si>
  <si>
    <t>Claws</t>
  </si>
  <si>
    <t>Daggers</t>
  </si>
  <si>
    <t>Wands</t>
  </si>
  <si>
    <t>One Hand Swords</t>
  </si>
  <si>
    <t>Thrusting One Hand Swords</t>
  </si>
  <si>
    <t>One Hand Axes</t>
  </si>
  <si>
    <t>One Hand Maces</t>
  </si>
  <si>
    <t>Bows</t>
  </si>
  <si>
    <t>Staves</t>
  </si>
  <si>
    <t>Two Hand Swords</t>
  </si>
  <si>
    <t>Two Hand Axes</t>
  </si>
  <si>
    <t>Two Hand Maces</t>
  </si>
  <si>
    <t>Sceptres</t>
  </si>
  <si>
    <t>Rune Daggers</t>
  </si>
  <si>
    <t>Warstaves</t>
  </si>
  <si>
    <t>Heist Brooches</t>
  </si>
  <si>
    <t>Fleet Atoll Map</t>
  </si>
  <si>
    <t>Map Tier: 16</t>
  </si>
  <si>
    <t>Item Quantity: +19% (augmented)</t>
  </si>
  <si>
    <t>Item Rarity: +11% (augmented)</t>
  </si>
  <si>
    <t>Monster Pack Size: +7% (augmented)</t>
  </si>
  <si>
    <t>26% increased Monster Movement Speed</t>
  </si>
  <si>
    <t>43% increased Monster Attack Speed</t>
  </si>
  <si>
    <t>38% increased Monster Cast Speed</t>
  </si>
  <si>
    <t>Item Class: Stackable Currency</t>
  </si>
  <si>
    <t>Rarity: Currency</t>
  </si>
  <si>
    <t>Chaos Orb</t>
  </si>
  <si>
    <t>Stack Size: 1/20</t>
  </si>
  <si>
    <t>Reforges a rare item with new random modifiers</t>
  </si>
  <si>
    <t>Right click this item then left click a rare item to apply it.</t>
  </si>
  <si>
    <t>Item Class: Expedition Logbooks</t>
  </si>
  <si>
    <t>Expedition Logbook</t>
  </si>
  <si>
    <t>Area Level: 76</t>
  </si>
  <si>
    <t>Desert Ruins</t>
  </si>
  <si>
    <t>Order of the Chalice</t>
  </si>
  <si>
    <t>10% increased quantity of Artifacts dropped by Monsters (implicit)</t>
  </si>
  <si>
    <t>Area contains 23% increased number of Remnants (implicit)</t>
  </si>
  <si>
    <t>Karui Wargraves</t>
  </si>
  <si>
    <t>40% increased number of Explosives (implicit)</t>
  </si>
  <si>
    <t>Area contains 15% increased number of Monster Markers (implicit)</t>
  </si>
  <si>
    <t>Take this item to Dannig in your Hideout to open portals to an expedition.</t>
  </si>
  <si>
    <t>Divergent Divine Blessing Support</t>
  </si>
  <si>
    <t>Support, Aura, Duration, Blessing</t>
  </si>
  <si>
    <t>Level: 20 (Max)</t>
  </si>
  <si>
    <t>Alternate Quality</t>
  </si>
  <si>
    <t>Level: 70</t>
  </si>
  <si>
    <t>Str: 70</t>
  </si>
  <si>
    <t>Int: 48</t>
  </si>
  <si>
    <t>Supports aura skills that create permanent auras around you, changing their reservation to a cost and making them temporary. Cannot support banner or stance skills.</t>
  </si>
  <si>
    <t>Supported Skills have 5% reduced Mana Cost</t>
  </si>
  <si>
    <t>Supported Skills have 29% increased Aura effect</t>
  </si>
  <si>
    <t>Supported Skills Cost +233 Mana</t>
  </si>
  <si>
    <t>Supported Skills also count as Blessing Skills</t>
  </si>
  <si>
    <t>You can only have one Aura on you from your Blessing Skills</t>
  </si>
  <si>
    <t>Auras from Supported Skills have a base duration of 10.90 seconds</t>
  </si>
  <si>
    <t>Item Class: Delve Stackable Socketable Currency</t>
  </si>
  <si>
    <t>Primitive Chaotic Resonator</t>
  </si>
  <si>
    <t>Stack Size: 1/10</t>
  </si>
  <si>
    <t>Requires 1 (unmet) Socketed Fossil</t>
  </si>
  <si>
    <t xml:space="preserve">Sockets: D </t>
  </si>
  <si>
    <t>All sockets must be filled with Fossils before this item can be used.</t>
  </si>
  <si>
    <t>Item Class: Metamorph Samples</t>
  </si>
  <si>
    <t>Captain Clayborne, The Accursed's Brain</t>
  </si>
  <si>
    <t>Uses: Soul Bolt</t>
  </si>
  <si>
    <t>Drops additional Currency Items</t>
  </si>
  <si>
    <t>Drops additional Quality Gems</t>
  </si>
  <si>
    <t>Drops a 5-linked Rare Weapon</t>
  </si>
  <si>
    <t>Combine this with four other different samples in Tane's Laboratory.</t>
  </si>
  <si>
    <t>Anomalous Barrage</t>
  </si>
  <si>
    <t>Attack, Projectile, Bow</t>
  </si>
  <si>
    <t>Cost: 11 Mana</t>
  </si>
  <si>
    <t>Attack Damage: 54.6% of base</t>
  </si>
  <si>
    <t>Effectiveness of Added Damage: 55%</t>
  </si>
  <si>
    <t>Quality: +11% (augmented)</t>
  </si>
  <si>
    <t>Dex: 155</t>
  </si>
  <si>
    <t>After a short preparation time, you attack repeatedly with a ranged weapon. These attacks have a small randomised spread. Only works with Bows and Wands. This skill cannot be Triggered.</t>
  </si>
  <si>
    <t>11% chance to Knock Enemies Back on hit</t>
  </si>
  <si>
    <t>Fires 4 additional Projectiles</t>
  </si>
  <si>
    <t>Fires Projectiles sequentially</t>
  </si>
  <si>
    <t>Phantasmal Tectonic Slam</t>
  </si>
  <si>
    <t>Fire, Attack, AoE, Slam, Melee</t>
  </si>
  <si>
    <t>Cost: 10 Mana</t>
  </si>
  <si>
    <t>Attack Speed: 80% of base</t>
  </si>
  <si>
    <t>Attack Damage: 255% of base</t>
  </si>
  <si>
    <t>Effectiveness of Added Damage: 255%</t>
  </si>
  <si>
    <t>Slam the ground, unleashing a fiery fissure in front of you, dealing area damage and randomly releasing a number of smaller fissures branching off from it. Consume an Endurance Charge every third time you slam the ground with this skill. Requires a Mace, Sceptre, Sword, Axe, Staff, or Unarmed.</t>
  </si>
  <si>
    <t>60% of Physical Damage Converted to Fire Damage</t>
  </si>
  <si>
    <t>11% increased Fire Damage</t>
  </si>
  <si>
    <t>5% more Area of Effect per Endurance Charge</t>
  </si>
  <si>
    <t>+5% fissure branching chance per Endurance Charge</t>
  </si>
  <si>
    <t>30% fissure branching chance</t>
  </si>
  <si>
    <t>Experience: 4,897,423/15,138,193</t>
  </si>
  <si>
    <t>Item Class: Amulets</t>
  </si>
  <si>
    <t>Bisco's Collar</t>
  </si>
  <si>
    <t>Gold Amulet</t>
  </si>
  <si>
    <t>Level: 30</t>
  </si>
  <si>
    <t>Item Level: 75</t>
  </si>
  <si>
    <t>20% increased Rarity of Items found (implicit)</t>
  </si>
  <si>
    <t>146% increased Rarity of Items Dropped by Slain Magic Enemies</t>
  </si>
  <si>
    <t>39% increased Quantity of Items Dropped by Slain Normal Enemies</t>
  </si>
  <si>
    <t>Friendship worth its weight in gold,</t>
  </si>
  <si>
    <t>a treasure every day.</t>
  </si>
  <si>
    <t>I thought together we'd grow old,</t>
  </si>
  <si>
    <t>until fate pulled you away.</t>
  </si>
  <si>
    <t>Foil Unique (Sunset)</t>
  </si>
  <si>
    <t>Item Class: Life Flasks</t>
  </si>
  <si>
    <t>Superior Eternal Life Flask</t>
  </si>
  <si>
    <t>Quality: +8% (augmented)</t>
  </si>
  <si>
    <t>Recovers 2246 (augmented) Life over 2 Seconds</t>
  </si>
  <si>
    <t>Consumes 15 of 45 Charges on use</t>
  </si>
  <si>
    <t>Level: 65</t>
  </si>
  <si>
    <t>Item Level: 68</t>
  </si>
  <si>
    <t>Item Class: Mana Flasks</t>
  </si>
  <si>
    <t>Superior Eternal Mana Flask</t>
  </si>
  <si>
    <t>Quality: +15% (augmented)</t>
  </si>
  <si>
    <t>Recovers 2070 (augmented) Mana over 7 Seconds</t>
  </si>
  <si>
    <t>Consumes 8 of 42 Charges on use</t>
  </si>
  <si>
    <t>Item Class: Hybrid Flasks</t>
  </si>
  <si>
    <t>Superior Sacred Hybrid Flask</t>
  </si>
  <si>
    <t>Quality: +18% (augmented)</t>
  </si>
  <si>
    <t>Recovers 1699 (augmented) Life over 5 Seconds</t>
  </si>
  <si>
    <t>Recovers 472 (augmented) Mana over 5 Seconds</t>
  </si>
  <si>
    <t>Consumes 20 of 40 Charges on use</t>
  </si>
  <si>
    <t>Item Class: Jewels</t>
  </si>
  <si>
    <t>Brawn</t>
  </si>
  <si>
    <t>Crimson Jewel</t>
  </si>
  <si>
    <t>5% increased Strength</t>
  </si>
  <si>
    <t>6% increased Dexterity</t>
  </si>
  <si>
    <t>15% reduced Intelligence</t>
  </si>
  <si>
    <t>Take your time, make all your plans. _x000D_
Then tell me which plan_x000D_
pulls my axe from your ribs.</t>
  </si>
  <si>
    <t>Place into an allocated Jewel Socket on the Passive Skill Tree. Right click to remove from the Socket.</t>
  </si>
  <si>
    <t>Blight-ravaged Cells Map</t>
  </si>
  <si>
    <t>Map Tier: 15</t>
  </si>
  <si>
    <t>Monster Level: 85 (implicit)</t>
  </si>
  <si>
    <t>200% more Monster Life (implicit)</t>
  </si>
  <si>
    <t>20% increased Monster Movement Speed (implicit)</t>
  </si>
  <si>
    <t>Map's Item Quantity Modifiers also affect Blight Chest count at 50% value (implicit)</t>
  </si>
  <si>
    <t>Can be Anointed up to 9 times (implicit)</t>
  </si>
  <si>
    <t>Blighted Geode Map</t>
  </si>
  <si>
    <t>Map Tier: 13</t>
  </si>
  <si>
    <t>Item Class: Map Fragments</t>
  </si>
  <si>
    <t>Sacrifice at Dusk</t>
  </si>
  <si>
    <t>The Vaal shall never fear the setting of our sun.</t>
  </si>
  <si>
    <t>Can be used in a personal Map Device.</t>
  </si>
  <si>
    <t>Item Class: Misc Map Items</t>
  </si>
  <si>
    <t>Writhing Invitation</t>
  </si>
  <si>
    <t>Modifiers to Item Quantity affect the amount of rewards dropped by the boss (implicit)</t>
  </si>
  <si>
    <t>The Infinite Hunger awaits in a cosmic stomach where</t>
  </si>
  <si>
    <t>whole civilisations are digested - but do not die.</t>
  </si>
  <si>
    <t>Open portals to Seething Chyme by using this item in a personal Map Device.</t>
  </si>
  <si>
    <t>Item Class: Blueprints</t>
  </si>
  <si>
    <t>Blueprint: Repository</t>
  </si>
  <si>
    <t>Heist Target: Unusual Gems</t>
  </si>
  <si>
    <t>Area Level: 74</t>
  </si>
  <si>
    <t>Wings Revealed: 1/3</t>
  </si>
  <si>
    <t>Escape Routes Revealed: 1/6</t>
  </si>
  <si>
    <t>Reward Rooms Revealed: 2/15</t>
  </si>
  <si>
    <t>Requires Demolition (Level 2)</t>
  </si>
  <si>
    <t>Requires Trap Disarmament (Level 1)</t>
  </si>
  <si>
    <t>Requires Agility (Level 1)</t>
  </si>
  <si>
    <t>Item Level: 74</t>
  </si>
  <si>
    <t>Use Intelligence to Reveal additional Wings and Rooms by talking to certain NPCs in the Rogue Harbour. Give this Blueprint to Adiyah to embark on the Grand Heist.</t>
  </si>
  <si>
    <t>Item Class: Contracts</t>
  </si>
  <si>
    <t>Impeding Contract: Bunker</t>
  </si>
  <si>
    <t>Client: Marcine Clavus</t>
  </si>
  <si>
    <t>Heist Target: Enigmatic Assembly C5 (Moderate Value)</t>
  </si>
  <si>
    <t>Area Level: 6</t>
  </si>
  <si>
    <t>Requires Engineering (Level 1)</t>
  </si>
  <si>
    <t>Item Quantity: +13% (augmented)</t>
  </si>
  <si>
    <t>Item Rarity: +8% (augmented)</t>
  </si>
  <si>
    <t>Alert Level Reduction: +5% (augmented)</t>
  </si>
  <si>
    <t>Time Before Lockdown: +5% (augmented)</t>
  </si>
  <si>
    <t>Maximum Alive Reinforcements: +5% (augmented)</t>
  </si>
  <si>
    <t>Item Level: 6</t>
  </si>
  <si>
    <t>14% reduced Job speed</t>
  </si>
  <si>
    <t>I have spent my family's entire fortune in the pursuit of this device._x000D_
Assembling it and turning it on is all I have left.</t>
  </si>
  <si>
    <t>Give this Contract to Adiyah in the Rogue Harbour to embark on the Heist.</t>
  </si>
  <si>
    <t>Item Class: Heist Tools</t>
  </si>
  <si>
    <t>Torment Material</t>
  </si>
  <si>
    <t>Essential Keyring</t>
  </si>
  <si>
    <t>This item can be equipped by:</t>
  </si>
  <si>
    <t>Vinderi, the Dismantler</t>
  </si>
  <si>
    <t>Tullina, the Catburglar</t>
  </si>
  <si>
    <t>Isla, the Engineer</t>
  </si>
  <si>
    <t>Level 2 in Trap Disarmament</t>
  </si>
  <si>
    <t>4% increased Trap Disarmament speed (implicit)</t>
  </si>
  <si>
    <t>The Ring's Cut reduced by 9%</t>
  </si>
  <si>
    <t>+2 seconds to Lockdown Timer</t>
  </si>
  <si>
    <t>3% increased Job Experience gain</t>
  </si>
  <si>
    <t>Item Class: Heist Gear</t>
  </si>
  <si>
    <t>Phoenix Gear</t>
  </si>
  <si>
    <t>Rough Sharpening Stone</t>
  </si>
  <si>
    <t>Item Level: 71</t>
  </si>
  <si>
    <t>14% increased Melee Damage (implicit)</t>
  </si>
  <si>
    <t>12 to 20 added Cold Damage</t>
  </si>
  <si>
    <t>Players and their Minions have 12 to 20 added Cold Damage</t>
  </si>
  <si>
    <t>6% reduced Hiring Fee</t>
  </si>
  <si>
    <t>Grants Level 5 Pride Skill</t>
  </si>
  <si>
    <t>Item Class: Heist Cloaks</t>
  </si>
  <si>
    <t>Corpse Shroud</t>
  </si>
  <si>
    <t>Tattered Cloak</t>
  </si>
  <si>
    <t>Level 3 in Any Job</t>
  </si>
  <si>
    <t>3% reduced raising of Alert Level (implicit)</t>
  </si>
  <si>
    <t>23% increased Damage while area is not in Lockdown</t>
  </si>
  <si>
    <t>Players deal 23% increased Damage while area is not in Lockdown</t>
  </si>
  <si>
    <t>3% reduced raising of Alert Level from opening Chests</t>
  </si>
  <si>
    <t>Item Class: Heist Targets</t>
  </si>
  <si>
    <t>Tusked Hominid Skull</t>
  </si>
  <si>
    <t>Item Level: 27</t>
  </si>
  <si>
    <t>If the skull is real, and not a forgery, then it may show that my people are not the_x000D_
abominations others believe us to be. The word 'human' may have a broader meaning.</t>
  </si>
  <si>
    <t>Can be exchanged with Faustus, the Fence in The Rogue Harbour</t>
  </si>
  <si>
    <t>Normal</t>
  </si>
  <si>
    <t>Currency</t>
  </si>
  <si>
    <t>Blight-ravaged</t>
  </si>
  <si>
    <t>Stackable Currency</t>
  </si>
  <si>
    <t>Jewels</t>
  </si>
  <si>
    <t>Delve Stackable Socketable Currency</t>
  </si>
  <si>
    <t>Metamorph Samples</t>
  </si>
  <si>
    <t>Heist Tools</t>
  </si>
  <si>
    <t>Amulets</t>
  </si>
  <si>
    <t>Life Flasks</t>
  </si>
  <si>
    <t>Mana Flasks</t>
  </si>
  <si>
    <t>Hybrid Flasks</t>
  </si>
  <si>
    <t>Maps</t>
  </si>
  <si>
    <t>Map Fragments</t>
  </si>
  <si>
    <t>Contracts</t>
  </si>
  <si>
    <t>Blueprints</t>
  </si>
  <si>
    <t>Misc Map Items</t>
  </si>
  <si>
    <t>Heist Gear</t>
  </si>
  <si>
    <t>Heist Targets</t>
  </si>
  <si>
    <t>Heist Cloaks</t>
  </si>
  <si>
    <t>Expedition Logbooks</t>
  </si>
  <si>
    <t>Item Class: Memories</t>
  </si>
  <si>
    <t>Niko's Memory of Chasms</t>
  </si>
  <si>
    <t>Areas contain additional Abysses</t>
  </si>
  <si>
    <t>Abysses have already fully opened</t>
  </si>
  <si>
    <t>Abysses contain monsters from Beyond this realm</t>
  </si>
  <si>
    <t>Right-click on this, then left click on a completed Map on your Atlas to apply this Memory.</t>
  </si>
  <si>
    <t>Unmodifiable</t>
  </si>
  <si>
    <t>Spiny Astral Plate of the Conquest</t>
  </si>
  <si>
    <t>Quality: +30% (augmented)</t>
  </si>
  <si>
    <t>Armour: 924 (augmented)</t>
  </si>
  <si>
    <t>Str: 180 (unmet)</t>
  </si>
  <si>
    <t xml:space="preserve">Sockets: W-W-W-W-W-W </t>
  </si>
  <si>
    <t>Item Level: 100</t>
  </si>
  <si>
    <t>+12% to all Elemental Resistances (implicit)</t>
  </si>
  <si>
    <t>Item sells for much more to vendors (implicit)</t>
  </si>
  <si>
    <t>+17% to all Elemental Resistances</t>
  </si>
  <si>
    <t>Reflects 6 Physical Damage to Melee Attackers</t>
  </si>
  <si>
    <t>Warlord Item</t>
  </si>
  <si>
    <t>Archon Kite Shield</t>
  </si>
  <si>
    <t>Chance to Block: 22%</t>
  </si>
  <si>
    <t>Armour: 156</t>
  </si>
  <si>
    <t>Energy Shield: 32</t>
  </si>
  <si>
    <t>Str: 85</t>
  </si>
  <si>
    <t>Int: 85</t>
  </si>
  <si>
    <t xml:space="preserve">Sockets: R R R </t>
  </si>
  <si>
    <t>Shaper Item</t>
  </si>
  <si>
    <t>Pain Dash</t>
  </si>
  <si>
    <t>Shagreen Boots</t>
  </si>
  <si>
    <t>Evasion Rating: 195</t>
  </si>
  <si>
    <t>Level: 55</t>
  </si>
  <si>
    <t>Dex: 97</t>
  </si>
  <si>
    <t xml:space="preserve">Sockets: B G </t>
  </si>
  <si>
    <t>+19 to Dexterity</t>
  </si>
  <si>
    <t>+85 to maximum Life</t>
  </si>
  <si>
    <t>25% increased Movement Speed</t>
  </si>
  <si>
    <t>Bleeding you inflict deals Damage 9% faster</t>
  </si>
  <si>
    <t>Hunter Item</t>
  </si>
  <si>
    <t>Beast Spur</t>
  </si>
  <si>
    <t>Carnal Boots</t>
  </si>
  <si>
    <t>Evasion Rating: 129 (augmented)</t>
  </si>
  <si>
    <t>Energy Shield: 31 (augmented)</t>
  </si>
  <si>
    <t>Dex: 35 (augmented)</t>
  </si>
  <si>
    <t>Int: 35 (augmented)</t>
  </si>
  <si>
    <t xml:space="preserve">Sockets: G-B-B-G </t>
  </si>
  <si>
    <t>Socketed Gems are Supported by Level 20 Fortify</t>
  </si>
  <si>
    <t>32% reduced Attribute Requirements</t>
  </si>
  <si>
    <t>+22 to Evasion Rating</t>
  </si>
  <si>
    <t>+9 to maximum Energy Shield</t>
  </si>
  <si>
    <t>Regenerate 59.2 Life per second</t>
  </si>
  <si>
    <t>14% increased Rarity of Items found</t>
  </si>
  <si>
    <t>Elder Item</t>
  </si>
  <si>
    <t>Sorrow Loop</t>
  </si>
  <si>
    <t>Topaz Ring</t>
  </si>
  <si>
    <t>Level: 67</t>
  </si>
  <si>
    <t>+21% to Lightning Resistance (implicit)</t>
  </si>
  <si>
    <t>32% increased Mana Regeneration Rate</t>
  </si>
  <si>
    <t>27% increased Rarity of Items found</t>
  </si>
  <si>
    <t>+44% to Fire Resistance</t>
  </si>
  <si>
    <t>Curse Enemies with Frostbite on Hit</t>
  </si>
  <si>
    <t>+50 to maximum Mana (crafted)</t>
  </si>
  <si>
    <t>Redeemer Item</t>
  </si>
  <si>
    <t>Bramble Charm</t>
  </si>
  <si>
    <t>Amber Amulet</t>
  </si>
  <si>
    <t>+22 to Strength (implicit)</t>
  </si>
  <si>
    <t>+8 to Intelligence</t>
  </si>
  <si>
    <t>6% increased Intelligence</t>
  </si>
  <si>
    <t>Adds 3 to 6 Physical Damage to Attacks</t>
  </si>
  <si>
    <t>+13% to Lightning Resistance</t>
  </si>
  <si>
    <t>Crusader Item</t>
  </si>
  <si>
    <t>Item Class: Abyss Jewels</t>
  </si>
  <si>
    <t>Hollow Sphere</t>
  </si>
  <si>
    <t>Murderous Eye Jewel</t>
  </si>
  <si>
    <t>Abyss</t>
  </si>
  <si>
    <t>30% increased Evasion Rating while moving (fractured)</t>
  </si>
  <si>
    <t>Adds 11 to 20 Chaos Damage to Attacks</t>
  </si>
  <si>
    <t>+35 to maximum Mana</t>
  </si>
  <si>
    <t>Place into an Abyssal Socket on an Item or into an allocated Jewel Socket on the Passive Skill Tree. Right click to remove from the Socket.</t>
  </si>
  <si>
    <t>Fractured Item</t>
  </si>
  <si>
    <t>Item Class: Sanctum Research</t>
  </si>
  <si>
    <t>Forbidden Tome</t>
  </si>
  <si>
    <t>Area Level: 81</t>
  </si>
  <si>
    <t>Mundus noster cecidit. Daemones ubique sunt. Librum</t>
  </si>
  <si>
    <t>hunc in sacrarium conicio, ut forte alius viam inveniat...</t>
  </si>
  <si>
    <t>Take this item to the Relic Altar in the Forbidden Sanctum to enter.</t>
  </si>
  <si>
    <t>Abyss Jewels</t>
  </si>
  <si>
    <t>Memories</t>
  </si>
  <si>
    <t>Sanctum Research</t>
  </si>
  <si>
    <t>Classe d'objet: Objets monétaires empilables</t>
  </si>
  <si>
    <t>Rareté: Objet monétaire</t>
  </si>
  <si>
    <t>Orbe du chaos</t>
  </si>
  <si>
    <t>Taille de l'ensemble: 1/20</t>
  </si>
  <si>
    <t>Remodèle un objet rare en lui donnant de nouveaux modificateurs au hasard</t>
  </si>
  <si>
    <t>Effectuez un clic droit sur cet objet, puis appliquez-le avec un clic gauche sur un objet rare.</t>
  </si>
  <si>
    <t>Classe d'objet: Gemmes d'aptitude</t>
  </si>
  <si>
    <t>Rareté: Gemme</t>
  </si>
  <si>
    <t>Fracas tectonique fantasmatique</t>
  </si>
  <si>
    <t>Feu, Attaque, Zone, Fracas, Mêlée</t>
  </si>
  <si>
    <t>Niveau: 16</t>
  </si>
  <si>
    <t>Coût: 10 de Mana</t>
  </si>
  <si>
    <t>Vitesse d'attaque: 80% de base</t>
  </si>
  <si>
    <t>Dégâts d'Attaque: 255% de base</t>
  </si>
  <si>
    <t>Efficacité des Dégâts supplémentaires: 255%</t>
  </si>
  <si>
    <t>Qualité: +11% (augmented)</t>
  </si>
  <si>
    <t>Qualité alternative</t>
  </si>
  <si>
    <t>Niveau: 62</t>
  </si>
  <si>
    <t>For: 138</t>
  </si>
  <si>
    <t>Fracasse le sol, liébrant ainsi une fissure ardente face à vous qui inflige des dégâts de zone et libère un nombre aléatoire de fissures plus petites qui se ramifient à partir de la première. Consomme une Charge d'endurance toutes les trois attaques que vous faites avec cette aptitude. Fonctionne uniquement avec les bâtons, épées, haches, masses, sceptres ou à mains nues.</t>
  </si>
  <si>
    <t>60% des Dégâts physiques sont Convertis en Dégâts de feu</t>
  </si>
  <si>
    <t>11% d'Augmentation des Dégâts de feu</t>
  </si>
  <si>
    <t>5% Davantage de Zone d'effet par Charge d'endurance</t>
  </si>
  <si>
    <t>+5% de chances de ramification des fissures par Charge d'endurance</t>
  </si>
  <si>
    <t>30% de chances de ramification des fissures</t>
  </si>
  <si>
    <t>Expérience: 4,897,423/15,138,193</t>
  </si>
  <si>
    <t>Insérez cette Gemme dans une châsse de la même couleur pour acquérir cette Aptitude. Retirez-la à l'aide d'un clic droit.</t>
  </si>
  <si>
    <t>Tir de barrage anormal</t>
  </si>
  <si>
    <t>Attaque, Projectile, Arc</t>
  </si>
  <si>
    <t>Niveau: 20 (Maxi)</t>
  </si>
  <si>
    <t>Coût: 11 de Mana</t>
  </si>
  <si>
    <t>Dégâts d'Attaque: 54.6% de base</t>
  </si>
  <si>
    <t>Efficacité des Dégâts supplémentaires: 55%</t>
  </si>
  <si>
    <t>Niveau: 70</t>
  </si>
  <si>
    <t>Une succession d'attaques à distance qui nécessite un bref instant de préparation. Ces attaques ont une légère dispersion aléatoire. Fonctionne uniquement avec les arcs et les baguettes. Cette Aptitude ne peut être Déclenchée.</t>
  </si>
  <si>
    <t>11% de chances de Repousser les Ennemis au Toucher</t>
  </si>
  <si>
    <t>Tire 4 Projectiles supplémentaires</t>
  </si>
  <si>
    <t>Tire des Projectiles de manière séquencée</t>
  </si>
  <si>
    <t>Corrompu</t>
  </si>
  <si>
    <t>Classe d'objet: Gemmes de soutien</t>
  </si>
  <si>
    <t>Soutien : Bénédiction divine divergente</t>
  </si>
  <si>
    <t>Soutien, Aura, Durée, Bénédiction</t>
  </si>
  <si>
    <t>Qualité: +20% (augmented)</t>
  </si>
  <si>
    <t>For: 70</t>
  </si>
  <si>
    <t>Modifie les aptitudes d'aura qui créent une aura permanente autour de vous. Remplace leur réservation par un coût à payer, mais rend leur effet temporaire. Ne fonctionne pas avec les aptitudes d'Étendard ou de Posture.</t>
  </si>
  <si>
    <t>Les Aptitudes modifiées ont 5% de Réduction du Coût en Mana</t>
  </si>
  <si>
    <t>Les Aptitudes modifiées ont 29% d'Augmentation de l'Effet de leurs Auras</t>
  </si>
  <si>
    <t>Les Aptitudes modifiées Coûtent +233 de Mana</t>
  </si>
  <si>
    <t>Les Aptitudes modifiées sont aussi considérées comme des Aptitudes de Bénédiction</t>
  </si>
  <si>
    <t>Vous ne pouvez bénéficier que d'une Aura émanant de vos Aptitudes de Bénédiction</t>
  </si>
  <si>
    <t>Les Auras émanant des Aptitudes modifiées ont une durée de base de 10.90 secondes</t>
  </si>
  <si>
    <t>Ceci est une Gemme de Soutien : plutôt que de donner un bonus à votre personnage, elle modifie les Aptitudes auxquelles elle est liée. Insérez-la dans une châsse reliée à une autre châsse qui contient la Gemme d'Aptitude que vous souhaitez modifier. Retirez-la à l'aide d'un clic droit.</t>
  </si>
  <si>
    <t>Classe d'objet: Objets enchâssables et empilables Delve</t>
  </si>
  <si>
    <t>Résonateur chaotique primitif</t>
  </si>
  <si>
    <t>Taille de l'ensemble: 1/10</t>
  </si>
  <si>
    <t>Prérequis : 1 (unmet) Fossile enchâssé</t>
  </si>
  <si>
    <t xml:space="preserve">Châsses: D </t>
  </si>
  <si>
    <t>Insérez des Fossiles dans toutes les châsses de cet objet pour pouvoir l'utiliser.</t>
  </si>
  <si>
    <t>Classe d'objet: Cartes divinatoires</t>
  </si>
  <si>
    <t>Rareté: Carte divinatoire</t>
  </si>
  <si>
    <t>Tempérament chaotique</t>
  </si>
  <si>
    <t>Orbe du chaos x5</t>
  </si>
  <si>
    <t>La vie n'est pas ce que tu en fais, elle a déjà été faite pour toi.</t>
  </si>
  <si>
    <t>Classe d'objet: Organes de Métamorphe</t>
  </si>
  <si>
    <t>Cerveau (Capitaine Poindreglaise, le Maudit)</t>
  </si>
  <si>
    <t>Aptitude : Trait d'âme</t>
  </si>
  <si>
    <t>Niveau de l'objet: 80</t>
  </si>
  <si>
    <t>Cède des Objets monétaires supplémentaires</t>
  </si>
  <si>
    <t>Cède des Gemmes de qualité supplémentaires</t>
  </si>
  <si>
    <t>Cède une Arme rare avec 5 châsses reliées</t>
  </si>
  <si>
    <t>Mélangez-le avec quatre autres échantillons différents dans le Laboratoire de Tane.</t>
  </si>
  <si>
    <t>Classe d'objet: Cartes</t>
  </si>
  <si>
    <t>Rareté: Normal</t>
  </si>
  <si>
    <t>Géode, Carte infestée</t>
  </si>
  <si>
    <t>Palier de Carte: 13</t>
  </si>
  <si>
    <t>La Zone est infestée d'Excroissances fongiques (implicit)</t>
  </si>
  <si>
    <t>Les Modificateurs de Quantité d'Objets affectent également les Coffres de l'Infestation à 20% de leurs valeurs (implicit)</t>
  </si>
  <si>
    <t>Peut avoir jusqu'à 3 Onctions (implicit)</t>
  </si>
  <si>
    <t>Les habitants naturels de cette zone ont disparu (implicit)</t>
  </si>
  <si>
    <t>Rendez-vous dans cette Carte en l'utilisant dans votre Dispositif cartographique. Les Cartes se consomment à l'utilisation.</t>
  </si>
  <si>
    <t>Cellules, Carte ravagée par l'Infestation</t>
  </si>
  <si>
    <t>Palier de Carte: 15</t>
  </si>
  <si>
    <t>Niveau de l'objet: 81</t>
  </si>
  <si>
    <t>Niveau des Monstres : 85 (implicit)</t>
  </si>
  <si>
    <t>200% Davantage de Vie des Monstres (implicit)</t>
  </si>
  <si>
    <t>20% d'Augmentation de la Vitesse de déplacement des Monstres (implicit)</t>
  </si>
  <si>
    <t>Les Modificateurs de Quantité d'Objets affectent également les Coffres de l'Infestation à 40% de leurs valeurs (implicit)</t>
  </si>
  <si>
    <t>Peut avoir jusqu'à 9 Onctions (implicit)</t>
  </si>
  <si>
    <t>Classe d'objet: Plans</t>
  </si>
  <si>
    <t>Plan : Entrepôt</t>
  </si>
  <si>
    <t>Objectif du Casse : Gemmes inhabituelles</t>
  </si>
  <si>
    <t>Niveau de la zone : 74</t>
  </si>
  <si>
    <t>Ailes révélées: 1/3</t>
  </si>
  <si>
    <t>Échappatoires révélées: 1/6</t>
  </si>
  <si>
    <t>Salles de récompenses révélées: 2/15</t>
  </si>
  <si>
    <t>Prérequis : Démolition au niv. 2</t>
  </si>
  <si>
    <t>Prérequis : Désamorçage de pièges au niv. 1</t>
  </si>
  <si>
    <t>Prérequis : Agilité au niv. 1</t>
  </si>
  <si>
    <t>Niveau de l'objet: 74</t>
  </si>
  <si>
    <t>Servez-vous de Renseignements afin de découvrir des Ailes et des Salles supplémentaires en parlant à certains PNJ au Port des Malfaiteurs. Donnez ce Plan à Adiyah pour entreprendre le Casse du siècle.</t>
  </si>
  <si>
    <t>Classe d'objet: Contrats</t>
  </si>
  <si>
    <t>Rareté: Magique</t>
  </si>
  <si>
    <t>Contrat : Bunker Entravant</t>
  </si>
  <si>
    <t>Client : Marcine Clavus</t>
  </si>
  <si>
    <t>Objectif du Casse : Assemblage énigmatique C5 (valeur : moyenne)</t>
  </si>
  <si>
    <t>Niveau de la zone : 6</t>
  </si>
  <si>
    <t>Prérequis : Ingénierie au niv. 1</t>
  </si>
  <si>
    <t>Quantité d'objets: +13% (augmented)</t>
  </si>
  <si>
    <t>Rareté des objets: +8% (augmented)</t>
  </si>
  <si>
    <t>Réduction du Niveau d'alerte : +5% (augmented)</t>
  </si>
  <si>
    <t>Temps avant le Verrouillage : +5% (augmented)</t>
  </si>
  <si>
    <t>Renforts maximaux en vie: +5% (augmented)</t>
  </si>
  <si>
    <t>Niveau de l'objet: 6</t>
  </si>
  <si>
    <t>14% de Réduction de la Vitesse des Compétences</t>
  </si>
  <si>
    <t>« J'ai dilapidé toute la fortune familiale dans ma poursuite de cet appareil.</t>
  </si>
  <si>
    <t>L'assembler et le mettre en marche est tout ce qu'il me reste. »</t>
  </si>
  <si>
    <t>Donnez ce contrat à Adiyah au Port des Malfaiteurs afin d'entamer un Casse.</t>
  </si>
  <si>
    <t>Classe d'objet: Journaux de bord d'Expédition</t>
  </si>
  <si>
    <t>Journal de bord de l'Expédition</t>
  </si>
  <si>
    <t>Niveau de la zone : 76</t>
  </si>
  <si>
    <t>Niveau de l'objet: 76</t>
  </si>
  <si>
    <t>Ruines du désert</t>
  </si>
  <si>
    <t>Ordre du Calice</t>
  </si>
  <si>
    <t>10% d'Augmentation de la Quantité d'Artéfacts cédés par les Monstres (implicit)</t>
  </si>
  <si>
    <t>La Zone a 23% d'Augmentation du nombre de Vestiges qu'elle contient (implicit)</t>
  </si>
  <si>
    <t>Tombes militaires karuies</t>
  </si>
  <si>
    <t>40% d'Augmentation du nombre d'Explosifs (implicit)</t>
  </si>
  <si>
    <t>15% d'Augmentation du nombre de Marqueurs de Monstre dans la Zone (implicit)</t>
  </si>
  <si>
    <t>Apportez cet objet à Dannig dans votre Repaire afin qu'il vous ouvre des portails vers une Expédition.</t>
  </si>
  <si>
    <t>Atoll, Carte Dégourdie</t>
  </si>
  <si>
    <t>Palier de Carte: 16</t>
  </si>
  <si>
    <t>Quantité d'objets: +19% (augmented)</t>
  </si>
  <si>
    <t>Rareté des objets: +11% (augmented)</t>
  </si>
  <si>
    <t>Taille des groupes de monstres: +7% (augmented)</t>
  </si>
  <si>
    <t>Niveau de l'objet: 84</t>
  </si>
  <si>
    <t>26% d'Augmentation de la Vitesse de déplacement des Monstres</t>
  </si>
  <si>
    <t>43% d'Augmentation de la Vitesse d'Attaque des Monstres</t>
  </si>
  <si>
    <t>38% d'Augmentation de la Vitesse d'incantation des Monstres</t>
  </si>
  <si>
    <t>Classe d'objet: Fragments de carte</t>
  </si>
  <si>
    <t>Sacrifice au crépuscule</t>
  </si>
  <si>
    <t>Les Vaal ne craindront jamais le coucher de notre soleil.</t>
  </si>
  <si>
    <t>À utiliser dans votre Dispositif cartographique.</t>
  </si>
  <si>
    <t>Classe d'objet: Souvenirs</t>
  </si>
  <si>
    <t>Souvenir de Niko de Gouffres</t>
  </si>
  <si>
    <t>Les Zones contiennent des Abysses supplémentaires</t>
  </si>
  <si>
    <t>Les Abysses sont déjà totalement ouverts</t>
  </si>
  <si>
    <t>Les Abysses contiennent des monstres d'Ailleurs</t>
  </si>
  <si>
    <t>Effectuez un clic droit sur cet objet, puis un clic gauche sur une Carte terminée sur votre Atlas pour appliquer ce Souvenir.</t>
  </si>
  <si>
    <t>Non modifiable</t>
  </si>
  <si>
    <t>Classe d'objet: Objets de Carte divers</t>
  </si>
  <si>
    <t>Invitation tortillante</t>
  </si>
  <si>
    <t>Niveau de l'objet: 83</t>
  </si>
  <si>
    <t>Les Modificateurs affectant la Quantité d'Objets affectent la quantité de récompenses cédées par le Boss (implicit)</t>
  </si>
  <si>
    <t>La Faim infinie attend dans un ventre cosmique</t>
  </si>
  <si>
    <t>dans lequel des civilisations entières sont digérées — sans mourir pour autant.</t>
  </si>
  <si>
    <t>Utilisez cet objet dans votre Dispositif cartographique afin d'ouvrir des portails vers le Chyme bouillonnant.</t>
  </si>
  <si>
    <t>Classe d'objet: Flacons hybrides</t>
  </si>
  <si>
    <t>Flacon sacré hybride supérieur</t>
  </si>
  <si>
    <t>Qualité: +18% (augmented)</t>
  </si>
  <si>
    <t>Rend 1699 (augmented) Vie sur 5 secondes</t>
  </si>
  <si>
    <t>Rend 472 (augmented) Mana sur 5 secondes</t>
  </si>
  <si>
    <t>Consomme 20 charges sur 40 par utilisation</t>
  </si>
  <si>
    <t>Contient actuellement 0 charges</t>
  </si>
  <si>
    <t>Niveau: 50</t>
  </si>
  <si>
    <t>Niveau de l'objet: 77</t>
  </si>
  <si>
    <t>Clic droit pour boire ce Flacon. Il doit être équipé pour pouvoir contenir des charges, et se remplit à chaque monstre tué.</t>
  </si>
  <si>
    <t>Classe d'objet: Flacons de Mana</t>
  </si>
  <si>
    <t>Flacon éternel de mana supérieur</t>
  </si>
  <si>
    <t>Qualité: +15% (augmented)</t>
  </si>
  <si>
    <t>Rend 2070 (augmented) Mana sur 7 secondes</t>
  </si>
  <si>
    <t>Consomme 8 charges sur 42 par utilisation</t>
  </si>
  <si>
    <t>Niveau: 65</t>
  </si>
  <si>
    <t>Niveau de l'objet: 70</t>
  </si>
  <si>
    <t>Classe d'objet: Flacons de Vie</t>
  </si>
  <si>
    <t>Flacon éternel de vie supérieur</t>
  </si>
  <si>
    <t>Qualité: +8% (augmented)</t>
  </si>
  <si>
    <t>Rend 2246 (augmented) Vie sur 2 secondes</t>
  </si>
  <si>
    <t>Consomme 15 charges sur 45 par utilisation</t>
  </si>
  <si>
    <t>Niveau de l'objet: 68</t>
  </si>
  <si>
    <t>Classe d'objet: Flacons utilitaires</t>
  </si>
  <si>
    <t>Flacon d'argent de l'Érudit du Pangolin</t>
  </si>
  <si>
    <t>Qualité: +2% (augmented)</t>
  </si>
  <si>
    <t>Dure 6.10 (augmented) secondes</t>
  </si>
  <si>
    <t>Consomme 32 (augmented) charges sur 60 par utilisation</t>
  </si>
  <si>
    <t>Assaut</t>
  </si>
  <si>
    <t>Niveau: 46</t>
  </si>
  <si>
    <t>Niveau de l'objet: 63</t>
  </si>
  <si>
    <t>18% de Réduction des Charges par utilisation</t>
  </si>
  <si>
    <t>53% d'Augmentation de l'Armure pendant cet Effet</t>
  </si>
  <si>
    <t>Classe d'objet: Amulettes</t>
  </si>
  <si>
    <t>Collier de Bisco</t>
  </si>
  <si>
    <t>Amulette en or</t>
  </si>
  <si>
    <t>Niveau: 30</t>
  </si>
  <si>
    <t>Niveau de l'objet: 75</t>
  </si>
  <si>
    <t>20% d'Augmentation de la Rareté des Objets cédés (implicit)</t>
  </si>
  <si>
    <t>146% d'Augmentation de la Rareté des Objets cédés par les Ennemis Magiques Tués</t>
  </si>
  <si>
    <t>39% d'Augmentation de la Quantité d'Objets cédés par les Ennemis Normaux Tués</t>
  </si>
  <si>
    <t>Une amitié qui vaut son pesant en or,</t>
  </si>
  <si>
    <t>un trésor pour l'éternité.</t>
  </si>
  <si>
    <t>Je nous voyais vieillir ensemble, mais le sort</t>
  </si>
  <si>
    <t>a décidé de t'emporter.</t>
  </si>
  <si>
    <t>Unique en version surbrillante (Soleil couchant)</t>
  </si>
  <si>
    <t>Classe d'objet: Bagues</t>
  </si>
  <si>
    <t>Bague de paua</t>
  </si>
  <si>
    <t>+24 de Mana maximal (implicit)</t>
  </si>
  <si>
    <t>Non identifié</t>
  </si>
  <si>
    <t>Classe d'objet: Casques</t>
  </si>
  <si>
    <t>Bourguignotte ézomyte</t>
  </si>
  <si>
    <t>Armure: 702 (augmented)</t>
  </si>
  <si>
    <t>Niveau: 60</t>
  </si>
  <si>
    <t xml:space="preserve">Châsses: R-R </t>
  </si>
  <si>
    <t>+21 à tous les Attributs</t>
  </si>
  <si>
    <t>Ajoute 40 à 60 Dégâts physiques aux Attaques</t>
  </si>
  <si>
    <t>+112% au Multiplicateur de coup critique en mêlée</t>
  </si>
  <si>
    <t>103% d'Augmentation de l'Armure</t>
  </si>
  <si>
    <t>49% d'Augmentation des Dégâts physiques subis</t>
  </si>
  <si>
    <t>Une fois que vous avez massacré tous vos ennemis,</t>
  </si>
  <si>
    <t>que vous reste-t-il à craindre ?</t>
  </si>
  <si>
    <t>Classe d'objet: Armures</t>
  </si>
  <si>
    <t>Carcasse-jaque</t>
  </si>
  <si>
    <t>Manteau verni</t>
  </si>
  <si>
    <t>Score d'Évasion: 964 (augmented)</t>
  </si>
  <si>
    <t>Bouclier d'énergie: 197 (augmented)</t>
  </si>
  <si>
    <t xml:space="preserve">Châsses: B-B </t>
  </si>
  <si>
    <t>149% d'Augmentation de l'Évasion et du Bouclier d'énergie</t>
  </si>
  <si>
    <t>+51 de Vie maximale</t>
  </si>
  <si>
    <t>+11% à toutes les Résistances élémentaires</t>
  </si>
  <si>
    <t>47% d'Augmentation de Zone d'effet</t>
  </si>
  <si>
    <t>42% d'Augmentation des Dégâts de Zone</t>
  </si>
  <si>
    <t>« ...La gêne des autres est amusante, mais personne</t>
  </si>
  <si>
    <t>ne peut nier que mon travail a fait sensation… »</t>
  </si>
  <si>
    <t>– Journal de Maligaro</t>
  </si>
  <si>
    <t>Classe d'objet: Boucliers</t>
  </si>
  <si>
    <t>Brumuraille</t>
  </si>
  <si>
    <t>Bocle laqué</t>
  </si>
  <si>
    <t>Chances de blocage: 24%</t>
  </si>
  <si>
    <t>Score d'Évasion: 1154 (augmented)</t>
  </si>
  <si>
    <t xml:space="preserve">Châsses: R </t>
  </si>
  <si>
    <t>6% d'Augmentation de la Vitesse de déplacement (implicit)</t>
  </si>
  <si>
    <t>142% d'Augmentation du Score d'Évasion</t>
  </si>
  <si>
    <t>10% d'Augmentation de la Vitesse de déplacement</t>
  </si>
  <si>
    <t>+16% aux Résistances au feu et au froid</t>
  </si>
  <si>
    <t>+10% de chances de ne pas subir de Dégâts élémentaires au Toucher pendant le Déphasage</t>
  </si>
  <si>
    <t>Vos chances de Bloquer les Dégâts d'Attaque sont à leur maximum possible si vous n'avez pas Bloqué Récemment</t>
  </si>
  <si>
    <t>Vous avez Déphasage si vous avez Bloqué Récemment</t>
  </si>
  <si>
    <t>Léger comme une planche,</t>
  </si>
  <si>
    <t>Raide comme une plume.</t>
  </si>
  <si>
    <t>Classe d'objet: Dagues runiques</t>
  </si>
  <si>
    <t>Vent blanc</t>
  </si>
  <si>
    <t>Skiane impérial</t>
  </si>
  <si>
    <t>Dague runique</t>
  </si>
  <si>
    <t>Dégâts physiques: 18-73</t>
  </si>
  <si>
    <t>Dégâts élémentaires: 167-304 (augmented)</t>
  </si>
  <si>
    <t>Chances de coup critique: 6.30%</t>
  </si>
  <si>
    <t>Attaques par seconde: 1.68 (augmented)</t>
  </si>
  <si>
    <t>Allonge : 1 mètre</t>
  </si>
  <si>
    <t xml:space="preserve">Châsses: B </t>
  </si>
  <si>
    <t>30% d'Augmentation des Chances de coup critique Globales (implicit)</t>
  </si>
  <si>
    <t>Ajoute 167 à 304 Dégâts de froid</t>
  </si>
  <si>
    <t>12% d'Augmentation de la Vitesse d'attaque</t>
  </si>
  <si>
    <t>+368 au Score d'Évasion</t>
  </si>
  <si>
    <t>100% d'Augmentation des Dégâts de froid tant que votre main secondaire est vide</t>
  </si>
  <si>
    <t>+20% de chances de Réprimer les Dégâts des Sorts tant que votre main secondaire est vide</t>
  </si>
  <si>
    <t>Les Marakeths redoutent peu de choses,</t>
  </si>
  <si>
    <t>mais ils n'osent pas murmurer le nom</t>
  </si>
  <si>
    <t>du démon qui chevauche les vents d'Hiver.</t>
  </si>
  <si>
    <t>Rareté: Rare</t>
  </si>
  <si>
    <t>Fétiche de ronces</t>
  </si>
  <si>
    <t>Amulette d'ambre</t>
  </si>
  <si>
    <t>Niveau: 54</t>
  </si>
  <si>
    <t>+22 de Force (implicit)</t>
  </si>
  <si>
    <t>+8 d'Intelligence</t>
  </si>
  <si>
    <t>6% d'Augmentation de l'Intelligence</t>
  </si>
  <si>
    <t>Ajoute 3 à 6 Dégâts physiques aux Attaques</t>
  </si>
  <si>
    <t>+13% à la Résistance à la foudre</t>
  </si>
  <si>
    <t>Objet du Croisé</t>
  </si>
  <si>
    <t>Classe d'objet: Bottes</t>
  </si>
  <si>
    <t>Éperons bestiaux</t>
  </si>
  <si>
    <t>Bottes charnelles</t>
  </si>
  <si>
    <t>Score d'Évasion: 129 (augmented)</t>
  </si>
  <si>
    <t>Bouclier d'énergie: 31 (augmented)</t>
  </si>
  <si>
    <t>Niveau: 55</t>
  </si>
  <si>
    <t xml:space="preserve">Châsses: G-B-B-G </t>
  </si>
  <si>
    <t>Les Gemmes enchâssées sont modifiées par Renforcement (Niveau 20)</t>
  </si>
  <si>
    <t>32% de Réduction du prérequis d'Attributs</t>
  </si>
  <si>
    <t>+22 au Score d'Évasion</t>
  </si>
  <si>
    <t>+9 de Bouclier d'énergie maximal</t>
  </si>
  <si>
    <t>59.2 de Vie Régénérée par seconde</t>
  </si>
  <si>
    <t>14% d'Augmentation de la Rareté des Objets cédés</t>
  </si>
  <si>
    <t>Objet de l'Ancien</t>
  </si>
  <si>
    <t>Ruée de la douleur</t>
  </si>
  <si>
    <t>Bottes en chagrin</t>
  </si>
  <si>
    <t>Score d'Évasion: 195</t>
  </si>
  <si>
    <t xml:space="preserve">Châsses: B G </t>
  </si>
  <si>
    <t>Niveau de l'objet: 79</t>
  </si>
  <si>
    <t>+19 de Dextérité</t>
  </si>
  <si>
    <t>+85 de Vie maximale</t>
  </si>
  <si>
    <t>25% d'Augmentation de la Vitesse de déplacement</t>
  </si>
  <si>
    <t>Les Dégâts de vos Saignements sont infligés 9% plus rapidement</t>
  </si>
  <si>
    <t>Objet du Chasseur</t>
  </si>
  <si>
    <t>Maillon triste</t>
  </si>
  <si>
    <t>Bague de topaze</t>
  </si>
  <si>
    <t>Niveau: 67</t>
  </si>
  <si>
    <t>+21% à la Résistance à la foudre (implicit)</t>
  </si>
  <si>
    <t>32% d'Augmentation du Taux de Régénération de Mana</t>
  </si>
  <si>
    <t>27% d'Augmentation de la Rareté des Objets cédés</t>
  </si>
  <si>
    <t>+44% à la Résistance au feu</t>
  </si>
  <si>
    <t>Inflige Frilosité au Toucher aux Ennemis</t>
  </si>
  <si>
    <t>+50 de Mana maximal (crafted)</t>
  </si>
  <si>
    <t>Objet de la Rédemptrice</t>
  </si>
  <si>
    <t>Écu d'archonte</t>
  </si>
  <si>
    <t>Chances de blocage: 22%</t>
  </si>
  <si>
    <t>Armure: 156</t>
  </si>
  <si>
    <t>Bouclier d'énergie: 32</t>
  </si>
  <si>
    <t>For: 85</t>
  </si>
  <si>
    <t xml:space="preserve">Châsses: R R R </t>
  </si>
  <si>
    <t>+12% à toutes les Résistances élémentaires (implicit)</t>
  </si>
  <si>
    <t>Objet du Façonneur</t>
  </si>
  <si>
    <t>Cuirasse astrale Piquante de la Conquête</t>
  </si>
  <si>
    <t>Qualité: +30% (augmented)</t>
  </si>
  <si>
    <t>Armure: 924 (augmented)</t>
  </si>
  <si>
    <t>For: 180 (unmet)</t>
  </si>
  <si>
    <t xml:space="preserve">Châsses: W-W-W-W-W-W </t>
  </si>
  <si>
    <t>Niveau de l'objet: 100</t>
  </si>
  <si>
    <t>L'Objet se vend pour beaucoup plus cher (implicit)</t>
  </si>
  <si>
    <t>+17% à toutes les Résistances élémentaires</t>
  </si>
  <si>
    <t>Renvoie 6 Dégâts physiques aux Attaquants en mêlée</t>
  </si>
  <si>
    <t>Objet du Seigneur de guerre</t>
  </si>
  <si>
    <t>Classe d'objet: Joyaux abyssaux</t>
  </si>
  <si>
    <t>Sphère vide</t>
  </si>
  <si>
    <t>Joyau œil funeste</t>
  </si>
  <si>
    <t>Abysse</t>
  </si>
  <si>
    <t>30% d'Augmentation du Score d'Évasion pendant le déplacement (fractured)</t>
  </si>
  <si>
    <t>Ajoute 11 à 20 Dégâts de chaos aux Attaques</t>
  </si>
  <si>
    <t>+35 de Mana maximal</t>
  </si>
  <si>
    <t>Insérez ce Joyau dans une Châsse abyssale présente sur un objet, ou dans une Châsse de Joyau attribuée dans l'Arbre des Talents passifs. Retirez-le à l'aide d'un clic droit.</t>
  </si>
  <si>
    <t>Objet fissuré</t>
  </si>
  <si>
    <t>Niveau: 52</t>
  </si>
  <si>
    <t>+25 de Force (implicit)</t>
  </si>
  <si>
    <t>+73 de Vie maximale</t>
  </si>
  <si>
    <t>+29% à la Résistance au feu</t>
  </si>
  <si>
    <t>+32% à la Résistance au froid</t>
  </si>
  <si>
    <t>Les Dégâts des Embrasements infligés par vos Attaques sont infligés 35% plus rapidement</t>
  </si>
  <si>
    <t>Pérambulations</t>
  </si>
  <si>
    <t>Chaussures en laine</t>
  </si>
  <si>
    <t>Bouclier d'énergie: 22 (augmented)</t>
  </si>
  <si>
    <t xml:space="preserve">Châsses: G-B-B B </t>
  </si>
  <si>
    <t>+5 de Dextérité</t>
  </si>
  <si>
    <t>+17 de Bouclier d'énergie maximal</t>
  </si>
  <si>
    <t>37% d'Augmentation du Taux de Régénération de Mana</t>
  </si>
  <si>
    <t>20% d'Augmentation de la Vitesse de déplacement</t>
  </si>
  <si>
    <t>Immunité au Gel</t>
  </si>
  <si>
    <t>Le monde entier est ma demeure.</t>
  </si>
  <si>
    <t>Classe d'objet: Gants</t>
  </si>
  <si>
    <t>Hémophilie</t>
  </si>
  <si>
    <t>Gantelets en écailles de serpent</t>
  </si>
  <si>
    <t>Armure: 78</t>
  </si>
  <si>
    <t>Score d'Évasion: 78</t>
  </si>
  <si>
    <t>Niveau: 43</t>
  </si>
  <si>
    <t>For: 34</t>
  </si>
  <si>
    <t xml:space="preserve">Châsses: R-R-G </t>
  </si>
  <si>
    <t>+25 de Force</t>
  </si>
  <si>
    <t>25% d'Augmentation des Dégâts sur la durée</t>
  </si>
  <si>
    <t>Les Attaques ont 25% de chances d'infliger le Saignement</t>
  </si>
  <si>
    <t>34% d'Augmentation des Dégâts d'Attaque contre les Ennemis qui Saignent</t>
  </si>
  <si>
    <t>Les Ennemis affectés par Saignement Explosent, infligeant</t>
  </si>
  <si>
    <t>5% de leur Vie Maximale sous forme de Dégâts Physiques</t>
  </si>
  <si>
    <t>25% de Réduction de la Durée du Saignement</t>
  </si>
  <si>
    <t>« Lorsqu'il exerce son art, un maître-peintre prend son temps.</t>
  </si>
  <si>
    <t>Malheureusement, le genre de maître que je suis ne dispose pas de ce genre de luxe. »</t>
  </si>
  <si>
    <t>– Coralito, de la Confrérie du Silence</t>
  </si>
  <si>
    <t>Classe d'objet: Arcs</t>
  </si>
  <si>
    <t>Nuage orageux</t>
  </si>
  <si>
    <t>Arc long</t>
  </si>
  <si>
    <t>Arc</t>
  </si>
  <si>
    <t>Dégâts élémentaires: 1-85 (augmented)</t>
  </si>
  <si>
    <t>Chances de coup critique: 6.00%</t>
  </si>
  <si>
    <t>Attaques par seconde: 1.93 (augmented)</t>
  </si>
  <si>
    <t>Niveau: 9</t>
  </si>
  <si>
    <t xml:space="preserve">Châsses: G </t>
  </si>
  <si>
    <t>Niveau de l'objet: 73</t>
  </si>
  <si>
    <t>Pas de Dégâts physiques</t>
  </si>
  <si>
    <t>Ajoute 1 à 85 Dégâts de foudre</t>
  </si>
  <si>
    <t>48% d'Augmentation de la Vitesse d'attaque</t>
  </si>
  <si>
    <t>Des siècles d'évolution dans la fabrication d'armures</t>
  </si>
  <si>
    <t>en acier ont fait des armées de l'Empire éternel</t>
  </si>
  <si>
    <t>des paratonnerres très efficaces.</t>
  </si>
  <si>
    <t>Classe d'objet: Griffes</t>
  </si>
  <si>
    <t>Traqueur de sang</t>
  </si>
  <si>
    <t>Patte d'infernaire</t>
  </si>
  <si>
    <t>Griffe</t>
  </si>
  <si>
    <t>Dégâts physiques: 99-171 (augmented)</t>
  </si>
  <si>
    <t>Allonge : 1.1 mètres</t>
  </si>
  <si>
    <t xml:space="preserve">Châsses: G-B </t>
  </si>
  <si>
    <t>1.6% des Dégâts physiques des Attaques Drainent de la Vie (implicit)</t>
  </si>
  <si>
    <t>155% d'Augmentation des Dégâts physiques</t>
  </si>
  <si>
    <t>Ajoute 10 à 12 Dégâts physiques</t>
  </si>
  <si>
    <t>5% d'Augmentation de la Vitesse d'attaque</t>
  </si>
  <si>
    <t>1.2% des Dégâts physiques des Attaques Drainent de la Vie</t>
  </si>
  <si>
    <t>5% d'Augmentation de la Vitesse de déplacement</t>
  </si>
  <si>
    <t>Le Drain de vie au Toucher avec cette arme est instantané</t>
  </si>
  <si>
    <t>« Car la vie de la chair sera toujours dans le sang. »</t>
  </si>
  <si>
    <t>– Atalui, prêtresse vaal</t>
  </si>
  <si>
    <t>Classe d'objet: Dagues</t>
  </si>
  <si>
    <t>Persang</t>
  </si>
  <si>
    <t>Couteau à dépecer</t>
  </si>
  <si>
    <t>Dague</t>
  </si>
  <si>
    <t>Dégâts physiques: 8-31 (augmented)</t>
  </si>
  <si>
    <t>Chances de coup critique: 7.80% (augmented)</t>
  </si>
  <si>
    <t>Attaques par seconde: 1.45</t>
  </si>
  <si>
    <t>Niveau: 5</t>
  </si>
  <si>
    <t xml:space="preserve">Châsses: G-G </t>
  </si>
  <si>
    <t>+14 de Dextérité</t>
  </si>
  <si>
    <t>57% d'Augmentation des Dégâts physiques</t>
  </si>
  <si>
    <t>Ajoute 1 à 3 Dégâts physiques</t>
  </si>
  <si>
    <t>30% d'Augmentation des Chances de coup critique</t>
  </si>
  <si>
    <t>40% d'Augmentation des Dégâts d'Attaque contre les Ennemis qui Saignent</t>
  </si>
  <si>
    <t>50% de chances d'infliger le Saignement sur un Coup critique</t>
  </si>
  <si>
    <t>Une tape sur l'épaule</t>
  </si>
  <si>
    <t>Un baiser sur la joue</t>
  </si>
  <si>
    <t>Une gorgée de ton vin</t>
  </si>
  <si>
    <t>Si rouge et si goûteux</t>
  </si>
  <si>
    <t>Classe d'objet: Joyaux</t>
  </si>
  <si>
    <t>Muscle</t>
  </si>
  <si>
    <t>Joyau pourpre</t>
  </si>
  <si>
    <t>5% d'Augmentation de la Force</t>
  </si>
  <si>
    <t>6% d'Augmentation de la Dextérité</t>
  </si>
  <si>
    <t>15% de Réduction de l'Intelligence</t>
  </si>
  <si>
    <t>« Prends ton temps, prépare tous tes plans.</t>
  </si>
  <si>
    <t>Ensuite, dis-moi lequel d'entre eux</t>
  </si>
  <si>
    <t>va retirer ma hache de tes côtes. »</t>
  </si>
  <si>
    <t>Insérez ce Joyau dans une Châsse attribuée dans l'Arbre des Talents passifs. Retirez-le à l'aide d'un clic droit.</t>
  </si>
  <si>
    <t>Classe d'objet: Carquois</t>
  </si>
  <si>
    <t>Garde arrière</t>
  </si>
  <si>
    <t>Carquois de flèches à pointe large</t>
  </si>
  <si>
    <t>Niveau: 28</t>
  </si>
  <si>
    <t>Niveau de l'objet: 82</t>
  </si>
  <si>
    <t>Ajoute 6 à 12 Dégâts physiques aux Attaques à l'arc (implicit)</t>
  </si>
  <si>
    <t>24% de Chances de Bloquer les Dégâts d'Attaque</t>
  </si>
  <si>
    <t>15% de Chances de Bloquer les Dégâts des Sorts</t>
  </si>
  <si>
    <t>+421 à l'Armure</t>
  </si>
  <si>
    <t>20% d'Augmentation de la Vitesse des Projectiles</t>
  </si>
  <si>
    <t>50% d'Augmentation de la Récupération de Blocage et d'Étourdissement</t>
  </si>
  <si>
    <t>19% d'Augmentation des Dégâts des Projectiles</t>
  </si>
  <si>
    <t>« Rares sont les hommes qui ont des yeux derrière la tête. »</t>
  </si>
  <si>
    <t>Classe d'objet: Sceptres</t>
  </si>
  <si>
    <t>Rêve algide</t>
  </si>
  <si>
    <t>Sceptre de l'ombre</t>
  </si>
  <si>
    <t>Dégâts physiques: 29-44</t>
  </si>
  <si>
    <t>Chances de coup critique: 6.20%</t>
  </si>
  <si>
    <t>Attaques par seconde: 1.25</t>
  </si>
  <si>
    <t>Niveau: 32</t>
  </si>
  <si>
    <t>For: 52</t>
  </si>
  <si>
    <t xml:space="preserve">Châsses: B-R </t>
  </si>
  <si>
    <t>22% d'Augmentation des Dégâts élémentaires (implicit)</t>
  </si>
  <si>
    <t>Les Gemmes Enchâssées sont modifiées par Hypothermie (Niveau 1)</t>
  </si>
  <si>
    <t>Les Gemmes Enchâssées sont modifiées par Morsure du froid (Niveau 1)</t>
  </si>
  <si>
    <t>Les Gemmes enchâssées sont modifiées par Pénétration du froid (Niveau 1)</t>
  </si>
  <si>
    <t>Les Gemmes Enchâssées sont modifiées par Drain de Mana (Niveau 1)</t>
  </si>
  <si>
    <t>Les Gemmes Enchâssées sont modifiées par Dégâts de froid supplémentaires (Niveau 10)</t>
  </si>
  <si>
    <t>Les Gemmes Enchâssées sont modifiées par Inspiration (Niveau 1)</t>
  </si>
  <si>
    <t>Ne combats pas le froid</t>
  </si>
  <si>
    <t>Renonce à l'espoir</t>
  </si>
  <si>
    <t>Sans geste.</t>
  </si>
  <si>
    <t>Classe d'objet: Bâtons</t>
  </si>
  <si>
    <t>Bourberacine</t>
  </si>
  <si>
    <t>Branche noueuse</t>
  </si>
  <si>
    <t>Bâton</t>
  </si>
  <si>
    <t>Dégâts physiques: 9-19</t>
  </si>
  <si>
    <t>Attaques par seconde: 1.30</t>
  </si>
  <si>
    <t>Allonge : 1.3 mètres</t>
  </si>
  <si>
    <t>+18% de Chances de Bloquer les Dégâts d'Attaque en maniant un bâton (implicit)</t>
  </si>
  <si>
    <t>Les Gemmes Enchâssées sont modifiées par Piège (Niveau 8)</t>
  </si>
  <si>
    <t>45% d'Augmentation des Dégâts Globaux</t>
  </si>
  <si>
    <t>18% d'Augmentation de la Vie maximale</t>
  </si>
  <si>
    <t>11% d'Augmentation du Mana maximal</t>
  </si>
  <si>
    <t>Vous n'avez rien à craindre quand vous êtes une racine dans un marécage</t>
  </si>
  <si>
    <t>Classe d'objet: Baguettes</t>
  </si>
  <si>
    <t>Bourgeon de vie</t>
  </si>
  <si>
    <t>Baguette en bois flotté</t>
  </si>
  <si>
    <t>Baguette</t>
  </si>
  <si>
    <t>Dégâts physiques: 5-9</t>
  </si>
  <si>
    <t>Chances de coup critique: 7.00%</t>
  </si>
  <si>
    <t>Attaques par seconde: 1.40</t>
  </si>
  <si>
    <t>12% d'Augmentation des Dégâts des Sorts (implicit)</t>
  </si>
  <si>
    <t>+1 au Niveau des Gemmes de Sorts enchâssées</t>
  </si>
  <si>
    <t>26% d'Augmentation des Dégâts des Sorts</t>
  </si>
  <si>
    <t>6% d'Augmentation de la Vitesse d'incantation</t>
  </si>
  <si>
    <t>+16 de Vie maximale</t>
  </si>
  <si>
    <t>+19 de Mana maximal</t>
  </si>
  <si>
    <t>Régénérez 7 de Vie sur une période de 1 seconde lorsque vous Lancez un Sort</t>
  </si>
  <si>
    <t>Des plus petites graines</t>
  </si>
  <si>
    <t>Aux plus grands séquoias,</t>
  </si>
  <si>
    <t>La vie perdure à Wraeclast.</t>
  </si>
  <si>
    <t>Classe d'objet: Bâtons de guerre</t>
  </si>
  <si>
    <t>Sculpte-royaumes</t>
  </si>
  <si>
    <t>Bâton en fer</t>
  </si>
  <si>
    <t>Bâton de guerre</t>
  </si>
  <si>
    <t>Dégâts physiques: 14-42</t>
  </si>
  <si>
    <t>Dégâts élémentaires: 13-25 (augmented), 13-24 (augmented)</t>
  </si>
  <si>
    <t>Chances de coup critique: 6.40%</t>
  </si>
  <si>
    <t>Niveau: 13</t>
  </si>
  <si>
    <t>For: 27</t>
  </si>
  <si>
    <t>+1 au Niveau des Gemmes de Feu enchâssées</t>
  </si>
  <si>
    <t>+1 au Niveau des Gemmes de froid enchâssées</t>
  </si>
  <si>
    <t>Les Gemmes Enchâssées sont modifiées par Froid converti en feu (Niveau 5)</t>
  </si>
  <si>
    <t>Ajoute 13 à 25 Dégâts de feu</t>
  </si>
  <si>
    <t>Ajoute 13 à 24 Dégâts de froid</t>
  </si>
  <si>
    <t>48% d'Augmentation des Dégâts élémentaires</t>
  </si>
  <si>
    <t>« Les créations de Dieu naissent et se terminent</t>
  </si>
  <si>
    <t>toujours dans le feu et dans la glace.</t>
  </si>
  <si>
    <t>Estimons-nous heureux de ne voir ni l'un ni l'autre. »</t>
  </si>
  <si>
    <t>– Archevêque Geofri</t>
  </si>
  <si>
    <t>Classe d'objet: Épées à une main</t>
  </si>
  <si>
    <t>Épée de corsaire</t>
  </si>
  <si>
    <t>Épée à une main</t>
  </si>
  <si>
    <t>Dégâts physiques: 55-183 (augmented)</t>
  </si>
  <si>
    <t>Chances de coup critique: 5.00%</t>
  </si>
  <si>
    <t>Attaques par seconde: 1.91 (augmented)</t>
  </si>
  <si>
    <t>Niveau: 58</t>
  </si>
  <si>
    <t>For: 81</t>
  </si>
  <si>
    <t xml:space="preserve">Châsses: R B G </t>
  </si>
  <si>
    <t>Niveau de l'objet: 78</t>
  </si>
  <si>
    <t>40% d'Augmentation du Score de Précision Global (implicit)</t>
  </si>
  <si>
    <t>85% d'Augmentation des Dégâts physiques</t>
  </si>
  <si>
    <t>Ajoute 10 à 19 Dégâts physiques</t>
  </si>
  <si>
    <t>23% d'Augmentation de la Vitesse d'attaque</t>
  </si>
  <si>
    <t>10% d'Augmentation de l'Effet des Effets bénéfiques vous affectant</t>
  </si>
  <si>
    <t>10% d'Augmentation de l'Efficacité de la Réservation de Mana des Aptitudes</t>
  </si>
  <si>
    <t>Les Effets bénéfiques des Auras de vos Alliés ne vous affectent pas</t>
  </si>
  <si>
    <t>Les Effets bénéfiques de vos Auras n'affectent pas vos Alliés</t>
  </si>
  <si>
    <t>Maîtrise-toi avant de chercher à maîtriser les autres.</t>
  </si>
  <si>
    <t>Classe d'objet: Épées d'estoc à une main</t>
  </si>
  <si>
    <t>Rapière à panier</t>
  </si>
  <si>
    <t>Dégâts physiques: 27-62 (augmented)</t>
  </si>
  <si>
    <t>Chances de coup critique: 5.50%</t>
  </si>
  <si>
    <t>Attaques par seconde: 1.55</t>
  </si>
  <si>
    <t>Allonge : 1.4 mètres</t>
  </si>
  <si>
    <t>Niveau: 17</t>
  </si>
  <si>
    <t xml:space="preserve">Châsses: G R-G </t>
  </si>
  <si>
    <t>+25% au Multiplicateur de coup critique Global (implicit)</t>
  </si>
  <si>
    <t>149% d'Augmentation des Dégâts physiques</t>
  </si>
  <si>
    <t>20% de Réduction de la Rareté des Objets cédés</t>
  </si>
  <si>
    <t>+57% à toutes les Résistances élémentaires</t>
  </si>
  <si>
    <t>Octroie 3 de Vie par Ennemi Touché</t>
  </si>
  <si>
    <t>De nombreux collectionneurs de raretés ont découvert</t>
  </si>
  <si>
    <t>avec désarroi que l'esprit intelligent enfermé dans cette épée</t>
  </si>
  <si>
    <t>n'aime pas partager l'attention de son maître</t>
  </si>
  <si>
    <t>Classe d'objet: Épées à deux mains</t>
  </si>
  <si>
    <t>Épée du tigre</t>
  </si>
  <si>
    <t>Épée à deux mains</t>
  </si>
  <si>
    <t>Dégâts physiques: 192-316 (augmented)</t>
  </si>
  <si>
    <t>Chances de coup critique: 7.90% (augmented)</t>
  </si>
  <si>
    <t>Niveau: 51</t>
  </si>
  <si>
    <t>For: 80</t>
  </si>
  <si>
    <t xml:space="preserve">Châsses: G R </t>
  </si>
  <si>
    <t>+360 au Score de Précision (implicit)</t>
  </si>
  <si>
    <t>255% d'Augmentation des Dégâts physiques</t>
  </si>
  <si>
    <t>20% d'Augmentation de la Vitesse d'attaque</t>
  </si>
  <si>
    <t>58% d'Augmentation des Chances de coup critique</t>
  </si>
  <si>
    <t>Vous gagnez 10 de Mana par Ennemi Tué</t>
  </si>
  <si>
    <t>Gagnez une Charge de frénésie sur un Coup critique</t>
  </si>
  <si>
    <t>La dernière chose qu'il sentit fut la lame du bourreau.</t>
  </si>
  <si>
    <t>Elle n'était pas froide, mais chaleureuse et rassurante,</t>
  </si>
  <si>
    <t>murmurant la promesse de jours meilleurs.</t>
  </si>
  <si>
    <t>Souriant, il accepta l'étreinte de la mort.</t>
  </si>
  <si>
    <t>Classe d'objet: Haches à une main</t>
  </si>
  <si>
    <t>Hache infernale</t>
  </si>
  <si>
    <t>Hache à une main</t>
  </si>
  <si>
    <t>Dégâts physiques: 51-85</t>
  </si>
  <si>
    <t>Dégâts élémentaires: 276-323 (augmented), 282-315 (augmented)</t>
  </si>
  <si>
    <t>Attaques par seconde: 1.45 (augmented)</t>
  </si>
  <si>
    <t>Niveau: 69</t>
  </si>
  <si>
    <t>For: 158</t>
  </si>
  <si>
    <t xml:space="preserve">Châsses: R-G </t>
  </si>
  <si>
    <t>Ajoute 276 à 323 Dégâts de feu en main principale</t>
  </si>
  <si>
    <t>Ajoute 282 à 315 Dégâts de froid en main secondaire</t>
  </si>
  <si>
    <t>11% d'Augmentation de la Vitesse d'attaque</t>
  </si>
  <si>
    <t>25% de chances d'Embraser en étant dans la main principale</t>
  </si>
  <si>
    <t>100% d'Augmentation des Dégâts avec l'Embrasement infligé aux Ennemis Frigorifiés</t>
  </si>
  <si>
    <t>Lorsque cette arme est équipée dans la main secondaire, elle Frigorifie les Ennemis au Toucher pendant 1 secondes</t>
  </si>
  <si>
    <t>Né de l'amour, forgé dans le sang</t>
  </si>
  <si>
    <t>Il brûlait comme une torche dans les ténèbres</t>
  </si>
  <si>
    <t>Elle étincelait comme la glace sous le soleil hivernal</t>
  </si>
  <si>
    <t>Fièrement, ardemment</t>
  </si>
  <si>
    <t>Aux côtés de leur mère, pour toujours.</t>
  </si>
  <si>
    <t>Classe d'objet: Haches à deux mains</t>
  </si>
  <si>
    <t>Tranche-membres</t>
  </si>
  <si>
    <t>Fendeuse</t>
  </si>
  <si>
    <t>Hache à deux mains</t>
  </si>
  <si>
    <t>Dégâts physiques: 45-91 (augmented)</t>
  </si>
  <si>
    <t>For: 36</t>
  </si>
  <si>
    <t>+1 au Niveau des Gemmes de Force enchâssées</t>
  </si>
  <si>
    <t>+27 de Force</t>
  </si>
  <si>
    <t>86% d'Augmentation des Dégâts physiques</t>
  </si>
  <si>
    <t>Ajoute 5 à 10 Dégâts physiques</t>
  </si>
  <si>
    <t>Coup de grâce</t>
  </si>
  <si>
    <t>Oscillant dans les airs, elle chante le refrain</t>
  </si>
  <si>
    <t>De morceaux tranchés, déchiquetés, perdus dans le lointain.</t>
  </si>
  <si>
    <t>Classe d'objet: Masses à une main</t>
  </si>
  <si>
    <t>Souffle de givre</t>
  </si>
  <si>
    <t>Masse ornée</t>
  </si>
  <si>
    <t>Masse à une main</t>
  </si>
  <si>
    <t>Dégâts physiques: 83-105 (augmented)</t>
  </si>
  <si>
    <t>Dégâts élémentaires: 31-40 (augmented)</t>
  </si>
  <si>
    <t>Attaques par seconde: 1.36 (augmented)</t>
  </si>
  <si>
    <t>For: 161</t>
  </si>
  <si>
    <t>15% de Réduction du Seuil d'Étourdissement de l'Ennemi (implicit)</t>
  </si>
  <si>
    <t>Ajoute 30 à 38 Dégâts physiques</t>
  </si>
  <si>
    <t>Ajoute 31 à 40 Dégâts de froid</t>
  </si>
  <si>
    <t>13% d'Augmentation de la Vitesse d'attaque</t>
  </si>
  <si>
    <t>+50% à la Résistance au feu</t>
  </si>
  <si>
    <t>39% d'Augmentation de la Durée de la Frigorification sur les Ennemis</t>
  </si>
  <si>
    <t>Les Attaques avec cette Arme infligent des Dégâts doublés aux Ennemis Frigorifiés</t>
  </si>
  <si>
    <t>Un meurtrier miséricordieux parcourut les rues de Sarn</t>
  </si>
  <si>
    <t>Dérobant le souffle des faibles et des minables.</t>
  </si>
  <si>
    <t>Classe d'objet: Masses à deux mains</t>
  </si>
  <si>
    <t>Foyer du Néant</t>
  </si>
  <si>
    <t>Massue de l'épouvante</t>
  </si>
  <si>
    <t>Masse à deux mains</t>
  </si>
  <si>
    <t>Dégâts physiques: 193-260 (augmented)</t>
  </si>
  <si>
    <t>Attaques par seconde: 1.88 (augmented)</t>
  </si>
  <si>
    <t>For: 173</t>
  </si>
  <si>
    <t xml:space="preserve">Châsses: R R-R </t>
  </si>
  <si>
    <t>30% d'Augmentation de la Durée de l'Étourdissement sur les Ennemis (implicit)</t>
  </si>
  <si>
    <t>150% d'Augmentation des Dégâts physiques</t>
  </si>
  <si>
    <t>50% d'Augmentation de la Vitesse d'attaque</t>
  </si>
  <si>
    <t>50% de Réduction de la Rareté des Objets cédés</t>
  </si>
  <si>
    <t>35% de Réduction du gain d'Expérience</t>
  </si>
  <si>
    <t>0.4% des Dégâts physiques des Attaques Drainent du Mana</t>
  </si>
  <si>
    <t>Maudite soit l'étoile d'où elle est venue.</t>
  </si>
  <si>
    <t>Classe d'objet: Broches de Malfaiteur</t>
  </si>
  <si>
    <t>Carcan horrible</t>
  </si>
  <si>
    <t>Broche argentée</t>
  </si>
  <si>
    <t>Peut être équipé par : n'importe quel Malfaiteur</t>
  </si>
  <si>
    <t>Niveau 2 en n'importe quelle Compétence</t>
  </si>
  <si>
    <t>14% d'Augmentation de la Rareté des Objets cédés pendant les Casses (implicit)</t>
  </si>
  <si>
    <t>38% d'Augmentation de Dégâts</t>
  </si>
  <si>
    <t>Les Coffres de Casse ont 7% de chances de dupliquer les Orbes de Délire qu'ils contiennent</t>
  </si>
  <si>
    <t>7% de Réduction du Salaire des Malfaiteurs</t>
  </si>
  <si>
    <t>23% d'Augmentation de la Rareté des Objets cédés pendant les Casses</t>
  </si>
  <si>
    <t>Seuls les Malfaiteurs peuvent s'équiper de cet objet.</t>
  </si>
  <si>
    <t>Classe d'objet: Capes de Malfaiteur</t>
  </si>
  <si>
    <t>Linceul cadavérique</t>
  </si>
  <si>
    <t>Cape déchirée</t>
  </si>
  <si>
    <t>Niveau 3 en n'importe quelle Compétence</t>
  </si>
  <si>
    <t>3% de Réduction de la montée du Niveau d'alerte (implicit)</t>
  </si>
  <si>
    <t>23% d'Augmentation de Dégâts tant que la Zone n'est pas Verrouillée</t>
  </si>
  <si>
    <t>Les joueurs ont 23% d'Augmentation de Dégâts tant que la Zone n'est pas Verrouillée</t>
  </si>
  <si>
    <t>3% de Réduction de la montée du Niveau d'alerte en cas d'ouverture de coffres</t>
  </si>
  <si>
    <t>Classe d'objet: Équipements de Malfaiteur</t>
  </si>
  <si>
    <t>Attirail du phénix</t>
  </si>
  <si>
    <t>Pierre à aiguiser rugueuse</t>
  </si>
  <si>
    <t>Niveau de l'objet: 71</t>
  </si>
  <si>
    <t>14% d'Augmentation des Dégâts de mêlée (implicit)</t>
  </si>
  <si>
    <t>12 à 20 Dégâts de froid supplémentaires</t>
  </si>
  <si>
    <t>Les joueurs et leurs Créatures ont 12 à 20 Dégâts de froid supplémentaires</t>
  </si>
  <si>
    <t>6% de Réduction du Salaire des Malfaiteurs</t>
  </si>
  <si>
    <t>Octroie l'Aptitude Fierté (Niveau 5)</t>
  </si>
  <si>
    <t>Classe d'objet: Objectifs de Casse</t>
  </si>
  <si>
    <t>Crâne d'hominidé à longues dents</t>
  </si>
  <si>
    <t>Niveau de l'objet: 27</t>
  </si>
  <si>
    <t>« Si le crâne est authentique et non un faux, alors il pourrait démontrer que les gens de mon peuple</t>
  </si>
  <si>
    <t>ne sont pas les abominations que tout le monde imagine. Le mot "humain" a peut-être un sens plus large. »</t>
  </si>
  <si>
    <t>Rendez-vous au Port des Malfaiteurs afin de vendre cet objet à Faustus, le Receleur</t>
  </si>
  <si>
    <t>Classe d'objet: Outils de Malfaiteur</t>
  </si>
  <si>
    <t>Matériel tourmenté</t>
  </si>
  <si>
    <t>Porte-clés essentiel</t>
  </si>
  <si>
    <t>Peut être équipé par :</t>
  </si>
  <si>
    <t>Vindéri, le Désamorceur</t>
  </si>
  <si>
    <t>Tullina, la Cambrioleuse</t>
  </si>
  <si>
    <t>Isla, l'Ingénieur</t>
  </si>
  <si>
    <t>Niveau 2 en Désamorçage de pièges</t>
  </si>
  <si>
    <t>4% d'Augmentation de la Vitesse du Désamorçage de pièges (implicit)</t>
  </si>
  <si>
    <t>9% de Réduction de la Part du Cercle</t>
  </si>
  <si>
    <t>+2 secondes au compte à rebours avant le Verrouillage</t>
  </si>
  <si>
    <t>3% d'Augmentation du gain d'expérience des Malfaiteurs</t>
  </si>
  <si>
    <t>Trinkets</t>
  </si>
  <si>
    <t>Fishing Rods</t>
  </si>
  <si>
    <t>Item Class: Trinkets</t>
  </si>
  <si>
    <t>Apocalypse Bead</t>
  </si>
  <si>
    <t>Thief's Trinket</t>
  </si>
  <si>
    <t>Level: 40</t>
  </si>
  <si>
    <t>3% chance to receive additional Breach items when opening a Reward Chest in a Heist</t>
  </si>
  <si>
    <t>15% chance in Heists for Orbs of Alteration to drop as Orbs of Alchemy instead</t>
  </si>
  <si>
    <t>20% chance in Heists for Chromatic Orbs to drop as Orbs of Fusing instead</t>
  </si>
  <si>
    <t>You must find the sculpture The Catch in a Smuggler's Den or Underbelly Blueprint to be able to equip this</t>
  </si>
  <si>
    <t>Item Class: Fishing Rods</t>
  </si>
  <si>
    <t>Reefbane</t>
  </si>
  <si>
    <t>Fishing Rod</t>
  </si>
  <si>
    <t>Physical Damage: 8-15</t>
  </si>
  <si>
    <t>Attacks per Second: 1.20</t>
  </si>
  <si>
    <t>34% increased Cast Speed</t>
  </si>
  <si>
    <t>Thaumaturgical Lure</t>
  </si>
  <si>
    <t>15% increased Quantity of Fish Caught</t>
  </si>
  <si>
    <t>Glows while in an Area containing a Unique Fish</t>
  </si>
  <si>
    <t>He cast far into the ocean</t>
  </si>
  <si>
    <t>And tore out her heart.</t>
  </si>
  <si>
    <t>Classe d'objet: Babioles</t>
  </si>
  <si>
    <t>Perles apocalyptiques</t>
  </si>
  <si>
    <t>Babiole de voleur</t>
  </si>
  <si>
    <t>Niveau: 40</t>
  </si>
  <si>
    <t>3% de chances de recevoir des Objets de Brèche supplémentaires lorsque vous ouvrez un coffre de récompense durant un Casse</t>
  </si>
  <si>
    <t>15% de chances pendant les Casses que les Orbes d'altération cédés deviennent des Orbes d'alchimie</t>
  </si>
  <si>
    <t>20% de chances pendant les Casses que les Orbes chromatiques cédés deviennent des Orbes de fusion</t>
  </si>
  <si>
    <t>Pour pouvoir vous équiper de cet objet, vous devez d'abord trouver la sculpture nommée « La Prise » à partir d'un Plan de Tanière de contrebandier ou un Plan de Bas-fonds</t>
  </si>
  <si>
    <t>Classe d'objet: Cannes à pêche</t>
  </si>
  <si>
    <t>Fléau des Récifs</t>
  </si>
  <si>
    <t>Canne à pêche</t>
  </si>
  <si>
    <t>Dégâts physiques: 8-15</t>
  </si>
  <si>
    <t>Attaques par seconde: 1.20</t>
  </si>
  <si>
    <t>34% d'Augmentation de la Vitesse d'incantation</t>
  </si>
  <si>
    <t>Leurre thaumaturgique</t>
  </si>
  <si>
    <t>15% d'Augmentation de la Quantité de Poissons Pêchés</t>
  </si>
  <si>
    <t>Brille dans une Zone contenant un Poisson Unique</t>
  </si>
  <si>
    <t>Il lança la ligne dans l'océan</t>
  </si>
  <si>
    <t>Et lui arracha le cœur.</t>
  </si>
  <si>
    <t>Main Pages</t>
  </si>
  <si>
    <t>Gems</t>
  </si>
  <si>
    <t>Flasks</t>
  </si>
  <si>
    <t>Items with Properties</t>
  </si>
  <si>
    <t>Influences</t>
  </si>
  <si>
    <t>Items</t>
  </si>
  <si>
    <t>Other</t>
  </si>
  <si>
    <t>Classe d'objet: Recherche du Sanctuaire</t>
  </si>
  <si>
    <t>Tome interdit</t>
  </si>
  <si>
    <t>Niv. de zone: 81</t>
  </si>
  <si>
    <t>Apportez cet objet à l'Autel des Reliques dans le Sanctuaire interdit pour y entrer.</t>
  </si>
  <si>
    <t>/divergente?s?/</t>
  </si>
  <si>
    <t>/anormale?s?/</t>
  </si>
  <si>
    <t>/fantasmatiques?/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</si>
</sst>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5" xfId="0" applyBorder="1" applyAlignment="1">
      <alignment horizontal="left" vertical="top" wrapText="1"/>
    </xf>
    <xf numFmtId="0" fontId="1" fillId="0" borderId="5" xfId="1" applyBorder="1" applyAlignment="1">
      <alignment horizontal="left" vertical="top" wrapText="1"/>
    </xf>
    <xf numFmtId="0" fontId="0" fillId="3" borderId="1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5" borderId="3" xfId="0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7" xfId="0" quotePrefix="1" applyBorder="1" applyAlignment="1">
      <alignment horizontal="left" vertical="top" wrapText="1"/>
    </xf>
    <xf numFmtId="0" fontId="0" fillId="0" borderId="0" xfId="0" applyAlignment="1">
      <alignment wrapText="1"/>
    </xf>
    <xf numFmtId="0" fontId="1" fillId="0" borderId="0" xfId="1"/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44">
    <dxf>
      <font>
        <color rgb="FFFF5050"/>
      </font>
      <fill>
        <patternFill>
          <bgColor rgb="FFFF505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1"/>
        </patternFill>
      </fill>
    </dxf>
    <dxf>
      <fill>
        <patternFill>
          <bgColor theme="7" tint="0.79998168889431442"/>
        </patternFill>
      </fill>
    </dxf>
    <dxf>
      <font>
        <color rgb="FFFF5050"/>
      </font>
      <fill>
        <patternFill>
          <bgColor rgb="FFFF505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ont>
        <color rgb="FFFF5050"/>
      </font>
      <fill>
        <patternFill>
          <bgColor rgb="FFFF505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1"/>
        </patternFill>
      </fill>
    </dxf>
    <dxf>
      <font>
        <color rgb="FFFF5050"/>
      </font>
      <fill>
        <patternFill>
          <bgColor rgb="FFFF505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1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505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CCCC"/>
      <color rgb="FFFF505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eb.poecdn.com/" TargetMode="External"/><Relationship Id="rId1" Type="http://schemas.openxmlformats.org/officeDocument/2006/relationships/hyperlink" Target="https://www.pathofexile.com/trade/exchan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25D8-33C9-47A3-86E8-6B057A70BC59}">
  <sheetPr>
    <tabColor theme="8" tint="0.79998168889431442"/>
  </sheetPr>
  <dimension ref="A1:O39"/>
  <sheetViews>
    <sheetView workbookViewId="0">
      <selection activeCell="P13" sqref="P13"/>
    </sheetView>
  </sheetViews>
  <sheetFormatPr defaultRowHeight="15" x14ac:dyDescent="0.25"/>
  <cols>
    <col min="1" max="1" width="6" style="26" customWidth="1"/>
    <col min="2" max="2" width="23.7109375" style="26" customWidth="1"/>
    <col min="3" max="3" width="12.7109375" style="26" customWidth="1"/>
    <col min="4" max="4" width="5.42578125" style="26" customWidth="1"/>
    <col min="5" max="5" width="6" style="26" customWidth="1"/>
    <col min="6" max="6" width="23.7109375" style="26" customWidth="1"/>
    <col min="7" max="7" width="12.7109375" style="26" customWidth="1"/>
    <col min="8" max="8" width="5.42578125" style="26" customWidth="1"/>
    <col min="9" max="9" width="6" style="26" customWidth="1"/>
    <col min="10" max="10" width="23.7109375" style="26" customWidth="1"/>
    <col min="11" max="11" width="12.7109375" style="26" customWidth="1"/>
    <col min="12" max="12" width="5.42578125" style="26" customWidth="1"/>
    <col min="13" max="13" width="6" style="26" customWidth="1"/>
    <col min="14" max="14" width="23.7109375" style="26" customWidth="1"/>
    <col min="15" max="15" width="12.7109375" style="26" customWidth="1"/>
  </cols>
  <sheetData>
    <row r="1" spans="1:15" ht="21" customHeight="1" x14ac:dyDescent="0.25">
      <c r="A1" s="27" t="s">
        <v>1593</v>
      </c>
      <c r="B1" s="27"/>
      <c r="C1" s="27"/>
      <c r="E1" s="27" t="s">
        <v>1595</v>
      </c>
      <c r="F1" s="27"/>
      <c r="G1" s="27"/>
      <c r="I1" s="27" t="s">
        <v>1598</v>
      </c>
      <c r="J1" s="27"/>
      <c r="K1" s="27"/>
      <c r="M1" s="27" t="s">
        <v>101</v>
      </c>
      <c r="N1" s="27"/>
      <c r="O1" s="27"/>
    </row>
    <row r="2" spans="1:15" ht="21" customHeight="1" x14ac:dyDescent="0.25">
      <c r="A2" s="25">
        <v>1</v>
      </c>
      <c r="B2" s="28" t="str" cm="1">
        <f t="array" ref="B2">INDEX(LISTSHEETS,A2)</f>
        <v>Sheets</v>
      </c>
      <c r="C2" s="29" t="str">
        <f t="shared" ref="C2:C71" si="0">HYPERLINK(_xlfn.CONCAT("#'", B2, "'!A1"), "Go to Sheet")</f>
        <v>Go to Sheet</v>
      </c>
      <c r="E2" s="25">
        <v>21</v>
      </c>
      <c r="F2" s="28" t="str" cm="1">
        <f t="array" ref="F2">INDEX(LISTSHEETS,E2)</f>
        <v>Hybrid Flask</v>
      </c>
      <c r="G2" s="29" t="str">
        <f>HYPERLINK(_xlfn.CONCAT("#'", F2, "'!A1"), "Go to Sheet")</f>
        <v>Go to Sheet</v>
      </c>
      <c r="I2" s="25">
        <v>37</v>
      </c>
      <c r="J2" s="28" t="str" cm="1">
        <f t="array" ref="J2">INDEX(LISTSHEETS,I2)</f>
        <v>Abyssal Jewel</v>
      </c>
      <c r="K2" s="29" t="str">
        <f>HYPERLINK(_xlfn.CONCAT("#'", J2, "'!A1"), "Go to Sheet")</f>
        <v>Go to Sheet</v>
      </c>
      <c r="M2" s="25">
        <v>57</v>
      </c>
      <c r="N2" s="28" t="str" cm="1">
        <f t="array" ref="N2">INDEX(LISTSHEETS,M2)</f>
        <v>Heist Brooch</v>
      </c>
      <c r="O2" s="29" t="str">
        <f>HYPERLINK(_xlfn.CONCAT("#'", N2, "'!A1"), "Go to Sheet")</f>
        <v>Go to Sheet</v>
      </c>
    </row>
    <row r="3" spans="1:15" ht="21" customHeight="1" x14ac:dyDescent="0.25">
      <c r="A3" s="25">
        <v>2</v>
      </c>
      <c r="B3" s="28" t="str" cm="1">
        <f t="array" ref="B3">INDEX(LISTSHEETS,A3)</f>
        <v>Result</v>
      </c>
      <c r="C3" s="29" t="str">
        <f t="shared" si="0"/>
        <v>Go to Sheet</v>
      </c>
      <c r="E3" s="25">
        <v>22</v>
      </c>
      <c r="F3" s="28" t="str" cm="1">
        <f t="array" ref="F3">INDEX(LISTSHEETS,E3)</f>
        <v>Mana Flask</v>
      </c>
      <c r="G3" s="29" t="str">
        <f>HYPERLINK(_xlfn.CONCAT("#'", F3, "'!A1"), "Go to Sheet")</f>
        <v>Go to Sheet</v>
      </c>
      <c r="I3" s="25">
        <v>38</v>
      </c>
      <c r="J3" s="28" t="str" cm="1">
        <f t="array" ref="J3">INDEX(LISTSHEETS,I3)</f>
        <v>Belt</v>
      </c>
      <c r="K3" s="29" t="str">
        <f>HYPERLINK(_xlfn.CONCAT("#'", J3, "'!A1"), "Go to Sheet")</f>
        <v>Go to Sheet</v>
      </c>
      <c r="M3" s="25">
        <v>58</v>
      </c>
      <c r="N3" s="28" t="str" cm="1">
        <f t="array" ref="N3">INDEX(LISTSHEETS,M3)</f>
        <v>Heist Cloak</v>
      </c>
      <c r="O3" s="29" t="str">
        <f>HYPERLINK(_xlfn.CONCAT("#'", N3, "'!A1"), "Go to Sheet")</f>
        <v>Go to Sheet</v>
      </c>
    </row>
    <row r="4" spans="1:15" ht="21" customHeight="1" x14ac:dyDescent="0.25">
      <c r="A4" s="25">
        <v>3</v>
      </c>
      <c r="B4" s="28" t="str" cm="1">
        <f t="array" ref="B4">INDEX(LISTSHEETS,A4)</f>
        <v>Empty</v>
      </c>
      <c r="C4" s="29" t="str">
        <f t="shared" si="0"/>
        <v>Go to Sheet</v>
      </c>
      <c r="E4" s="25">
        <v>23</v>
      </c>
      <c r="F4" s="28" t="str" cm="1">
        <f t="array" ref="F4">INDEX(LISTSHEETS,E4)</f>
        <v>Life Flask</v>
      </c>
      <c r="G4" s="29" t="str">
        <f>HYPERLINK(_xlfn.CONCAT("#'", F4, "'!A1"), "Go to Sheet")</f>
        <v>Go to Sheet</v>
      </c>
      <c r="I4" s="25">
        <v>39</v>
      </c>
      <c r="J4" s="28" t="str" cm="1">
        <f t="array" ref="J4">INDEX(LISTSHEETS,I4)</f>
        <v>Boots</v>
      </c>
      <c r="K4" s="29" t="str">
        <f>HYPERLINK(_xlfn.CONCAT("#'", J4, "'!A1"), "Go to Sheet")</f>
        <v>Go to Sheet</v>
      </c>
      <c r="M4" s="25">
        <v>59</v>
      </c>
      <c r="N4" s="28" t="str" cm="1">
        <f t="array" ref="N4">INDEX(LISTSHEETS,M4)</f>
        <v>Heist Gear</v>
      </c>
      <c r="O4" s="29" t="str">
        <f>HYPERLINK(_xlfn.CONCAT("#'", N4, "'!A1"), "Go to Sheet")</f>
        <v>Go to Sheet</v>
      </c>
    </row>
    <row r="5" spans="1:15" ht="21" customHeight="1" x14ac:dyDescent="0.25">
      <c r="A5"/>
      <c r="B5"/>
      <c r="C5"/>
      <c r="E5" s="25">
        <v>24</v>
      </c>
      <c r="F5" s="28" t="str" cm="1">
        <f t="array" ref="F5">INDEX(LISTSHEETS,E5)</f>
        <v>Magic Utility Flask</v>
      </c>
      <c r="G5" s="29" t="str">
        <f>HYPERLINK(_xlfn.CONCAT("#'", F5, "'!A1"), "Go to Sheet")</f>
        <v>Go to Sheet</v>
      </c>
      <c r="I5" s="25">
        <v>40</v>
      </c>
      <c r="J5" s="28" t="str" cm="1">
        <f t="array" ref="J5">INDEX(LISTSHEETS,I5)</f>
        <v>Gloves</v>
      </c>
      <c r="K5" s="29" t="str">
        <f>HYPERLINK(_xlfn.CONCAT("#'", J5, "'!A1"), "Go to Sheet")</f>
        <v>Go to Sheet</v>
      </c>
      <c r="M5" s="25">
        <v>60</v>
      </c>
      <c r="N5" s="28" t="str" cm="1">
        <f t="array" ref="N5">INDEX(LISTSHEETS,M5)</f>
        <v>Heist Target</v>
      </c>
      <c r="O5" s="29" t="str">
        <f>HYPERLINK(_xlfn.CONCAT("#'", N5, "'!A1"), "Go to Sheet")</f>
        <v>Go to Sheet</v>
      </c>
    </row>
    <row r="6" spans="1:15" ht="21" customHeight="1" x14ac:dyDescent="0.25">
      <c r="A6" s="31" t="s">
        <v>1594</v>
      </c>
      <c r="B6" s="32"/>
      <c r="C6" s="33"/>
      <c r="I6" s="25">
        <v>41</v>
      </c>
      <c r="J6" s="28" t="str" cm="1">
        <f t="array" ref="J6">INDEX(LISTSHEETS,I6)</f>
        <v>Bow</v>
      </c>
      <c r="K6" s="29" t="str">
        <f>HYPERLINK(_xlfn.CONCAT("#'", J6, "'!A1"), "Go to Sheet")</f>
        <v>Go to Sheet</v>
      </c>
      <c r="M6" s="25">
        <v>61</v>
      </c>
      <c r="N6" s="28" t="str" cm="1">
        <f t="array" ref="N6">INDEX(LISTSHEETS,M6)</f>
        <v>Heist Tool</v>
      </c>
      <c r="O6" s="29" t="str">
        <f>HYPERLINK(_xlfn.CONCAT("#'", N6, "'!A1"), "Go to Sheet")</f>
        <v>Go to Sheet</v>
      </c>
    </row>
    <row r="7" spans="1:15" ht="21" customHeight="1" x14ac:dyDescent="0.25">
      <c r="A7" s="25">
        <v>4</v>
      </c>
      <c r="B7" s="28" t="str" cm="1">
        <f t="array" ref="B7">INDEX(LISTSHEETS,A7)</f>
        <v>Anomalous Gem</v>
      </c>
      <c r="C7" s="29" t="str">
        <f>HYPERLINK(_xlfn.CONCAT("#'", B7, "'!A1"), "Go to Sheet")</f>
        <v>Go to Sheet</v>
      </c>
      <c r="E7" s="27" t="s">
        <v>1596</v>
      </c>
      <c r="F7" s="27"/>
      <c r="G7" s="27"/>
      <c r="I7" s="25">
        <v>42</v>
      </c>
      <c r="J7" s="28" t="str" cm="1">
        <f t="array" ref="J7">INDEX(LISTSHEETS,I7)</f>
        <v>Claw</v>
      </c>
      <c r="K7" s="29" t="str">
        <f>HYPERLINK(_xlfn.CONCAT("#'", J7, "'!A1"), "Go to Sheet")</f>
        <v>Go to Sheet</v>
      </c>
      <c r="M7" s="25">
        <v>62</v>
      </c>
      <c r="N7" s="28" t="str" cm="1">
        <f t="array" ref="N7">INDEX(LISTSHEETS,M7)</f>
        <v>Heist Trinket</v>
      </c>
      <c r="O7" s="29" t="str">
        <f>HYPERLINK(_xlfn.CONCAT("#'", N7, "'!A1"), "Go to Sheet")</f>
        <v>Go to Sheet</v>
      </c>
    </row>
    <row r="8" spans="1:15" ht="21" customHeight="1" x14ac:dyDescent="0.25">
      <c r="A8" s="25">
        <v>5</v>
      </c>
      <c r="B8" s="28" t="str" cm="1">
        <f t="array" ref="B8">INDEX(LISTSHEETS,A8)</f>
        <v>Divergent Support Gem</v>
      </c>
      <c r="C8" s="29" t="str">
        <f>HYPERLINK(_xlfn.CONCAT("#'", B8, "'!A1"), "Go to Sheet")</f>
        <v>Go to Sheet</v>
      </c>
      <c r="E8" s="25">
        <v>25</v>
      </c>
      <c r="F8" s="28" t="str" cm="1">
        <f t="array" ref="F8">INDEX(LISTSHEETS,E8)</f>
        <v>Foiled Amulet</v>
      </c>
      <c r="G8" s="29" t="str">
        <f>HYPERLINK(_xlfn.CONCAT("#'", F8, "'!A1"), "Go to Sheet")</f>
        <v>Go to Sheet</v>
      </c>
      <c r="I8" s="25">
        <v>43</v>
      </c>
      <c r="J8" s="28" t="str" cm="1">
        <f t="array" ref="J8">INDEX(LISTSHEETS,I8)</f>
        <v>Dagger</v>
      </c>
      <c r="K8" s="29" t="str">
        <f>HYPERLINK(_xlfn.CONCAT("#'", J8, "'!A1"), "Go to Sheet")</f>
        <v>Go to Sheet</v>
      </c>
    </row>
    <row r="9" spans="1:15" ht="21" customHeight="1" x14ac:dyDescent="0.25">
      <c r="A9" s="25">
        <v>6</v>
      </c>
      <c r="B9" s="28" t="str" cm="1">
        <f t="array" ref="B9">INDEX(LISTSHEETS,A9)</f>
        <v>Phantasmal Gem</v>
      </c>
      <c r="C9" s="29" t="str">
        <f>HYPERLINK(_xlfn.CONCAT("#'", B9, "'!A1"), "Go to Sheet")</f>
        <v>Go to Sheet</v>
      </c>
      <c r="E9" s="25">
        <v>26</v>
      </c>
      <c r="F9" s="28" t="str" cm="1">
        <f t="array" ref="F9">INDEX(LISTSHEETS,E9)</f>
        <v>Unidentified ring</v>
      </c>
      <c r="G9" s="29" t="str">
        <f>HYPERLINK(_xlfn.CONCAT("#'", F9, "'!A1"), "Go to Sheet")</f>
        <v>Go to Sheet</v>
      </c>
      <c r="I9" s="25">
        <v>44</v>
      </c>
      <c r="J9" s="28" t="str" cm="1">
        <f t="array" ref="J9">INDEX(LISTSHEETS,I9)</f>
        <v>Jewel</v>
      </c>
      <c r="K9" s="29" t="str">
        <f>HYPERLINK(_xlfn.CONCAT("#'", J9, "'!A1"), "Go to Sheet")</f>
        <v>Go to Sheet</v>
      </c>
      <c r="M9" s="27" t="s">
        <v>1599</v>
      </c>
      <c r="N9" s="27"/>
      <c r="O9" s="27"/>
    </row>
    <row r="10" spans="1:15" ht="21" customHeight="1" x14ac:dyDescent="0.25">
      <c r="E10" s="25">
        <v>27</v>
      </c>
      <c r="F10" s="28" t="str" cm="1">
        <f t="array" ref="F10">INDEX(LISTSHEETS,E10)</f>
        <v>Abyssus</v>
      </c>
      <c r="G10" s="29" t="str">
        <f>HYPERLINK(_xlfn.CONCAT("#'", F10, "'!A1"), "Go to Sheet")</f>
        <v>Go to Sheet</v>
      </c>
      <c r="I10" s="25">
        <v>45</v>
      </c>
      <c r="J10" s="28" t="str" cm="1">
        <f t="array" ref="J10">INDEX(LISTSHEETS,I10)</f>
        <v>Quiver</v>
      </c>
      <c r="K10" s="29" t="str">
        <f>HYPERLINK(_xlfn.CONCAT("#'", J10, "'!A1"), "Go to Sheet")</f>
        <v>Go to Sheet</v>
      </c>
      <c r="M10" s="25">
        <v>63</v>
      </c>
      <c r="N10" s="28" t="str" cm="1">
        <f t="array" ref="N10">INDEX(LISTSHEETS,M10)</f>
        <v>Fishing Rod</v>
      </c>
      <c r="O10" s="29" t="str">
        <f>HYPERLINK(_xlfn.CONCAT("#'", N10, "'!A1"), "Go to Sheet")</f>
        <v>Go to Sheet</v>
      </c>
    </row>
    <row r="11" spans="1:15" ht="21" customHeight="1" x14ac:dyDescent="0.25">
      <c r="A11" s="31" t="s">
        <v>769</v>
      </c>
      <c r="B11" s="32"/>
      <c r="C11" s="33"/>
      <c r="E11" s="25">
        <v>28</v>
      </c>
      <c r="F11" s="28" t="str" cm="1">
        <f t="array" ref="F11">INDEX(LISTSHEETS,E11)</f>
        <v>Carcass Jack</v>
      </c>
      <c r="G11" s="29" t="str">
        <f>HYPERLINK(_xlfn.CONCAT("#'", F11, "'!A1"), "Go to Sheet")</f>
        <v>Go to Sheet</v>
      </c>
      <c r="I11" s="25">
        <v>46</v>
      </c>
      <c r="J11" s="28" t="str" cm="1">
        <f t="array" ref="J11">INDEX(LISTSHEETS,I11)</f>
        <v>Sceptre</v>
      </c>
      <c r="K11" s="29" t="str">
        <f>HYPERLINK(_xlfn.CONCAT("#'", J11, "'!A1"), "Go to Sheet")</f>
        <v>Go to Sheet</v>
      </c>
    </row>
    <row r="12" spans="1:15" ht="21" customHeight="1" x14ac:dyDescent="0.25">
      <c r="A12" s="25">
        <v>7</v>
      </c>
      <c r="B12" s="28" t="str" cm="1">
        <f t="array" ref="B12">INDEX(LISTSHEETS,A12)</f>
        <v>Chaos Orb</v>
      </c>
      <c r="C12" s="29" t="str">
        <f>HYPERLINK(_xlfn.CONCAT("#'", B12, "'!A1"), "Go to Sheet")</f>
        <v>Go to Sheet</v>
      </c>
      <c r="E12" s="25">
        <v>29</v>
      </c>
      <c r="F12" s="28" t="str" cm="1">
        <f t="array" ref="F12">INDEX(LISTSHEETS,E12)</f>
        <v>Mistwall</v>
      </c>
      <c r="G12" s="29" t="str">
        <f>HYPERLINK(_xlfn.CONCAT("#'", F12, "'!A1"), "Go to Sheet")</f>
        <v>Go to Sheet</v>
      </c>
      <c r="I12" s="25">
        <v>47</v>
      </c>
      <c r="J12" s="28" t="str" cm="1">
        <f t="array" ref="J12">INDEX(LISTSHEETS,I12)</f>
        <v>Staff</v>
      </c>
      <c r="K12" s="29" t="str">
        <f>HYPERLINK(_xlfn.CONCAT("#'", J12, "'!A1"), "Go to Sheet")</f>
        <v>Go to Sheet</v>
      </c>
    </row>
    <row r="13" spans="1:15" ht="21" customHeight="1" x14ac:dyDescent="0.25">
      <c r="A13" s="25">
        <v>8</v>
      </c>
      <c r="B13" s="28" t="str" cm="1">
        <f t="array" ref="B13">INDEX(LISTSHEETS,A13)</f>
        <v>Resonator</v>
      </c>
      <c r="C13" s="29" t="str">
        <f>HYPERLINK(_xlfn.CONCAT("#'", B13, "'!A1"), "Go to Sheet")</f>
        <v>Go to Sheet</v>
      </c>
      <c r="E13" s="25">
        <v>30</v>
      </c>
      <c r="F13" s="28" t="str" cm="1">
        <f t="array" ref="F13">INDEX(LISTSHEETS,E13)</f>
        <v>White Wind</v>
      </c>
      <c r="G13" s="29" t="str">
        <f>HYPERLINK(_xlfn.CONCAT("#'", F13, "'!A1"), "Go to Sheet")</f>
        <v>Go to Sheet</v>
      </c>
      <c r="I13" s="25">
        <v>48</v>
      </c>
      <c r="J13" s="28" t="str" cm="1">
        <f t="array" ref="J13">INDEX(LISTSHEETS,I13)</f>
        <v>Wand</v>
      </c>
      <c r="K13" s="29" t="str">
        <f>HYPERLINK(_xlfn.CONCAT("#'", J13, "'!A1"), "Go to Sheet")</f>
        <v>Go to Sheet</v>
      </c>
    </row>
    <row r="14" spans="1:15" ht="21" customHeight="1" x14ac:dyDescent="0.25">
      <c r="A14" s="25">
        <v>9</v>
      </c>
      <c r="B14" s="28" t="str" cm="1">
        <f t="array" ref="B14">INDEX(LISTSHEETS,A14)</f>
        <v>Card</v>
      </c>
      <c r="C14" s="29" t="str">
        <f>HYPERLINK(_xlfn.CONCAT("#'", B14, "'!A1"), "Go to Sheet")</f>
        <v>Go to Sheet</v>
      </c>
      <c r="I14" s="25">
        <v>49</v>
      </c>
      <c r="J14" s="28" t="str" cm="1">
        <f t="array" ref="J14">INDEX(LISTSHEETS,I14)</f>
        <v>Warstaff</v>
      </c>
      <c r="K14" s="29" t="str">
        <f>HYPERLINK(_xlfn.CONCAT("#'", J14, "'!A1"), "Go to Sheet")</f>
        <v>Go to Sheet</v>
      </c>
    </row>
    <row r="15" spans="1:15" ht="21" customHeight="1" x14ac:dyDescent="0.25">
      <c r="A15" s="25">
        <v>10</v>
      </c>
      <c r="B15" s="28" t="str" cm="1">
        <f t="array" ref="B15">INDEX(LISTSHEETS,A15)</f>
        <v>Metamorph Sample</v>
      </c>
      <c r="C15" s="29" t="str">
        <f>HYPERLINK(_xlfn.CONCAT("#'", B15, "'!A1"), "Go to Sheet")</f>
        <v>Go to Sheet</v>
      </c>
      <c r="D15" s="30"/>
      <c r="E15" s="27" t="s">
        <v>1597</v>
      </c>
      <c r="F15" s="27"/>
      <c r="G15" s="27"/>
      <c r="I15" s="25">
        <v>50</v>
      </c>
      <c r="J15" s="28" t="str" cm="1">
        <f t="array" ref="J15">INDEX(LISTSHEETS,I15)</f>
        <v>1H Sword</v>
      </c>
      <c r="K15" s="29" t="str">
        <f>HYPERLINK(_xlfn.CONCAT("#'", J15, "'!A1"), "Go to Sheet")</f>
        <v>Go to Sheet</v>
      </c>
    </row>
    <row r="16" spans="1:15" ht="21" customHeight="1" x14ac:dyDescent="0.25">
      <c r="E16" s="25">
        <v>31</v>
      </c>
      <c r="F16" s="28" t="str" cm="1">
        <f t="array" ref="F16">INDEX(LISTSHEETS,E16)</f>
        <v>Crusader</v>
      </c>
      <c r="G16" s="29" t="str">
        <f>HYPERLINK(_xlfn.CONCAT("#'", F16, "'!A1"), "Go to Sheet")</f>
        <v>Go to Sheet</v>
      </c>
      <c r="I16" s="25">
        <v>51</v>
      </c>
      <c r="J16" s="28" t="str" cm="1">
        <f t="array" ref="J16">INDEX(LISTSHEETS,I16)</f>
        <v>1H Thrusting Sword</v>
      </c>
      <c r="K16" s="29" t="str">
        <f>HYPERLINK(_xlfn.CONCAT("#'", J16, "'!A1"), "Go to Sheet")</f>
        <v>Go to Sheet</v>
      </c>
    </row>
    <row r="17" spans="1:11" ht="21" customHeight="1" x14ac:dyDescent="0.25">
      <c r="A17" s="31" t="s">
        <v>780</v>
      </c>
      <c r="B17" s="32"/>
      <c r="C17" s="33"/>
      <c r="E17" s="25">
        <v>32</v>
      </c>
      <c r="F17" s="28" t="str" cm="1">
        <f t="array" ref="F17">INDEX(LISTSHEETS,E17)</f>
        <v>Elder</v>
      </c>
      <c r="G17" s="29" t="str">
        <f>HYPERLINK(_xlfn.CONCAT("#'", F17, "'!A1"), "Go to Sheet")</f>
        <v>Go to Sheet</v>
      </c>
      <c r="I17" s="25">
        <v>52</v>
      </c>
      <c r="J17" s="28" t="str" cm="1">
        <f t="array" ref="J17">INDEX(LISTSHEETS,I17)</f>
        <v>2H Sword</v>
      </c>
      <c r="K17" s="29" t="str">
        <f>HYPERLINK(_xlfn.CONCAT("#'", J17, "'!A1"), "Go to Sheet")</f>
        <v>Go to Sheet</v>
      </c>
    </row>
    <row r="18" spans="1:11" ht="21" customHeight="1" x14ac:dyDescent="0.25">
      <c r="A18" s="25">
        <v>11</v>
      </c>
      <c r="B18" s="28" t="str" cm="1">
        <f t="array" ref="B18">INDEX(LISTSHEETS,A18)</f>
        <v>Blighted Map</v>
      </c>
      <c r="C18" s="29" t="str">
        <f>HYPERLINK(_xlfn.CONCAT("#'", B18, "'!A1"), "Go to Sheet")</f>
        <v>Go to Sheet</v>
      </c>
      <c r="E18" s="25">
        <v>33</v>
      </c>
      <c r="F18" s="28" t="str" cm="1">
        <f t="array" ref="F18">INDEX(LISTSHEETS,E18)</f>
        <v>Hunter</v>
      </c>
      <c r="G18" s="29" t="str">
        <f>HYPERLINK(_xlfn.CONCAT("#'", F18, "'!A1"), "Go to Sheet")</f>
        <v>Go to Sheet</v>
      </c>
      <c r="I18" s="25">
        <v>53</v>
      </c>
      <c r="J18" s="28" t="str" cm="1">
        <f t="array" ref="J18">INDEX(LISTSHEETS,I18)</f>
        <v>1H Axe</v>
      </c>
      <c r="K18" s="29" t="str">
        <f>HYPERLINK(_xlfn.CONCAT("#'", J18, "'!A1"), "Go to Sheet")</f>
        <v>Go to Sheet</v>
      </c>
    </row>
    <row r="19" spans="1:11" ht="21" customHeight="1" x14ac:dyDescent="0.25">
      <c r="A19" s="25">
        <v>12</v>
      </c>
      <c r="B19" s="28" t="str" cm="1">
        <f t="array" ref="B19">INDEX(LISTSHEETS,A19)</f>
        <v>Blight-ravaged Map</v>
      </c>
      <c r="C19" s="29" t="str">
        <f>HYPERLINK(_xlfn.CONCAT("#'", B19, "'!A1"), "Go to Sheet")</f>
        <v>Go to Sheet</v>
      </c>
      <c r="E19" s="25">
        <v>34</v>
      </c>
      <c r="F19" s="28" t="str" cm="1">
        <f t="array" ref="F19">INDEX(LISTSHEETS,E19)</f>
        <v>Redeemer</v>
      </c>
      <c r="G19" s="29" t="str">
        <f>HYPERLINK(_xlfn.CONCAT("#'", F19, "'!A1"), "Go to Sheet")</f>
        <v>Go to Sheet</v>
      </c>
      <c r="I19" s="25">
        <v>54</v>
      </c>
      <c r="J19" s="28" t="str" cm="1">
        <f t="array" ref="J19">INDEX(LISTSHEETS,I19)</f>
        <v>2H Axe</v>
      </c>
      <c r="K19" s="29" t="str">
        <f>HYPERLINK(_xlfn.CONCAT("#'", J19, "'!A1"), "Go to Sheet")</f>
        <v>Go to Sheet</v>
      </c>
    </row>
    <row r="20" spans="1:11" ht="21" customHeight="1" x14ac:dyDescent="0.25">
      <c r="A20" s="25">
        <v>13</v>
      </c>
      <c r="B20" s="28" t="str" cm="1">
        <f t="array" ref="B20">INDEX(LISTSHEETS,A20)</f>
        <v>Blueprint</v>
      </c>
      <c r="C20" s="29" t="str">
        <f>HYPERLINK(_xlfn.CONCAT("#'", B20, "'!A1"), "Go to Sheet")</f>
        <v>Go to Sheet</v>
      </c>
      <c r="E20" s="25">
        <v>35</v>
      </c>
      <c r="F20" s="28" t="str" cm="1">
        <f t="array" ref="F20">INDEX(LISTSHEETS,E20)</f>
        <v>Shaper</v>
      </c>
      <c r="G20" s="29" t="str">
        <f>HYPERLINK(_xlfn.CONCAT("#'", F20, "'!A1"), "Go to Sheet")</f>
        <v>Go to Sheet</v>
      </c>
      <c r="I20" s="25">
        <v>55</v>
      </c>
      <c r="J20" s="28" t="str" cm="1">
        <f t="array" ref="J20">INDEX(LISTSHEETS,I20)</f>
        <v>1H Mace</v>
      </c>
      <c r="K20" s="29" t="str">
        <f>HYPERLINK(_xlfn.CONCAT("#'", J20, "'!A1"), "Go to Sheet")</f>
        <v>Go to Sheet</v>
      </c>
    </row>
    <row r="21" spans="1:11" ht="21" customHeight="1" x14ac:dyDescent="0.25">
      <c r="A21" s="25">
        <v>14</v>
      </c>
      <c r="B21" s="28" t="str" cm="1">
        <f t="array" ref="B21">INDEX(LISTSHEETS,A21)</f>
        <v>Contract</v>
      </c>
      <c r="C21" s="29" t="str">
        <f>HYPERLINK(_xlfn.CONCAT("#'", B21, "'!A1"), "Go to Sheet")</f>
        <v>Go to Sheet</v>
      </c>
      <c r="E21" s="25">
        <v>36</v>
      </c>
      <c r="F21" s="28" t="str" cm="1">
        <f t="array" ref="F21">INDEX(LISTSHEETS,E21)</f>
        <v>Warlord</v>
      </c>
      <c r="G21" s="29" t="str">
        <f>HYPERLINK(_xlfn.CONCAT("#'", F21, "'!A1"), "Go to Sheet")</f>
        <v>Go to Sheet</v>
      </c>
      <c r="I21" s="25">
        <v>56</v>
      </c>
      <c r="J21" s="28" t="str" cm="1">
        <f t="array" ref="J21">INDEX(LISTSHEETS,I21)</f>
        <v>2H Mace</v>
      </c>
      <c r="K21" s="29" t="str">
        <f>HYPERLINK(_xlfn.CONCAT("#'", J21, "'!A1"), "Go to Sheet")</f>
        <v>Go to Sheet</v>
      </c>
    </row>
    <row r="22" spans="1:11" ht="21" customHeight="1" x14ac:dyDescent="0.25">
      <c r="A22" s="25">
        <v>15</v>
      </c>
      <c r="B22" s="28" t="str" cm="1">
        <f t="array" ref="B22">INDEX(LISTSHEETS,A22)</f>
        <v>Logbook</v>
      </c>
      <c r="C22" s="29" t="str">
        <f>HYPERLINK(_xlfn.CONCAT("#'", B22, "'!A1"), "Go to Sheet")</f>
        <v>Go to Sheet</v>
      </c>
    </row>
    <row r="23" spans="1:11" ht="21" customHeight="1" x14ac:dyDescent="0.25">
      <c r="A23" s="25">
        <v>16</v>
      </c>
      <c r="B23" s="28" t="str" cm="1">
        <f t="array" ref="B23">INDEX(LISTSHEETS,A23)</f>
        <v>Map</v>
      </c>
      <c r="C23" s="29" t="str">
        <f>HYPERLINK(_xlfn.CONCAT("#'", B23, "'!A1"), "Go to Sheet")</f>
        <v>Go to Sheet</v>
      </c>
    </row>
    <row r="24" spans="1:11" ht="21" customHeight="1" x14ac:dyDescent="0.25">
      <c r="A24" s="25">
        <v>17</v>
      </c>
      <c r="B24" s="28" t="str" cm="1">
        <f t="array" ref="B24">INDEX(LISTSHEETS,A24)</f>
        <v>Map Fragment</v>
      </c>
      <c r="C24" s="29" t="str">
        <f>HYPERLINK(_xlfn.CONCAT("#'", B24, "'!A1"), "Go to Sheet")</f>
        <v>Go to Sheet</v>
      </c>
    </row>
    <row r="25" spans="1:11" ht="21" customHeight="1" x14ac:dyDescent="0.25">
      <c r="A25" s="25">
        <v>18</v>
      </c>
      <c r="B25" s="28" t="str" cm="1">
        <f t="array" ref="B25">INDEX(LISTSHEETS,A25)</f>
        <v>Memory</v>
      </c>
      <c r="C25" s="29" t="str">
        <f>HYPERLINK(_xlfn.CONCAT("#'", B25, "'!A1"), "Go to Sheet")</f>
        <v>Go to Sheet</v>
      </c>
    </row>
    <row r="26" spans="1:11" ht="21" customHeight="1" x14ac:dyDescent="0.25">
      <c r="A26" s="25">
        <v>19</v>
      </c>
      <c r="B26" s="28" t="str" cm="1">
        <f t="array" ref="B26">INDEX(LISTSHEETS,A26)</f>
        <v>Misc Map Item</v>
      </c>
      <c r="C26" s="29" t="str">
        <f>HYPERLINK(_xlfn.CONCAT("#'", B26, "'!A1"), "Go to Sheet")</f>
        <v>Go to Sheet</v>
      </c>
    </row>
    <row r="27" spans="1:11" ht="21" customHeight="1" x14ac:dyDescent="0.25">
      <c r="A27" s="25">
        <v>20</v>
      </c>
      <c r="B27" s="28" t="str" cm="1">
        <f t="array" ref="B27">INDEX(LISTSHEETS,A27)</f>
        <v>Tome</v>
      </c>
      <c r="C27" s="29" t="str">
        <f>HYPERLINK(_xlfn.CONCAT("#'", B27, "'!A1"), "Go to Sheet")</f>
        <v>Go to Sheet</v>
      </c>
    </row>
    <row r="28" spans="1:11" ht="21" customHeight="1" x14ac:dyDescent="0.25"/>
    <row r="29" spans="1:11" ht="21" customHeight="1" x14ac:dyDescent="0.25"/>
    <row r="30" spans="1:11" ht="21" customHeight="1" x14ac:dyDescent="0.25"/>
    <row r="31" spans="1:11" ht="21" customHeight="1" x14ac:dyDescent="0.25"/>
    <row r="32" spans="1:11" ht="21" customHeight="1" x14ac:dyDescent="0.25"/>
    <row r="33" ht="21" customHeight="1" x14ac:dyDescent="0.25"/>
    <row r="34" ht="21" customHeight="1" x14ac:dyDescent="0.25"/>
    <row r="35" ht="21" customHeight="1" x14ac:dyDescent="0.25"/>
    <row r="36" ht="21" customHeight="1" x14ac:dyDescent="0.25"/>
    <row r="37" ht="21" customHeight="1" x14ac:dyDescent="0.25"/>
    <row r="38" ht="21" customHeight="1" x14ac:dyDescent="0.25"/>
    <row r="39" ht="21" customHeight="1" x14ac:dyDescent="0.25"/>
  </sheetData>
  <mergeCells count="10">
    <mergeCell ref="I1:K1"/>
    <mergeCell ref="M1:O1"/>
    <mergeCell ref="M9:O9"/>
    <mergeCell ref="A17:C17"/>
    <mergeCell ref="A11:C11"/>
    <mergeCell ref="A6:C6"/>
    <mergeCell ref="A1:C1"/>
    <mergeCell ref="E1:G1"/>
    <mergeCell ref="E7:G7"/>
    <mergeCell ref="E15:G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3219B-B96D-4DF0-A490-6D41D429C924}">
  <sheetPr>
    <tabColor theme="9" tint="0.79998168889431442"/>
  </sheetPr>
  <dimension ref="A1:V115"/>
  <sheetViews>
    <sheetView tabSelected="1" workbookViewId="0">
      <selection activeCell="T2" sqref="T2:T115"/>
    </sheetView>
  </sheetViews>
  <sheetFormatPr defaultRowHeight="15.95" customHeight="1" x14ac:dyDescent="0.25"/>
  <cols>
    <col min="1" max="1" width="20.7109375" style="15" customWidth="1"/>
    <col min="2" max="2" width="91.140625" style="15" customWidth="1"/>
    <col min="3" max="3" width="20.7109375" style="15" customWidth="1"/>
    <col min="4" max="4" width="5.28515625" style="15" customWidth="1"/>
    <col min="5" max="5" width="20.7109375" style="15" customWidth="1"/>
    <col min="6" max="6" width="5.28515625" style="15" customWidth="1"/>
    <col min="7" max="7" width="20.7109375" style="15" customWidth="1"/>
    <col min="8" max="8" width="5.28515625" style="15" customWidth="1"/>
    <col min="9" max="9" width="20.7109375" style="15" customWidth="1"/>
    <col min="10" max="10" width="5.28515625" style="15" customWidth="1"/>
    <col min="11" max="11" width="20.7109375" style="15" customWidth="1"/>
    <col min="12" max="12" width="5.28515625" style="15" customWidth="1"/>
    <col min="13" max="13" width="20.7109375" style="15" customWidth="1"/>
    <col min="14" max="14" width="5.28515625" style="15" customWidth="1"/>
    <col min="15" max="15" width="20.7109375" style="15" customWidth="1"/>
    <col min="16" max="16" width="5.28515625" style="15" customWidth="1"/>
    <col min="17" max="17" width="20.7109375" style="15" customWidth="1"/>
    <col min="18" max="18" width="5.28515625" style="15" customWidth="1"/>
    <col min="19" max="19" width="20.7109375" style="15" customWidth="1"/>
    <col min="20" max="20" width="5.28515625" style="15" customWidth="1"/>
    <col min="21" max="21" width="3" customWidth="1"/>
    <col min="22" max="22" width="4.7109375" style="23" customWidth="1"/>
  </cols>
  <sheetData>
    <row r="1" spans="1:22" ht="15.95" customHeight="1" x14ac:dyDescent="0.25">
      <c r="A1" s="8" t="s">
        <v>20</v>
      </c>
      <c r="B1" s="9" t="s">
        <v>29</v>
      </c>
      <c r="C1" s="8" t="s">
        <v>30</v>
      </c>
      <c r="D1" s="9" t="s">
        <v>29</v>
      </c>
      <c r="E1" s="8" t="s">
        <v>32</v>
      </c>
      <c r="F1" s="9" t="s">
        <v>29</v>
      </c>
      <c r="G1" s="8" t="s">
        <v>33</v>
      </c>
      <c r="H1" s="9" t="s">
        <v>29</v>
      </c>
      <c r="I1" s="8" t="s">
        <v>34</v>
      </c>
      <c r="J1" s="9" t="s">
        <v>29</v>
      </c>
      <c r="K1" s="8" t="s">
        <v>35</v>
      </c>
      <c r="L1" s="9" t="s">
        <v>29</v>
      </c>
      <c r="M1" s="8" t="s">
        <v>36</v>
      </c>
      <c r="N1" s="9" t="s">
        <v>29</v>
      </c>
      <c r="O1" s="8" t="s">
        <v>37</v>
      </c>
      <c r="P1" s="9" t="s">
        <v>29</v>
      </c>
      <c r="Q1" s="8" t="s">
        <v>38</v>
      </c>
      <c r="R1" s="9" t="s">
        <v>29</v>
      </c>
      <c r="S1" s="8" t="s">
        <v>39</v>
      </c>
      <c r="T1" s="9" t="s">
        <v>29</v>
      </c>
      <c r="V1" s="8" t="s">
        <v>545</v>
      </c>
    </row>
    <row r="2" spans="1:22" ht="15.95" customHeight="1" x14ac:dyDescent="0.25">
      <c r="A2" s="6" t="s">
        <v>27</v>
      </c>
      <c r="B2" s="10" t="s">
        <v>13</v>
      </c>
      <c r="C2" s="16" t="s">
        <v>31</v>
      </c>
      <c r="D2" s="10" t="s">
        <v>13</v>
      </c>
      <c r="E2" s="16" t="s">
        <v>40</v>
      </c>
      <c r="F2" s="10" t="s">
        <v>13</v>
      </c>
      <c r="G2" s="16" t="s">
        <v>41</v>
      </c>
      <c r="H2" s="10" t="s">
        <v>13</v>
      </c>
      <c r="I2" s="16" t="s">
        <v>42</v>
      </c>
      <c r="J2" s="10" t="s">
        <v>13</v>
      </c>
      <c r="K2" s="16" t="s">
        <v>43</v>
      </c>
      <c r="L2" s="10" t="s">
        <v>13</v>
      </c>
      <c r="M2" s="16" t="s">
        <v>44</v>
      </c>
      <c r="N2" s="10" t="s">
        <v>13</v>
      </c>
      <c r="O2" s="16" t="s">
        <v>45</v>
      </c>
      <c r="P2" s="10" t="s">
        <v>13</v>
      </c>
      <c r="Q2" s="16" t="s">
        <v>46</v>
      </c>
      <c r="R2" s="10" t="s">
        <v>13</v>
      </c>
      <c r="S2" s="16" t="s">
        <v>47</v>
      </c>
      <c r="T2" s="10" t="s">
        <v>13</v>
      </c>
      <c r="V2" s="1" t="s">
        <v>27</v>
      </c>
    </row>
    <row r="3" spans="1:22" ht="15.95" customHeight="1" x14ac:dyDescent="0.25">
      <c r="A3" s="6" t="s">
        <v>28</v>
      </c>
      <c r="B3" s="11" t="s">
        <v>14</v>
      </c>
      <c r="C3" s="16" t="s">
        <v>28</v>
      </c>
      <c r="D3" s="11" t="s">
        <v>14</v>
      </c>
      <c r="E3" s="12" t="s">
        <v>28</v>
      </c>
      <c r="F3" s="11" t="s">
        <v>14</v>
      </c>
      <c r="G3" s="12" t="s">
        <v>28</v>
      </c>
      <c r="H3" s="11" t="s">
        <v>14</v>
      </c>
      <c r="I3" s="12" t="s">
        <v>28</v>
      </c>
      <c r="J3" s="11" t="s">
        <v>14</v>
      </c>
      <c r="K3" s="12" t="s">
        <v>28</v>
      </c>
      <c r="L3" s="11" t="s">
        <v>14</v>
      </c>
      <c r="M3" s="12" t="s">
        <v>28</v>
      </c>
      <c r="N3" s="11" t="s">
        <v>14</v>
      </c>
      <c r="O3" s="12" t="s">
        <v>28</v>
      </c>
      <c r="P3" s="11" t="s">
        <v>14</v>
      </c>
      <c r="Q3" s="12" t="s">
        <v>28</v>
      </c>
      <c r="R3" s="11" t="s">
        <v>14</v>
      </c>
      <c r="S3" s="12" t="s">
        <v>28</v>
      </c>
      <c r="T3" s="11" t="s">
        <v>14</v>
      </c>
      <c r="V3" s="1" t="s">
        <v>28</v>
      </c>
    </row>
    <row r="4" spans="1:22" ht="15.95" customHeight="1" x14ac:dyDescent="0.25">
      <c r="A4" s="12" t="s">
        <v>28</v>
      </c>
      <c r="B4" s="11" t="str">
        <f>_xlfn.CONCAT("    [GameLanguage(""", A1,""", """, A2,""")]")</f>
        <v xml:space="preserve">    [GameLanguage("English", "en")]</v>
      </c>
      <c r="C4" s="12" t="s">
        <v>28</v>
      </c>
      <c r="D4" s="11" t="str">
        <f>_xlfn.CONCAT("    [GameLanguage(""", C1,""", """, C2,""")]")</f>
        <v xml:space="preserve">    [GameLanguage("German", "de")]</v>
      </c>
      <c r="E4" s="12" t="s">
        <v>28</v>
      </c>
      <c r="F4" s="11" t="str">
        <f>_xlfn.CONCAT("    [GameLanguage(""", E1,""", """, E2,""")]")</f>
        <v xml:space="preserve">    [GameLanguage("Spanish", "es")]</v>
      </c>
      <c r="G4" s="12" t="s">
        <v>28</v>
      </c>
      <c r="H4" s="11" t="str">
        <f>_xlfn.CONCAT("    [GameLanguage(""", G1,""", """, G2,""")]")</f>
        <v xml:space="preserve">    [GameLanguage("French", "fr")]</v>
      </c>
      <c r="I4" s="12" t="s">
        <v>28</v>
      </c>
      <c r="J4" s="11" t="str">
        <f>_xlfn.CONCAT("    [GameLanguage(""", I1,""", """, I2,""")]")</f>
        <v xml:space="preserve">    [GameLanguage("Japanese", "jp")]</v>
      </c>
      <c r="K4" s="12" t="s">
        <v>28</v>
      </c>
      <c r="L4" s="11" t="str">
        <f>_xlfn.CONCAT("    [GameLanguage(""", K1,""", """, K2,""")]")</f>
        <v xml:space="preserve">    [GameLanguage("Korean", "kr")]</v>
      </c>
      <c r="M4" s="12" t="s">
        <v>28</v>
      </c>
      <c r="N4" s="11" t="str">
        <f>_xlfn.CONCAT("    [GameLanguage(""", M1,""", """, M2,""")]")</f>
        <v xml:space="preserve">    [GameLanguage("Portuguese", "pt")]</v>
      </c>
      <c r="O4" s="12" t="s">
        <v>28</v>
      </c>
      <c r="P4" s="11" t="str">
        <f>_xlfn.CONCAT("    [GameLanguage(""", O1,""", """, O2,""")]")</f>
        <v xml:space="preserve">    [GameLanguage("Russian", "ru")]</v>
      </c>
      <c r="Q4" s="12" t="s">
        <v>28</v>
      </c>
      <c r="R4" s="11" t="str">
        <f>_xlfn.CONCAT("    [GameLanguage(""", Q1,""", """, Q2,""")]")</f>
        <v xml:space="preserve">    [GameLanguage("Thai", "th")]</v>
      </c>
      <c r="S4" s="12" t="s">
        <v>28</v>
      </c>
      <c r="T4" s="11" t="str">
        <f>_xlfn.CONCAT("    [GameLanguage(""", S1,""", """, S2,""")]")</f>
        <v xml:space="preserve">    [GameLanguage("Traditional Chinese", "zh")]</v>
      </c>
      <c r="V4" s="1" t="s">
        <v>28</v>
      </c>
    </row>
    <row r="5" spans="1:22" ht="15.95" customHeight="1" x14ac:dyDescent="0.25">
      <c r="A5" s="12" t="s">
        <v>28</v>
      </c>
      <c r="B5" s="11" t="str">
        <f>_xlfn.CONCAT("    public class GameLanguage", UPPER(A2), " : IGameLanguage")</f>
        <v xml:space="preserve">    public class GameLanguageEN : IGameLanguage</v>
      </c>
      <c r="C5" s="12" t="s">
        <v>28</v>
      </c>
      <c r="D5" s="11" t="str">
        <f>_xlfn.CONCAT("    public class GameLanguage", UPPER(C2), " : IGameLanguage")</f>
        <v xml:space="preserve">    public class GameLanguageDE : IGameLanguage</v>
      </c>
      <c r="E5" s="12" t="s">
        <v>28</v>
      </c>
      <c r="F5" s="11" t="str">
        <f>_xlfn.CONCAT("    public class GameLanguage", UPPER(E2), " : IGameLanguage")</f>
        <v xml:space="preserve">    public class GameLanguageES : IGameLanguage</v>
      </c>
      <c r="G5" s="12" t="s">
        <v>28</v>
      </c>
      <c r="H5" s="11" t="str">
        <f>_xlfn.CONCAT("    public class GameLanguage", UPPER(G2), " : IGameLanguage")</f>
        <v xml:space="preserve">    public class GameLanguageFR : IGameLanguage</v>
      </c>
      <c r="I5" s="12" t="s">
        <v>28</v>
      </c>
      <c r="J5" s="11" t="str">
        <f>_xlfn.CONCAT("    public class GameLanguage", UPPER(I2), " : IGameLanguage")</f>
        <v xml:space="preserve">    public class GameLanguageJP : IGameLanguage</v>
      </c>
      <c r="K5" s="12" t="s">
        <v>28</v>
      </c>
      <c r="L5" s="11" t="str">
        <f>_xlfn.CONCAT("    public class GameLanguage", UPPER(K2), " : IGameLanguage")</f>
        <v xml:space="preserve">    public class GameLanguageKR : IGameLanguage</v>
      </c>
      <c r="M5" s="12" t="s">
        <v>28</v>
      </c>
      <c r="N5" s="11" t="str">
        <f>_xlfn.CONCAT("    public class GameLanguage", UPPER(M2), " : IGameLanguage")</f>
        <v xml:space="preserve">    public class GameLanguagePT : IGameLanguage</v>
      </c>
      <c r="O5" s="12" t="s">
        <v>28</v>
      </c>
      <c r="P5" s="11" t="str">
        <f>_xlfn.CONCAT("    public class GameLanguage", UPPER(O2), " : IGameLanguage")</f>
        <v xml:space="preserve">    public class GameLanguageRU : IGameLanguage</v>
      </c>
      <c r="Q5" s="12" t="s">
        <v>28</v>
      </c>
      <c r="R5" s="11" t="str">
        <f>_xlfn.CONCAT("    public class GameLanguage", UPPER(Q2), " : IGameLanguage")</f>
        <v xml:space="preserve">    public class GameLanguageTH : IGameLanguage</v>
      </c>
      <c r="S5" s="12" t="s">
        <v>28</v>
      </c>
      <c r="T5" s="11" t="str">
        <f>_xlfn.CONCAT("    public class GameLanguage", UPPER(S2), " : IGameLanguage")</f>
        <v xml:space="preserve">    public class GameLanguageZH : IGameLanguage</v>
      </c>
      <c r="V5" s="1" t="s">
        <v>28</v>
      </c>
    </row>
    <row r="6" spans="1:22" ht="15.95" customHeight="1" x14ac:dyDescent="0.25">
      <c r="A6" s="12" t="s">
        <v>28</v>
      </c>
      <c r="B6" s="11" t="s">
        <v>15</v>
      </c>
      <c r="C6" s="12" t="s">
        <v>28</v>
      </c>
      <c r="D6" s="11" t="s">
        <v>15</v>
      </c>
      <c r="E6" s="12" t="s">
        <v>28</v>
      </c>
      <c r="F6" s="11" t="s">
        <v>15</v>
      </c>
      <c r="G6" s="12" t="s">
        <v>28</v>
      </c>
      <c r="H6" s="11" t="s">
        <v>15</v>
      </c>
      <c r="I6" s="12" t="s">
        <v>28</v>
      </c>
      <c r="J6" s="11" t="s">
        <v>15</v>
      </c>
      <c r="K6" s="12" t="s">
        <v>28</v>
      </c>
      <c r="L6" s="11" t="s">
        <v>15</v>
      </c>
      <c r="M6" s="12" t="s">
        <v>28</v>
      </c>
      <c r="N6" s="11" t="s">
        <v>15</v>
      </c>
      <c r="O6" s="12" t="s">
        <v>28</v>
      </c>
      <c r="P6" s="11" t="s">
        <v>15</v>
      </c>
      <c r="Q6" s="12" t="s">
        <v>28</v>
      </c>
      <c r="R6" s="11" t="s">
        <v>15</v>
      </c>
      <c r="S6" s="12" t="s">
        <v>28</v>
      </c>
      <c r="T6" s="11" t="s">
        <v>15</v>
      </c>
      <c r="V6" s="1" t="s">
        <v>28</v>
      </c>
    </row>
    <row r="7" spans="1:22" ht="15.95" customHeight="1" x14ac:dyDescent="0.25">
      <c r="A7" s="12" t="s">
        <v>28</v>
      </c>
      <c r="B7" s="11" t="str">
        <f>_xlfn.CONCAT("        public string LanguageCode =&gt; """, A2, """;")</f>
        <v xml:space="preserve">        public string LanguageCode =&gt; "en";</v>
      </c>
      <c r="C7" s="12" t="s">
        <v>28</v>
      </c>
      <c r="D7" s="11" t="str">
        <f>_xlfn.CONCAT("        public string LanguageCode =&gt; """, C2, """;")</f>
        <v xml:space="preserve">        public string LanguageCode =&gt; "de";</v>
      </c>
      <c r="E7" s="12" t="s">
        <v>28</v>
      </c>
      <c r="F7" s="11" t="str">
        <f>_xlfn.CONCAT("        public string LanguageCode =&gt; """, E2, """;")</f>
        <v xml:space="preserve">        public string LanguageCode =&gt; "es";</v>
      </c>
      <c r="G7" s="12" t="s">
        <v>28</v>
      </c>
      <c r="H7" s="11" t="str">
        <f>_xlfn.CONCAT("        public string LanguageCode =&gt; """, G2, """;")</f>
        <v xml:space="preserve">        public string LanguageCode =&gt; "fr";</v>
      </c>
      <c r="I7" s="12" t="s">
        <v>28</v>
      </c>
      <c r="J7" s="11" t="str">
        <f>_xlfn.CONCAT("        public string LanguageCode =&gt; """, I2, """;")</f>
        <v xml:space="preserve">        public string LanguageCode =&gt; "jp";</v>
      </c>
      <c r="K7" s="12" t="s">
        <v>28</v>
      </c>
      <c r="L7" s="11" t="str">
        <f>_xlfn.CONCAT("        public string LanguageCode =&gt; """, K2, """;")</f>
        <v xml:space="preserve">        public string LanguageCode =&gt; "kr";</v>
      </c>
      <c r="M7" s="12" t="s">
        <v>28</v>
      </c>
      <c r="N7" s="11" t="str">
        <f>_xlfn.CONCAT("        public string LanguageCode =&gt; """, M2, """;")</f>
        <v xml:space="preserve">        public string LanguageCode =&gt; "pt";</v>
      </c>
      <c r="O7" s="12" t="s">
        <v>28</v>
      </c>
      <c r="P7" s="11" t="str">
        <f>_xlfn.CONCAT("        public string LanguageCode =&gt; """, O2, """;")</f>
        <v xml:space="preserve">        public string LanguageCode =&gt; "ru";</v>
      </c>
      <c r="Q7" s="12" t="s">
        <v>28</v>
      </c>
      <c r="R7" s="11" t="str">
        <f>_xlfn.CONCAT("        public string LanguageCode =&gt; """, Q2, """;")</f>
        <v xml:space="preserve">        public string LanguageCode =&gt; "th";</v>
      </c>
      <c r="S7" s="12" t="s">
        <v>28</v>
      </c>
      <c r="T7" s="11" t="str">
        <f>_xlfn.CONCAT("        public string LanguageCode =&gt; """, S2, """;")</f>
        <v xml:space="preserve">        public string LanguageCode =&gt; "zh";</v>
      </c>
      <c r="V7" s="1" t="s">
        <v>28</v>
      </c>
    </row>
    <row r="8" spans="1:22" ht="15.95" customHeight="1" x14ac:dyDescent="0.25">
      <c r="A8" s="12" t="s">
        <v>28</v>
      </c>
      <c r="B8" s="11"/>
      <c r="C8" s="12" t="s">
        <v>28</v>
      </c>
      <c r="D8" s="11"/>
      <c r="E8" s="12" t="s">
        <v>28</v>
      </c>
      <c r="F8" s="11"/>
      <c r="G8" s="12" t="s">
        <v>28</v>
      </c>
      <c r="H8" s="11"/>
      <c r="I8" s="12" t="s">
        <v>28</v>
      </c>
      <c r="J8" s="11"/>
      <c r="K8" s="12" t="s">
        <v>28</v>
      </c>
      <c r="L8" s="11"/>
      <c r="M8" s="12" t="s">
        <v>28</v>
      </c>
      <c r="N8" s="11"/>
      <c r="O8" s="12" t="s">
        <v>28</v>
      </c>
      <c r="P8" s="11"/>
      <c r="Q8" s="12" t="s">
        <v>28</v>
      </c>
      <c r="R8" s="11"/>
      <c r="S8" s="12" t="s">
        <v>28</v>
      </c>
      <c r="T8" s="11"/>
      <c r="V8" s="1" t="s">
        <v>28</v>
      </c>
    </row>
    <row r="9" spans="1:22" ht="15.95" customHeight="1" x14ac:dyDescent="0.25">
      <c r="A9" s="6" t="s">
        <v>23</v>
      </c>
      <c r="B9" s="11" t="str">
        <f>_xlfn.CONCAT("        public Uri PoeTradeSearchBaseUrl =&gt; new(""", A9, """);")</f>
        <v xml:space="preserve">        public Uri PoeTradeSearchBaseUrl =&gt; new("https://www.pathofexile.com/trade/search/");</v>
      </c>
      <c r="C9" s="16" t="s">
        <v>48</v>
      </c>
      <c r="D9" s="11" t="str">
        <f>_xlfn.CONCAT("        public Uri PoeTradeSearchBaseUrl =&gt; new(""", C9, """);")</f>
        <v xml:space="preserve">        public Uri PoeTradeSearchBaseUrl =&gt; new("https://de.pathofexile.com/trade/search/");</v>
      </c>
      <c r="E9" s="16" t="s">
        <v>51</v>
      </c>
      <c r="F9" s="11" t="str">
        <f>_xlfn.CONCAT("        public Uri PoeTradeSearchBaseUrl =&gt; new(""", E9, """);")</f>
        <v xml:space="preserve">        public Uri PoeTradeSearchBaseUrl =&gt; new("https://es.pathofexile.com/trade/search/");</v>
      </c>
      <c r="G9" s="16" t="s">
        <v>54</v>
      </c>
      <c r="H9" s="11" t="str">
        <f>_xlfn.CONCAT("        public Uri PoeTradeSearchBaseUrl =&gt; new(""", G9, """);")</f>
        <v xml:space="preserve">        public Uri PoeTradeSearchBaseUrl =&gt; new("https://fr.pathofexile.com/trade/search/");</v>
      </c>
      <c r="I9" s="16" t="s">
        <v>57</v>
      </c>
      <c r="J9" s="11" t="str">
        <f>_xlfn.CONCAT("        public Uri PoeTradeSearchBaseUrl =&gt; new(""", I9, """);")</f>
        <v xml:space="preserve">        public Uri PoeTradeSearchBaseUrl =&gt; new("https://jp.pathofexile.com/trade/search/");</v>
      </c>
      <c r="K9" s="16" t="s">
        <v>60</v>
      </c>
      <c r="L9" s="11" t="str">
        <f>_xlfn.CONCAT("        public Uri PoeTradeSearchBaseUrl =&gt; new(""", K9, """);")</f>
        <v xml:space="preserve">        public Uri PoeTradeSearchBaseUrl =&gt; new("https://poe.game.daum.net/trade/search/");</v>
      </c>
      <c r="M9" s="16" t="s">
        <v>63</v>
      </c>
      <c r="N9" s="11" t="str">
        <f>_xlfn.CONCAT("        public Uri PoeTradeSearchBaseUrl =&gt; new(""", M9, """);")</f>
        <v xml:space="preserve">        public Uri PoeTradeSearchBaseUrl =&gt; new("https://br.pathofexile.com/trade/search/");</v>
      </c>
      <c r="O9" s="16" t="s">
        <v>66</v>
      </c>
      <c r="P9" s="11" t="str">
        <f>_xlfn.CONCAT("        public Uri PoeTradeSearchBaseUrl =&gt; new(""", O9, """);")</f>
        <v xml:space="preserve">        public Uri PoeTradeSearchBaseUrl =&gt; new("https://ru.pathofexile.com/trade/search/");</v>
      </c>
      <c r="Q9" s="16" t="s">
        <v>71</v>
      </c>
      <c r="R9" s="11" t="str">
        <f>_xlfn.CONCAT("        public Uri PoeTradeSearchBaseUrl =&gt; new(""", Q9, """);")</f>
        <v xml:space="preserve">        public Uri PoeTradeSearchBaseUrl =&gt; new("https://th.pathofexile.com/trade/search/");</v>
      </c>
      <c r="S9" s="16" t="s">
        <v>72</v>
      </c>
      <c r="T9" s="11" t="str">
        <f>_xlfn.CONCAT("        public Uri PoeTradeSearchBaseUrl =&gt; new(""", S9, """);")</f>
        <v xml:space="preserve">        public Uri PoeTradeSearchBaseUrl =&gt; new("http://web.poe.garena.tw/trade/search/");</v>
      </c>
      <c r="V9" s="1" t="s">
        <v>23</v>
      </c>
    </row>
    <row r="10" spans="1:22" ht="15.95" customHeight="1" x14ac:dyDescent="0.25">
      <c r="A10" s="7" t="s">
        <v>24</v>
      </c>
      <c r="B10" s="11" t="str">
        <f>_xlfn.CONCAT("        public Uri PoeTradeExchangeBaseUrl =&gt; new(""", A10, """);")</f>
        <v xml:space="preserve">        public Uri PoeTradeExchangeBaseUrl =&gt; new("https://www.pathofexile.com/trade/exchange/");</v>
      </c>
      <c r="C10" s="16" t="s">
        <v>49</v>
      </c>
      <c r="D10" s="11" t="str">
        <f>_xlfn.CONCAT("        public Uri PoeTradeExchangeBaseUrl =&gt; new(""", C10, """);")</f>
        <v xml:space="preserve">        public Uri PoeTradeExchangeBaseUrl =&gt; new("https://de.pathofexile.com/trade/exchange/");</v>
      </c>
      <c r="E10" s="16" t="s">
        <v>52</v>
      </c>
      <c r="F10" s="11" t="str">
        <f>_xlfn.CONCAT("        public Uri PoeTradeExchangeBaseUrl =&gt; new(""", E10, """);")</f>
        <v xml:space="preserve">        public Uri PoeTradeExchangeBaseUrl =&gt; new("https://es.pathofexile.com/trade/exchange/");</v>
      </c>
      <c r="G10" s="16" t="s">
        <v>55</v>
      </c>
      <c r="H10" s="11" t="str">
        <f>_xlfn.CONCAT("        public Uri PoeTradeExchangeBaseUrl =&gt; new(""", G10, """);")</f>
        <v xml:space="preserve">        public Uri PoeTradeExchangeBaseUrl =&gt; new("https://fr.pathofexile.com/trade/exchange/");</v>
      </c>
      <c r="I10" s="16" t="s">
        <v>58</v>
      </c>
      <c r="J10" s="11" t="str">
        <f>_xlfn.CONCAT("        public Uri PoeTradeExchangeBaseUrl =&gt; new(""", I10, """);")</f>
        <v xml:space="preserve">        public Uri PoeTradeExchangeBaseUrl =&gt; new("https://jp.pathofexile.com/trade/exchange/");</v>
      </c>
      <c r="K10" s="16" t="s">
        <v>61</v>
      </c>
      <c r="L10" s="11" t="str">
        <f>_xlfn.CONCAT("        public Uri PoeTradeExchangeBaseUrl =&gt; new(""", K10, """);")</f>
        <v xml:space="preserve">        public Uri PoeTradeExchangeBaseUrl =&gt; new("https://poe.game.daum.net/trade/exchange/");</v>
      </c>
      <c r="M10" s="16" t="s">
        <v>64</v>
      </c>
      <c r="N10" s="11" t="str">
        <f>_xlfn.CONCAT("        public Uri PoeTradeExchangeBaseUrl =&gt; new(""", M10, """);")</f>
        <v xml:space="preserve">        public Uri PoeTradeExchangeBaseUrl =&gt; new("https://br.pathofexile.com/trade/exchange/");</v>
      </c>
      <c r="O10" s="16" t="s">
        <v>67</v>
      </c>
      <c r="P10" s="11" t="str">
        <f>_xlfn.CONCAT("        public Uri PoeTradeExchangeBaseUrl =&gt; new(""", O10, """);")</f>
        <v xml:space="preserve">        public Uri PoeTradeExchangeBaseUrl =&gt; new("https://ru.pathofexile.com/trade/exchange/");</v>
      </c>
      <c r="Q10" s="16" t="s">
        <v>70</v>
      </c>
      <c r="R10" s="11" t="str">
        <f>_xlfn.CONCAT("        public Uri PoeTradeExchangeBaseUrl =&gt; new(""", Q10, """);")</f>
        <v xml:space="preserve">        public Uri PoeTradeExchangeBaseUrl =&gt; new("https://th.pathofexile.com/trade/exchange/");</v>
      </c>
      <c r="S10" s="16" t="s">
        <v>73</v>
      </c>
      <c r="T10" s="11" t="str">
        <f>_xlfn.CONCAT("        public Uri PoeTradeExchangeBaseUrl =&gt; new(""", S10, """);")</f>
        <v xml:space="preserve">        public Uri PoeTradeExchangeBaseUrl =&gt; new("http://web.poe.garena.tw/trade/exchange/");</v>
      </c>
      <c r="V10" s="1" t="s">
        <v>24</v>
      </c>
    </row>
    <row r="11" spans="1:22" ht="15.95" customHeight="1" x14ac:dyDescent="0.25">
      <c r="A11" s="6" t="s">
        <v>25</v>
      </c>
      <c r="B11" s="11" t="str">
        <f>_xlfn.CONCAT("        public Uri PoeTradeApiBaseUrl =&gt; new(""", A11, """);")</f>
        <v xml:space="preserve">        public Uri PoeTradeApiBaseUrl =&gt; new("https://www.pathofexile.com/api/trade/");</v>
      </c>
      <c r="C11" s="16" t="s">
        <v>50</v>
      </c>
      <c r="D11" s="11" t="str">
        <f>_xlfn.CONCAT("        public Uri PoeTradeApiBaseUrl =&gt; new(""", C11, """);")</f>
        <v xml:space="preserve">        public Uri PoeTradeApiBaseUrl =&gt; new("https://de.pathofexile.com/api/trade/");</v>
      </c>
      <c r="E11" s="16" t="s">
        <v>53</v>
      </c>
      <c r="F11" s="11" t="str">
        <f>_xlfn.CONCAT("        public Uri PoeTradeApiBaseUrl =&gt; new(""", E11, """);")</f>
        <v xml:space="preserve">        public Uri PoeTradeApiBaseUrl =&gt; new("https://es.pathofexile.com/api/trade/");</v>
      </c>
      <c r="G11" s="16" t="s">
        <v>56</v>
      </c>
      <c r="H11" s="11" t="str">
        <f>_xlfn.CONCAT("        public Uri PoeTradeApiBaseUrl =&gt; new(""", G11, """);")</f>
        <v xml:space="preserve">        public Uri PoeTradeApiBaseUrl =&gt; new("https://fr.pathofexile.com/api/trade/");</v>
      </c>
      <c r="I11" s="16" t="s">
        <v>59</v>
      </c>
      <c r="J11" s="11" t="str">
        <f>_xlfn.CONCAT("        public Uri PoeTradeApiBaseUrl =&gt; new(""", I11, """);")</f>
        <v xml:space="preserve">        public Uri PoeTradeApiBaseUrl =&gt; new("https://jp.pathofexile.com/api/trade/");</v>
      </c>
      <c r="K11" s="16" t="s">
        <v>62</v>
      </c>
      <c r="L11" s="11" t="str">
        <f>_xlfn.CONCAT("        public Uri PoeTradeApiBaseUrl =&gt; new(""", K11, """);")</f>
        <v xml:space="preserve">        public Uri PoeTradeApiBaseUrl =&gt; new("https://poe.game.daum.net/api/trade/");</v>
      </c>
      <c r="M11" s="16" t="s">
        <v>65</v>
      </c>
      <c r="N11" s="11" t="str">
        <f>_xlfn.CONCAT("        public Uri PoeTradeApiBaseUrl =&gt; new(""", M11, """);")</f>
        <v xml:space="preserve">        public Uri PoeTradeApiBaseUrl =&gt; new("https://br.pathofexile.com/api/trade/");</v>
      </c>
      <c r="O11" s="16" t="s">
        <v>68</v>
      </c>
      <c r="P11" s="11" t="str">
        <f>_xlfn.CONCAT("        public Uri PoeTradeApiBaseUrl =&gt; new(""", O11, """);")</f>
        <v xml:space="preserve">        public Uri PoeTradeApiBaseUrl =&gt; new("https://ru.pathofexile.com/api/trade/");</v>
      </c>
      <c r="Q11" s="16" t="s">
        <v>69</v>
      </c>
      <c r="R11" s="11" t="str">
        <f>_xlfn.CONCAT("        public Uri PoeTradeApiBaseUrl =&gt; new(""", Q11, """);")</f>
        <v xml:space="preserve">        public Uri PoeTradeApiBaseUrl =&gt; new("https://th.pathofexile.com/api/trade/");</v>
      </c>
      <c r="S11" s="16" t="s">
        <v>74</v>
      </c>
      <c r="T11" s="11" t="str">
        <f>_xlfn.CONCAT("        public Uri PoeTradeApiBaseUrl =&gt; new(""", S11, """);")</f>
        <v xml:space="preserve">        public Uri PoeTradeApiBaseUrl =&gt; new("http://web.poe.garena.tw/api/trade/");</v>
      </c>
      <c r="V11" s="1" t="s">
        <v>25</v>
      </c>
    </row>
    <row r="12" spans="1:22" ht="15.95" customHeight="1" x14ac:dyDescent="0.25">
      <c r="A12" s="7" t="s">
        <v>26</v>
      </c>
      <c r="B12" s="11" t="str">
        <f>_xlfn.CONCAT("        public Uri PoeCdnBaseUrl =&gt; new(""", A12, """);")</f>
        <v xml:space="preserve">        public Uri PoeCdnBaseUrl =&gt; new("https://web.poecdn.com/");</v>
      </c>
      <c r="C12" s="16" t="s">
        <v>26</v>
      </c>
      <c r="D12" s="11" t="str">
        <f>_xlfn.CONCAT("        public Uri PoeCdnBaseUrl =&gt; new(""", C12, """);")</f>
        <v xml:space="preserve">        public Uri PoeCdnBaseUrl =&gt; new("https://web.poecdn.com/");</v>
      </c>
      <c r="E12" s="16" t="s">
        <v>26</v>
      </c>
      <c r="F12" s="11" t="str">
        <f>_xlfn.CONCAT("        public Uri PoeCdnBaseUrl =&gt; new(""", E12, """);")</f>
        <v xml:space="preserve">        public Uri PoeCdnBaseUrl =&gt; new("https://web.poecdn.com/");</v>
      </c>
      <c r="G12" s="16" t="s">
        <v>26</v>
      </c>
      <c r="H12" s="11" t="str">
        <f>_xlfn.CONCAT("        public Uri PoeCdnBaseUrl =&gt; new(""", G12, """);")</f>
        <v xml:space="preserve">        public Uri PoeCdnBaseUrl =&gt; new("https://web.poecdn.com/");</v>
      </c>
      <c r="I12" s="16" t="s">
        <v>26</v>
      </c>
      <c r="J12" s="11" t="str">
        <f>_xlfn.CONCAT("        public Uri PoeCdnBaseUrl =&gt; new(""", I12, """);")</f>
        <v xml:space="preserve">        public Uri PoeCdnBaseUrl =&gt; new("https://web.poecdn.com/");</v>
      </c>
      <c r="K12" s="16" t="s">
        <v>26</v>
      </c>
      <c r="L12" s="11" t="str">
        <f>_xlfn.CONCAT("        public Uri PoeCdnBaseUrl =&gt; new(""", K12, """);")</f>
        <v xml:space="preserve">        public Uri PoeCdnBaseUrl =&gt; new("https://web.poecdn.com/");</v>
      </c>
      <c r="M12" s="16" t="s">
        <v>26</v>
      </c>
      <c r="N12" s="11" t="str">
        <f>_xlfn.CONCAT("        public Uri PoeCdnBaseUrl =&gt; new(""", M12, """);")</f>
        <v xml:space="preserve">        public Uri PoeCdnBaseUrl =&gt; new("https://web.poecdn.com/");</v>
      </c>
      <c r="O12" s="16" t="s">
        <v>26</v>
      </c>
      <c r="P12" s="11" t="str">
        <f>_xlfn.CONCAT("        public Uri PoeCdnBaseUrl =&gt; new(""", O12, """);")</f>
        <v xml:space="preserve">        public Uri PoeCdnBaseUrl =&gt; new("https://web.poecdn.com/");</v>
      </c>
      <c r="Q12" s="16" t="s">
        <v>26</v>
      </c>
      <c r="R12" s="11" t="str">
        <f>_xlfn.CONCAT("        public Uri PoeCdnBaseUrl =&gt; new(""", Q12, """);")</f>
        <v xml:space="preserve">        public Uri PoeCdnBaseUrl =&gt; new("https://web.poecdn.com/");</v>
      </c>
      <c r="S12" s="16" t="s">
        <v>26</v>
      </c>
      <c r="T12" s="11" t="str">
        <f>_xlfn.CONCAT("        public Uri PoeCdnBaseUrl =&gt; new(""", S12, """);")</f>
        <v xml:space="preserve">        public Uri PoeCdnBaseUrl =&gt; new("https://web.poecdn.com/");</v>
      </c>
      <c r="V12" s="1" t="s">
        <v>26</v>
      </c>
    </row>
    <row r="13" spans="1:22" ht="15.95" customHeight="1" x14ac:dyDescent="0.25">
      <c r="A13" s="12" t="s">
        <v>28</v>
      </c>
      <c r="B13" s="11"/>
      <c r="C13" s="12" t="s">
        <v>28</v>
      </c>
      <c r="D13" s="11"/>
      <c r="E13" s="12" t="s">
        <v>28</v>
      </c>
      <c r="F13" s="11"/>
      <c r="G13" s="12" t="s">
        <v>28</v>
      </c>
      <c r="H13" s="11"/>
      <c r="I13" s="12" t="s">
        <v>28</v>
      </c>
      <c r="J13" s="11"/>
      <c r="K13" s="12" t="s">
        <v>28</v>
      </c>
      <c r="L13" s="11"/>
      <c r="M13" s="12" t="s">
        <v>28</v>
      </c>
      <c r="N13" s="11"/>
      <c r="O13" s="12" t="s">
        <v>28</v>
      </c>
      <c r="P13" s="11"/>
      <c r="Q13" s="12" t="s">
        <v>28</v>
      </c>
      <c r="R13" s="11"/>
      <c r="S13" s="12" t="s">
        <v>28</v>
      </c>
      <c r="T13" s="11"/>
      <c r="V13" s="1" t="s">
        <v>28</v>
      </c>
    </row>
    <row r="14" spans="1:22" ht="15.95" customHeight="1" x14ac:dyDescent="0.25">
      <c r="A14" s="13" t="str">
        <f>Belt!B6</f>
        <v>Unique</v>
      </c>
      <c r="B14" s="11" t="str">
        <f>_xlfn.CONCAT("        public string RarityUnique =&gt; """, A14, """;")</f>
        <v xml:space="preserve">        public string RarityUnique =&gt; "Unique";</v>
      </c>
      <c r="C14" s="13" t="e">
        <f>Belt!D6</f>
        <v>#N/A</v>
      </c>
      <c r="D14" s="11" t="e">
        <f>_xlfn.CONCAT("        public string RarityUnique =&gt; """, C14, """;")</f>
        <v>#N/A</v>
      </c>
      <c r="E14" s="13" t="e">
        <f>Belt!F6</f>
        <v>#N/A</v>
      </c>
      <c r="F14" s="11" t="e">
        <f>_xlfn.CONCAT("        public string RarityUnique =&gt; """, E14, """;")</f>
        <v>#N/A</v>
      </c>
      <c r="G14" s="13" t="str">
        <f>Belt!H6</f>
        <v>Unique</v>
      </c>
      <c r="H14" s="11" t="str">
        <f>_xlfn.CONCAT("        public string RarityUnique =&gt; """, G14, """;")</f>
        <v xml:space="preserve">        public string RarityUnique =&gt; "Unique";</v>
      </c>
      <c r="I14" s="13" t="e">
        <f>Belt!J6</f>
        <v>#N/A</v>
      </c>
      <c r="J14" s="11" t="e">
        <f>_xlfn.CONCAT("        public string RarityUnique =&gt; """, I14, """;")</f>
        <v>#N/A</v>
      </c>
      <c r="K14" s="13" t="e">
        <f>Belt!L6</f>
        <v>#N/A</v>
      </c>
      <c r="L14" s="11" t="e">
        <f>_xlfn.CONCAT("        public string RarityUnique =&gt; """, K14, """;")</f>
        <v>#N/A</v>
      </c>
      <c r="M14" s="13" t="e">
        <f>Belt!N6</f>
        <v>#N/A</v>
      </c>
      <c r="N14" s="11" t="e">
        <f>_xlfn.CONCAT("        public string RarityUnique =&gt; """, M14, """;")</f>
        <v>#N/A</v>
      </c>
      <c r="O14" s="13" t="e">
        <f>Belt!P6</f>
        <v>#N/A</v>
      </c>
      <c r="P14" s="11" t="e">
        <f>_xlfn.CONCAT("        public string RarityUnique =&gt; """, O14, """;")</f>
        <v>#N/A</v>
      </c>
      <c r="Q14" s="13" t="e">
        <f>Belt!R6</f>
        <v>#N/A</v>
      </c>
      <c r="R14" s="11" t="e">
        <f>_xlfn.CONCAT("        public string RarityUnique =&gt; """, Q14, """;")</f>
        <v>#N/A</v>
      </c>
      <c r="S14" s="13" t="e">
        <f>Belt!T6</f>
        <v>#N/A</v>
      </c>
      <c r="T14" s="11" t="e">
        <f>_xlfn.CONCAT("        public string RarityUnique =&gt; """, S14, """;")</f>
        <v>#N/A</v>
      </c>
      <c r="V14" s="1" t="s">
        <v>21</v>
      </c>
    </row>
    <row r="15" spans="1:22" ht="15.95" customHeight="1" x14ac:dyDescent="0.25">
      <c r="A15" s="13" t="str">
        <f>'Heist Brooch'!B6</f>
        <v>Rare</v>
      </c>
      <c r="B15" s="11" t="str">
        <f>_xlfn.CONCAT("        public string RarityRare =&gt; """, A15, """;")</f>
        <v xml:space="preserve">        public string RarityRare =&gt; "Rare";</v>
      </c>
      <c r="C15" s="13" t="e">
        <f>'Heist Brooch'!D6</f>
        <v>#N/A</v>
      </c>
      <c r="D15" s="11" t="e">
        <f>_xlfn.CONCAT("        public string RarityRare =&gt; """, C15, """;")</f>
        <v>#N/A</v>
      </c>
      <c r="E15" s="13" t="e">
        <f>'Heist Brooch'!F6</f>
        <v>#N/A</v>
      </c>
      <c r="F15" s="11" t="e">
        <f>_xlfn.CONCAT("        public string RarityRare =&gt; """, E15, """;")</f>
        <v>#N/A</v>
      </c>
      <c r="G15" s="13" t="str">
        <f>'Heist Brooch'!H6</f>
        <v>Rare</v>
      </c>
      <c r="H15" s="11" t="str">
        <f>_xlfn.CONCAT("        public string RarityRare =&gt; """, G15, """;")</f>
        <v xml:space="preserve">        public string RarityRare =&gt; "Rare";</v>
      </c>
      <c r="I15" s="13" t="e">
        <f>'Heist Brooch'!J6</f>
        <v>#N/A</v>
      </c>
      <c r="J15" s="11" t="e">
        <f>_xlfn.CONCAT("        public string RarityRare =&gt; """, I15, """;")</f>
        <v>#N/A</v>
      </c>
      <c r="K15" s="13" t="e">
        <f>'Heist Brooch'!L6</f>
        <v>#N/A</v>
      </c>
      <c r="L15" s="11" t="e">
        <f>_xlfn.CONCAT("        public string RarityRare =&gt; """, K15, """;")</f>
        <v>#N/A</v>
      </c>
      <c r="M15" s="13" t="e">
        <f>'Heist Brooch'!N6</f>
        <v>#N/A</v>
      </c>
      <c r="N15" s="11" t="e">
        <f>_xlfn.CONCAT("        public string RarityRare =&gt; """, M15, """;")</f>
        <v>#N/A</v>
      </c>
      <c r="O15" s="13" t="e">
        <f>'Heist Brooch'!P6</f>
        <v>#N/A</v>
      </c>
      <c r="P15" s="11" t="e">
        <f>_xlfn.CONCAT("        public string RarityRare =&gt; """, O15, """;")</f>
        <v>#N/A</v>
      </c>
      <c r="Q15" s="13" t="e">
        <f>'Heist Brooch'!R6</f>
        <v>#N/A</v>
      </c>
      <c r="R15" s="11" t="e">
        <f>_xlfn.CONCAT("        public string RarityRare =&gt; """, Q15, """;")</f>
        <v>#N/A</v>
      </c>
      <c r="S15" s="13" t="e">
        <f>'Heist Brooch'!T6</f>
        <v>#N/A</v>
      </c>
      <c r="T15" s="11" t="e">
        <f>_xlfn.CONCAT("        public string RarityRare =&gt; """, S15, """;")</f>
        <v>#N/A</v>
      </c>
      <c r="V15" s="1" t="s">
        <v>22</v>
      </c>
    </row>
    <row r="16" spans="1:22" ht="15.95" customHeight="1" x14ac:dyDescent="0.25">
      <c r="A16" s="13" t="str">
        <f>'Magic Utility Flask'!B6</f>
        <v>Magic</v>
      </c>
      <c r="B16" s="11" t="str">
        <f>_xlfn.CONCAT("        public string RarityMagic =&gt; """, A16, """;")</f>
        <v xml:space="preserve">        public string RarityMagic =&gt; "Magic";</v>
      </c>
      <c r="C16" s="13" t="e">
        <f>'Magic Utility Flask'!D6</f>
        <v>#N/A</v>
      </c>
      <c r="D16" s="11" t="e">
        <f>_xlfn.CONCAT("        public string RarityMagic =&gt; """, C16, """;")</f>
        <v>#N/A</v>
      </c>
      <c r="E16" s="13" t="e">
        <f>'Magic Utility Flask'!F6</f>
        <v>#N/A</v>
      </c>
      <c r="F16" s="11" t="e">
        <f>_xlfn.CONCAT("        public string RarityMagic =&gt; """, E16, """;")</f>
        <v>#N/A</v>
      </c>
      <c r="G16" s="13" t="str">
        <f>'Magic Utility Flask'!H6</f>
        <v>Magique</v>
      </c>
      <c r="H16" s="11" t="str">
        <f>_xlfn.CONCAT("        public string RarityMagic =&gt; """, G16, """;")</f>
        <v xml:space="preserve">        public string RarityMagic =&gt; "Magique";</v>
      </c>
      <c r="I16" s="13" t="e">
        <f>'Magic Utility Flask'!J6</f>
        <v>#N/A</v>
      </c>
      <c r="J16" s="11" t="e">
        <f>_xlfn.CONCAT("        public string RarityMagic =&gt; """, I16, """;")</f>
        <v>#N/A</v>
      </c>
      <c r="K16" s="13" t="e">
        <f>'Magic Utility Flask'!L6</f>
        <v>#N/A</v>
      </c>
      <c r="L16" s="11" t="e">
        <f>_xlfn.CONCAT("        public string RarityMagic =&gt; """, K16, """;")</f>
        <v>#N/A</v>
      </c>
      <c r="M16" s="13" t="e">
        <f>'Magic Utility Flask'!N6</f>
        <v>#N/A</v>
      </c>
      <c r="N16" s="11" t="e">
        <f>_xlfn.CONCAT("        public string RarityMagic =&gt; """, M16, """;")</f>
        <v>#N/A</v>
      </c>
      <c r="O16" s="13" t="e">
        <f>'Magic Utility Flask'!P6</f>
        <v>#N/A</v>
      </c>
      <c r="P16" s="11" t="e">
        <f>_xlfn.CONCAT("        public string RarityMagic =&gt; """, O16, """;")</f>
        <v>#N/A</v>
      </c>
      <c r="Q16" s="13" t="e">
        <f>'Magic Utility Flask'!R6</f>
        <v>#N/A</v>
      </c>
      <c r="R16" s="11" t="e">
        <f>_xlfn.CONCAT("        public string RarityMagic =&gt; """, Q16, """;")</f>
        <v>#N/A</v>
      </c>
      <c r="S16" s="13" t="e">
        <f>'Magic Utility Flask'!T6</f>
        <v>#N/A</v>
      </c>
      <c r="T16" s="11" t="e">
        <f>_xlfn.CONCAT("        public string RarityMagic =&gt; """, S16, """;")</f>
        <v>#N/A</v>
      </c>
      <c r="V16" s="1" t="s">
        <v>546</v>
      </c>
    </row>
    <row r="17" spans="1:22" ht="15.95" customHeight="1" x14ac:dyDescent="0.25">
      <c r="A17" s="13" t="str">
        <f>Logbook!B6</f>
        <v>Normal</v>
      </c>
      <c r="B17" s="11" t="str">
        <f>_xlfn.CONCAT("        public string RarityNormal =&gt; """, A17, """;")</f>
        <v xml:space="preserve">        public string RarityNormal =&gt; "Normal";</v>
      </c>
      <c r="C17" s="13" t="e">
        <f>Logbook!D6</f>
        <v>#N/A</v>
      </c>
      <c r="D17" s="11" t="e">
        <f>_xlfn.CONCAT("        public string RarityNormal =&gt; """, C17, """;")</f>
        <v>#N/A</v>
      </c>
      <c r="E17" s="13" t="e">
        <f>Logbook!F6</f>
        <v>#N/A</v>
      </c>
      <c r="F17" s="11" t="e">
        <f>_xlfn.CONCAT("        public string RarityNormal =&gt; """, E17, """;")</f>
        <v>#N/A</v>
      </c>
      <c r="G17" s="13" t="str">
        <f>Logbook!H6</f>
        <v>Normal</v>
      </c>
      <c r="H17" s="11" t="str">
        <f>_xlfn.CONCAT("        public string RarityNormal =&gt; """, G17, """;")</f>
        <v xml:space="preserve">        public string RarityNormal =&gt; "Normal";</v>
      </c>
      <c r="I17" s="13" t="e">
        <f>Logbook!J6</f>
        <v>#N/A</v>
      </c>
      <c r="J17" s="11" t="e">
        <f>_xlfn.CONCAT("        public string RarityNormal =&gt; """, I17, """;")</f>
        <v>#N/A</v>
      </c>
      <c r="K17" s="13" t="e">
        <f>Logbook!L6</f>
        <v>#N/A</v>
      </c>
      <c r="L17" s="11" t="e">
        <f>_xlfn.CONCAT("        public string RarityNormal =&gt; """, K17, """;")</f>
        <v>#N/A</v>
      </c>
      <c r="M17" s="13" t="e">
        <f>Logbook!N6</f>
        <v>#N/A</v>
      </c>
      <c r="N17" s="11" t="e">
        <f>_xlfn.CONCAT("        public string RarityNormal =&gt; """, M17, """;")</f>
        <v>#N/A</v>
      </c>
      <c r="O17" s="13" t="e">
        <f>Logbook!P6</f>
        <v>#N/A</v>
      </c>
      <c r="P17" s="11" t="e">
        <f>_xlfn.CONCAT("        public string RarityNormal =&gt; """, O17, """;")</f>
        <v>#N/A</v>
      </c>
      <c r="Q17" s="13" t="e">
        <f>Logbook!R6</f>
        <v>#N/A</v>
      </c>
      <c r="R17" s="11" t="e">
        <f>_xlfn.CONCAT("        public string RarityNormal =&gt; """, Q17, """;")</f>
        <v>#N/A</v>
      </c>
      <c r="S17" s="13" t="e">
        <f>Logbook!T6</f>
        <v>#N/A</v>
      </c>
      <c r="T17" s="11" t="e">
        <f>_xlfn.CONCAT("        public string RarityNormal =&gt; """, S17, """;")</f>
        <v>#N/A</v>
      </c>
      <c r="V17" s="1" t="s">
        <v>768</v>
      </c>
    </row>
    <row r="18" spans="1:22" ht="15.95" customHeight="1" x14ac:dyDescent="0.25">
      <c r="A18" s="13" t="str">
        <f>'Chaos Orb'!B6</f>
        <v>Currency</v>
      </c>
      <c r="B18" s="11" t="str">
        <f>_xlfn.CONCAT("        public string RarityCurrency =&gt; """, A18, """;")</f>
        <v xml:space="preserve">        public string RarityCurrency =&gt; "Currency";</v>
      </c>
      <c r="C18" s="13" t="e">
        <f>'Chaos Orb'!D6</f>
        <v>#N/A</v>
      </c>
      <c r="D18" s="11" t="e">
        <f>_xlfn.CONCAT("        public string RarityCurrency =&gt; """, C18, """;")</f>
        <v>#N/A</v>
      </c>
      <c r="E18" s="13" t="e">
        <f>'Chaos Orb'!F6</f>
        <v>#N/A</v>
      </c>
      <c r="F18" s="11" t="e">
        <f>_xlfn.CONCAT("        public string RarityCurrency =&gt; """, E18, """;")</f>
        <v>#N/A</v>
      </c>
      <c r="G18" s="13" t="str">
        <f>'Chaos Orb'!H6</f>
        <v>Objet monétaire</v>
      </c>
      <c r="H18" s="11" t="str">
        <f>_xlfn.CONCAT("        public string RarityCurrency =&gt; """, G18, """;")</f>
        <v xml:space="preserve">        public string RarityCurrency =&gt; "Objet monétaire";</v>
      </c>
      <c r="I18" s="13" t="e">
        <f>'Chaos Orb'!J6</f>
        <v>#N/A</v>
      </c>
      <c r="J18" s="11" t="e">
        <f>_xlfn.CONCAT("        public string RarityCurrency =&gt; """, I18, """;")</f>
        <v>#N/A</v>
      </c>
      <c r="K18" s="13" t="e">
        <f>'Chaos Orb'!L6</f>
        <v>#N/A</v>
      </c>
      <c r="L18" s="11" t="e">
        <f>_xlfn.CONCAT("        public string RarityCurrency =&gt; """, K18, """;")</f>
        <v>#N/A</v>
      </c>
      <c r="M18" s="13" t="e">
        <f>'Chaos Orb'!N6</f>
        <v>#N/A</v>
      </c>
      <c r="N18" s="11" t="e">
        <f>_xlfn.CONCAT("        public string RarityCurrency =&gt; """, M18, """;")</f>
        <v>#N/A</v>
      </c>
      <c r="O18" s="13" t="e">
        <f>'Chaos Orb'!P6</f>
        <v>#N/A</v>
      </c>
      <c r="P18" s="11" t="e">
        <f>_xlfn.CONCAT("        public string RarityCurrency =&gt; """, O18, """;")</f>
        <v>#N/A</v>
      </c>
      <c r="Q18" s="13" t="e">
        <f>'Chaos Orb'!R6</f>
        <v>#N/A</v>
      </c>
      <c r="R18" s="11" t="e">
        <f>_xlfn.CONCAT("        public string RarityCurrency =&gt; """, Q18, """;")</f>
        <v>#N/A</v>
      </c>
      <c r="S18" s="13" t="e">
        <f>'Chaos Orb'!T6</f>
        <v>#N/A</v>
      </c>
      <c r="T18" s="11" t="e">
        <f>_xlfn.CONCAT("        public string RarityCurrency =&gt; """, S18, """;")</f>
        <v>#N/A</v>
      </c>
      <c r="V18" s="1" t="s">
        <v>769</v>
      </c>
    </row>
    <row r="19" spans="1:22" ht="15.95" customHeight="1" x14ac:dyDescent="0.25">
      <c r="A19" s="13" t="str">
        <f>'Phantasmal Gem'!B6</f>
        <v>Gem</v>
      </c>
      <c r="B19" s="11" t="str">
        <f>_xlfn.CONCAT("        public string RarityGem =&gt; """, A19, """;")</f>
        <v xml:space="preserve">        public string RarityGem =&gt; "Gem";</v>
      </c>
      <c r="C19" s="13" t="e">
        <f>'Phantasmal Gem'!D6</f>
        <v>#N/A</v>
      </c>
      <c r="D19" s="11" t="e">
        <f>_xlfn.CONCAT("        public string RarityGem =&gt; """, C19, """;")</f>
        <v>#N/A</v>
      </c>
      <c r="E19" s="13" t="e">
        <f>'Phantasmal Gem'!F6</f>
        <v>#N/A</v>
      </c>
      <c r="F19" s="11" t="e">
        <f>_xlfn.CONCAT("        public string RarityGem =&gt; """, E19, """;")</f>
        <v>#N/A</v>
      </c>
      <c r="G19" s="13" t="str">
        <f>'Phantasmal Gem'!H6</f>
        <v>Gemme</v>
      </c>
      <c r="H19" s="11" t="str">
        <f>_xlfn.CONCAT("        public string RarityGem =&gt; """, G19, """;")</f>
        <v xml:space="preserve">        public string RarityGem =&gt; "Gemme";</v>
      </c>
      <c r="I19" s="13" t="e">
        <f>'Phantasmal Gem'!J6</f>
        <v>#N/A</v>
      </c>
      <c r="J19" s="11" t="e">
        <f>_xlfn.CONCAT("        public string RarityGem =&gt; """, I19, """;")</f>
        <v>#N/A</v>
      </c>
      <c r="K19" s="13" t="e">
        <f>'Phantasmal Gem'!L6</f>
        <v>#N/A</v>
      </c>
      <c r="L19" s="11" t="e">
        <f>_xlfn.CONCAT("        public string RarityGem =&gt; """, K19, """;")</f>
        <v>#N/A</v>
      </c>
      <c r="M19" s="13" t="e">
        <f>'Phantasmal Gem'!N6</f>
        <v>#N/A</v>
      </c>
      <c r="N19" s="11" t="e">
        <f>_xlfn.CONCAT("        public string RarityGem =&gt; """, M19, """;")</f>
        <v>#N/A</v>
      </c>
      <c r="O19" s="13" t="e">
        <f>'Phantasmal Gem'!P6</f>
        <v>#N/A</v>
      </c>
      <c r="P19" s="11" t="e">
        <f>_xlfn.CONCAT("        public string RarityGem =&gt; """, O19, """;")</f>
        <v>#N/A</v>
      </c>
      <c r="Q19" s="13" t="e">
        <f>'Phantasmal Gem'!R6</f>
        <v>#N/A</v>
      </c>
      <c r="R19" s="11" t="e">
        <f>_xlfn.CONCAT("        public string RarityGem =&gt; """, Q19, """;")</f>
        <v>#N/A</v>
      </c>
      <c r="S19" s="13" t="e">
        <f>'Phantasmal Gem'!T6</f>
        <v>#N/A</v>
      </c>
      <c r="T19" s="11" t="e">
        <f>_xlfn.CONCAT("        public string RarityGem =&gt; """, S19, """;")</f>
        <v>#N/A</v>
      </c>
      <c r="V19" s="1" t="s">
        <v>547</v>
      </c>
    </row>
    <row r="20" spans="1:22" ht="15.95" customHeight="1" x14ac:dyDescent="0.25">
      <c r="A20" s="13" t="str">
        <f>Card!B6</f>
        <v>Divination Card</v>
      </c>
      <c r="B20" s="11" t="str">
        <f>_xlfn.CONCAT("        public string RarityDivinationCard =&gt; """, A20, """;")</f>
        <v xml:space="preserve">        public string RarityDivinationCard =&gt; "Divination Card";</v>
      </c>
      <c r="C20" s="13" t="e">
        <f>Card!D6</f>
        <v>#N/A</v>
      </c>
      <c r="D20" s="11" t="e">
        <f>_xlfn.CONCAT("        public string RarityDivinationCard =&gt; """, C20, """;")</f>
        <v>#N/A</v>
      </c>
      <c r="E20" s="13" t="e">
        <f>Card!F6</f>
        <v>#N/A</v>
      </c>
      <c r="F20" s="11" t="e">
        <f>_xlfn.CONCAT("        public string RarityDivinationCard =&gt; """, E20, """;")</f>
        <v>#N/A</v>
      </c>
      <c r="G20" s="13" t="str">
        <f>Card!H6</f>
        <v>Carte divinatoire</v>
      </c>
      <c r="H20" s="11" t="str">
        <f>_xlfn.CONCAT("        public string RarityDivinationCard =&gt; """, G20, """;")</f>
        <v xml:space="preserve">        public string RarityDivinationCard =&gt; "Carte divinatoire";</v>
      </c>
      <c r="I20" s="13" t="e">
        <f>Card!J6</f>
        <v>#N/A</v>
      </c>
      <c r="J20" s="11" t="e">
        <f>_xlfn.CONCAT("        public string RarityDivinationCard =&gt; """, I20, """;")</f>
        <v>#N/A</v>
      </c>
      <c r="K20" s="13" t="e">
        <f>Card!L6</f>
        <v>#N/A</v>
      </c>
      <c r="L20" s="11" t="e">
        <f>_xlfn.CONCAT("        public string RarityDivinationCard =&gt; """, K20, """;")</f>
        <v>#N/A</v>
      </c>
      <c r="M20" s="13" t="e">
        <f>Card!N6</f>
        <v>#N/A</v>
      </c>
      <c r="N20" s="11" t="e">
        <f>_xlfn.CONCAT("        public string RarityDivinationCard =&gt; """, M20, """;")</f>
        <v>#N/A</v>
      </c>
      <c r="O20" s="13" t="e">
        <f>Card!P6</f>
        <v>#N/A</v>
      </c>
      <c r="P20" s="11" t="e">
        <f>_xlfn.CONCAT("        public string RarityDivinationCard =&gt; """, O20, """;")</f>
        <v>#N/A</v>
      </c>
      <c r="Q20" s="13" t="e">
        <f>Card!R6</f>
        <v>#N/A</v>
      </c>
      <c r="R20" s="11" t="e">
        <f>_xlfn.CONCAT("        public string RarityDivinationCard =&gt; """, Q20, """;")</f>
        <v>#N/A</v>
      </c>
      <c r="S20" s="13" t="e">
        <f>Card!T6</f>
        <v>#N/A</v>
      </c>
      <c r="T20" s="11" t="e">
        <f>_xlfn.CONCAT("        public string RarityDivinationCard =&gt; """, S20, """;")</f>
        <v>#N/A</v>
      </c>
      <c r="V20" s="1" t="s">
        <v>548</v>
      </c>
    </row>
    <row r="21" spans="1:22" ht="15.95" customHeight="1" x14ac:dyDescent="0.25">
      <c r="A21" s="12" t="s">
        <v>28</v>
      </c>
      <c r="B21" s="11"/>
      <c r="C21" s="12" t="s">
        <v>28</v>
      </c>
      <c r="D21" s="11"/>
      <c r="E21" s="12" t="s">
        <v>28</v>
      </c>
      <c r="F21" s="11"/>
      <c r="G21" s="12" t="s">
        <v>28</v>
      </c>
      <c r="H21" s="11"/>
      <c r="I21" s="12" t="s">
        <v>28</v>
      </c>
      <c r="J21" s="11"/>
      <c r="K21" s="12" t="s">
        <v>28</v>
      </c>
      <c r="L21" s="11"/>
      <c r="M21" s="12" t="s">
        <v>28</v>
      </c>
      <c r="N21" s="11"/>
      <c r="O21" s="12" t="s">
        <v>28</v>
      </c>
      <c r="P21" s="11"/>
      <c r="Q21" s="12" t="s">
        <v>28</v>
      </c>
      <c r="R21" s="11"/>
      <c r="S21" s="12" t="s">
        <v>28</v>
      </c>
      <c r="T21" s="11"/>
      <c r="V21" s="1" t="s">
        <v>28</v>
      </c>
    </row>
    <row r="22" spans="1:22" ht="15.95" customHeight="1" x14ac:dyDescent="0.25">
      <c r="A22" s="13" t="str">
        <f>'Unidentified ring'!B11</f>
        <v>Unidentified</v>
      </c>
      <c r="B22" s="11" t="str">
        <f>_xlfn.CONCAT("        public string DescriptionUnidentified =&gt; """, A22, """;")</f>
        <v xml:space="preserve">        public string DescriptionUnidentified =&gt; "Unidentified";</v>
      </c>
      <c r="C22" s="13">
        <f>'Unidentified ring'!D11</f>
        <v>0</v>
      </c>
      <c r="D22" s="11" t="str">
        <f>_xlfn.CONCAT("        public string DescriptionUnidentified =&gt; """, C22, """;")</f>
        <v xml:space="preserve">        public string DescriptionUnidentified =&gt; "0";</v>
      </c>
      <c r="E22" s="13">
        <f>'Unidentified ring'!F11</f>
        <v>0</v>
      </c>
      <c r="F22" s="11" t="str">
        <f>_xlfn.CONCAT("        public string DescriptionUnidentified =&gt; """, E22, """;")</f>
        <v xml:space="preserve">        public string DescriptionUnidentified =&gt; "0";</v>
      </c>
      <c r="G22" s="13" t="str">
        <f>'Unidentified ring'!H11</f>
        <v>Non identifié</v>
      </c>
      <c r="H22" s="11" t="str">
        <f>_xlfn.CONCAT("        public string DescriptionUnidentified =&gt; """, G22, """;")</f>
        <v xml:space="preserve">        public string DescriptionUnidentified =&gt; "Non identifié";</v>
      </c>
      <c r="I22" s="13">
        <f>'Unidentified ring'!J11</f>
        <v>0</v>
      </c>
      <c r="J22" s="11" t="str">
        <f>_xlfn.CONCAT("        public string DescriptionUnidentified =&gt; """, I22, """;")</f>
        <v xml:space="preserve">        public string DescriptionUnidentified =&gt; "0";</v>
      </c>
      <c r="K22" s="13">
        <f>'Unidentified ring'!L11</f>
        <v>0</v>
      </c>
      <c r="L22" s="11" t="str">
        <f>_xlfn.CONCAT("        public string DescriptionUnidentified =&gt; """, K22, """;")</f>
        <v xml:space="preserve">        public string DescriptionUnidentified =&gt; "0";</v>
      </c>
      <c r="M22" s="13">
        <f>'Unidentified ring'!N11</f>
        <v>0</v>
      </c>
      <c r="N22" s="11" t="str">
        <f>_xlfn.CONCAT("        public string DescriptionUnidentified =&gt; """, M22, """;")</f>
        <v xml:space="preserve">        public string DescriptionUnidentified =&gt; "0";</v>
      </c>
      <c r="O22" s="13">
        <f>'Unidentified ring'!P11</f>
        <v>0</v>
      </c>
      <c r="P22" s="11" t="str">
        <f>_xlfn.CONCAT("        public string DescriptionUnidentified =&gt; """, O22, """;")</f>
        <v xml:space="preserve">        public string DescriptionUnidentified =&gt; "0";</v>
      </c>
      <c r="Q22" s="13">
        <f>'Unidentified ring'!R11</f>
        <v>0</v>
      </c>
      <c r="R22" s="11" t="str">
        <f>_xlfn.CONCAT("        public string DescriptionUnidentified =&gt; """, Q22, """;")</f>
        <v xml:space="preserve">        public string DescriptionUnidentified =&gt; "0";</v>
      </c>
      <c r="S22" s="13">
        <f>'Unidentified ring'!T11</f>
        <v>0</v>
      </c>
      <c r="T22" s="11" t="str">
        <f>_xlfn.CONCAT("        public string DescriptionUnidentified =&gt; """, S22, """;")</f>
        <v xml:space="preserve">        public string DescriptionUnidentified =&gt; "0";</v>
      </c>
      <c r="V22" s="1" t="s">
        <v>75</v>
      </c>
    </row>
    <row r="23" spans="1:22" ht="15.95" customHeight="1" x14ac:dyDescent="0.25">
      <c r="A23" s="13" t="str">
        <f>'Life Flask'!B8</f>
        <v>Quality</v>
      </c>
      <c r="B23" s="11" t="str">
        <f>_xlfn.CONCAT("        public string DescriptionQuality =&gt; """, A23, """;")</f>
        <v xml:space="preserve">        public string DescriptionQuality =&gt; "Quality";</v>
      </c>
      <c r="C23" s="13" t="e">
        <f>'Life Flask'!D8</f>
        <v>#N/A</v>
      </c>
      <c r="D23" s="11" t="e">
        <f>_xlfn.CONCAT("        public string DescriptionQuality =&gt; """, C23, """;")</f>
        <v>#N/A</v>
      </c>
      <c r="E23" s="13" t="e">
        <f>'Life Flask'!F8</f>
        <v>#N/A</v>
      </c>
      <c r="F23" s="11" t="e">
        <f>_xlfn.CONCAT("        public string DescriptionQuality =&gt; """, E23, """;")</f>
        <v>#N/A</v>
      </c>
      <c r="G23" s="13" t="str">
        <f>'Life Flask'!H8</f>
        <v>Qualité</v>
      </c>
      <c r="H23" s="11" t="str">
        <f>_xlfn.CONCAT("        public string DescriptionQuality =&gt; """, G23, """;")</f>
        <v xml:space="preserve">        public string DescriptionQuality =&gt; "Qualité";</v>
      </c>
      <c r="I23" s="13" t="e">
        <f>'Life Flask'!J8</f>
        <v>#N/A</v>
      </c>
      <c r="J23" s="11" t="e">
        <f>_xlfn.CONCAT("        public string DescriptionQuality =&gt; """, I23, """;")</f>
        <v>#N/A</v>
      </c>
      <c r="K23" s="13" t="e">
        <f>'Life Flask'!L8</f>
        <v>#N/A</v>
      </c>
      <c r="L23" s="11" t="e">
        <f>_xlfn.CONCAT("        public string DescriptionQuality =&gt; """, K23, """;")</f>
        <v>#N/A</v>
      </c>
      <c r="M23" s="13" t="e">
        <f>'Life Flask'!N8</f>
        <v>#N/A</v>
      </c>
      <c r="N23" s="11" t="e">
        <f>_xlfn.CONCAT("        public string DescriptionQuality =&gt; """, M23, """;")</f>
        <v>#N/A</v>
      </c>
      <c r="O23" s="13" t="e">
        <f>'Life Flask'!P8</f>
        <v>#N/A</v>
      </c>
      <c r="P23" s="11" t="e">
        <f>_xlfn.CONCAT("        public string DescriptionQuality =&gt; """, O23, """;")</f>
        <v>#N/A</v>
      </c>
      <c r="Q23" s="13" t="e">
        <f>'Life Flask'!R8</f>
        <v>#N/A</v>
      </c>
      <c r="R23" s="11" t="e">
        <f>_xlfn.CONCAT("        public string DescriptionQuality =&gt; """, Q23, """;")</f>
        <v>#N/A</v>
      </c>
      <c r="S23" s="13" t="e">
        <f>'Life Flask'!T8</f>
        <v>#N/A</v>
      </c>
      <c r="T23" s="11" t="e">
        <f>_xlfn.CONCAT("        public string DescriptionQuality =&gt; """, S23, """;")</f>
        <v>#N/A</v>
      </c>
      <c r="V23" s="1" t="s">
        <v>76</v>
      </c>
    </row>
    <row r="24" spans="1:22" ht="15.95" customHeight="1" x14ac:dyDescent="0.25">
      <c r="A24" s="13" t="str">
        <f>'Divergent Support Gem'!B10</f>
        <v>Alternate Quality</v>
      </c>
      <c r="B24" s="11" t="str">
        <f>_xlfn.CONCAT("        public string DescriptionAlternateQuality =&gt; """, A24, """;")</f>
        <v xml:space="preserve">        public string DescriptionAlternateQuality =&gt; "Alternate Quality";</v>
      </c>
      <c r="C24" s="13">
        <f>'Divergent Support Gem'!D10</f>
        <v>0</v>
      </c>
      <c r="D24" s="11" t="str">
        <f>_xlfn.CONCAT("        public string DescriptionAlternateQuality =&gt; """, C24, """;")</f>
        <v xml:space="preserve">        public string DescriptionAlternateQuality =&gt; "0";</v>
      </c>
      <c r="E24" s="13">
        <f>'Divergent Support Gem'!F10</f>
        <v>0</v>
      </c>
      <c r="F24" s="11" t="str">
        <f>_xlfn.CONCAT("        public string DescriptionAlternateQuality =&gt; """, E24, """;")</f>
        <v xml:space="preserve">        public string DescriptionAlternateQuality =&gt; "0";</v>
      </c>
      <c r="G24" s="13" t="str">
        <f>'Divergent Support Gem'!H10</f>
        <v>Qualité alternative</v>
      </c>
      <c r="H24" s="11" t="str">
        <f>_xlfn.CONCAT("        public string DescriptionAlternateQuality =&gt; """, G24, """;")</f>
        <v xml:space="preserve">        public string DescriptionAlternateQuality =&gt; "Qualité alternative";</v>
      </c>
      <c r="I24" s="13">
        <f>'Divergent Support Gem'!J10</f>
        <v>0</v>
      </c>
      <c r="J24" s="11" t="str">
        <f>_xlfn.CONCAT("        public string DescriptionAlternateQuality =&gt; """, I24, """;")</f>
        <v xml:space="preserve">        public string DescriptionAlternateQuality =&gt; "0";</v>
      </c>
      <c r="K24" s="13">
        <f>'Divergent Support Gem'!L10</f>
        <v>0</v>
      </c>
      <c r="L24" s="11" t="str">
        <f>_xlfn.CONCAT("        public string DescriptionAlternateQuality =&gt; """, K24, """;")</f>
        <v xml:space="preserve">        public string DescriptionAlternateQuality =&gt; "0";</v>
      </c>
      <c r="M24" s="13">
        <f>'Divergent Support Gem'!N10</f>
        <v>0</v>
      </c>
      <c r="N24" s="11" t="str">
        <f>_xlfn.CONCAT("        public string DescriptionAlternateQuality =&gt; """, M24, """;")</f>
        <v xml:space="preserve">        public string DescriptionAlternateQuality =&gt; "0";</v>
      </c>
      <c r="O24" s="13">
        <f>'Divergent Support Gem'!P10</f>
        <v>0</v>
      </c>
      <c r="P24" s="11" t="str">
        <f>_xlfn.CONCAT("        public string DescriptionAlternateQuality =&gt; """, O24, """;")</f>
        <v xml:space="preserve">        public string DescriptionAlternateQuality =&gt; "0";</v>
      </c>
      <c r="Q24" s="13">
        <f>'Divergent Support Gem'!R10</f>
        <v>0</v>
      </c>
      <c r="R24" s="11" t="str">
        <f>_xlfn.CONCAT("        public string DescriptionAlternateQuality =&gt; """, Q24, """;")</f>
        <v xml:space="preserve">        public string DescriptionAlternateQuality =&gt; "0";</v>
      </c>
      <c r="S24" s="13">
        <f>'Divergent Support Gem'!T10</f>
        <v>0</v>
      </c>
      <c r="T24" s="11" t="str">
        <f>_xlfn.CONCAT("        public string DescriptionAlternateQuality =&gt; """, S24, """;")</f>
        <v xml:space="preserve">        public string DescriptionAlternateQuality =&gt; "0";</v>
      </c>
      <c r="V24" s="1" t="s">
        <v>601</v>
      </c>
    </row>
    <row r="25" spans="1:22" ht="15.95" customHeight="1" x14ac:dyDescent="0.25">
      <c r="A25" s="13" t="str">
        <f>'Phantasmal Gem'!B8</f>
        <v>Level</v>
      </c>
      <c r="B25" s="11" t="str">
        <f>_xlfn.CONCAT("        public string DescriptionLevel =&gt; """, A25, """;")</f>
        <v xml:space="preserve">        public string DescriptionLevel =&gt; "Level";</v>
      </c>
      <c r="C25" s="13" t="e">
        <f>'Phantasmal Gem'!D8</f>
        <v>#N/A</v>
      </c>
      <c r="D25" s="11" t="e">
        <f>_xlfn.CONCAT("        public string DescriptionLevel =&gt; """, C25, """;")</f>
        <v>#N/A</v>
      </c>
      <c r="E25" s="13" t="e">
        <f>'Phantasmal Gem'!F8</f>
        <v>#N/A</v>
      </c>
      <c r="F25" s="11" t="e">
        <f>_xlfn.CONCAT("        public string DescriptionLevel =&gt; """, E25, """;")</f>
        <v>#N/A</v>
      </c>
      <c r="G25" s="13" t="str">
        <f>'Phantasmal Gem'!H8</f>
        <v>Niveau</v>
      </c>
      <c r="H25" s="11" t="str">
        <f>_xlfn.CONCAT("        public string DescriptionLevel =&gt; """, G25, """;")</f>
        <v xml:space="preserve">        public string DescriptionLevel =&gt; "Niveau";</v>
      </c>
      <c r="I25" s="13" t="e">
        <f>'Phantasmal Gem'!J8</f>
        <v>#N/A</v>
      </c>
      <c r="J25" s="11" t="e">
        <f>_xlfn.CONCAT("        public string DescriptionLevel =&gt; """, I25, """;")</f>
        <v>#N/A</v>
      </c>
      <c r="K25" s="13" t="e">
        <f>'Phantasmal Gem'!L8</f>
        <v>#N/A</v>
      </c>
      <c r="L25" s="11" t="e">
        <f>_xlfn.CONCAT("        public string DescriptionLevel =&gt; """, K25, """;")</f>
        <v>#N/A</v>
      </c>
      <c r="M25" s="13" t="e">
        <f>'Phantasmal Gem'!N8</f>
        <v>#N/A</v>
      </c>
      <c r="N25" s="11" t="e">
        <f>_xlfn.CONCAT("        public string DescriptionLevel =&gt; """, M25, """;")</f>
        <v>#N/A</v>
      </c>
      <c r="O25" s="13" t="e">
        <f>'Phantasmal Gem'!P8</f>
        <v>#N/A</v>
      </c>
      <c r="P25" s="11" t="e">
        <f>_xlfn.CONCAT("        public string DescriptionLevel =&gt; """, O25, """;")</f>
        <v>#N/A</v>
      </c>
      <c r="Q25" s="13" t="e">
        <f>'Phantasmal Gem'!R8</f>
        <v>#N/A</v>
      </c>
      <c r="R25" s="11" t="e">
        <f>_xlfn.CONCAT("        public string DescriptionLevel =&gt; """, Q25, """;")</f>
        <v>#N/A</v>
      </c>
      <c r="S25" s="13" t="e">
        <f>'Phantasmal Gem'!T8</f>
        <v>#N/A</v>
      </c>
      <c r="T25" s="11" t="e">
        <f>_xlfn.CONCAT("        public string DescriptionLevel =&gt; """, S25, """;")</f>
        <v>#N/A</v>
      </c>
      <c r="V25" s="1" t="s">
        <v>77</v>
      </c>
    </row>
    <row r="26" spans="1:22" ht="15.95" customHeight="1" x14ac:dyDescent="0.25">
      <c r="A26" s="13" t="str">
        <f>'Anomalous Gem'!B27</f>
        <v>Corrupted</v>
      </c>
      <c r="B26" s="11" t="str">
        <f>_xlfn.CONCAT("        public string DescriptionCorrupted =&gt; """, A26, """;")</f>
        <v xml:space="preserve">        public string DescriptionCorrupted =&gt; "Corrupted";</v>
      </c>
      <c r="C26" s="13">
        <f>'Anomalous Gem'!D27</f>
        <v>0</v>
      </c>
      <c r="D26" s="11" t="str">
        <f>_xlfn.CONCAT("        public string DescriptionCorrupted =&gt; """, C26, """;")</f>
        <v xml:space="preserve">        public string DescriptionCorrupted =&gt; "0";</v>
      </c>
      <c r="E26" s="13">
        <f>'Anomalous Gem'!F27</f>
        <v>0</v>
      </c>
      <c r="F26" s="11" t="str">
        <f>_xlfn.CONCAT("        public string DescriptionCorrupted =&gt; """, E26, """;")</f>
        <v xml:space="preserve">        public string DescriptionCorrupted =&gt; "0";</v>
      </c>
      <c r="G26" s="13" t="str">
        <f>'Anomalous Gem'!H27</f>
        <v>Corrompu</v>
      </c>
      <c r="H26" s="11" t="str">
        <f>_xlfn.CONCAT("        public string DescriptionCorrupted =&gt; """, G26, """;")</f>
        <v xml:space="preserve">        public string DescriptionCorrupted =&gt; "Corrompu";</v>
      </c>
      <c r="I26" s="13">
        <f>'Anomalous Gem'!J27</f>
        <v>0</v>
      </c>
      <c r="J26" s="11" t="str">
        <f>_xlfn.CONCAT("        public string DescriptionCorrupted =&gt; """, I26, """;")</f>
        <v xml:space="preserve">        public string DescriptionCorrupted =&gt; "0";</v>
      </c>
      <c r="K26" s="13">
        <f>'Anomalous Gem'!L27</f>
        <v>0</v>
      </c>
      <c r="L26" s="11" t="str">
        <f>_xlfn.CONCAT("        public string DescriptionCorrupted =&gt; """, K26, """;")</f>
        <v xml:space="preserve">        public string DescriptionCorrupted =&gt; "0";</v>
      </c>
      <c r="M26" s="13">
        <f>'Anomalous Gem'!N27</f>
        <v>0</v>
      </c>
      <c r="N26" s="11" t="str">
        <f>_xlfn.CONCAT("        public string DescriptionCorrupted =&gt; """, M26, """;")</f>
        <v xml:space="preserve">        public string DescriptionCorrupted =&gt; "0";</v>
      </c>
      <c r="O26" s="13">
        <f>'Anomalous Gem'!P27</f>
        <v>0</v>
      </c>
      <c r="P26" s="11" t="str">
        <f>_xlfn.CONCAT("        public string DescriptionCorrupted =&gt; """, O26, """;")</f>
        <v xml:space="preserve">        public string DescriptionCorrupted =&gt; "0";</v>
      </c>
      <c r="Q26" s="13">
        <f>'Anomalous Gem'!R27</f>
        <v>0</v>
      </c>
      <c r="R26" s="11" t="str">
        <f>_xlfn.CONCAT("        public string DescriptionCorrupted =&gt; """, Q26, """;")</f>
        <v xml:space="preserve">        public string DescriptionCorrupted =&gt; "0";</v>
      </c>
      <c r="S26" s="13">
        <f>'Anomalous Gem'!T27</f>
        <v>0</v>
      </c>
      <c r="T26" s="11" t="str">
        <f>_xlfn.CONCAT("        public string DescriptionCorrupted =&gt; """, S26, """;")</f>
        <v xml:space="preserve">        public string DescriptionCorrupted =&gt; "0";</v>
      </c>
      <c r="V26" s="1" t="s">
        <v>78</v>
      </c>
    </row>
    <row r="27" spans="1:22" ht="15.95" customHeight="1" x14ac:dyDescent="0.25">
      <c r="A27" s="13" t="str">
        <f>'White Wind'!B20</f>
        <v>Sockets</v>
      </c>
      <c r="B27" s="11" t="str">
        <f>_xlfn.CONCAT("        public string DescriptionSockets =&gt; """, A27, """;")</f>
        <v xml:space="preserve">        public string DescriptionSockets =&gt; "Sockets";</v>
      </c>
      <c r="C27" s="13" t="e">
        <f>'White Wind'!D20</f>
        <v>#N/A</v>
      </c>
      <c r="D27" s="11" t="e">
        <f>_xlfn.CONCAT("        public string DescriptionSockets =&gt; """, C27, """;")</f>
        <v>#N/A</v>
      </c>
      <c r="E27" s="13" t="e">
        <f>'White Wind'!F20</f>
        <v>#N/A</v>
      </c>
      <c r="F27" s="11" t="e">
        <f>_xlfn.CONCAT("        public string DescriptionSockets =&gt; """, E27, """;")</f>
        <v>#N/A</v>
      </c>
      <c r="G27" s="13" t="str">
        <f>'White Wind'!H20</f>
        <v>Châsses</v>
      </c>
      <c r="H27" s="11" t="str">
        <f>_xlfn.CONCAT("        public string DescriptionSockets =&gt; """, G27, """;")</f>
        <v xml:space="preserve">        public string DescriptionSockets =&gt; "Châsses";</v>
      </c>
      <c r="I27" s="13" t="e">
        <f>'White Wind'!J20</f>
        <v>#N/A</v>
      </c>
      <c r="J27" s="11" t="e">
        <f>_xlfn.CONCAT("        public string DescriptionSockets =&gt; """, I27, """;")</f>
        <v>#N/A</v>
      </c>
      <c r="K27" s="13" t="e">
        <f>'White Wind'!L20</f>
        <v>#N/A</v>
      </c>
      <c r="L27" s="11" t="e">
        <f>_xlfn.CONCAT("        public string DescriptionSockets =&gt; """, K27, """;")</f>
        <v>#N/A</v>
      </c>
      <c r="M27" s="13" t="e">
        <f>'White Wind'!N20</f>
        <v>#N/A</v>
      </c>
      <c r="N27" s="11" t="e">
        <f>_xlfn.CONCAT("        public string DescriptionSockets =&gt; """, M27, """;")</f>
        <v>#N/A</v>
      </c>
      <c r="O27" s="13" t="e">
        <f>'White Wind'!P20</f>
        <v>#N/A</v>
      </c>
      <c r="P27" s="11" t="e">
        <f>_xlfn.CONCAT("        public string DescriptionSockets =&gt; """, O27, """;")</f>
        <v>#N/A</v>
      </c>
      <c r="Q27" s="13" t="e">
        <f>'White Wind'!R20</f>
        <v>#N/A</v>
      </c>
      <c r="R27" s="11" t="e">
        <f>_xlfn.CONCAT("        public string DescriptionSockets =&gt; """, Q27, """;")</f>
        <v>#N/A</v>
      </c>
      <c r="S27" s="13" t="e">
        <f>'White Wind'!T20</f>
        <v>#N/A</v>
      </c>
      <c r="T27" s="11" t="e">
        <f>_xlfn.CONCAT("        public string DescriptionSockets =&gt; """, S27, """;")</f>
        <v>#N/A</v>
      </c>
      <c r="V27" s="1" t="s">
        <v>79</v>
      </c>
    </row>
    <row r="28" spans="1:22" ht="15.95" customHeight="1" x14ac:dyDescent="0.25">
      <c r="A28" s="13" t="str">
        <f>'White Wind'!B22</f>
        <v>Item Level</v>
      </c>
      <c r="B28" s="11" t="str">
        <f>_xlfn.CONCAT("        public string DescriptionItemLevel =&gt; """, A28, """;")</f>
        <v xml:space="preserve">        public string DescriptionItemLevel =&gt; "Item Level";</v>
      </c>
      <c r="C28" s="13" t="e">
        <f>'White Wind'!D22</f>
        <v>#N/A</v>
      </c>
      <c r="D28" s="11" t="e">
        <f>_xlfn.CONCAT("        public string DescriptionItemLevel =&gt; """, C28, """;")</f>
        <v>#N/A</v>
      </c>
      <c r="E28" s="13" t="e">
        <f>'White Wind'!F22</f>
        <v>#N/A</v>
      </c>
      <c r="F28" s="11" t="e">
        <f>_xlfn.CONCAT("        public string DescriptionItemLevel =&gt; """, E28, """;")</f>
        <v>#N/A</v>
      </c>
      <c r="G28" s="13" t="str">
        <f>'White Wind'!H22</f>
        <v>Niveau de l'objet</v>
      </c>
      <c r="H28" s="11" t="str">
        <f>_xlfn.CONCAT("        public string DescriptionItemLevel =&gt; """, G28, """;")</f>
        <v xml:space="preserve">        public string DescriptionItemLevel =&gt; "Niveau de l'objet";</v>
      </c>
      <c r="I28" s="13" t="e">
        <f>'White Wind'!J22</f>
        <v>#N/A</v>
      </c>
      <c r="J28" s="11" t="e">
        <f>_xlfn.CONCAT("        public string DescriptionItemLevel =&gt; """, I28, """;")</f>
        <v>#N/A</v>
      </c>
      <c r="K28" s="13" t="e">
        <f>'White Wind'!L22</f>
        <v>#N/A</v>
      </c>
      <c r="L28" s="11" t="e">
        <f>_xlfn.CONCAT("        public string DescriptionItemLevel =&gt; """, K28, """;")</f>
        <v>#N/A</v>
      </c>
      <c r="M28" s="13" t="e">
        <f>'White Wind'!N22</f>
        <v>#N/A</v>
      </c>
      <c r="N28" s="11" t="e">
        <f>_xlfn.CONCAT("        public string DescriptionItemLevel =&gt; """, M28, """;")</f>
        <v>#N/A</v>
      </c>
      <c r="O28" s="13" t="e">
        <f>'White Wind'!P22</f>
        <v>#N/A</v>
      </c>
      <c r="P28" s="11" t="e">
        <f>_xlfn.CONCAT("        public string DescriptionItemLevel =&gt; """, O28, """;")</f>
        <v>#N/A</v>
      </c>
      <c r="Q28" s="13" t="e">
        <f>'White Wind'!R22</f>
        <v>#N/A</v>
      </c>
      <c r="R28" s="11" t="e">
        <f>_xlfn.CONCAT("        public string DescriptionItemLevel =&gt; """, Q28, """;")</f>
        <v>#N/A</v>
      </c>
      <c r="S28" s="13" t="e">
        <f>'White Wind'!T22</f>
        <v>#N/A</v>
      </c>
      <c r="T28" s="11" t="e">
        <f>_xlfn.CONCAT("        public string DescriptionItemLevel =&gt; """, S28, """;")</f>
        <v>#N/A</v>
      </c>
      <c r="V28" s="1" t="s">
        <v>87</v>
      </c>
    </row>
    <row r="29" spans="1:22" ht="15.95" customHeight="1" x14ac:dyDescent="0.25">
      <c r="A29" s="13" t="str">
        <f>'Phantasmal Gem'!B28</f>
        <v>Experience</v>
      </c>
      <c r="B29" s="11" t="str">
        <f>_xlfn.CONCAT("        public string DescriptionExperience =&gt; """, A29, """;")</f>
        <v xml:space="preserve">        public string DescriptionExperience =&gt; "Experience";</v>
      </c>
      <c r="C29" s="13" t="e">
        <f>'Phantasmal Gem'!D28</f>
        <v>#N/A</v>
      </c>
      <c r="D29" s="11" t="e">
        <f>_xlfn.CONCAT("        public string DescriptionExperience =&gt; """, C29, """;")</f>
        <v>#N/A</v>
      </c>
      <c r="E29" s="13" t="e">
        <f>'Phantasmal Gem'!F28</f>
        <v>#N/A</v>
      </c>
      <c r="F29" s="11" t="e">
        <f>_xlfn.CONCAT("        public string DescriptionExperience =&gt; """, E29, """;")</f>
        <v>#N/A</v>
      </c>
      <c r="G29" s="13" t="str">
        <f>'Phantasmal Gem'!H28</f>
        <v>Expérience</v>
      </c>
      <c r="H29" s="11" t="str">
        <f>_xlfn.CONCAT("        public string DescriptionExperience =&gt; """, G29, """;")</f>
        <v xml:space="preserve">        public string DescriptionExperience =&gt; "Expérience";</v>
      </c>
      <c r="I29" s="13" t="e">
        <f>'Phantasmal Gem'!J28</f>
        <v>#N/A</v>
      </c>
      <c r="J29" s="11" t="e">
        <f>_xlfn.CONCAT("        public string DescriptionExperience =&gt; """, I29, """;")</f>
        <v>#N/A</v>
      </c>
      <c r="K29" s="13" t="e">
        <f>'Phantasmal Gem'!L28</f>
        <v>#N/A</v>
      </c>
      <c r="L29" s="11" t="e">
        <f>_xlfn.CONCAT("        public string DescriptionExperience =&gt; """, K29, """;")</f>
        <v>#N/A</v>
      </c>
      <c r="M29" s="13" t="e">
        <f>'Phantasmal Gem'!N28</f>
        <v>#N/A</v>
      </c>
      <c r="N29" s="11" t="e">
        <f>_xlfn.CONCAT("        public string DescriptionExperience =&gt; """, M29, """;")</f>
        <v>#N/A</v>
      </c>
      <c r="O29" s="13" t="e">
        <f>'Phantasmal Gem'!P28</f>
        <v>#N/A</v>
      </c>
      <c r="P29" s="11" t="e">
        <f>_xlfn.CONCAT("        public string DescriptionExperience =&gt; """, O29, """;")</f>
        <v>#N/A</v>
      </c>
      <c r="Q29" s="13" t="e">
        <f>'Phantasmal Gem'!R28</f>
        <v>#N/A</v>
      </c>
      <c r="R29" s="11" t="e">
        <f>_xlfn.CONCAT("        public string DescriptionExperience =&gt; """, Q29, """;")</f>
        <v>#N/A</v>
      </c>
      <c r="S29" s="13" t="e">
        <f>'Phantasmal Gem'!T28</f>
        <v>#N/A</v>
      </c>
      <c r="T29" s="11" t="e">
        <f>_xlfn.CONCAT("        public string DescriptionExperience =&gt; """, S29, """;")</f>
        <v>#N/A</v>
      </c>
      <c r="V29" s="1" t="s">
        <v>80</v>
      </c>
    </row>
    <row r="30" spans="1:22" ht="15.95" customHeight="1" x14ac:dyDescent="0.25">
      <c r="A30" s="13" t="str">
        <f>'White Wind'!B9</f>
        <v>Physical Damage</v>
      </c>
      <c r="B30" s="11" t="str">
        <f>_xlfn.CONCAT("        public string DescriptionPhysicalDamage =&gt; """, A30, """;")</f>
        <v xml:space="preserve">        public string DescriptionPhysicalDamage =&gt; "Physical Damage";</v>
      </c>
      <c r="C30" s="13" t="e">
        <f>'White Wind'!D9</f>
        <v>#N/A</v>
      </c>
      <c r="D30" s="11" t="e">
        <f>_xlfn.CONCAT("        public string DescriptionPhysicalDamage =&gt; """, C30, """;")</f>
        <v>#N/A</v>
      </c>
      <c r="E30" s="13" t="e">
        <f>'White Wind'!F9</f>
        <v>#N/A</v>
      </c>
      <c r="F30" s="11" t="e">
        <f>_xlfn.CONCAT("        public string DescriptionPhysicalDamage =&gt; """, E30, """;")</f>
        <v>#N/A</v>
      </c>
      <c r="G30" s="13" t="str">
        <f>'White Wind'!H9</f>
        <v>Dégâts physiques</v>
      </c>
      <c r="H30" s="11" t="str">
        <f>_xlfn.CONCAT("        public string DescriptionPhysicalDamage =&gt; """, G30, """;")</f>
        <v xml:space="preserve">        public string DescriptionPhysicalDamage =&gt; "Dégâts physiques";</v>
      </c>
      <c r="I30" s="13" t="e">
        <f>'White Wind'!J9</f>
        <v>#N/A</v>
      </c>
      <c r="J30" s="11" t="e">
        <f>_xlfn.CONCAT("        public string DescriptionPhysicalDamage =&gt; """, I30, """;")</f>
        <v>#N/A</v>
      </c>
      <c r="K30" s="13" t="e">
        <f>'White Wind'!L9</f>
        <v>#N/A</v>
      </c>
      <c r="L30" s="11" t="e">
        <f>_xlfn.CONCAT("        public string DescriptionPhysicalDamage =&gt; """, K30, """;")</f>
        <v>#N/A</v>
      </c>
      <c r="M30" s="13" t="e">
        <f>'White Wind'!N9</f>
        <v>#N/A</v>
      </c>
      <c r="N30" s="11" t="e">
        <f>_xlfn.CONCAT("        public string DescriptionPhysicalDamage =&gt; """, M30, """;")</f>
        <v>#N/A</v>
      </c>
      <c r="O30" s="13" t="e">
        <f>'White Wind'!P9</f>
        <v>#N/A</v>
      </c>
      <c r="P30" s="11" t="e">
        <f>_xlfn.CONCAT("        public string DescriptionPhysicalDamage =&gt; """, O30, """;")</f>
        <v>#N/A</v>
      </c>
      <c r="Q30" s="13" t="e">
        <f>'White Wind'!R9</f>
        <v>#N/A</v>
      </c>
      <c r="R30" s="11" t="e">
        <f>_xlfn.CONCAT("        public string DescriptionPhysicalDamage =&gt; """, Q30, """;")</f>
        <v>#N/A</v>
      </c>
      <c r="S30" s="13" t="e">
        <f>'White Wind'!T9</f>
        <v>#N/A</v>
      </c>
      <c r="T30" s="11" t="e">
        <f>_xlfn.CONCAT("        public string DescriptionPhysicalDamage =&gt; """, S30, """;")</f>
        <v>#N/A</v>
      </c>
      <c r="V30" s="1" t="s">
        <v>88</v>
      </c>
    </row>
    <row r="31" spans="1:22" ht="15.95" customHeight="1" x14ac:dyDescent="0.25">
      <c r="A31" s="13" t="str">
        <f>'White Wind'!B10</f>
        <v>Elemental Damage</v>
      </c>
      <c r="B31" s="11" t="str">
        <f>_xlfn.CONCAT("        public string DescriptionElementalDamage =&gt; """, A31, """;")</f>
        <v xml:space="preserve">        public string DescriptionElementalDamage =&gt; "Elemental Damage";</v>
      </c>
      <c r="C31" s="13" t="e">
        <f>'White Wind'!D10</f>
        <v>#N/A</v>
      </c>
      <c r="D31" s="11" t="e">
        <f>_xlfn.CONCAT("        public string DescriptionElementalDamage =&gt; """, C31, """;")</f>
        <v>#N/A</v>
      </c>
      <c r="E31" s="13" t="e">
        <f>'White Wind'!F10</f>
        <v>#N/A</v>
      </c>
      <c r="F31" s="11" t="e">
        <f>_xlfn.CONCAT("        public string DescriptionElementalDamage =&gt; """, E31, """;")</f>
        <v>#N/A</v>
      </c>
      <c r="G31" s="13" t="str">
        <f>'White Wind'!H10</f>
        <v>Dégâts élémentaires</v>
      </c>
      <c r="H31" s="11" t="str">
        <f>_xlfn.CONCAT("        public string DescriptionElementalDamage =&gt; """, G31, """;")</f>
        <v xml:space="preserve">        public string DescriptionElementalDamage =&gt; "Dégâts élémentaires";</v>
      </c>
      <c r="I31" s="13" t="e">
        <f>'White Wind'!J10</f>
        <v>#N/A</v>
      </c>
      <c r="J31" s="11" t="e">
        <f>_xlfn.CONCAT("        public string DescriptionElementalDamage =&gt; """, I31, """;")</f>
        <v>#N/A</v>
      </c>
      <c r="K31" s="13" t="e">
        <f>'White Wind'!L10</f>
        <v>#N/A</v>
      </c>
      <c r="L31" s="11" t="e">
        <f>_xlfn.CONCAT("        public string DescriptionElementalDamage =&gt; """, K31, """;")</f>
        <v>#N/A</v>
      </c>
      <c r="M31" s="13" t="e">
        <f>'White Wind'!N10</f>
        <v>#N/A</v>
      </c>
      <c r="N31" s="11" t="e">
        <f>_xlfn.CONCAT("        public string DescriptionElementalDamage =&gt; """, M31, """;")</f>
        <v>#N/A</v>
      </c>
      <c r="O31" s="13" t="e">
        <f>'White Wind'!P10</f>
        <v>#N/A</v>
      </c>
      <c r="P31" s="11" t="e">
        <f>_xlfn.CONCAT("        public string DescriptionElementalDamage =&gt; """, O31, """;")</f>
        <v>#N/A</v>
      </c>
      <c r="Q31" s="13" t="e">
        <f>'White Wind'!R10</f>
        <v>#N/A</v>
      </c>
      <c r="R31" s="11" t="e">
        <f>_xlfn.CONCAT("        public string DescriptionElementalDamage =&gt; """, Q31, """;")</f>
        <v>#N/A</v>
      </c>
      <c r="S31" s="13" t="e">
        <f>'White Wind'!T10</f>
        <v>#N/A</v>
      </c>
      <c r="T31" s="11" t="e">
        <f>_xlfn.CONCAT("        public string DescriptionElementalDamage =&gt; """, S31, """;")</f>
        <v>#N/A</v>
      </c>
      <c r="V31" s="1" t="s">
        <v>89</v>
      </c>
    </row>
    <row r="32" spans="1:22" ht="15.95" customHeight="1" x14ac:dyDescent="0.25">
      <c r="A32" s="13" t="str">
        <f>'Carcass Jack'!B9</f>
        <v>Energy Shield</v>
      </c>
      <c r="B32" s="11" t="str">
        <f>_xlfn.CONCAT("        public string DescriptionEnergyShield =&gt; """, A32, """;")</f>
        <v xml:space="preserve">        public string DescriptionEnergyShield =&gt; "Energy Shield";</v>
      </c>
      <c r="C32" s="13" t="e">
        <f>'Carcass Jack'!D9</f>
        <v>#N/A</v>
      </c>
      <c r="D32" s="11" t="e">
        <f>_xlfn.CONCAT("        public string DescriptionEnergyShield =&gt; """, C32, """;")</f>
        <v>#N/A</v>
      </c>
      <c r="E32" s="13" t="e">
        <f>'Carcass Jack'!F9</f>
        <v>#N/A</v>
      </c>
      <c r="F32" s="11" t="e">
        <f>_xlfn.CONCAT("        public string DescriptionEnergyShield =&gt; """, E32, """;")</f>
        <v>#N/A</v>
      </c>
      <c r="G32" s="13" t="str">
        <f>'Carcass Jack'!H9</f>
        <v>Bouclier d'énergie</v>
      </c>
      <c r="H32" s="11" t="str">
        <f>_xlfn.CONCAT("        public string DescriptionEnergyShield =&gt; """, G32, """;")</f>
        <v xml:space="preserve">        public string DescriptionEnergyShield =&gt; "Bouclier d'énergie";</v>
      </c>
      <c r="I32" s="13" t="e">
        <f>'Carcass Jack'!J9</f>
        <v>#N/A</v>
      </c>
      <c r="J32" s="11" t="e">
        <f>_xlfn.CONCAT("        public string DescriptionEnergyShield =&gt; """, I32, """;")</f>
        <v>#N/A</v>
      </c>
      <c r="K32" s="13" t="e">
        <f>'Carcass Jack'!L9</f>
        <v>#N/A</v>
      </c>
      <c r="L32" s="11" t="e">
        <f>_xlfn.CONCAT("        public string DescriptionEnergyShield =&gt; """, K32, """;")</f>
        <v>#N/A</v>
      </c>
      <c r="M32" s="13" t="e">
        <f>'Carcass Jack'!N9</f>
        <v>#N/A</v>
      </c>
      <c r="N32" s="11" t="e">
        <f>_xlfn.CONCAT("        public string DescriptionEnergyShield =&gt; """, M32, """;")</f>
        <v>#N/A</v>
      </c>
      <c r="O32" s="13" t="e">
        <f>'Carcass Jack'!P9</f>
        <v>#N/A</v>
      </c>
      <c r="P32" s="11" t="e">
        <f>_xlfn.CONCAT("        public string DescriptionEnergyShield =&gt; """, O32, """;")</f>
        <v>#N/A</v>
      </c>
      <c r="Q32" s="13" t="e">
        <f>'Carcass Jack'!R9</f>
        <v>#N/A</v>
      </c>
      <c r="R32" s="11" t="e">
        <f>_xlfn.CONCAT("        public string DescriptionEnergyShield =&gt; """, Q32, """;")</f>
        <v>#N/A</v>
      </c>
      <c r="S32" s="13" t="e">
        <f>'Carcass Jack'!T9</f>
        <v>#N/A</v>
      </c>
      <c r="T32" s="11" t="e">
        <f>_xlfn.CONCAT("        public string DescriptionEnergyShield =&gt; """, S32, """;")</f>
        <v>#N/A</v>
      </c>
      <c r="V32" s="1" t="s">
        <v>90</v>
      </c>
    </row>
    <row r="33" spans="1:22" ht="15.95" customHeight="1" x14ac:dyDescent="0.25">
      <c r="A33" s="13" t="str">
        <f>Abyssus!B8</f>
        <v>Armour</v>
      </c>
      <c r="B33" s="11" t="str">
        <f>_xlfn.CONCAT("        public string DescriptionArmour =&gt; """, A33, """;")</f>
        <v xml:space="preserve">        public string DescriptionArmour =&gt; "Armour";</v>
      </c>
      <c r="C33" s="13" t="e">
        <f>Abyssus!D8</f>
        <v>#N/A</v>
      </c>
      <c r="D33" s="11" t="e">
        <f>_xlfn.CONCAT("        public string DescriptionArmour =&gt; """, C33, """;")</f>
        <v>#N/A</v>
      </c>
      <c r="E33" s="13" t="e">
        <f>Abyssus!F8</f>
        <v>#N/A</v>
      </c>
      <c r="F33" s="11" t="e">
        <f>_xlfn.CONCAT("        public string DescriptionArmour =&gt; """, E33, """;")</f>
        <v>#N/A</v>
      </c>
      <c r="G33" s="13" t="str">
        <f>Abyssus!H8</f>
        <v>Armure</v>
      </c>
      <c r="H33" s="11" t="str">
        <f>_xlfn.CONCAT("        public string DescriptionArmour =&gt; """, G33, """;")</f>
        <v xml:space="preserve">        public string DescriptionArmour =&gt; "Armure";</v>
      </c>
      <c r="I33" s="13" t="e">
        <f>Abyssus!J8</f>
        <v>#N/A</v>
      </c>
      <c r="J33" s="11" t="e">
        <f>_xlfn.CONCAT("        public string DescriptionArmour =&gt; """, I33, """;")</f>
        <v>#N/A</v>
      </c>
      <c r="K33" s="13" t="e">
        <f>Abyssus!L8</f>
        <v>#N/A</v>
      </c>
      <c r="L33" s="11" t="e">
        <f>_xlfn.CONCAT("        public string DescriptionArmour =&gt; """, K33, """;")</f>
        <v>#N/A</v>
      </c>
      <c r="M33" s="13" t="e">
        <f>Abyssus!N8</f>
        <v>#N/A</v>
      </c>
      <c r="N33" s="11" t="e">
        <f>_xlfn.CONCAT("        public string DescriptionArmour =&gt; """, M33, """;")</f>
        <v>#N/A</v>
      </c>
      <c r="O33" s="13" t="e">
        <f>Abyssus!P8</f>
        <v>#N/A</v>
      </c>
      <c r="P33" s="11" t="e">
        <f>_xlfn.CONCAT("        public string DescriptionArmour =&gt; """, O33, """;")</f>
        <v>#N/A</v>
      </c>
      <c r="Q33" s="13" t="e">
        <f>Abyssus!R8</f>
        <v>#N/A</v>
      </c>
      <c r="R33" s="11" t="e">
        <f>_xlfn.CONCAT("        public string DescriptionArmour =&gt; """, Q33, """;")</f>
        <v>#N/A</v>
      </c>
      <c r="S33" s="13" t="e">
        <f>Abyssus!T8</f>
        <v>#N/A</v>
      </c>
      <c r="T33" s="11" t="e">
        <f>_xlfn.CONCAT("        public string DescriptionArmour =&gt; """, S33, """;")</f>
        <v>#N/A</v>
      </c>
      <c r="V33" s="1" t="s">
        <v>81</v>
      </c>
    </row>
    <row r="34" spans="1:22" ht="15.95" customHeight="1" x14ac:dyDescent="0.25">
      <c r="A34" s="13" t="str">
        <f>'Carcass Jack'!B8</f>
        <v>Evasion Rating</v>
      </c>
      <c r="B34" s="11" t="str">
        <f>_xlfn.CONCAT("        public string DescriptionEvasion =&gt; """, A34, """;")</f>
        <v xml:space="preserve">        public string DescriptionEvasion =&gt; "Evasion Rating";</v>
      </c>
      <c r="C34" s="13" t="e">
        <f>'Carcass Jack'!D8</f>
        <v>#N/A</v>
      </c>
      <c r="D34" s="11" t="e">
        <f>_xlfn.CONCAT("        public string DescriptionEvasion =&gt; """, C34, """;")</f>
        <v>#N/A</v>
      </c>
      <c r="E34" s="13" t="e">
        <f>'Carcass Jack'!F8</f>
        <v>#N/A</v>
      </c>
      <c r="F34" s="11" t="e">
        <f>_xlfn.CONCAT("        public string DescriptionEvasion =&gt; """, E34, """;")</f>
        <v>#N/A</v>
      </c>
      <c r="G34" s="13" t="str">
        <f>'Carcass Jack'!H8</f>
        <v>Score d'Évasion</v>
      </c>
      <c r="H34" s="11" t="str">
        <f>_xlfn.CONCAT("        public string DescriptionEvasion =&gt; """, G34, """;")</f>
        <v xml:space="preserve">        public string DescriptionEvasion =&gt; "Score d'Évasion";</v>
      </c>
      <c r="I34" s="13" t="e">
        <f>'Carcass Jack'!J8</f>
        <v>#N/A</v>
      </c>
      <c r="J34" s="11" t="e">
        <f>_xlfn.CONCAT("        public string DescriptionEvasion =&gt; """, I34, """;")</f>
        <v>#N/A</v>
      </c>
      <c r="K34" s="13" t="e">
        <f>'Carcass Jack'!L8</f>
        <v>#N/A</v>
      </c>
      <c r="L34" s="11" t="e">
        <f>_xlfn.CONCAT("        public string DescriptionEvasion =&gt; """, K34, """;")</f>
        <v>#N/A</v>
      </c>
      <c r="M34" s="13" t="e">
        <f>'Carcass Jack'!N8</f>
        <v>#N/A</v>
      </c>
      <c r="N34" s="11" t="e">
        <f>_xlfn.CONCAT("        public string DescriptionEvasion =&gt; """, M34, """;")</f>
        <v>#N/A</v>
      </c>
      <c r="O34" s="13" t="e">
        <f>'Carcass Jack'!P8</f>
        <v>#N/A</v>
      </c>
      <c r="P34" s="11" t="e">
        <f>_xlfn.CONCAT("        public string DescriptionEvasion =&gt; """, O34, """;")</f>
        <v>#N/A</v>
      </c>
      <c r="Q34" s="13" t="e">
        <f>'Carcass Jack'!R8</f>
        <v>#N/A</v>
      </c>
      <c r="R34" s="11" t="e">
        <f>_xlfn.CONCAT("        public string DescriptionEvasion =&gt; """, Q34, """;")</f>
        <v>#N/A</v>
      </c>
      <c r="S34" s="13" t="e">
        <f>'Carcass Jack'!T8</f>
        <v>#N/A</v>
      </c>
      <c r="T34" s="11" t="e">
        <f>_xlfn.CONCAT("        public string DescriptionEvasion =&gt; """, S34, """;")</f>
        <v>#N/A</v>
      </c>
      <c r="V34" s="1" t="s">
        <v>91</v>
      </c>
    </row>
    <row r="35" spans="1:22" ht="15.95" customHeight="1" x14ac:dyDescent="0.25">
      <c r="A35" s="13" t="str">
        <f>Mistwall!B8</f>
        <v>Chance to Block</v>
      </c>
      <c r="B35" s="11" t="str">
        <f>_xlfn.CONCAT("        public string DescriptionChanceToBlock =&gt; """, A35, """;")</f>
        <v xml:space="preserve">        public string DescriptionChanceToBlock =&gt; "Chance to Block";</v>
      </c>
      <c r="C35" s="13" t="e">
        <f>Mistwall!D8</f>
        <v>#N/A</v>
      </c>
      <c r="D35" s="11" t="e">
        <f>_xlfn.CONCAT("        public string DescriptionChanceToBlock =&gt; """, C35, """;")</f>
        <v>#N/A</v>
      </c>
      <c r="E35" s="13" t="e">
        <f>Mistwall!F8</f>
        <v>#N/A</v>
      </c>
      <c r="F35" s="11" t="e">
        <f>_xlfn.CONCAT("        public string DescriptionChanceToBlock =&gt; """, E35, """;")</f>
        <v>#N/A</v>
      </c>
      <c r="G35" s="13" t="str">
        <f>Mistwall!H8</f>
        <v>Chances de blocage</v>
      </c>
      <c r="H35" s="11" t="str">
        <f>_xlfn.CONCAT("        public string DescriptionChanceToBlock =&gt; """, G35, """;")</f>
        <v xml:space="preserve">        public string DescriptionChanceToBlock =&gt; "Chances de blocage";</v>
      </c>
      <c r="I35" s="13" t="e">
        <f>Mistwall!J8</f>
        <v>#N/A</v>
      </c>
      <c r="J35" s="11" t="e">
        <f>_xlfn.CONCAT("        public string DescriptionChanceToBlock =&gt; """, I35, """;")</f>
        <v>#N/A</v>
      </c>
      <c r="K35" s="13" t="e">
        <f>Mistwall!L8</f>
        <v>#N/A</v>
      </c>
      <c r="L35" s="11" t="e">
        <f>_xlfn.CONCAT("        public string DescriptionChanceToBlock =&gt; """, K35, """;")</f>
        <v>#N/A</v>
      </c>
      <c r="M35" s="13" t="e">
        <f>Mistwall!N8</f>
        <v>#N/A</v>
      </c>
      <c r="N35" s="11" t="e">
        <f>_xlfn.CONCAT("        public string DescriptionChanceToBlock =&gt; """, M35, """;")</f>
        <v>#N/A</v>
      </c>
      <c r="O35" s="13" t="e">
        <f>Mistwall!P8</f>
        <v>#N/A</v>
      </c>
      <c r="P35" s="11" t="e">
        <f>_xlfn.CONCAT("        public string DescriptionChanceToBlock =&gt; """, O35, """;")</f>
        <v>#N/A</v>
      </c>
      <c r="Q35" s="13" t="e">
        <f>Mistwall!R8</f>
        <v>#N/A</v>
      </c>
      <c r="R35" s="11" t="e">
        <f>_xlfn.CONCAT("        public string DescriptionChanceToBlock =&gt; """, Q35, """;")</f>
        <v>#N/A</v>
      </c>
      <c r="S35" s="13" t="e">
        <f>Mistwall!T8</f>
        <v>#N/A</v>
      </c>
      <c r="T35" s="11" t="e">
        <f>_xlfn.CONCAT("        public string DescriptionChanceToBlock =&gt; """, S35, """;")</f>
        <v>#N/A</v>
      </c>
      <c r="V35" s="1" t="s">
        <v>92</v>
      </c>
    </row>
    <row r="36" spans="1:22" ht="15.95" customHeight="1" x14ac:dyDescent="0.25">
      <c r="A36" s="13" t="str">
        <f>'White Wind'!B12</f>
        <v>Attacks per Second</v>
      </c>
      <c r="B36" s="11" t="str">
        <f>_xlfn.CONCAT("        public string DescriptionAttacksPerSecond =&gt; """, A36, """;")</f>
        <v xml:space="preserve">        public string DescriptionAttacksPerSecond =&gt; "Attacks per Second";</v>
      </c>
      <c r="C36" s="13" t="e">
        <f>'White Wind'!D12</f>
        <v>#N/A</v>
      </c>
      <c r="D36" s="11" t="e">
        <f>_xlfn.CONCAT("        public string DescriptionAttacksPerSecond =&gt; """, C36, """;")</f>
        <v>#N/A</v>
      </c>
      <c r="E36" s="13" t="e">
        <f>'White Wind'!F12</f>
        <v>#N/A</v>
      </c>
      <c r="F36" s="11" t="e">
        <f>_xlfn.CONCAT("        public string DescriptionAttacksPerSecond =&gt; """, E36, """;")</f>
        <v>#N/A</v>
      </c>
      <c r="G36" s="13" t="str">
        <f>'White Wind'!H12</f>
        <v>Attaques par seconde</v>
      </c>
      <c r="H36" s="11" t="str">
        <f>_xlfn.CONCAT("        public string DescriptionAttacksPerSecond =&gt; """, G36, """;")</f>
        <v xml:space="preserve">        public string DescriptionAttacksPerSecond =&gt; "Attaques par seconde";</v>
      </c>
      <c r="I36" s="13" t="e">
        <f>'White Wind'!J12</f>
        <v>#N/A</v>
      </c>
      <c r="J36" s="11" t="e">
        <f>_xlfn.CONCAT("        public string DescriptionAttacksPerSecond =&gt; """, I36, """;")</f>
        <v>#N/A</v>
      </c>
      <c r="K36" s="13" t="e">
        <f>'White Wind'!L12</f>
        <v>#N/A</v>
      </c>
      <c r="L36" s="11" t="e">
        <f>_xlfn.CONCAT("        public string DescriptionAttacksPerSecond =&gt; """, K36, """;")</f>
        <v>#N/A</v>
      </c>
      <c r="M36" s="13" t="e">
        <f>'White Wind'!N12</f>
        <v>#N/A</v>
      </c>
      <c r="N36" s="11" t="e">
        <f>_xlfn.CONCAT("        public string DescriptionAttacksPerSecond =&gt; """, M36, """;")</f>
        <v>#N/A</v>
      </c>
      <c r="O36" s="13" t="e">
        <f>'White Wind'!P12</f>
        <v>#N/A</v>
      </c>
      <c r="P36" s="11" t="e">
        <f>_xlfn.CONCAT("        public string DescriptionAttacksPerSecond =&gt; """, O36, """;")</f>
        <v>#N/A</v>
      </c>
      <c r="Q36" s="13" t="e">
        <f>'White Wind'!R12</f>
        <v>#N/A</v>
      </c>
      <c r="R36" s="11" t="e">
        <f>_xlfn.CONCAT("        public string DescriptionAttacksPerSecond =&gt; """, Q36, """;")</f>
        <v>#N/A</v>
      </c>
      <c r="S36" s="13" t="e">
        <f>'White Wind'!T12</f>
        <v>#N/A</v>
      </c>
      <c r="T36" s="11" t="e">
        <f>_xlfn.CONCAT("        public string DescriptionAttacksPerSecond =&gt; """, S36, """;")</f>
        <v>#N/A</v>
      </c>
      <c r="V36" s="1" t="s">
        <v>93</v>
      </c>
    </row>
    <row r="37" spans="1:22" ht="15.95" customHeight="1" x14ac:dyDescent="0.25">
      <c r="A37" s="13" t="str">
        <f>'White Wind'!B11</f>
        <v>Critical Strike Chance</v>
      </c>
      <c r="B37" s="11" t="str">
        <f>_xlfn.CONCAT("        public string DescriptionCriticalStrikeChance =&gt; """, A37, """;")</f>
        <v xml:space="preserve">        public string DescriptionCriticalStrikeChance =&gt; "Critical Strike Chance";</v>
      </c>
      <c r="C37" s="13" t="e">
        <f>'White Wind'!D11</f>
        <v>#N/A</v>
      </c>
      <c r="D37" s="11" t="e">
        <f>_xlfn.CONCAT("        public string DescriptionCriticalStrikeChance =&gt; """, C37, """;")</f>
        <v>#N/A</v>
      </c>
      <c r="E37" s="13" t="e">
        <f>'White Wind'!F11</f>
        <v>#N/A</v>
      </c>
      <c r="F37" s="11" t="e">
        <f>_xlfn.CONCAT("        public string DescriptionCriticalStrikeChance =&gt; """, E37, """;")</f>
        <v>#N/A</v>
      </c>
      <c r="G37" s="13" t="str">
        <f>'White Wind'!H11</f>
        <v>Chances de coup critique</v>
      </c>
      <c r="H37" s="11" t="str">
        <f>_xlfn.CONCAT("        public string DescriptionCriticalStrikeChance =&gt; """, G37, """;")</f>
        <v xml:space="preserve">        public string DescriptionCriticalStrikeChance =&gt; "Chances de coup critique";</v>
      </c>
      <c r="I37" s="13" t="e">
        <f>'White Wind'!J11</f>
        <v>#N/A</v>
      </c>
      <c r="J37" s="11" t="e">
        <f>_xlfn.CONCAT("        public string DescriptionCriticalStrikeChance =&gt; """, I37, """;")</f>
        <v>#N/A</v>
      </c>
      <c r="K37" s="13" t="e">
        <f>'White Wind'!L11</f>
        <v>#N/A</v>
      </c>
      <c r="L37" s="11" t="e">
        <f>_xlfn.CONCAT("        public string DescriptionCriticalStrikeChance =&gt; """, K37, """;")</f>
        <v>#N/A</v>
      </c>
      <c r="M37" s="13" t="e">
        <f>'White Wind'!N11</f>
        <v>#N/A</v>
      </c>
      <c r="N37" s="11" t="e">
        <f>_xlfn.CONCAT("        public string DescriptionCriticalStrikeChance =&gt; """, M37, """;")</f>
        <v>#N/A</v>
      </c>
      <c r="O37" s="13" t="e">
        <f>'White Wind'!P11</f>
        <v>#N/A</v>
      </c>
      <c r="P37" s="11" t="e">
        <f>_xlfn.CONCAT("        public string DescriptionCriticalStrikeChance =&gt; """, O37, """;")</f>
        <v>#N/A</v>
      </c>
      <c r="Q37" s="13" t="e">
        <f>'White Wind'!R11</f>
        <v>#N/A</v>
      </c>
      <c r="R37" s="11" t="e">
        <f>_xlfn.CONCAT("        public string DescriptionCriticalStrikeChance =&gt; """, Q37, """;")</f>
        <v>#N/A</v>
      </c>
      <c r="S37" s="13" t="e">
        <f>'White Wind'!T11</f>
        <v>#N/A</v>
      </c>
      <c r="T37" s="11" t="e">
        <f>_xlfn.CONCAT("        public string DescriptionCriticalStrikeChance =&gt; """, S37, """;")</f>
        <v>#N/A</v>
      </c>
      <c r="V37" s="1" t="s">
        <v>94</v>
      </c>
    </row>
    <row r="38" spans="1:22" ht="15.95" customHeight="1" x14ac:dyDescent="0.25">
      <c r="A38" s="13" t="str">
        <f>'Blighted Map'!B7</f>
        <v>Map Tier</v>
      </c>
      <c r="B38" s="11" t="str">
        <f>_xlfn.CONCAT("        public string DescriptionMapTier =&gt; """, A38, """;")</f>
        <v xml:space="preserve">        public string DescriptionMapTier =&gt; "Map Tier";</v>
      </c>
      <c r="C38" s="13" t="e">
        <f>'Blighted Map'!D7</f>
        <v>#N/A</v>
      </c>
      <c r="D38" s="11" t="e">
        <f>_xlfn.CONCAT("        public string DescriptionMapTier =&gt; """, C38, """;")</f>
        <v>#N/A</v>
      </c>
      <c r="E38" s="13" t="e">
        <f>'Blighted Map'!F7</f>
        <v>#N/A</v>
      </c>
      <c r="F38" s="11" t="e">
        <f>_xlfn.CONCAT("        public string DescriptionMapTier =&gt; """, E38, """;")</f>
        <v>#N/A</v>
      </c>
      <c r="G38" s="13" t="str">
        <f>'Blighted Map'!H7</f>
        <v>Palier de Carte</v>
      </c>
      <c r="H38" s="11" t="str">
        <f>_xlfn.CONCAT("        public string DescriptionMapTier =&gt; """, G38, """;")</f>
        <v xml:space="preserve">        public string DescriptionMapTier =&gt; "Palier de Carte";</v>
      </c>
      <c r="I38" s="13" t="e">
        <f>'Blighted Map'!J7</f>
        <v>#N/A</v>
      </c>
      <c r="J38" s="11" t="e">
        <f>_xlfn.CONCAT("        public string DescriptionMapTier =&gt; """, I38, """;")</f>
        <v>#N/A</v>
      </c>
      <c r="K38" s="13" t="e">
        <f>'Blighted Map'!L7</f>
        <v>#N/A</v>
      </c>
      <c r="L38" s="11" t="e">
        <f>_xlfn.CONCAT("        public string DescriptionMapTier =&gt; """, K38, """;")</f>
        <v>#N/A</v>
      </c>
      <c r="M38" s="13" t="e">
        <f>'Blighted Map'!N7</f>
        <v>#N/A</v>
      </c>
      <c r="N38" s="11" t="e">
        <f>_xlfn.CONCAT("        public string DescriptionMapTier =&gt; """, M38, """;")</f>
        <v>#N/A</v>
      </c>
      <c r="O38" s="13" t="e">
        <f>'Blighted Map'!P7</f>
        <v>#N/A</v>
      </c>
      <c r="P38" s="11" t="e">
        <f>_xlfn.CONCAT("        public string DescriptionMapTier =&gt; """, O38, """;")</f>
        <v>#N/A</v>
      </c>
      <c r="Q38" s="13" t="e">
        <f>'Blighted Map'!R7</f>
        <v>#N/A</v>
      </c>
      <c r="R38" s="11" t="e">
        <f>_xlfn.CONCAT("        public string DescriptionMapTier =&gt; """, Q38, """;")</f>
        <v>#N/A</v>
      </c>
      <c r="S38" s="13" t="e">
        <f>'Blighted Map'!T7</f>
        <v>#N/A</v>
      </c>
      <c r="T38" s="11" t="e">
        <f>_xlfn.CONCAT("        public string DescriptionMapTier =&gt; """, S38, """;")</f>
        <v>#N/A</v>
      </c>
      <c r="V38" s="1" t="s">
        <v>95</v>
      </c>
    </row>
    <row r="39" spans="1:22" ht="15.95" customHeight="1" x14ac:dyDescent="0.25">
      <c r="A39" s="13" t="str">
        <f>Map!B8</f>
        <v>Item Quantity</v>
      </c>
      <c r="B39" s="11" t="str">
        <f>_xlfn.CONCAT("        public string DescriptionItemQuantity =&gt; """, A39, """;")</f>
        <v xml:space="preserve">        public string DescriptionItemQuantity =&gt; "Item Quantity";</v>
      </c>
      <c r="C39" s="13" t="e">
        <f>Map!D8</f>
        <v>#N/A</v>
      </c>
      <c r="D39" s="11" t="e">
        <f>_xlfn.CONCAT("        public string DescriptionItemQuantity =&gt; """, C39, """;")</f>
        <v>#N/A</v>
      </c>
      <c r="E39" s="13" t="e">
        <f>Map!F8</f>
        <v>#N/A</v>
      </c>
      <c r="F39" s="11" t="e">
        <f>_xlfn.CONCAT("        public string DescriptionItemQuantity =&gt; """, E39, """;")</f>
        <v>#N/A</v>
      </c>
      <c r="G39" s="13" t="str">
        <f>Map!H8</f>
        <v>Quantité d'objets</v>
      </c>
      <c r="H39" s="11" t="str">
        <f>_xlfn.CONCAT("        public string DescriptionItemQuantity =&gt; """, G39, """;")</f>
        <v xml:space="preserve">        public string DescriptionItemQuantity =&gt; "Quantité d'objets";</v>
      </c>
      <c r="I39" s="13" t="e">
        <f>Map!J8</f>
        <v>#N/A</v>
      </c>
      <c r="J39" s="11" t="e">
        <f>_xlfn.CONCAT("        public string DescriptionItemQuantity =&gt; """, I39, """;")</f>
        <v>#N/A</v>
      </c>
      <c r="K39" s="13" t="e">
        <f>Map!L8</f>
        <v>#N/A</v>
      </c>
      <c r="L39" s="11" t="e">
        <f>_xlfn.CONCAT("        public string DescriptionItemQuantity =&gt; """, K39, """;")</f>
        <v>#N/A</v>
      </c>
      <c r="M39" s="13" t="e">
        <f>Map!N8</f>
        <v>#N/A</v>
      </c>
      <c r="N39" s="11" t="e">
        <f>_xlfn.CONCAT("        public string DescriptionItemQuantity =&gt; """, M39, """;")</f>
        <v>#N/A</v>
      </c>
      <c r="O39" s="13" t="e">
        <f>Map!P8</f>
        <v>#N/A</v>
      </c>
      <c r="P39" s="11" t="e">
        <f>_xlfn.CONCAT("        public string DescriptionItemQuantity =&gt; """, O39, """;")</f>
        <v>#N/A</v>
      </c>
      <c r="Q39" s="13" t="e">
        <f>Map!R8</f>
        <v>#N/A</v>
      </c>
      <c r="R39" s="11" t="e">
        <f>_xlfn.CONCAT("        public string DescriptionItemQuantity =&gt; """, Q39, """;")</f>
        <v>#N/A</v>
      </c>
      <c r="S39" s="13" t="e">
        <f>Map!T8</f>
        <v>#N/A</v>
      </c>
      <c r="T39" s="11" t="e">
        <f>_xlfn.CONCAT("        public string DescriptionItemQuantity =&gt; """, S39, """;")</f>
        <v>#N/A</v>
      </c>
      <c r="V39" s="1" t="s">
        <v>96</v>
      </c>
    </row>
    <row r="40" spans="1:22" ht="15.95" customHeight="1" x14ac:dyDescent="0.25">
      <c r="A40" s="13" t="str">
        <f>Map!B9</f>
        <v>Item Rarity</v>
      </c>
      <c r="B40" s="11" t="str">
        <f>_xlfn.CONCAT("        public string DescriptionItemRarity =&gt; """, A40, """;")</f>
        <v xml:space="preserve">        public string DescriptionItemRarity =&gt; "Item Rarity";</v>
      </c>
      <c r="C40" s="13" t="e">
        <f>Map!D9</f>
        <v>#N/A</v>
      </c>
      <c r="D40" s="11" t="e">
        <f>_xlfn.CONCAT("        public string DescriptionItemRarity =&gt; """, C40, """;")</f>
        <v>#N/A</v>
      </c>
      <c r="E40" s="13" t="e">
        <f>Map!F9</f>
        <v>#N/A</v>
      </c>
      <c r="F40" s="11" t="e">
        <f>_xlfn.CONCAT("        public string DescriptionItemRarity =&gt; """, E40, """;")</f>
        <v>#N/A</v>
      </c>
      <c r="G40" s="13" t="str">
        <f>Map!H9</f>
        <v>Rareté des objets</v>
      </c>
      <c r="H40" s="11" t="str">
        <f>_xlfn.CONCAT("        public string DescriptionItemRarity =&gt; """, G40, """;")</f>
        <v xml:space="preserve">        public string DescriptionItemRarity =&gt; "Rareté des objets";</v>
      </c>
      <c r="I40" s="13" t="e">
        <f>Map!J9</f>
        <v>#N/A</v>
      </c>
      <c r="J40" s="11" t="e">
        <f>_xlfn.CONCAT("        public string DescriptionItemRarity =&gt; """, I40, """;")</f>
        <v>#N/A</v>
      </c>
      <c r="K40" s="13" t="e">
        <f>Map!L9</f>
        <v>#N/A</v>
      </c>
      <c r="L40" s="11" t="e">
        <f>_xlfn.CONCAT("        public string DescriptionItemRarity =&gt; """, K40, """;")</f>
        <v>#N/A</v>
      </c>
      <c r="M40" s="13" t="e">
        <f>Map!N9</f>
        <v>#N/A</v>
      </c>
      <c r="N40" s="11" t="e">
        <f>_xlfn.CONCAT("        public string DescriptionItemRarity =&gt; """, M40, """;")</f>
        <v>#N/A</v>
      </c>
      <c r="O40" s="13" t="e">
        <f>Map!P9</f>
        <v>#N/A</v>
      </c>
      <c r="P40" s="11" t="e">
        <f>_xlfn.CONCAT("        public string DescriptionItemRarity =&gt; """, O40, """;")</f>
        <v>#N/A</v>
      </c>
      <c r="Q40" s="13" t="e">
        <f>Map!R9</f>
        <v>#N/A</v>
      </c>
      <c r="R40" s="11" t="e">
        <f>_xlfn.CONCAT("        public string DescriptionItemRarity =&gt; """, Q40, """;")</f>
        <v>#N/A</v>
      </c>
      <c r="S40" s="13" t="e">
        <f>Map!T9</f>
        <v>#N/A</v>
      </c>
      <c r="T40" s="11" t="e">
        <f>_xlfn.CONCAT("        public string DescriptionItemRarity =&gt; """, S40, """;")</f>
        <v>#N/A</v>
      </c>
      <c r="V40" s="1" t="s">
        <v>97</v>
      </c>
    </row>
    <row r="41" spans="1:22" ht="15.95" customHeight="1" x14ac:dyDescent="0.25">
      <c r="A41" s="13" t="str">
        <f>Map!B10</f>
        <v>Monster Pack Size</v>
      </c>
      <c r="B41" s="11" t="str">
        <f>_xlfn.CONCAT("        public string DescriptionMonsterPackSize =&gt; """, A41, """;")</f>
        <v xml:space="preserve">        public string DescriptionMonsterPackSize =&gt; "Monster Pack Size";</v>
      </c>
      <c r="C41" s="13" t="e">
        <f>Map!D10</f>
        <v>#N/A</v>
      </c>
      <c r="D41" s="11" t="e">
        <f>_xlfn.CONCAT("        public string DescriptionMonsterPackSize =&gt; """, C41, """;")</f>
        <v>#N/A</v>
      </c>
      <c r="E41" s="13" t="e">
        <f>Map!F10</f>
        <v>#N/A</v>
      </c>
      <c r="F41" s="11" t="e">
        <f>_xlfn.CONCAT("        public string DescriptionMonsterPackSize =&gt; """, E41, """;")</f>
        <v>#N/A</v>
      </c>
      <c r="G41" s="13" t="str">
        <f>Map!H10</f>
        <v>Taille des groupes de monstres</v>
      </c>
      <c r="H41" s="11" t="str">
        <f>_xlfn.CONCAT("        public string DescriptionMonsterPackSize =&gt; """, G41, """;")</f>
        <v xml:space="preserve">        public string DescriptionMonsterPackSize =&gt; "Taille des groupes de monstres";</v>
      </c>
      <c r="I41" s="13" t="e">
        <f>Map!J10</f>
        <v>#N/A</v>
      </c>
      <c r="J41" s="11" t="e">
        <f>_xlfn.CONCAT("        public string DescriptionMonsterPackSize =&gt; """, I41, """;")</f>
        <v>#N/A</v>
      </c>
      <c r="K41" s="13" t="e">
        <f>Map!L10</f>
        <v>#N/A</v>
      </c>
      <c r="L41" s="11" t="e">
        <f>_xlfn.CONCAT("        public string DescriptionMonsterPackSize =&gt; """, K41, """;")</f>
        <v>#N/A</v>
      </c>
      <c r="M41" s="13" t="e">
        <f>Map!N10</f>
        <v>#N/A</v>
      </c>
      <c r="N41" s="11" t="e">
        <f>_xlfn.CONCAT("        public string DescriptionMonsterPackSize =&gt; """, M41, """;")</f>
        <v>#N/A</v>
      </c>
      <c r="O41" s="13" t="e">
        <f>Map!P10</f>
        <v>#N/A</v>
      </c>
      <c r="P41" s="11" t="e">
        <f>_xlfn.CONCAT("        public string DescriptionMonsterPackSize =&gt; """, O41, """;")</f>
        <v>#N/A</v>
      </c>
      <c r="Q41" s="13" t="e">
        <f>Map!R10</f>
        <v>#N/A</v>
      </c>
      <c r="R41" s="11" t="e">
        <f>_xlfn.CONCAT("        public string DescriptionMonsterPackSize =&gt; """, Q41, """;")</f>
        <v>#N/A</v>
      </c>
      <c r="S41" s="13" t="e">
        <f>Map!T10</f>
        <v>#N/A</v>
      </c>
      <c r="T41" s="11" t="e">
        <f>_xlfn.CONCAT("        public string DescriptionMonsterPackSize =&gt; """, S41, """;")</f>
        <v>#N/A</v>
      </c>
      <c r="V41" s="1" t="s">
        <v>98</v>
      </c>
    </row>
    <row r="42" spans="1:22" ht="15.95" customHeight="1" x14ac:dyDescent="0.25">
      <c r="A42" s="13" t="str">
        <f>'White Wind'!B15</f>
        <v>Requirements</v>
      </c>
      <c r="B42" s="11" t="str">
        <f>_xlfn.CONCAT("        public string DescriptionRequirements =&gt; """, A42, """;")</f>
        <v xml:space="preserve">        public string DescriptionRequirements =&gt; "Requirements";</v>
      </c>
      <c r="C42" s="13" t="e">
        <f>'White Wind'!D15</f>
        <v>#N/A</v>
      </c>
      <c r="D42" s="11" t="e">
        <f>_xlfn.CONCAT("        public string DescriptionRequirements =&gt; """, C42, """;")</f>
        <v>#N/A</v>
      </c>
      <c r="E42" s="13" t="e">
        <f>'White Wind'!F15</f>
        <v>#N/A</v>
      </c>
      <c r="F42" s="11" t="e">
        <f>_xlfn.CONCAT("        public string DescriptionRequirements =&gt; """, E42, """;")</f>
        <v>#N/A</v>
      </c>
      <c r="G42" s="13" t="str">
        <f>'White Wind'!H15</f>
        <v>Prérequis</v>
      </c>
      <c r="H42" s="11" t="str">
        <f>_xlfn.CONCAT("        public string DescriptionRequirements =&gt; """, G42, """;")</f>
        <v xml:space="preserve">        public string DescriptionRequirements =&gt; "Prérequis";</v>
      </c>
      <c r="I42" s="13" t="e">
        <f>'White Wind'!J15</f>
        <v>#N/A</v>
      </c>
      <c r="J42" s="11" t="e">
        <f>_xlfn.CONCAT("        public string DescriptionRequirements =&gt; """, I42, """;")</f>
        <v>#N/A</v>
      </c>
      <c r="K42" s="13" t="e">
        <f>'White Wind'!L15</f>
        <v>#N/A</v>
      </c>
      <c r="L42" s="11" t="e">
        <f>_xlfn.CONCAT("        public string DescriptionRequirements =&gt; """, K42, """;")</f>
        <v>#N/A</v>
      </c>
      <c r="M42" s="13" t="e">
        <f>'White Wind'!N15</f>
        <v>#N/A</v>
      </c>
      <c r="N42" s="11" t="e">
        <f>_xlfn.CONCAT("        public string DescriptionRequirements =&gt; """, M42, """;")</f>
        <v>#N/A</v>
      </c>
      <c r="O42" s="13" t="e">
        <f>'White Wind'!P15</f>
        <v>#N/A</v>
      </c>
      <c r="P42" s="11" t="e">
        <f>_xlfn.CONCAT("        public string DescriptionRequirements =&gt; """, O42, """;")</f>
        <v>#N/A</v>
      </c>
      <c r="Q42" s="13" t="e">
        <f>'White Wind'!R15</f>
        <v>#N/A</v>
      </c>
      <c r="R42" s="11" t="e">
        <f>_xlfn.CONCAT("        public string DescriptionRequirements =&gt; """, Q42, """;")</f>
        <v>#N/A</v>
      </c>
      <c r="S42" s="13" t="e">
        <f>'White Wind'!T15</f>
        <v>#N/A</v>
      </c>
      <c r="T42" s="11" t="e">
        <f>_xlfn.CONCAT("        public string DescriptionRequirements =&gt; """, S42, """;")</f>
        <v>#N/A</v>
      </c>
      <c r="V42" s="1" t="s">
        <v>82</v>
      </c>
    </row>
    <row r="43" spans="1:22" ht="15.95" customHeight="1" x14ac:dyDescent="0.25">
      <c r="A43" s="13" t="str">
        <f>Logbook!B7</f>
        <v>Area Level</v>
      </c>
      <c r="B43" s="11" t="str">
        <f>_xlfn.CONCAT("        public string DescriptionAreaLevel =&gt; """, A43, """;")</f>
        <v xml:space="preserve">        public string DescriptionAreaLevel =&gt; "Area Level";</v>
      </c>
      <c r="C43" s="13" t="e">
        <f>Logbook!D7</f>
        <v>#N/A</v>
      </c>
      <c r="D43" s="11" t="e">
        <f>_xlfn.CONCAT("        public string DescriptionAreaLevel =&gt; """, C43, """;")</f>
        <v>#N/A</v>
      </c>
      <c r="E43" s="13" t="e">
        <f>Logbook!F7</f>
        <v>#N/A</v>
      </c>
      <c r="F43" s="11" t="e">
        <f>_xlfn.CONCAT("        public string DescriptionAreaLevel =&gt; """, E43, """;")</f>
        <v>#N/A</v>
      </c>
      <c r="G43" s="13" t="str">
        <f>Logbook!H7</f>
        <v>Niveau de la zone</v>
      </c>
      <c r="H43" s="11" t="str">
        <f>_xlfn.CONCAT("        public string DescriptionAreaLevel =&gt; """, G43, """;")</f>
        <v xml:space="preserve">        public string DescriptionAreaLevel =&gt; "Niveau de la zone";</v>
      </c>
      <c r="I43" s="13" t="e">
        <f>Logbook!J7</f>
        <v>#N/A</v>
      </c>
      <c r="J43" s="11" t="e">
        <f>_xlfn.CONCAT("        public string DescriptionAreaLevel =&gt; """, I43, """;")</f>
        <v>#N/A</v>
      </c>
      <c r="K43" s="13" t="e">
        <f>Logbook!L7</f>
        <v>#N/A</v>
      </c>
      <c r="L43" s="11" t="e">
        <f>_xlfn.CONCAT("        public string DescriptionAreaLevel =&gt; """, K43, """;")</f>
        <v>#N/A</v>
      </c>
      <c r="M43" s="13" t="e">
        <f>Logbook!N7</f>
        <v>#N/A</v>
      </c>
      <c r="N43" s="11" t="e">
        <f>_xlfn.CONCAT("        public string DescriptionAreaLevel =&gt; """, M43, """;")</f>
        <v>#N/A</v>
      </c>
      <c r="O43" s="13" t="e">
        <f>Logbook!P7</f>
        <v>#N/A</v>
      </c>
      <c r="P43" s="11" t="e">
        <f>_xlfn.CONCAT("        public string DescriptionAreaLevel =&gt; """, O43, """;")</f>
        <v>#N/A</v>
      </c>
      <c r="Q43" s="13" t="e">
        <f>Logbook!R7</f>
        <v>#N/A</v>
      </c>
      <c r="R43" s="11" t="e">
        <f>_xlfn.CONCAT("        public string DescriptionAreaLevel =&gt; """, Q43, """;")</f>
        <v>#N/A</v>
      </c>
      <c r="S43" s="13" t="e">
        <f>Logbook!T7</f>
        <v>#N/A</v>
      </c>
      <c r="T43" s="11" t="e">
        <f>_xlfn.CONCAT("        public string DescriptionAreaLevel =&gt; """, S43, """;")</f>
        <v>#N/A</v>
      </c>
      <c r="V43" s="1" t="s">
        <v>99</v>
      </c>
    </row>
    <row r="44" spans="1:22" ht="15.95" customHeight="1" x14ac:dyDescent="0.25">
      <c r="A44" s="12" t="s">
        <v>28</v>
      </c>
      <c r="B44" s="11"/>
      <c r="C44" s="12" t="s">
        <v>28</v>
      </c>
      <c r="D44" s="11"/>
      <c r="E44" s="12" t="s">
        <v>28</v>
      </c>
      <c r="F44" s="11"/>
      <c r="G44" s="12" t="s">
        <v>28</v>
      </c>
      <c r="H44" s="11"/>
      <c r="I44" s="12" t="s">
        <v>28</v>
      </c>
      <c r="J44" s="11"/>
      <c r="K44" s="12" t="s">
        <v>28</v>
      </c>
      <c r="L44" s="11"/>
      <c r="M44" s="12" t="s">
        <v>28</v>
      </c>
      <c r="N44" s="11"/>
      <c r="O44" s="12" t="s">
        <v>28</v>
      </c>
      <c r="P44" s="11"/>
      <c r="Q44" s="12" t="s">
        <v>28</v>
      </c>
      <c r="R44" s="11"/>
      <c r="S44" s="12" t="s">
        <v>28</v>
      </c>
      <c r="T44" s="11"/>
      <c r="V44" s="1" t="s">
        <v>28</v>
      </c>
    </row>
    <row r="45" spans="1:22" ht="15.95" customHeight="1" x14ac:dyDescent="0.25">
      <c r="A45" s="13" t="str">
        <f>'Life Flask'!B7</f>
        <v>Superior</v>
      </c>
      <c r="B45" s="11" t="str">
        <f>_xlfn.CONCAT("        public string AffixSuperior =&gt; """, A45, """;")</f>
        <v xml:space="preserve">        public string AffixSuperior =&gt; "Superior";</v>
      </c>
      <c r="C45" s="13" t="e">
        <f>'Life Flask'!D7</f>
        <v>#N/A</v>
      </c>
      <c r="D45" s="11" t="e">
        <f>_xlfn.CONCAT("        public string AffixSuperior =&gt; """, C45, """;")</f>
        <v>#N/A</v>
      </c>
      <c r="E45" s="13" t="e">
        <f>'Life Flask'!F7</f>
        <v>#N/A</v>
      </c>
      <c r="F45" s="11" t="e">
        <f>_xlfn.CONCAT("        public string AffixSuperior =&gt; """, E45, """;")</f>
        <v>#N/A</v>
      </c>
      <c r="G45" s="13" t="str">
        <f>'Life Flask'!H7</f>
        <v>supérieur</v>
      </c>
      <c r="H45" s="11" t="str">
        <f>_xlfn.CONCAT("        public string AffixSuperior =&gt; """, G45, """;")</f>
        <v xml:space="preserve">        public string AffixSuperior =&gt; "supérieur";</v>
      </c>
      <c r="I45" s="13" t="e">
        <f>'Life Flask'!J7</f>
        <v>#N/A</v>
      </c>
      <c r="J45" s="11" t="e">
        <f>_xlfn.CONCAT("        public string AffixSuperior =&gt; """, I45, """;")</f>
        <v>#N/A</v>
      </c>
      <c r="K45" s="13" t="e">
        <f>'Life Flask'!L7</f>
        <v>#N/A</v>
      </c>
      <c r="L45" s="11" t="e">
        <f>_xlfn.CONCAT("        public string AffixSuperior =&gt; """, K45, """;")</f>
        <v>#N/A</v>
      </c>
      <c r="M45" s="13" t="e">
        <f>'Life Flask'!N7</f>
        <v>#N/A</v>
      </c>
      <c r="N45" s="11" t="e">
        <f>_xlfn.CONCAT("        public string AffixSuperior =&gt; """, M45, """;")</f>
        <v>#N/A</v>
      </c>
      <c r="O45" s="13" t="e">
        <f>'Life Flask'!P7</f>
        <v>#N/A</v>
      </c>
      <c r="P45" s="11" t="e">
        <f>_xlfn.CONCAT("        public string AffixSuperior =&gt; """, O45, """;")</f>
        <v>#N/A</v>
      </c>
      <c r="Q45" s="13" t="e">
        <f>'Life Flask'!R7</f>
        <v>#N/A</v>
      </c>
      <c r="R45" s="11" t="e">
        <f>_xlfn.CONCAT("        public string AffixSuperior =&gt; """, Q45, """;")</f>
        <v>#N/A</v>
      </c>
      <c r="S45" s="13" t="e">
        <f>'Life Flask'!T7</f>
        <v>#N/A</v>
      </c>
      <c r="T45" s="11" t="e">
        <f>_xlfn.CONCAT("        public string AffixSuperior =&gt; """, S45, """;")</f>
        <v>#N/A</v>
      </c>
      <c r="V45" s="1" t="s">
        <v>83</v>
      </c>
    </row>
    <row r="46" spans="1:22" ht="15.95" customHeight="1" x14ac:dyDescent="0.25">
      <c r="A46" s="13" t="str">
        <f>'Blighted Map'!B10</f>
        <v>Blighted</v>
      </c>
      <c r="B46" s="11" t="str">
        <f>_xlfn.CONCAT("        public string AffixBlighted =&gt; """, A46, """;")</f>
        <v xml:space="preserve">        public string AffixBlighted =&gt; "Blighted";</v>
      </c>
      <c r="C46" s="13" t="e">
        <f>'Blighted Map'!D10</f>
        <v>#N/A</v>
      </c>
      <c r="D46" s="11" t="e">
        <f>_xlfn.CONCAT("        public string AffixBlighted =&gt; """, C46, """;")</f>
        <v>#N/A</v>
      </c>
      <c r="E46" s="13" t="e">
        <f>'Blighted Map'!F10</f>
        <v>#N/A</v>
      </c>
      <c r="F46" s="11" t="e">
        <f>_xlfn.CONCAT("        public string AffixBlighted =&gt; """, E46, """;")</f>
        <v>#N/A</v>
      </c>
      <c r="G46" s="13" t="str">
        <f>'Blighted Map'!H10</f>
        <v>Carte infestée</v>
      </c>
      <c r="H46" s="11" t="str">
        <f>_xlfn.CONCAT("        public string AffixBlighted =&gt; """, G46, """;")</f>
        <v xml:space="preserve">        public string AffixBlighted =&gt; "Carte infestée";</v>
      </c>
      <c r="I46" s="13" t="e">
        <f>'Blighted Map'!J10</f>
        <v>#N/A</v>
      </c>
      <c r="J46" s="11" t="e">
        <f>_xlfn.CONCAT("        public string AffixBlighted =&gt; """, I46, """;")</f>
        <v>#N/A</v>
      </c>
      <c r="K46" s="13" t="e">
        <f>'Blighted Map'!L10</f>
        <v>#N/A</v>
      </c>
      <c r="L46" s="11" t="e">
        <f>_xlfn.CONCAT("        public string AffixBlighted =&gt; """, K46, """;")</f>
        <v>#N/A</v>
      </c>
      <c r="M46" s="13" t="e">
        <f>'Blighted Map'!N10</f>
        <v>#N/A</v>
      </c>
      <c r="N46" s="11" t="e">
        <f>_xlfn.CONCAT("        public string AffixBlighted =&gt; """, M46, """;")</f>
        <v>#N/A</v>
      </c>
      <c r="O46" s="13" t="e">
        <f>'Blighted Map'!P10</f>
        <v>#N/A</v>
      </c>
      <c r="P46" s="11" t="e">
        <f>_xlfn.CONCAT("        public string AffixBlighted =&gt; """, O46, """;")</f>
        <v>#N/A</v>
      </c>
      <c r="Q46" s="13" t="e">
        <f>'Blighted Map'!R10</f>
        <v>#N/A</v>
      </c>
      <c r="R46" s="11" t="e">
        <f>_xlfn.CONCAT("        public string AffixBlighted =&gt; """, Q46, """;")</f>
        <v>#N/A</v>
      </c>
      <c r="S46" s="13" t="e">
        <f>'Blighted Map'!T10</f>
        <v>#N/A</v>
      </c>
      <c r="T46" s="11" t="e">
        <f>_xlfn.CONCAT("        public string AffixBlighted =&gt; """, S46, """;")</f>
        <v>#N/A</v>
      </c>
      <c r="V46" s="1" t="s">
        <v>84</v>
      </c>
    </row>
    <row r="47" spans="1:22" ht="15.95" customHeight="1" x14ac:dyDescent="0.25">
      <c r="A47" s="13" t="str">
        <f>'Blight-ravaged Map'!B7</f>
        <v>Blight-ravaged</v>
      </c>
      <c r="B47" s="11" t="str">
        <f>_xlfn.CONCAT("        public string AffixBlightRavaged =&gt; """, A47, """;")</f>
        <v xml:space="preserve">        public string AffixBlightRavaged =&gt; "Blight-ravaged";</v>
      </c>
      <c r="C47" s="13" t="e">
        <f>'Blight-ravaged Map'!D7</f>
        <v>#N/A</v>
      </c>
      <c r="D47" s="11" t="e">
        <f>_xlfn.CONCAT("        public string AffixBlightRavaged =&gt; """, C47, """;")</f>
        <v>#N/A</v>
      </c>
      <c r="E47" s="13" t="e">
        <f>'Blight-ravaged Map'!F7</f>
        <v>#N/A</v>
      </c>
      <c r="F47" s="11" t="e">
        <f>_xlfn.CONCAT("        public string AffixBlightRavaged =&gt; """, E47, """;")</f>
        <v>#N/A</v>
      </c>
      <c r="G47" s="13" t="str">
        <f>'Blight-ravaged Map'!H7</f>
        <v>Carte ravagée par l'Infestation</v>
      </c>
      <c r="H47" s="11" t="str">
        <f>_xlfn.CONCAT("        public string AffixBlightRavaged =&gt; """, G47, """;")</f>
        <v xml:space="preserve">        public string AffixBlightRavaged =&gt; "Carte ravagée par l'Infestation";</v>
      </c>
      <c r="I47" s="13" t="e">
        <f>'Blight-ravaged Map'!J7</f>
        <v>#N/A</v>
      </c>
      <c r="J47" s="11" t="e">
        <f>_xlfn.CONCAT("        public string AffixBlightRavaged =&gt; """, I47, """;")</f>
        <v>#N/A</v>
      </c>
      <c r="K47" s="13" t="e">
        <f>'Blight-ravaged Map'!L7</f>
        <v>#N/A</v>
      </c>
      <c r="L47" s="11" t="e">
        <f>_xlfn.CONCAT("        public string AffixBlightRavaged =&gt; """, K47, """;")</f>
        <v>#N/A</v>
      </c>
      <c r="M47" s="13" t="e">
        <f>'Blight-ravaged Map'!N7</f>
        <v>#N/A</v>
      </c>
      <c r="N47" s="11" t="e">
        <f>_xlfn.CONCAT("        public string AffixBlightRavaged =&gt; """, M47, """;")</f>
        <v>#N/A</v>
      </c>
      <c r="O47" s="13" t="e">
        <f>'Blight-ravaged Map'!P7</f>
        <v>#N/A</v>
      </c>
      <c r="P47" s="11" t="e">
        <f>_xlfn.CONCAT("        public string AffixBlightRavaged =&gt; """, O47, """;")</f>
        <v>#N/A</v>
      </c>
      <c r="Q47" s="13" t="e">
        <f>'Blight-ravaged Map'!R7</f>
        <v>#N/A</v>
      </c>
      <c r="R47" s="11" t="e">
        <f>_xlfn.CONCAT("        public string AffixBlightRavaged =&gt; """, Q47, """;")</f>
        <v>#N/A</v>
      </c>
      <c r="S47" s="13" t="e">
        <f>'Blight-ravaged Map'!T7</f>
        <v>#N/A</v>
      </c>
      <c r="T47" s="11" t="e">
        <f>_xlfn.CONCAT("        public string AffixBlightRavaged =&gt; """, S47, """;")</f>
        <v>#N/A</v>
      </c>
      <c r="V47" s="1" t="s">
        <v>770</v>
      </c>
    </row>
    <row r="48" spans="1:22" ht="15.95" customHeight="1" x14ac:dyDescent="0.25">
      <c r="A48" s="13" t="str">
        <f>'Anomalous Gem'!B7</f>
        <v>Anomalous</v>
      </c>
      <c r="B48" s="11" t="str">
        <f>_xlfn.CONCAT("        public string AffixAnomalous =&gt; """, A48, """;")</f>
        <v xml:space="preserve">        public string AffixAnomalous =&gt; "Anomalous";</v>
      </c>
      <c r="C48" s="13" t="e">
        <f>'Anomalous Gem'!D7</f>
        <v>#N/A</v>
      </c>
      <c r="D48" s="11" t="e">
        <f>_xlfn.CONCAT("        public string AffixAnomalous =&gt; """, C48, """;")</f>
        <v>#N/A</v>
      </c>
      <c r="E48" s="13" t="e">
        <f>'Anomalous Gem'!F7</f>
        <v>#N/A</v>
      </c>
      <c r="F48" s="11" t="e">
        <f>_xlfn.CONCAT("        public string AffixAnomalous =&gt; """, E48, """;")</f>
        <v>#N/A</v>
      </c>
      <c r="G48" s="13" t="str">
        <f>'Anomalous Gem'!H7</f>
        <v>/anormale?s?/</v>
      </c>
      <c r="H48" s="11" t="str">
        <f>_xlfn.CONCAT("        public string AffixAnomalous =&gt; """, G48, """;")</f>
        <v xml:space="preserve">        public string AffixAnomalous =&gt; "/anormale?s?/";</v>
      </c>
      <c r="I48" s="13" t="e">
        <f>'Anomalous Gem'!J7</f>
        <v>#N/A</v>
      </c>
      <c r="J48" s="11" t="e">
        <f>_xlfn.CONCAT("        public string AffixAnomalous =&gt; """, I48, """;")</f>
        <v>#N/A</v>
      </c>
      <c r="K48" s="13" t="e">
        <f>'Anomalous Gem'!L7</f>
        <v>#N/A</v>
      </c>
      <c r="L48" s="11" t="e">
        <f>_xlfn.CONCAT("        public string AffixAnomalous =&gt; """, K48, """;")</f>
        <v>#N/A</v>
      </c>
      <c r="M48" s="13" t="e">
        <f>'Anomalous Gem'!N7</f>
        <v>#N/A</v>
      </c>
      <c r="N48" s="11" t="e">
        <f>_xlfn.CONCAT("        public string AffixAnomalous =&gt; """, M48, """;")</f>
        <v>#N/A</v>
      </c>
      <c r="O48" s="13" t="e">
        <f>'Anomalous Gem'!P7</f>
        <v>#N/A</v>
      </c>
      <c r="P48" s="11" t="e">
        <f>_xlfn.CONCAT("        public string AffixAnomalous =&gt; """, O48, """;")</f>
        <v>#N/A</v>
      </c>
      <c r="Q48" s="13" t="e">
        <f>'Anomalous Gem'!R7</f>
        <v>#N/A</v>
      </c>
      <c r="R48" s="11" t="e">
        <f>_xlfn.CONCAT("        public string AffixAnomalous =&gt; """, Q48, """;")</f>
        <v>#N/A</v>
      </c>
      <c r="S48" s="13" t="e">
        <f>'Anomalous Gem'!T7</f>
        <v>#N/A</v>
      </c>
      <c r="T48" s="11" t="e">
        <f>_xlfn.CONCAT("        public string AffixAnomalous =&gt; """, S48, """;")</f>
        <v>#N/A</v>
      </c>
      <c r="V48" s="1" t="s">
        <v>85</v>
      </c>
    </row>
    <row r="49" spans="1:22" ht="15.95" customHeight="1" x14ac:dyDescent="0.25">
      <c r="A49" s="13" t="str">
        <f>'Divergent Support Gem'!B7</f>
        <v>Divergent</v>
      </c>
      <c r="B49" s="11" t="str">
        <f>_xlfn.CONCAT("        public string AffixDivergent =&gt; """, A49, """;")</f>
        <v xml:space="preserve">        public string AffixDivergent =&gt; "Divergent";</v>
      </c>
      <c r="C49" s="13" t="e">
        <f>'Divergent Support Gem'!D7</f>
        <v>#N/A</v>
      </c>
      <c r="D49" s="11" t="e">
        <f>_xlfn.CONCAT("        public string AffixDivergent =&gt; """, C49, """;")</f>
        <v>#N/A</v>
      </c>
      <c r="E49" s="13" t="e">
        <f>'Divergent Support Gem'!F7</f>
        <v>#N/A</v>
      </c>
      <c r="F49" s="11" t="e">
        <f>_xlfn.CONCAT("        public string AffixDivergent =&gt; """, E49, """;")</f>
        <v>#N/A</v>
      </c>
      <c r="G49" s="13" t="str">
        <f>'Divergent Support Gem'!H7</f>
        <v>/divergente?s?/</v>
      </c>
      <c r="H49" s="11" t="str">
        <f>_xlfn.CONCAT("        public string AffixDivergent =&gt; """, G49, """;")</f>
        <v xml:space="preserve">        public string AffixDivergent =&gt; "/divergente?s?/";</v>
      </c>
      <c r="I49" s="13" t="e">
        <f>'Divergent Support Gem'!J7</f>
        <v>#N/A</v>
      </c>
      <c r="J49" s="11" t="e">
        <f>_xlfn.CONCAT("        public string AffixDivergent =&gt; """, I49, """;")</f>
        <v>#N/A</v>
      </c>
      <c r="K49" s="13" t="e">
        <f>'Divergent Support Gem'!L7</f>
        <v>#N/A</v>
      </c>
      <c r="L49" s="11" t="e">
        <f>_xlfn.CONCAT("        public string AffixDivergent =&gt; """, K49, """;")</f>
        <v>#N/A</v>
      </c>
      <c r="M49" s="13" t="e">
        <f>'Divergent Support Gem'!N7</f>
        <v>#N/A</v>
      </c>
      <c r="N49" s="11" t="e">
        <f>_xlfn.CONCAT("        public string AffixDivergent =&gt; """, M49, """;")</f>
        <v>#N/A</v>
      </c>
      <c r="O49" s="13" t="e">
        <f>'Divergent Support Gem'!P7</f>
        <v>#N/A</v>
      </c>
      <c r="P49" s="11" t="e">
        <f>_xlfn.CONCAT("        public string AffixDivergent =&gt; """, O49, """;")</f>
        <v>#N/A</v>
      </c>
      <c r="Q49" s="13" t="e">
        <f>'Divergent Support Gem'!R7</f>
        <v>#N/A</v>
      </c>
      <c r="R49" s="11" t="e">
        <f>_xlfn.CONCAT("        public string AffixDivergent =&gt; """, Q49, """;")</f>
        <v>#N/A</v>
      </c>
      <c r="S49" s="13" t="e">
        <f>'Divergent Support Gem'!T7</f>
        <v>#N/A</v>
      </c>
      <c r="T49" s="11" t="e">
        <f>_xlfn.CONCAT("        public string AffixDivergent =&gt; """, S49, """;")</f>
        <v>#N/A</v>
      </c>
      <c r="V49" s="1" t="s">
        <v>86</v>
      </c>
    </row>
    <row r="50" spans="1:22" ht="15.95" customHeight="1" x14ac:dyDescent="0.25">
      <c r="A50" s="13" t="str">
        <f>'Phantasmal Gem'!B7</f>
        <v>Phantasmal</v>
      </c>
      <c r="B50" s="11" t="str">
        <f>_xlfn.CONCAT("        public string AffixPhantasmal =&gt; """, A50, """;")</f>
        <v xml:space="preserve">        public string AffixPhantasmal =&gt; "Phantasmal";</v>
      </c>
      <c r="C50" s="13" t="e">
        <f>'Phantasmal Gem'!D7</f>
        <v>#N/A</v>
      </c>
      <c r="D50" s="11" t="e">
        <f>_xlfn.CONCAT("        public string AffixPhantasmal =&gt; """, C50, """;")</f>
        <v>#N/A</v>
      </c>
      <c r="E50" s="13" t="e">
        <f>'Phantasmal Gem'!F7</f>
        <v>#N/A</v>
      </c>
      <c r="F50" s="11" t="e">
        <f>_xlfn.CONCAT("        public string AffixPhantasmal =&gt; """, E50, """;")</f>
        <v>#N/A</v>
      </c>
      <c r="G50" s="13" t="str">
        <f>'Phantasmal Gem'!H7</f>
        <v>/fantasmatiques?/</v>
      </c>
      <c r="H50" s="11" t="str">
        <f>_xlfn.CONCAT("        public string AffixPhantasmal =&gt; """, G50, """;")</f>
        <v xml:space="preserve">        public string AffixPhantasmal =&gt; "/fantasmatiques?/";</v>
      </c>
      <c r="I50" s="13" t="e">
        <f>'Phantasmal Gem'!J7</f>
        <v>#N/A</v>
      </c>
      <c r="J50" s="11" t="e">
        <f>_xlfn.CONCAT("        public string AffixPhantasmal =&gt; """, I50, """;")</f>
        <v>#N/A</v>
      </c>
      <c r="K50" s="13" t="e">
        <f>'Phantasmal Gem'!L7</f>
        <v>#N/A</v>
      </c>
      <c r="L50" s="11" t="e">
        <f>_xlfn.CONCAT("        public string AffixPhantasmal =&gt; """, K50, """;")</f>
        <v>#N/A</v>
      </c>
      <c r="M50" s="13" t="e">
        <f>'Phantasmal Gem'!N7</f>
        <v>#N/A</v>
      </c>
      <c r="N50" s="11" t="e">
        <f>_xlfn.CONCAT("        public string AffixPhantasmal =&gt; """, M50, """;")</f>
        <v>#N/A</v>
      </c>
      <c r="O50" s="13" t="e">
        <f>'Phantasmal Gem'!P7</f>
        <v>#N/A</v>
      </c>
      <c r="P50" s="11" t="e">
        <f>_xlfn.CONCAT("        public string AffixPhantasmal =&gt; """, O50, """;")</f>
        <v>#N/A</v>
      </c>
      <c r="Q50" s="13" t="e">
        <f>'Phantasmal Gem'!R7</f>
        <v>#N/A</v>
      </c>
      <c r="R50" s="11" t="e">
        <f>_xlfn.CONCAT("        public string AffixPhantasmal =&gt; """, Q50, """;")</f>
        <v>#N/A</v>
      </c>
      <c r="S50" s="13" t="e">
        <f>'Phantasmal Gem'!T7</f>
        <v>#N/A</v>
      </c>
      <c r="T50" s="11" t="e">
        <f>_xlfn.CONCAT("        public string AffixPhantasmal =&gt; """, S50, """;")</f>
        <v>#N/A</v>
      </c>
      <c r="V50" s="1" t="s">
        <v>100</v>
      </c>
    </row>
    <row r="51" spans="1:22" ht="15.95" customHeight="1" x14ac:dyDescent="0.25">
      <c r="A51" s="12" t="s">
        <v>28</v>
      </c>
      <c r="B51" s="11"/>
      <c r="C51" s="12" t="s">
        <v>28</v>
      </c>
      <c r="D51" s="11"/>
      <c r="E51" s="12" t="s">
        <v>28</v>
      </c>
      <c r="F51" s="11"/>
      <c r="G51" s="12" t="s">
        <v>28</v>
      </c>
      <c r="H51" s="11"/>
      <c r="I51" s="12" t="s">
        <v>28</v>
      </c>
      <c r="J51" s="11"/>
      <c r="K51" s="12" t="s">
        <v>28</v>
      </c>
      <c r="L51" s="11"/>
      <c r="M51" s="12" t="s">
        <v>28</v>
      </c>
      <c r="N51" s="11"/>
      <c r="O51" s="12" t="s">
        <v>28</v>
      </c>
      <c r="P51" s="11"/>
      <c r="Q51" s="12" t="s">
        <v>28</v>
      </c>
      <c r="R51" s="11"/>
      <c r="S51" s="12" t="s">
        <v>28</v>
      </c>
      <c r="T51" s="11"/>
      <c r="V51" s="1" t="s">
        <v>28</v>
      </c>
    </row>
    <row r="52" spans="1:22" ht="15.95" customHeight="1" x14ac:dyDescent="0.25">
      <c r="A52" s="13" t="str">
        <f>Shaper!B23</f>
        <v>Shaper Item</v>
      </c>
      <c r="B52" s="11" t="str">
        <f>_xlfn.CONCAT("        public string InfluenceShaper =&gt; """, A52, """;")</f>
        <v xml:space="preserve">        public string InfluenceShaper =&gt; "Shaper Item";</v>
      </c>
      <c r="C52" s="13">
        <f>Shaper!D23</f>
        <v>0</v>
      </c>
      <c r="D52" s="11" t="str">
        <f>_xlfn.CONCAT("        public string InfluenceShaper =&gt; """, C52, """;")</f>
        <v xml:space="preserve">        public string InfluenceShaper =&gt; "0";</v>
      </c>
      <c r="E52" s="13">
        <f>Shaper!F23</f>
        <v>0</v>
      </c>
      <c r="F52" s="11" t="str">
        <f>_xlfn.CONCAT("        public string InfluenceShaper =&gt; """, E52, """;")</f>
        <v xml:space="preserve">        public string InfluenceShaper =&gt; "0";</v>
      </c>
      <c r="G52" s="13" t="str">
        <f>Shaper!H23</f>
        <v>Objet du Façonneur</v>
      </c>
      <c r="H52" s="11" t="str">
        <f>_xlfn.CONCAT("        public string InfluenceShaper =&gt; """, G52, """;")</f>
        <v xml:space="preserve">        public string InfluenceShaper =&gt; "Objet du Façonneur";</v>
      </c>
      <c r="I52" s="13">
        <f>Shaper!J23</f>
        <v>0</v>
      </c>
      <c r="J52" s="11" t="str">
        <f>_xlfn.CONCAT("        public string InfluenceShaper =&gt; """, I52, """;")</f>
        <v xml:space="preserve">        public string InfluenceShaper =&gt; "0";</v>
      </c>
      <c r="K52" s="13">
        <f>Shaper!L23</f>
        <v>0</v>
      </c>
      <c r="L52" s="11" t="str">
        <f>_xlfn.CONCAT("        public string InfluenceShaper =&gt; """, K52, """;")</f>
        <v xml:space="preserve">        public string InfluenceShaper =&gt; "0";</v>
      </c>
      <c r="M52" s="13">
        <f>Shaper!N23</f>
        <v>0</v>
      </c>
      <c r="N52" s="11" t="str">
        <f>_xlfn.CONCAT("        public string InfluenceShaper =&gt; """, M52, """;")</f>
        <v xml:space="preserve">        public string InfluenceShaper =&gt; "0";</v>
      </c>
      <c r="O52" s="13">
        <f>Shaper!P23</f>
        <v>0</v>
      </c>
      <c r="P52" s="11" t="str">
        <f>_xlfn.CONCAT("        public string InfluenceShaper =&gt; """, O52, """;")</f>
        <v xml:space="preserve">        public string InfluenceShaper =&gt; "0";</v>
      </c>
      <c r="Q52" s="13">
        <f>Shaper!R23</f>
        <v>0</v>
      </c>
      <c r="R52" s="11" t="str">
        <f>_xlfn.CONCAT("        public string InfluenceShaper =&gt; """, Q52, """;")</f>
        <v xml:space="preserve">        public string InfluenceShaper =&gt; "0";</v>
      </c>
      <c r="S52" s="13">
        <f>Shaper!T23</f>
        <v>0</v>
      </c>
      <c r="T52" s="11" t="str">
        <f>_xlfn.CONCAT("        public string InfluenceShaper =&gt; """, S52, """;")</f>
        <v xml:space="preserve">        public string InfluenceShaper =&gt; "0";</v>
      </c>
      <c r="V52" s="1" t="s">
        <v>814</v>
      </c>
    </row>
    <row r="53" spans="1:22" ht="15.95" customHeight="1" x14ac:dyDescent="0.25">
      <c r="A53" s="13" t="str">
        <f>Elder!B27</f>
        <v>Elder Item</v>
      </c>
      <c r="B53" s="11" t="str">
        <f>_xlfn.CONCAT("        public string InfluenceElder =&gt; """, A53, """;")</f>
        <v xml:space="preserve">        public string InfluenceElder =&gt; "Elder Item";</v>
      </c>
      <c r="C53" s="13">
        <f>Elder!D27</f>
        <v>0</v>
      </c>
      <c r="D53" s="11" t="str">
        <f>_xlfn.CONCAT("        public string InfluenceElder =&gt; """, C53, """;")</f>
        <v xml:space="preserve">        public string InfluenceElder =&gt; "0";</v>
      </c>
      <c r="E53" s="13">
        <f>Elder!F27</f>
        <v>0</v>
      </c>
      <c r="F53" s="11" t="str">
        <f>_xlfn.CONCAT("        public string InfluenceElder =&gt; """, E53, """;")</f>
        <v xml:space="preserve">        public string InfluenceElder =&gt; "0";</v>
      </c>
      <c r="G53" s="13" t="str">
        <f>Elder!H27</f>
        <v>Objet de l'Ancien</v>
      </c>
      <c r="H53" s="11" t="str">
        <f>_xlfn.CONCAT("        public string InfluenceElder =&gt; """, G53, """;")</f>
        <v xml:space="preserve">        public string InfluenceElder =&gt; "Objet de l'Ancien";</v>
      </c>
      <c r="I53" s="13">
        <f>Elder!J27</f>
        <v>0</v>
      </c>
      <c r="J53" s="11" t="str">
        <f>_xlfn.CONCAT("        public string InfluenceElder =&gt; """, I53, """;")</f>
        <v xml:space="preserve">        public string InfluenceElder =&gt; "0";</v>
      </c>
      <c r="K53" s="13">
        <f>Elder!L27</f>
        <v>0</v>
      </c>
      <c r="L53" s="11" t="str">
        <f>_xlfn.CONCAT("        public string InfluenceElder =&gt; """, K53, """;")</f>
        <v xml:space="preserve">        public string InfluenceElder =&gt; "0";</v>
      </c>
      <c r="M53" s="13">
        <f>Elder!N27</f>
        <v>0</v>
      </c>
      <c r="N53" s="11" t="str">
        <f>_xlfn.CONCAT("        public string InfluenceElder =&gt; """, M53, """;")</f>
        <v xml:space="preserve">        public string InfluenceElder =&gt; "0";</v>
      </c>
      <c r="O53" s="13">
        <f>Elder!P27</f>
        <v>0</v>
      </c>
      <c r="P53" s="11" t="str">
        <f>_xlfn.CONCAT("        public string InfluenceElder =&gt; """, O53, """;")</f>
        <v xml:space="preserve">        public string InfluenceElder =&gt; "0";</v>
      </c>
      <c r="Q53" s="13">
        <f>Elder!R27</f>
        <v>0</v>
      </c>
      <c r="R53" s="11" t="str">
        <f>_xlfn.CONCAT("        public string InfluenceElder =&gt; """, Q53, """;")</f>
        <v xml:space="preserve">        public string InfluenceElder =&gt; "0";</v>
      </c>
      <c r="S53" s="13">
        <f>Elder!T27</f>
        <v>0</v>
      </c>
      <c r="T53" s="11" t="str">
        <f>_xlfn.CONCAT("        public string InfluenceElder =&gt; """, S53, """;")</f>
        <v xml:space="preserve">        public string InfluenceElder =&gt; "0";</v>
      </c>
      <c r="V53" s="1" t="s">
        <v>839</v>
      </c>
    </row>
    <row r="54" spans="1:22" ht="15.95" customHeight="1" x14ac:dyDescent="0.25">
      <c r="A54" s="13" t="str">
        <f>Crusader!B20</f>
        <v>Crusader Item</v>
      </c>
      <c r="B54" s="11" t="str">
        <f>_xlfn.CONCAT("        public string InfluenceCrusader =&gt; """, A54, """;")</f>
        <v xml:space="preserve">        public string InfluenceCrusader =&gt; "Crusader Item";</v>
      </c>
      <c r="C54" s="13">
        <f>Crusader!D20</f>
        <v>0</v>
      </c>
      <c r="D54" s="11" t="str">
        <f>_xlfn.CONCAT("        public string InfluenceCrusader =&gt; """, C54, """;")</f>
        <v xml:space="preserve">        public string InfluenceCrusader =&gt; "0";</v>
      </c>
      <c r="E54" s="13">
        <f>Crusader!F20</f>
        <v>0</v>
      </c>
      <c r="F54" s="11" t="str">
        <f>_xlfn.CONCAT("        public string InfluenceCrusader =&gt; """, E54, """;")</f>
        <v xml:space="preserve">        public string InfluenceCrusader =&gt; "0";</v>
      </c>
      <c r="G54" s="13" t="str">
        <f>Crusader!H20</f>
        <v>Objet du Croisé</v>
      </c>
      <c r="H54" s="11" t="str">
        <f>_xlfn.CONCAT("        public string InfluenceCrusader =&gt; """, G54, """;")</f>
        <v xml:space="preserve">        public string InfluenceCrusader =&gt; "Objet du Croisé";</v>
      </c>
      <c r="I54" s="13">
        <f>Crusader!J20</f>
        <v>0</v>
      </c>
      <c r="J54" s="11" t="str">
        <f>_xlfn.CONCAT("        public string InfluenceCrusader =&gt; """, I54, """;")</f>
        <v xml:space="preserve">        public string InfluenceCrusader =&gt; "0";</v>
      </c>
      <c r="K54" s="13">
        <f>Crusader!L20</f>
        <v>0</v>
      </c>
      <c r="L54" s="11" t="str">
        <f>_xlfn.CONCAT("        public string InfluenceCrusader =&gt; """, K54, """;")</f>
        <v xml:space="preserve">        public string InfluenceCrusader =&gt; "0";</v>
      </c>
      <c r="M54" s="13">
        <f>Crusader!N20</f>
        <v>0</v>
      </c>
      <c r="N54" s="11" t="str">
        <f>_xlfn.CONCAT("        public string InfluenceCrusader =&gt; """, M54, """;")</f>
        <v xml:space="preserve">        public string InfluenceCrusader =&gt; "0";</v>
      </c>
      <c r="O54" s="13">
        <f>Crusader!P20</f>
        <v>0</v>
      </c>
      <c r="P54" s="11" t="str">
        <f>_xlfn.CONCAT("        public string InfluenceCrusader =&gt; """, O54, """;")</f>
        <v xml:space="preserve">        public string InfluenceCrusader =&gt; "0";</v>
      </c>
      <c r="Q54" s="13">
        <f>Crusader!R20</f>
        <v>0</v>
      </c>
      <c r="R54" s="11" t="str">
        <f>_xlfn.CONCAT("        public string InfluenceCrusader =&gt; """, Q54, """;")</f>
        <v xml:space="preserve">        public string InfluenceCrusader =&gt; "0";</v>
      </c>
      <c r="S54" s="13">
        <f>Crusader!T20</f>
        <v>0</v>
      </c>
      <c r="T54" s="11" t="str">
        <f>_xlfn.CONCAT("        public string InfluenceCrusader =&gt; """, S54, """;")</f>
        <v xml:space="preserve">        public string InfluenceCrusader =&gt; "0";</v>
      </c>
      <c r="V54" s="1" t="s">
        <v>857</v>
      </c>
    </row>
    <row r="55" spans="1:22" ht="15.95" customHeight="1" x14ac:dyDescent="0.25">
      <c r="A55" s="13" t="str">
        <f>Hunter!B23</f>
        <v>Hunter Item</v>
      </c>
      <c r="B55" s="11" t="str">
        <f>_xlfn.CONCAT("        public string InfluenceHunter =&gt; """, A55, """;")</f>
        <v xml:space="preserve">        public string InfluenceHunter =&gt; "Hunter Item";</v>
      </c>
      <c r="C55" s="13">
        <f>Hunter!D23</f>
        <v>0</v>
      </c>
      <c r="D55" s="11" t="str">
        <f>_xlfn.CONCAT("        public string InfluenceHunter =&gt; """, C55, """;")</f>
        <v xml:space="preserve">        public string InfluenceHunter =&gt; "0";</v>
      </c>
      <c r="E55" s="13">
        <f>Hunter!F23</f>
        <v>0</v>
      </c>
      <c r="F55" s="11" t="str">
        <f>_xlfn.CONCAT("        public string InfluenceHunter =&gt; """, E55, """;")</f>
        <v xml:space="preserve">        public string InfluenceHunter =&gt; "0";</v>
      </c>
      <c r="G55" s="13" t="str">
        <f>Hunter!H23</f>
        <v>Objet du Chasseur</v>
      </c>
      <c r="H55" s="11" t="str">
        <f>_xlfn.CONCAT("        public string InfluenceHunter =&gt; """, G55, """;")</f>
        <v xml:space="preserve">        public string InfluenceHunter =&gt; "Objet du Chasseur";</v>
      </c>
      <c r="I55" s="13">
        <f>Hunter!J23</f>
        <v>0</v>
      </c>
      <c r="J55" s="11" t="str">
        <f>_xlfn.CONCAT("        public string InfluenceHunter =&gt; """, I55, """;")</f>
        <v xml:space="preserve">        public string InfluenceHunter =&gt; "0";</v>
      </c>
      <c r="K55" s="13">
        <f>Hunter!L23</f>
        <v>0</v>
      </c>
      <c r="L55" s="11" t="str">
        <f>_xlfn.CONCAT("        public string InfluenceHunter =&gt; """, K55, """;")</f>
        <v xml:space="preserve">        public string InfluenceHunter =&gt; "0";</v>
      </c>
      <c r="M55" s="13">
        <f>Hunter!N23</f>
        <v>0</v>
      </c>
      <c r="N55" s="11" t="str">
        <f>_xlfn.CONCAT("        public string InfluenceHunter =&gt; """, M55, """;")</f>
        <v xml:space="preserve">        public string InfluenceHunter =&gt; "0";</v>
      </c>
      <c r="O55" s="13">
        <f>Hunter!P23</f>
        <v>0</v>
      </c>
      <c r="P55" s="11" t="str">
        <f>_xlfn.CONCAT("        public string InfluenceHunter =&gt; """, O55, """;")</f>
        <v xml:space="preserve">        public string InfluenceHunter =&gt; "0";</v>
      </c>
      <c r="Q55" s="13">
        <f>Hunter!R23</f>
        <v>0</v>
      </c>
      <c r="R55" s="11" t="str">
        <f>_xlfn.CONCAT("        public string InfluenceHunter =&gt; """, Q55, """;")</f>
        <v xml:space="preserve">        public string InfluenceHunter =&gt; "0";</v>
      </c>
      <c r="S55" s="13">
        <f>Hunter!T23</f>
        <v>0</v>
      </c>
      <c r="T55" s="11" t="str">
        <f>_xlfn.CONCAT("        public string InfluenceHunter =&gt; """, S55, """;")</f>
        <v xml:space="preserve">        public string InfluenceHunter =&gt; "0";</v>
      </c>
      <c r="V55" s="1" t="s">
        <v>825</v>
      </c>
    </row>
    <row r="56" spans="1:22" ht="15.95" customHeight="1" x14ac:dyDescent="0.25">
      <c r="A56" s="13" t="str">
        <f>Redeemer!B21</f>
        <v>Redeemer Item</v>
      </c>
      <c r="B56" s="11" t="str">
        <f>_xlfn.CONCAT("        public string InfluenceRedeemer =&gt; """, A56, """;")</f>
        <v xml:space="preserve">        public string InfluenceRedeemer =&gt; "Redeemer Item";</v>
      </c>
      <c r="C56" s="13">
        <f>Redeemer!D21</f>
        <v>0</v>
      </c>
      <c r="D56" s="11" t="str">
        <f>_xlfn.CONCAT("        public string InfluenceRedeemer =&gt; """, C56, """;")</f>
        <v xml:space="preserve">        public string InfluenceRedeemer =&gt; "0";</v>
      </c>
      <c r="E56" s="13">
        <f>Redeemer!F21</f>
        <v>0</v>
      </c>
      <c r="F56" s="11" t="str">
        <f>_xlfn.CONCAT("        public string InfluenceRedeemer =&gt; """, E56, """;")</f>
        <v xml:space="preserve">        public string InfluenceRedeemer =&gt; "0";</v>
      </c>
      <c r="G56" s="13" t="str">
        <f>Redeemer!H21</f>
        <v>Objet de la Rédemptrice</v>
      </c>
      <c r="H56" s="11" t="str">
        <f>_xlfn.CONCAT("        public string InfluenceRedeemer =&gt; """, G56, """;")</f>
        <v xml:space="preserve">        public string InfluenceRedeemer =&gt; "Objet de la Rédemptrice";</v>
      </c>
      <c r="I56" s="13">
        <f>Redeemer!J21</f>
        <v>0</v>
      </c>
      <c r="J56" s="11" t="str">
        <f>_xlfn.CONCAT("        public string InfluenceRedeemer =&gt; """, I56, """;")</f>
        <v xml:space="preserve">        public string InfluenceRedeemer =&gt; "0";</v>
      </c>
      <c r="K56" s="13">
        <f>Redeemer!L21</f>
        <v>0</v>
      </c>
      <c r="L56" s="11" t="str">
        <f>_xlfn.CONCAT("        public string InfluenceRedeemer =&gt; """, K56, """;")</f>
        <v xml:space="preserve">        public string InfluenceRedeemer =&gt; "0";</v>
      </c>
      <c r="M56" s="13">
        <f>Redeemer!N21</f>
        <v>0</v>
      </c>
      <c r="N56" s="11" t="str">
        <f>_xlfn.CONCAT("        public string InfluenceRedeemer =&gt; """, M56, """;")</f>
        <v xml:space="preserve">        public string InfluenceRedeemer =&gt; "0";</v>
      </c>
      <c r="O56" s="13">
        <f>Redeemer!P21</f>
        <v>0</v>
      </c>
      <c r="P56" s="11" t="str">
        <f>_xlfn.CONCAT("        public string InfluenceRedeemer =&gt; """, O56, """;")</f>
        <v xml:space="preserve">        public string InfluenceRedeemer =&gt; "0";</v>
      </c>
      <c r="Q56" s="13">
        <f>Redeemer!R21</f>
        <v>0</v>
      </c>
      <c r="R56" s="11" t="str">
        <f>_xlfn.CONCAT("        public string InfluenceRedeemer =&gt; """, Q56, """;")</f>
        <v xml:space="preserve">        public string InfluenceRedeemer =&gt; "0";</v>
      </c>
      <c r="S56" s="13">
        <f>Redeemer!T21</f>
        <v>0</v>
      </c>
      <c r="T56" s="11" t="str">
        <f>_xlfn.CONCAT("        public string InfluenceRedeemer =&gt; """, S56, """;")</f>
        <v xml:space="preserve">        public string InfluenceRedeemer =&gt; "0";</v>
      </c>
      <c r="V56" s="1" t="s">
        <v>849</v>
      </c>
    </row>
    <row r="57" spans="1:22" ht="15.95" customHeight="1" x14ac:dyDescent="0.25">
      <c r="A57" s="13" t="str">
        <f>Warlord!B24</f>
        <v>Warlord Item</v>
      </c>
      <c r="B57" s="11" t="str">
        <f>_xlfn.CONCAT("        public string InfluenceWarlord =&gt; """, A57, """;")</f>
        <v xml:space="preserve">        public string InfluenceWarlord =&gt; "Warlord Item";</v>
      </c>
      <c r="C57" s="13">
        <f>Warlord!D24</f>
        <v>0</v>
      </c>
      <c r="D57" s="11" t="str">
        <f>_xlfn.CONCAT("        public string InfluenceWarlord =&gt; """, C57, """;")</f>
        <v xml:space="preserve">        public string InfluenceWarlord =&gt; "0";</v>
      </c>
      <c r="E57" s="13">
        <f>Warlord!F24</f>
        <v>0</v>
      </c>
      <c r="F57" s="11" t="str">
        <f>_xlfn.CONCAT("        public string InfluenceWarlord =&gt; """, E57, """;")</f>
        <v xml:space="preserve">        public string InfluenceWarlord =&gt; "0";</v>
      </c>
      <c r="G57" s="13" t="str">
        <f>Warlord!H24</f>
        <v>Objet du Seigneur de guerre</v>
      </c>
      <c r="H57" s="11" t="str">
        <f>_xlfn.CONCAT("        public string InfluenceWarlord =&gt; """, G57, """;")</f>
        <v xml:space="preserve">        public string InfluenceWarlord =&gt; "Objet du Seigneur de guerre";</v>
      </c>
      <c r="I57" s="13">
        <f>Warlord!J24</f>
        <v>0</v>
      </c>
      <c r="J57" s="11" t="str">
        <f>_xlfn.CONCAT("        public string InfluenceWarlord =&gt; """, I57, """;")</f>
        <v xml:space="preserve">        public string InfluenceWarlord =&gt; "0";</v>
      </c>
      <c r="K57" s="13">
        <f>Warlord!L24</f>
        <v>0</v>
      </c>
      <c r="L57" s="11" t="str">
        <f>_xlfn.CONCAT("        public string InfluenceWarlord =&gt; """, K57, """;")</f>
        <v xml:space="preserve">        public string InfluenceWarlord =&gt; "0";</v>
      </c>
      <c r="M57" s="13">
        <f>Warlord!N24</f>
        <v>0</v>
      </c>
      <c r="N57" s="11" t="str">
        <f>_xlfn.CONCAT("        public string InfluenceWarlord =&gt; """, M57, """;")</f>
        <v xml:space="preserve">        public string InfluenceWarlord =&gt; "0";</v>
      </c>
      <c r="O57" s="13">
        <f>Warlord!P24</f>
        <v>0</v>
      </c>
      <c r="P57" s="11" t="str">
        <f>_xlfn.CONCAT("        public string InfluenceWarlord =&gt; """, O57, """;")</f>
        <v xml:space="preserve">        public string InfluenceWarlord =&gt; "0";</v>
      </c>
      <c r="Q57" s="13">
        <f>Warlord!R24</f>
        <v>0</v>
      </c>
      <c r="R57" s="11" t="str">
        <f>_xlfn.CONCAT("        public string InfluenceWarlord =&gt; """, Q57, """;")</f>
        <v xml:space="preserve">        public string InfluenceWarlord =&gt; "0";</v>
      </c>
      <c r="S57" s="13">
        <f>Warlord!T24</f>
        <v>0</v>
      </c>
      <c r="T57" s="11" t="str">
        <f>_xlfn.CONCAT("        public string InfluenceWarlord =&gt; """, S57, """;")</f>
        <v xml:space="preserve">        public string InfluenceWarlord =&gt; "0";</v>
      </c>
      <c r="V57" s="1" t="s">
        <v>806</v>
      </c>
    </row>
    <row r="58" spans="1:22" ht="15.95" customHeight="1" x14ac:dyDescent="0.25">
      <c r="A58" s="12" t="s">
        <v>28</v>
      </c>
      <c r="B58" s="11"/>
      <c r="C58" s="12" t="s">
        <v>28</v>
      </c>
      <c r="D58" s="11"/>
      <c r="E58" s="12" t="s">
        <v>28</v>
      </c>
      <c r="F58" s="11"/>
      <c r="G58" s="12" t="s">
        <v>28</v>
      </c>
      <c r="H58" s="11"/>
      <c r="I58" s="12" t="s">
        <v>28</v>
      </c>
      <c r="J58" s="11"/>
      <c r="K58" s="12" t="s">
        <v>28</v>
      </c>
      <c r="L58" s="11"/>
      <c r="M58" s="12" t="s">
        <v>28</v>
      </c>
      <c r="N58" s="11"/>
      <c r="O58" s="12" t="s">
        <v>28</v>
      </c>
      <c r="P58" s="11"/>
      <c r="Q58" s="12" t="s">
        <v>28</v>
      </c>
      <c r="R58" s="11"/>
      <c r="S58" s="12" t="s">
        <v>28</v>
      </c>
      <c r="T58" s="11"/>
      <c r="V58" s="1" t="s">
        <v>28</v>
      </c>
    </row>
    <row r="59" spans="1:22" ht="15.95" customHeight="1" x14ac:dyDescent="0.25">
      <c r="A59" s="12" t="s">
        <v>28</v>
      </c>
      <c r="B59" s="11" t="s">
        <v>107</v>
      </c>
      <c r="C59" s="12" t="s">
        <v>28</v>
      </c>
      <c r="D59" s="11" t="s">
        <v>107</v>
      </c>
      <c r="E59" s="12" t="s">
        <v>28</v>
      </c>
      <c r="F59" s="11" t="s">
        <v>107</v>
      </c>
      <c r="G59" s="12" t="s">
        <v>28</v>
      </c>
      <c r="H59" s="11" t="s">
        <v>107</v>
      </c>
      <c r="I59" s="12" t="s">
        <v>28</v>
      </c>
      <c r="J59" s="11" t="s">
        <v>107</v>
      </c>
      <c r="K59" s="12" t="s">
        <v>28</v>
      </c>
      <c r="L59" s="11" t="s">
        <v>107</v>
      </c>
      <c r="M59" s="12" t="s">
        <v>28</v>
      </c>
      <c r="N59" s="11" t="s">
        <v>107</v>
      </c>
      <c r="O59" s="12" t="s">
        <v>28</v>
      </c>
      <c r="P59" s="11" t="s">
        <v>107</v>
      </c>
      <c r="Q59" s="12" t="s">
        <v>28</v>
      </c>
      <c r="R59" s="11" t="s">
        <v>107</v>
      </c>
      <c r="S59" s="12" t="s">
        <v>28</v>
      </c>
      <c r="T59" s="11" t="s">
        <v>107</v>
      </c>
      <c r="V59" s="1" t="s">
        <v>28</v>
      </c>
    </row>
    <row r="60" spans="1:22" ht="15.95" customHeight="1" x14ac:dyDescent="0.25">
      <c r="A60" s="12" t="s">
        <v>28</v>
      </c>
      <c r="B60" s="11" t="s">
        <v>16</v>
      </c>
      <c r="C60" s="12" t="s">
        <v>28</v>
      </c>
      <c r="D60" s="11" t="s">
        <v>16</v>
      </c>
      <c r="E60" s="12" t="s">
        <v>28</v>
      </c>
      <c r="F60" s="11" t="s">
        <v>16</v>
      </c>
      <c r="G60" s="12" t="s">
        <v>28</v>
      </c>
      <c r="H60" s="11" t="s">
        <v>16</v>
      </c>
      <c r="I60" s="12" t="s">
        <v>28</v>
      </c>
      <c r="J60" s="11" t="s">
        <v>16</v>
      </c>
      <c r="K60" s="12" t="s">
        <v>28</v>
      </c>
      <c r="L60" s="11" t="s">
        <v>16</v>
      </c>
      <c r="M60" s="12" t="s">
        <v>28</v>
      </c>
      <c r="N60" s="11" t="s">
        <v>16</v>
      </c>
      <c r="O60" s="12" t="s">
        <v>28</v>
      </c>
      <c r="P60" s="11" t="s">
        <v>16</v>
      </c>
      <c r="Q60" s="12" t="s">
        <v>28</v>
      </c>
      <c r="R60" s="11" t="s">
        <v>16</v>
      </c>
      <c r="S60" s="12" t="s">
        <v>28</v>
      </c>
      <c r="T60" s="11" t="s">
        <v>16</v>
      </c>
      <c r="V60" s="1" t="s">
        <v>28</v>
      </c>
    </row>
    <row r="61" spans="1:22" ht="15.95" customHeight="1" x14ac:dyDescent="0.25">
      <c r="A61" s="19" t="str">
        <f>Belt!B3</f>
        <v>Item Class</v>
      </c>
      <c r="B61" s="11" t="str">
        <f>_xlfn.CONCAT("            Prefix = """, A61, """,")</f>
        <v xml:space="preserve">            Prefix = "Item Class",</v>
      </c>
      <c r="C61" s="19" t="e">
        <f>Belt!D3</f>
        <v>#N/A</v>
      </c>
      <c r="D61" s="11" t="e">
        <f>_xlfn.CONCAT("            Prefix = """, C61, """,")</f>
        <v>#N/A</v>
      </c>
      <c r="E61" s="19" t="e">
        <f>Belt!F3</f>
        <v>#N/A</v>
      </c>
      <c r="F61" s="11" t="e">
        <f>_xlfn.CONCAT("            Prefix = """, E61, """,")</f>
        <v>#N/A</v>
      </c>
      <c r="G61" s="19" t="str">
        <f>Belt!H3</f>
        <v>Classe d'objet</v>
      </c>
      <c r="H61" s="11" t="str">
        <f>_xlfn.CONCAT("            Prefix = """, G61, """,")</f>
        <v xml:space="preserve">            Prefix = "Classe d'objet",</v>
      </c>
      <c r="I61" s="19" t="e">
        <f>Belt!J3</f>
        <v>#N/A</v>
      </c>
      <c r="J61" s="11" t="e">
        <f>_xlfn.CONCAT("            Prefix = """, I61, """,")</f>
        <v>#N/A</v>
      </c>
      <c r="K61" s="19" t="e">
        <f>Belt!L3</f>
        <v>#N/A</v>
      </c>
      <c r="L61" s="11" t="e">
        <f>_xlfn.CONCAT("            Prefix = """, K61, """,")</f>
        <v>#N/A</v>
      </c>
      <c r="M61" s="19" t="e">
        <f>Belt!N3</f>
        <v>#N/A</v>
      </c>
      <c r="N61" s="11" t="e">
        <f>_xlfn.CONCAT("            Prefix = """, M61, """,")</f>
        <v>#N/A</v>
      </c>
      <c r="O61" s="19" t="e">
        <f>Belt!P3</f>
        <v>#N/A</v>
      </c>
      <c r="P61" s="11" t="e">
        <f>_xlfn.CONCAT("            Prefix = """, O61, """,")</f>
        <v>#N/A</v>
      </c>
      <c r="Q61" s="19" t="e">
        <f>Belt!R3</f>
        <v>#N/A</v>
      </c>
      <c r="R61" s="11" t="e">
        <f>_xlfn.CONCAT("            Prefix = """, Q61, """,")</f>
        <v>#N/A</v>
      </c>
      <c r="S61" s="19" t="e">
        <f>Belt!T3</f>
        <v>#N/A</v>
      </c>
      <c r="T61" s="11" t="e">
        <f>_xlfn.CONCAT("            Prefix = """, S61, """,")</f>
        <v>#N/A</v>
      </c>
      <c r="V61" s="1" t="s">
        <v>549</v>
      </c>
    </row>
    <row r="62" spans="1:22" ht="15.95" customHeight="1" x14ac:dyDescent="0.25">
      <c r="A62" s="19" t="str">
        <f>Card!B4</f>
        <v>Divination Cards</v>
      </c>
      <c r="B62" s="11" t="str">
        <f>_xlfn.CONCAT("            DivinationCard = """, A62, """,")</f>
        <v xml:space="preserve">            DivinationCard = "Divination Cards",</v>
      </c>
      <c r="C62" s="19" t="e">
        <f>Card!D4</f>
        <v>#N/A</v>
      </c>
      <c r="D62" s="11" t="e">
        <f>_xlfn.CONCAT("            DivinationCard = """, C62, """,")</f>
        <v>#N/A</v>
      </c>
      <c r="E62" s="19" t="e">
        <f>Card!F4</f>
        <v>#N/A</v>
      </c>
      <c r="F62" s="11" t="e">
        <f>_xlfn.CONCAT("            DivinationCard = """, E62, """,")</f>
        <v>#N/A</v>
      </c>
      <c r="G62" s="19" t="str">
        <f>Card!H4</f>
        <v>Cartes divinatoires</v>
      </c>
      <c r="H62" s="11" t="str">
        <f>_xlfn.CONCAT("            DivinationCard = """, G62, """,")</f>
        <v xml:space="preserve">            DivinationCard = "Cartes divinatoires",</v>
      </c>
      <c r="I62" s="19" t="e">
        <f>Card!J4</f>
        <v>#N/A</v>
      </c>
      <c r="J62" s="11" t="e">
        <f>_xlfn.CONCAT("            DivinationCard = """, I62, """,")</f>
        <v>#N/A</v>
      </c>
      <c r="K62" s="19" t="e">
        <f>Card!L4</f>
        <v>#N/A</v>
      </c>
      <c r="L62" s="11" t="e">
        <f>_xlfn.CONCAT("            DivinationCard = """, K62, """,")</f>
        <v>#N/A</v>
      </c>
      <c r="M62" s="19" t="e">
        <f>Card!N4</f>
        <v>#N/A</v>
      </c>
      <c r="N62" s="11" t="e">
        <f>_xlfn.CONCAT("            DivinationCard = """, M62, """,")</f>
        <v>#N/A</v>
      </c>
      <c r="O62" s="19" t="e">
        <f>Card!P4</f>
        <v>#N/A</v>
      </c>
      <c r="P62" s="11" t="e">
        <f>_xlfn.CONCAT("            DivinationCard = """, O62, """,")</f>
        <v>#N/A</v>
      </c>
      <c r="Q62" s="19" t="e">
        <f>Card!R4</f>
        <v>#N/A</v>
      </c>
      <c r="R62" s="11" t="e">
        <f>_xlfn.CONCAT("            DivinationCard = """, Q62, """,")</f>
        <v>#N/A</v>
      </c>
      <c r="S62" s="19" t="e">
        <f>Card!T4</f>
        <v>#N/A</v>
      </c>
      <c r="T62" s="11" t="e">
        <f>_xlfn.CONCAT("            DivinationCard = """, S62, """,")</f>
        <v>#N/A</v>
      </c>
      <c r="V62" s="1" t="s">
        <v>550</v>
      </c>
    </row>
    <row r="63" spans="1:22" ht="15.95" customHeight="1" x14ac:dyDescent="0.25">
      <c r="A63" s="19" t="str">
        <f>'Chaos Orb'!B4</f>
        <v>Stackable Currency</v>
      </c>
      <c r="B63" s="11" t="str">
        <f>_xlfn.CONCAT("            StackableCurrency = """, A63, """,")</f>
        <v xml:space="preserve">            StackableCurrency = "Stackable Currency",</v>
      </c>
      <c r="C63" s="19" t="e">
        <f>'Chaos Orb'!D4</f>
        <v>#N/A</v>
      </c>
      <c r="D63" s="11" t="e">
        <f>_xlfn.CONCAT("            StackableCurrency = """, C63, """,")</f>
        <v>#N/A</v>
      </c>
      <c r="E63" s="19" t="e">
        <f>'Chaos Orb'!F4</f>
        <v>#N/A</v>
      </c>
      <c r="F63" s="11" t="e">
        <f>_xlfn.CONCAT("            StackableCurrency = """, E63, """,")</f>
        <v>#N/A</v>
      </c>
      <c r="G63" s="19" t="str">
        <f>'Chaos Orb'!H4</f>
        <v>Objets monétaires empilables</v>
      </c>
      <c r="H63" s="11" t="str">
        <f>_xlfn.CONCAT("            StackableCurrency = """, G63, """,")</f>
        <v xml:space="preserve">            StackableCurrency = "Objets monétaires empilables",</v>
      </c>
      <c r="I63" s="19" t="e">
        <f>'Chaos Orb'!J4</f>
        <v>#N/A</v>
      </c>
      <c r="J63" s="11" t="e">
        <f>_xlfn.CONCAT("            StackableCurrency = """, I63, """,")</f>
        <v>#N/A</v>
      </c>
      <c r="K63" s="19" t="e">
        <f>'Chaos Orb'!L4</f>
        <v>#N/A</v>
      </c>
      <c r="L63" s="11" t="e">
        <f>_xlfn.CONCAT("            StackableCurrency = """, K63, """,")</f>
        <v>#N/A</v>
      </c>
      <c r="M63" s="19" t="e">
        <f>'Chaos Orb'!N4</f>
        <v>#N/A</v>
      </c>
      <c r="N63" s="11" t="e">
        <f>_xlfn.CONCAT("            StackableCurrency = """, M63, """,")</f>
        <v>#N/A</v>
      </c>
      <c r="O63" s="19" t="e">
        <f>'Chaos Orb'!P4</f>
        <v>#N/A</v>
      </c>
      <c r="P63" s="11" t="e">
        <f>_xlfn.CONCAT("            StackableCurrency = """, O63, """,")</f>
        <v>#N/A</v>
      </c>
      <c r="Q63" s="19" t="e">
        <f>'Chaos Orb'!R4</f>
        <v>#N/A</v>
      </c>
      <c r="R63" s="11" t="e">
        <f>_xlfn.CONCAT("            StackableCurrency = """, Q63, """,")</f>
        <v>#N/A</v>
      </c>
      <c r="S63" s="19" t="e">
        <f>'Chaos Orb'!T4</f>
        <v>#N/A</v>
      </c>
      <c r="T63" s="11" t="e">
        <f>_xlfn.CONCAT("            StackableCurrency = """, S63, """,")</f>
        <v>#N/A</v>
      </c>
      <c r="V63" s="1" t="s">
        <v>771</v>
      </c>
    </row>
    <row r="64" spans="1:22" ht="15.95" customHeight="1" x14ac:dyDescent="0.25">
      <c r="A64" s="19" t="str">
        <f>Jewel!B4</f>
        <v>Jewels</v>
      </c>
      <c r="B64" s="11" t="str">
        <f>_xlfn.CONCAT("            Jewel = """, A64, """,")</f>
        <v xml:space="preserve">            Jewel = "Jewels",</v>
      </c>
      <c r="C64" s="19" t="e">
        <f>Jewel!D4</f>
        <v>#N/A</v>
      </c>
      <c r="D64" s="11" t="e">
        <f>_xlfn.CONCAT("            Jewel = """, C64, """,")</f>
        <v>#N/A</v>
      </c>
      <c r="E64" s="19" t="e">
        <f>Jewel!F4</f>
        <v>#N/A</v>
      </c>
      <c r="F64" s="11" t="e">
        <f>_xlfn.CONCAT("            Jewel = """, E64, """,")</f>
        <v>#N/A</v>
      </c>
      <c r="G64" s="19" t="str">
        <f>Jewel!H4</f>
        <v>Joyaux</v>
      </c>
      <c r="H64" s="11" t="str">
        <f>_xlfn.CONCAT("            Jewel = """, G64, """,")</f>
        <v xml:space="preserve">            Jewel = "Joyaux",</v>
      </c>
      <c r="I64" s="19" t="e">
        <f>Jewel!J4</f>
        <v>#N/A</v>
      </c>
      <c r="J64" s="11" t="e">
        <f>_xlfn.CONCAT("            Jewel = """, I64, """,")</f>
        <v>#N/A</v>
      </c>
      <c r="K64" s="19" t="e">
        <f>Jewel!L4</f>
        <v>#N/A</v>
      </c>
      <c r="L64" s="11" t="e">
        <f>_xlfn.CONCAT("            Jewel = """, K64, """,")</f>
        <v>#N/A</v>
      </c>
      <c r="M64" s="19" t="e">
        <f>Jewel!N4</f>
        <v>#N/A</v>
      </c>
      <c r="N64" s="11" t="e">
        <f>_xlfn.CONCAT("            Jewel = """, M64, """,")</f>
        <v>#N/A</v>
      </c>
      <c r="O64" s="19" t="e">
        <f>Jewel!P4</f>
        <v>#N/A</v>
      </c>
      <c r="P64" s="11" t="e">
        <f>_xlfn.CONCAT("            Jewel = """, O64, """,")</f>
        <v>#N/A</v>
      </c>
      <c r="Q64" s="19" t="e">
        <f>Jewel!R4</f>
        <v>#N/A</v>
      </c>
      <c r="R64" s="11" t="e">
        <f>_xlfn.CONCAT("            Jewel = """, Q64, """,")</f>
        <v>#N/A</v>
      </c>
      <c r="S64" s="19" t="e">
        <f>Jewel!T4</f>
        <v>#N/A</v>
      </c>
      <c r="T64" s="11" t="e">
        <f>_xlfn.CONCAT("            Jewel = """, S64, """,")</f>
        <v>#N/A</v>
      </c>
      <c r="V64" s="1" t="s">
        <v>772</v>
      </c>
    </row>
    <row r="65" spans="1:22" ht="15.95" customHeight="1" x14ac:dyDescent="0.25">
      <c r="A65" s="19" t="str">
        <f>Resonator!B4</f>
        <v>Delve Stackable Socketable Currency</v>
      </c>
      <c r="B65" s="11" t="str">
        <f>_xlfn.CONCAT("            DelveStackableSocketableCurrency = """, A65, """,")</f>
        <v xml:space="preserve">            DelveStackableSocketableCurrency = "Delve Stackable Socketable Currency",</v>
      </c>
      <c r="C65" s="19" t="e">
        <f>Resonator!D4</f>
        <v>#N/A</v>
      </c>
      <c r="D65" s="11" t="e">
        <f>_xlfn.CONCAT("            DelveStackableSocketableCurrency = """, C65, """,")</f>
        <v>#N/A</v>
      </c>
      <c r="E65" s="19" t="e">
        <f>Resonator!F4</f>
        <v>#N/A</v>
      </c>
      <c r="F65" s="11" t="e">
        <f>_xlfn.CONCAT("            DelveStackableSocketableCurrency = """, E65, """,")</f>
        <v>#N/A</v>
      </c>
      <c r="G65" s="19" t="str">
        <f>Resonator!H4</f>
        <v>Objets enchâssables et empilables Delve</v>
      </c>
      <c r="H65" s="11" t="str">
        <f>_xlfn.CONCAT("            DelveStackableSocketableCurrency = """, G65, """,")</f>
        <v xml:space="preserve">            DelveStackableSocketableCurrency = "Objets enchâssables et empilables Delve",</v>
      </c>
      <c r="I65" s="19" t="e">
        <f>Resonator!J4</f>
        <v>#N/A</v>
      </c>
      <c r="J65" s="11" t="e">
        <f>_xlfn.CONCAT("            DelveStackableSocketableCurrency = """, I65, """,")</f>
        <v>#N/A</v>
      </c>
      <c r="K65" s="19" t="e">
        <f>Resonator!L4</f>
        <v>#N/A</v>
      </c>
      <c r="L65" s="11" t="e">
        <f>_xlfn.CONCAT("            DelveStackableSocketableCurrency = """, K65, """,")</f>
        <v>#N/A</v>
      </c>
      <c r="M65" s="19" t="e">
        <f>Resonator!N4</f>
        <v>#N/A</v>
      </c>
      <c r="N65" s="11" t="e">
        <f>_xlfn.CONCAT("            DelveStackableSocketableCurrency = """, M65, """,")</f>
        <v>#N/A</v>
      </c>
      <c r="O65" s="19" t="e">
        <f>Resonator!P4</f>
        <v>#N/A</v>
      </c>
      <c r="P65" s="11" t="e">
        <f>_xlfn.CONCAT("            DelveStackableSocketableCurrency = """, O65, """,")</f>
        <v>#N/A</v>
      </c>
      <c r="Q65" s="19" t="e">
        <f>Resonator!R4</f>
        <v>#N/A</v>
      </c>
      <c r="R65" s="11" t="e">
        <f>_xlfn.CONCAT("            DelveStackableSocketableCurrency = """, Q65, """,")</f>
        <v>#N/A</v>
      </c>
      <c r="S65" s="19" t="e">
        <f>Resonator!T4</f>
        <v>#N/A</v>
      </c>
      <c r="T65" s="11" t="e">
        <f>_xlfn.CONCAT("            DelveStackableSocketableCurrency = """, S65, """,")</f>
        <v>#N/A</v>
      </c>
      <c r="V65" s="1" t="s">
        <v>773</v>
      </c>
    </row>
    <row r="66" spans="1:22" ht="15.95" customHeight="1" x14ac:dyDescent="0.25">
      <c r="A66" s="19" t="str">
        <f>'Metamorph Sample'!B4</f>
        <v>Metamorph Samples</v>
      </c>
      <c r="B66" s="11" t="str">
        <f>_xlfn.CONCAT("            MetamorphSample = """, A66, """,")</f>
        <v xml:space="preserve">            MetamorphSample = "Metamorph Samples",</v>
      </c>
      <c r="C66" s="19" t="e">
        <f>'Metamorph Sample'!D4</f>
        <v>#N/A</v>
      </c>
      <c r="D66" s="11" t="e">
        <f>_xlfn.CONCAT("            MetamorphSample = """, C66, """,")</f>
        <v>#N/A</v>
      </c>
      <c r="E66" s="19" t="e">
        <f>'Metamorph Sample'!F4</f>
        <v>#N/A</v>
      </c>
      <c r="F66" s="11" t="e">
        <f>_xlfn.CONCAT("            MetamorphSample = """, E66, """,")</f>
        <v>#N/A</v>
      </c>
      <c r="G66" s="19" t="str">
        <f>'Metamorph Sample'!H4</f>
        <v>Organes de Métamorphe</v>
      </c>
      <c r="H66" s="11" t="str">
        <f>_xlfn.CONCAT("            MetamorphSample = """, G66, """,")</f>
        <v xml:space="preserve">            MetamorphSample = "Organes de Métamorphe",</v>
      </c>
      <c r="I66" s="19" t="e">
        <f>'Metamorph Sample'!J4</f>
        <v>#N/A</v>
      </c>
      <c r="J66" s="11" t="e">
        <f>_xlfn.CONCAT("            MetamorphSample = """, I66, """,")</f>
        <v>#N/A</v>
      </c>
      <c r="K66" s="19" t="e">
        <f>'Metamorph Sample'!L4</f>
        <v>#N/A</v>
      </c>
      <c r="L66" s="11" t="e">
        <f>_xlfn.CONCAT("            MetamorphSample = """, K66, """,")</f>
        <v>#N/A</v>
      </c>
      <c r="M66" s="19" t="e">
        <f>'Metamorph Sample'!N4</f>
        <v>#N/A</v>
      </c>
      <c r="N66" s="11" t="e">
        <f>_xlfn.CONCAT("            MetamorphSample = """, M66, """,")</f>
        <v>#N/A</v>
      </c>
      <c r="O66" s="19" t="e">
        <f>'Metamorph Sample'!P4</f>
        <v>#N/A</v>
      </c>
      <c r="P66" s="11" t="e">
        <f>_xlfn.CONCAT("            MetamorphSample = """, O66, """,")</f>
        <v>#N/A</v>
      </c>
      <c r="Q66" s="19" t="e">
        <f>'Metamorph Sample'!R4</f>
        <v>#N/A</v>
      </c>
      <c r="R66" s="11" t="e">
        <f>_xlfn.CONCAT("            MetamorphSample = """, Q66, """,")</f>
        <v>#N/A</v>
      </c>
      <c r="S66" s="19" t="e">
        <f>'Metamorph Sample'!T4</f>
        <v>#N/A</v>
      </c>
      <c r="T66" s="11" t="e">
        <f>_xlfn.CONCAT("            MetamorphSample = """, S66, """,")</f>
        <v>#N/A</v>
      </c>
      <c r="V66" s="1" t="s">
        <v>774</v>
      </c>
    </row>
    <row r="67" spans="1:22" ht="15.95" customHeight="1" x14ac:dyDescent="0.25">
      <c r="A67" s="19" t="str">
        <f>'Heist Tool'!B4</f>
        <v>Heist Tools</v>
      </c>
      <c r="B67" s="11" t="str">
        <f>_xlfn.CONCAT("            HeistTool = """, A67, """,")</f>
        <v xml:space="preserve">            HeistTool = "Heist Tools",</v>
      </c>
      <c r="C67" s="19" t="e">
        <f>'Heist Tool'!D4</f>
        <v>#N/A</v>
      </c>
      <c r="D67" s="11" t="e">
        <f>_xlfn.CONCAT("            HeistTool = """, C67, """,")</f>
        <v>#N/A</v>
      </c>
      <c r="E67" s="19" t="e">
        <f>'Heist Tool'!F4</f>
        <v>#N/A</v>
      </c>
      <c r="F67" s="11" t="e">
        <f>_xlfn.CONCAT("            HeistTool = """, E67, """,")</f>
        <v>#N/A</v>
      </c>
      <c r="G67" s="19" t="str">
        <f>'Heist Tool'!H4</f>
        <v>Outils de Malfaiteur</v>
      </c>
      <c r="H67" s="11" t="str">
        <f>_xlfn.CONCAT("            HeistTool = """, G67, """,")</f>
        <v xml:space="preserve">            HeistTool = "Outils de Malfaiteur",</v>
      </c>
      <c r="I67" s="19" t="e">
        <f>'Heist Tool'!J4</f>
        <v>#N/A</v>
      </c>
      <c r="J67" s="11" t="e">
        <f>_xlfn.CONCAT("            HeistTool = """, I67, """,")</f>
        <v>#N/A</v>
      </c>
      <c r="K67" s="19" t="e">
        <f>'Heist Tool'!L4</f>
        <v>#N/A</v>
      </c>
      <c r="L67" s="11" t="e">
        <f>_xlfn.CONCAT("            HeistTool = """, K67, """,")</f>
        <v>#N/A</v>
      </c>
      <c r="M67" s="19" t="e">
        <f>'Heist Tool'!N4</f>
        <v>#N/A</v>
      </c>
      <c r="N67" s="11" t="e">
        <f>_xlfn.CONCAT("            HeistTool = """, M67, """,")</f>
        <v>#N/A</v>
      </c>
      <c r="O67" s="19" t="e">
        <f>'Heist Tool'!P4</f>
        <v>#N/A</v>
      </c>
      <c r="P67" s="11" t="e">
        <f>_xlfn.CONCAT("            HeistTool = """, O67, """,")</f>
        <v>#N/A</v>
      </c>
      <c r="Q67" s="19" t="e">
        <f>'Heist Tool'!R4</f>
        <v>#N/A</v>
      </c>
      <c r="R67" s="11" t="e">
        <f>_xlfn.CONCAT("            HeistTool = """, Q67, """,")</f>
        <v>#N/A</v>
      </c>
      <c r="S67" s="19" t="e">
        <f>'Heist Tool'!T4</f>
        <v>#N/A</v>
      </c>
      <c r="T67" s="11" t="e">
        <f>_xlfn.CONCAT("            HeistTool = """, S67, """,")</f>
        <v>#N/A</v>
      </c>
      <c r="V67" s="1" t="s">
        <v>775</v>
      </c>
    </row>
    <row r="68" spans="1:22" ht="15.95" customHeight="1" x14ac:dyDescent="0.25">
      <c r="A68" s="19" t="str">
        <f>'Foiled Amulet'!B4</f>
        <v>Amulets</v>
      </c>
      <c r="B68" s="11" t="str">
        <f>_xlfn.CONCAT("            Amulet = """, A68, """,")</f>
        <v xml:space="preserve">            Amulet = "Amulets",</v>
      </c>
      <c r="C68" s="19" t="e">
        <f>'Foiled Amulet'!D4</f>
        <v>#N/A</v>
      </c>
      <c r="D68" s="11" t="e">
        <f>_xlfn.CONCAT("            Amulet = """, C68, """,")</f>
        <v>#N/A</v>
      </c>
      <c r="E68" s="19" t="e">
        <f>'Foiled Amulet'!F4</f>
        <v>#N/A</v>
      </c>
      <c r="F68" s="11" t="e">
        <f>_xlfn.CONCAT("            Amulet = """, E68, """,")</f>
        <v>#N/A</v>
      </c>
      <c r="G68" s="19" t="str">
        <f>'Foiled Amulet'!H4</f>
        <v>Amulettes</v>
      </c>
      <c r="H68" s="11" t="str">
        <f>_xlfn.CONCAT("            Amulet = """, G68, """,")</f>
        <v xml:space="preserve">            Amulet = "Amulettes",</v>
      </c>
      <c r="I68" s="19" t="e">
        <f>'Foiled Amulet'!J4</f>
        <v>#N/A</v>
      </c>
      <c r="J68" s="11" t="e">
        <f>_xlfn.CONCAT("            Amulet = """, I68, """,")</f>
        <v>#N/A</v>
      </c>
      <c r="K68" s="19" t="e">
        <f>'Foiled Amulet'!L4</f>
        <v>#N/A</v>
      </c>
      <c r="L68" s="11" t="e">
        <f>_xlfn.CONCAT("            Amulet = """, K68, """,")</f>
        <v>#N/A</v>
      </c>
      <c r="M68" s="19" t="e">
        <f>'Foiled Amulet'!N4</f>
        <v>#N/A</v>
      </c>
      <c r="N68" s="11" t="e">
        <f>_xlfn.CONCAT("            Amulet = """, M68, """,")</f>
        <v>#N/A</v>
      </c>
      <c r="O68" s="19" t="e">
        <f>'Foiled Amulet'!P4</f>
        <v>#N/A</v>
      </c>
      <c r="P68" s="11" t="e">
        <f>_xlfn.CONCAT("            Amulet = """, O68, """,")</f>
        <v>#N/A</v>
      </c>
      <c r="Q68" s="19" t="e">
        <f>'Foiled Amulet'!R4</f>
        <v>#N/A</v>
      </c>
      <c r="R68" s="11" t="e">
        <f>_xlfn.CONCAT("            Amulet = """, Q68, """,")</f>
        <v>#N/A</v>
      </c>
      <c r="S68" s="19" t="e">
        <f>'Foiled Amulet'!T4</f>
        <v>#N/A</v>
      </c>
      <c r="T68" s="11" t="e">
        <f>_xlfn.CONCAT("            Amulet = """, S68, """,")</f>
        <v>#N/A</v>
      </c>
      <c r="V68" s="1" t="s">
        <v>776</v>
      </c>
    </row>
    <row r="69" spans="1:22" ht="15.95" customHeight="1" x14ac:dyDescent="0.25">
      <c r="A69" s="19" t="str">
        <f>'Unidentified ring'!B4</f>
        <v>Rings</v>
      </c>
      <c r="B69" s="11" t="str">
        <f>_xlfn.CONCAT("            Ring = """, A69, """,")</f>
        <v xml:space="preserve">            Ring = "Rings",</v>
      </c>
      <c r="C69" s="19" t="e">
        <f>'Unidentified ring'!D4</f>
        <v>#N/A</v>
      </c>
      <c r="D69" s="11" t="e">
        <f>_xlfn.CONCAT("            Ring = """, C69, """,")</f>
        <v>#N/A</v>
      </c>
      <c r="E69" s="19" t="e">
        <f>'Unidentified ring'!F4</f>
        <v>#N/A</v>
      </c>
      <c r="F69" s="11" t="e">
        <f>_xlfn.CONCAT("            Ring = """, E69, """,")</f>
        <v>#N/A</v>
      </c>
      <c r="G69" s="19" t="str">
        <f>'Unidentified ring'!H4</f>
        <v>Bagues</v>
      </c>
      <c r="H69" s="11" t="str">
        <f>_xlfn.CONCAT("            Ring = """, G69, """,")</f>
        <v xml:space="preserve">            Ring = "Bagues",</v>
      </c>
      <c r="I69" s="19" t="e">
        <f>'Unidentified ring'!J4</f>
        <v>#N/A</v>
      </c>
      <c r="J69" s="11" t="e">
        <f>_xlfn.CONCAT("            Ring = """, I69, """,")</f>
        <v>#N/A</v>
      </c>
      <c r="K69" s="19" t="e">
        <f>'Unidentified ring'!L4</f>
        <v>#N/A</v>
      </c>
      <c r="L69" s="11" t="e">
        <f>_xlfn.CONCAT("            Ring = """, K69, """,")</f>
        <v>#N/A</v>
      </c>
      <c r="M69" s="19" t="e">
        <f>'Unidentified ring'!N4</f>
        <v>#N/A</v>
      </c>
      <c r="N69" s="11" t="e">
        <f>_xlfn.CONCAT("            Ring = """, M69, """,")</f>
        <v>#N/A</v>
      </c>
      <c r="O69" s="19" t="e">
        <f>'Unidentified ring'!P4</f>
        <v>#N/A</v>
      </c>
      <c r="P69" s="11" t="e">
        <f>_xlfn.CONCAT("            Ring = """, O69, """,")</f>
        <v>#N/A</v>
      </c>
      <c r="Q69" s="19" t="e">
        <f>'Unidentified ring'!R4</f>
        <v>#N/A</v>
      </c>
      <c r="R69" s="11" t="e">
        <f>_xlfn.CONCAT("            Ring = """, Q69, """,")</f>
        <v>#N/A</v>
      </c>
      <c r="S69" s="19" t="e">
        <f>'Unidentified ring'!T4</f>
        <v>#N/A</v>
      </c>
      <c r="T69" s="11" t="e">
        <f>_xlfn.CONCAT("            Ring = """, S69, """,")</f>
        <v>#N/A</v>
      </c>
      <c r="V69" s="1" t="s">
        <v>551</v>
      </c>
    </row>
    <row r="70" spans="1:22" ht="15.95" customHeight="1" x14ac:dyDescent="0.25">
      <c r="A70" s="19" t="str">
        <f>Belt!B4</f>
        <v>Belts</v>
      </c>
      <c r="B70" s="11" t="str">
        <f>_xlfn.CONCAT("            Belt = """, A70, """,")</f>
        <v xml:space="preserve">            Belt = "Belts",</v>
      </c>
      <c r="C70" s="19" t="e">
        <f>Belt!D4</f>
        <v>#N/A</v>
      </c>
      <c r="D70" s="11" t="e">
        <f>_xlfn.CONCAT("            Belt = """, C70, """,")</f>
        <v>#N/A</v>
      </c>
      <c r="E70" s="19" t="e">
        <f>Belt!F4</f>
        <v>#N/A</v>
      </c>
      <c r="F70" s="11" t="e">
        <f>_xlfn.CONCAT("            Belt = """, E70, """,")</f>
        <v>#N/A</v>
      </c>
      <c r="G70" s="19" t="str">
        <f>Belt!H4</f>
        <v>Ceintures</v>
      </c>
      <c r="H70" s="11" t="str">
        <f>_xlfn.CONCAT("            Belt = """, G70, """,")</f>
        <v xml:space="preserve">            Belt = "Ceintures",</v>
      </c>
      <c r="I70" s="19" t="e">
        <f>Belt!J4</f>
        <v>#N/A</v>
      </c>
      <c r="J70" s="11" t="e">
        <f>_xlfn.CONCAT("            Belt = """, I70, """,")</f>
        <v>#N/A</v>
      </c>
      <c r="K70" s="19" t="e">
        <f>Belt!L4</f>
        <v>#N/A</v>
      </c>
      <c r="L70" s="11" t="e">
        <f>_xlfn.CONCAT("            Belt = """, K70, """,")</f>
        <v>#N/A</v>
      </c>
      <c r="M70" s="19" t="e">
        <f>Belt!N4</f>
        <v>#N/A</v>
      </c>
      <c r="N70" s="11" t="e">
        <f>_xlfn.CONCAT("            Belt = """, M70, """,")</f>
        <v>#N/A</v>
      </c>
      <c r="O70" s="19" t="e">
        <f>Belt!P4</f>
        <v>#N/A</v>
      </c>
      <c r="P70" s="11" t="e">
        <f>_xlfn.CONCAT("            Belt = """, O70, """,")</f>
        <v>#N/A</v>
      </c>
      <c r="Q70" s="19" t="e">
        <f>Belt!R4</f>
        <v>#N/A</v>
      </c>
      <c r="R70" s="11" t="e">
        <f>_xlfn.CONCAT("            Belt = """, Q70, """,")</f>
        <v>#N/A</v>
      </c>
      <c r="S70" s="19" t="e">
        <f>Belt!T4</f>
        <v>#N/A</v>
      </c>
      <c r="T70" s="11" t="e">
        <f>_xlfn.CONCAT("            Belt = """, S70, """,")</f>
        <v>#N/A</v>
      </c>
      <c r="V70" s="1" t="s">
        <v>552</v>
      </c>
    </row>
    <row r="71" spans="1:22" ht="15.95" customHeight="1" x14ac:dyDescent="0.25">
      <c r="A71" s="19" t="str">
        <f>Gloves!B4</f>
        <v>Gloves</v>
      </c>
      <c r="B71" s="11" t="str">
        <f>_xlfn.CONCAT("            Gloves = """, A71, """,")</f>
        <v xml:space="preserve">            Gloves = "Gloves",</v>
      </c>
      <c r="C71" s="19" t="e">
        <f>Gloves!D4</f>
        <v>#N/A</v>
      </c>
      <c r="D71" s="11" t="e">
        <f>_xlfn.CONCAT("            Gloves = """, C71, """,")</f>
        <v>#N/A</v>
      </c>
      <c r="E71" s="19" t="e">
        <f>Gloves!F4</f>
        <v>#N/A</v>
      </c>
      <c r="F71" s="11" t="e">
        <f>_xlfn.CONCAT("            Gloves = """, E71, """,")</f>
        <v>#N/A</v>
      </c>
      <c r="G71" s="19" t="str">
        <f>Gloves!H4</f>
        <v>Gants</v>
      </c>
      <c r="H71" s="11" t="str">
        <f>_xlfn.CONCAT("            Gloves = """, G71, """,")</f>
        <v xml:space="preserve">            Gloves = "Gants",</v>
      </c>
      <c r="I71" s="19" t="e">
        <f>Gloves!J4</f>
        <v>#N/A</v>
      </c>
      <c r="J71" s="11" t="e">
        <f>_xlfn.CONCAT("            Gloves = """, I71, """,")</f>
        <v>#N/A</v>
      </c>
      <c r="K71" s="19" t="e">
        <f>Gloves!L4</f>
        <v>#N/A</v>
      </c>
      <c r="L71" s="11" t="e">
        <f>_xlfn.CONCAT("            Gloves = """, K71, """,")</f>
        <v>#N/A</v>
      </c>
      <c r="M71" s="19" t="e">
        <f>Gloves!N4</f>
        <v>#N/A</v>
      </c>
      <c r="N71" s="11" t="e">
        <f>_xlfn.CONCAT("            Gloves = """, M71, """,")</f>
        <v>#N/A</v>
      </c>
      <c r="O71" s="19" t="e">
        <f>Gloves!P4</f>
        <v>#N/A</v>
      </c>
      <c r="P71" s="11" t="e">
        <f>_xlfn.CONCAT("            Gloves = """, O71, """,")</f>
        <v>#N/A</v>
      </c>
      <c r="Q71" s="19" t="e">
        <f>Gloves!R4</f>
        <v>#N/A</v>
      </c>
      <c r="R71" s="11" t="e">
        <f>_xlfn.CONCAT("            Gloves = """, Q71, """,")</f>
        <v>#N/A</v>
      </c>
      <c r="S71" s="19" t="e">
        <f>Gloves!T4</f>
        <v>#N/A</v>
      </c>
      <c r="T71" s="11" t="e">
        <f>_xlfn.CONCAT("            Gloves = """, S71, """,")</f>
        <v>#N/A</v>
      </c>
      <c r="V71" s="1" t="s">
        <v>102</v>
      </c>
    </row>
    <row r="72" spans="1:22" ht="15.95" customHeight="1" x14ac:dyDescent="0.25">
      <c r="A72" s="19" t="str">
        <f>Boots!B4</f>
        <v>Boots</v>
      </c>
      <c r="B72" s="11" t="str">
        <f>_xlfn.CONCAT("            Boots = """, A72, """,")</f>
        <v xml:space="preserve">            Boots = "Boots",</v>
      </c>
      <c r="C72" s="19" t="e">
        <f>Boots!D4</f>
        <v>#N/A</v>
      </c>
      <c r="D72" s="11" t="e">
        <f>_xlfn.CONCAT("            Boots = """, C72, """,")</f>
        <v>#N/A</v>
      </c>
      <c r="E72" s="19" t="e">
        <f>Boots!F4</f>
        <v>#N/A</v>
      </c>
      <c r="F72" s="11" t="e">
        <f>_xlfn.CONCAT("            Boots = """, E72, """,")</f>
        <v>#N/A</v>
      </c>
      <c r="G72" s="19" t="str">
        <f>Boots!H4</f>
        <v>Bottes</v>
      </c>
      <c r="H72" s="11" t="str">
        <f>_xlfn.CONCAT("            Boots = """, G72, """,")</f>
        <v xml:space="preserve">            Boots = "Bottes",</v>
      </c>
      <c r="I72" s="19" t="e">
        <f>Boots!J4</f>
        <v>#N/A</v>
      </c>
      <c r="J72" s="11" t="e">
        <f>_xlfn.CONCAT("            Boots = """, I72, """,")</f>
        <v>#N/A</v>
      </c>
      <c r="K72" s="19" t="e">
        <f>Boots!L4</f>
        <v>#N/A</v>
      </c>
      <c r="L72" s="11" t="e">
        <f>_xlfn.CONCAT("            Boots = """, K72, """,")</f>
        <v>#N/A</v>
      </c>
      <c r="M72" s="19" t="e">
        <f>Boots!N4</f>
        <v>#N/A</v>
      </c>
      <c r="N72" s="11" t="e">
        <f>_xlfn.CONCAT("            Boots = """, M72, """,")</f>
        <v>#N/A</v>
      </c>
      <c r="O72" s="19" t="e">
        <f>Boots!P4</f>
        <v>#N/A</v>
      </c>
      <c r="P72" s="11" t="e">
        <f>_xlfn.CONCAT("            Boots = """, O72, """,")</f>
        <v>#N/A</v>
      </c>
      <c r="Q72" s="19" t="e">
        <f>Boots!R4</f>
        <v>#N/A</v>
      </c>
      <c r="R72" s="11" t="e">
        <f>_xlfn.CONCAT("            Boots = """, Q72, """,")</f>
        <v>#N/A</v>
      </c>
      <c r="S72" s="19" t="e">
        <f>Boots!T4</f>
        <v>#N/A</v>
      </c>
      <c r="T72" s="11" t="e">
        <f>_xlfn.CONCAT("            Boots = """, S72, """,")</f>
        <v>#N/A</v>
      </c>
      <c r="V72" s="1" t="s">
        <v>103</v>
      </c>
    </row>
    <row r="73" spans="1:22" ht="15.95" customHeight="1" x14ac:dyDescent="0.25">
      <c r="A73" s="19" t="str">
        <f>'Carcass Jack'!B4</f>
        <v>Body Armours</v>
      </c>
      <c r="B73" s="11" t="str">
        <f>_xlfn.CONCAT("            BodyArmours = """, A73, """,")</f>
        <v xml:space="preserve">            BodyArmours = "Body Armours",</v>
      </c>
      <c r="C73" s="19" t="e">
        <f>'Carcass Jack'!D4</f>
        <v>#N/A</v>
      </c>
      <c r="D73" s="11" t="e">
        <f>_xlfn.CONCAT("            BodyArmours = """, C73, """,")</f>
        <v>#N/A</v>
      </c>
      <c r="E73" s="19" t="e">
        <f>'Carcass Jack'!F4</f>
        <v>#N/A</v>
      </c>
      <c r="F73" s="11" t="e">
        <f>_xlfn.CONCAT("            BodyArmours = """, E73, """,")</f>
        <v>#N/A</v>
      </c>
      <c r="G73" s="19" t="str">
        <f>'Carcass Jack'!H4</f>
        <v>Armures</v>
      </c>
      <c r="H73" s="11" t="str">
        <f>_xlfn.CONCAT("            BodyArmours = """, G73, """,")</f>
        <v xml:space="preserve">            BodyArmours = "Armures",</v>
      </c>
      <c r="I73" s="19" t="e">
        <f>'Carcass Jack'!J4</f>
        <v>#N/A</v>
      </c>
      <c r="J73" s="11" t="e">
        <f>_xlfn.CONCAT("            BodyArmours = """, I73, """,")</f>
        <v>#N/A</v>
      </c>
      <c r="K73" s="19" t="e">
        <f>'Carcass Jack'!L4</f>
        <v>#N/A</v>
      </c>
      <c r="L73" s="11" t="e">
        <f>_xlfn.CONCAT("            BodyArmours = """, K73, """,")</f>
        <v>#N/A</v>
      </c>
      <c r="M73" s="19" t="e">
        <f>'Carcass Jack'!N4</f>
        <v>#N/A</v>
      </c>
      <c r="N73" s="11" t="e">
        <f>_xlfn.CONCAT("            BodyArmours = """, M73, """,")</f>
        <v>#N/A</v>
      </c>
      <c r="O73" s="19" t="e">
        <f>'Carcass Jack'!P4</f>
        <v>#N/A</v>
      </c>
      <c r="P73" s="11" t="e">
        <f>_xlfn.CONCAT("            BodyArmours = """, O73, """,")</f>
        <v>#N/A</v>
      </c>
      <c r="Q73" s="19" t="e">
        <f>'Carcass Jack'!R4</f>
        <v>#N/A</v>
      </c>
      <c r="R73" s="11" t="e">
        <f>_xlfn.CONCAT("            BodyArmours = """, Q73, """,")</f>
        <v>#N/A</v>
      </c>
      <c r="S73" s="19" t="e">
        <f>'Carcass Jack'!T4</f>
        <v>#N/A</v>
      </c>
      <c r="T73" s="11" t="e">
        <f>_xlfn.CONCAT("            BodyArmours = """, S73, """,")</f>
        <v>#N/A</v>
      </c>
      <c r="V73" s="1" t="s">
        <v>553</v>
      </c>
    </row>
    <row r="74" spans="1:22" ht="15.95" customHeight="1" x14ac:dyDescent="0.25">
      <c r="A74" s="19" t="str">
        <f>Abyssus!B4</f>
        <v>Helmets</v>
      </c>
      <c r="B74" s="11" t="str">
        <f>_xlfn.CONCAT("            Helmets = """, A74, """,")</f>
        <v xml:space="preserve">            Helmets = "Helmets",</v>
      </c>
      <c r="C74" s="19" t="e">
        <f>Abyssus!D4</f>
        <v>#N/A</v>
      </c>
      <c r="D74" s="11" t="e">
        <f>_xlfn.CONCAT("            Helmets = """, C74, """,")</f>
        <v>#N/A</v>
      </c>
      <c r="E74" s="19" t="e">
        <f>Abyssus!F4</f>
        <v>#N/A</v>
      </c>
      <c r="F74" s="11" t="e">
        <f>_xlfn.CONCAT("            Helmets = """, E74, """,")</f>
        <v>#N/A</v>
      </c>
      <c r="G74" s="19" t="str">
        <f>Abyssus!H4</f>
        <v>Casques</v>
      </c>
      <c r="H74" s="11" t="str">
        <f>_xlfn.CONCAT("            Helmets = """, G74, """,")</f>
        <v xml:space="preserve">            Helmets = "Casques",</v>
      </c>
      <c r="I74" s="19" t="e">
        <f>Abyssus!J4</f>
        <v>#N/A</v>
      </c>
      <c r="J74" s="11" t="e">
        <f>_xlfn.CONCAT("            Helmets = """, I74, """,")</f>
        <v>#N/A</v>
      </c>
      <c r="K74" s="19" t="e">
        <f>Abyssus!L4</f>
        <v>#N/A</v>
      </c>
      <c r="L74" s="11" t="e">
        <f>_xlfn.CONCAT("            Helmets = """, K74, """,")</f>
        <v>#N/A</v>
      </c>
      <c r="M74" s="19" t="e">
        <f>Abyssus!N4</f>
        <v>#N/A</v>
      </c>
      <c r="N74" s="11" t="e">
        <f>_xlfn.CONCAT("            Helmets = """, M74, """,")</f>
        <v>#N/A</v>
      </c>
      <c r="O74" s="19" t="e">
        <f>Abyssus!P4</f>
        <v>#N/A</v>
      </c>
      <c r="P74" s="11" t="e">
        <f>_xlfn.CONCAT("            Helmets = """, O74, """,")</f>
        <v>#N/A</v>
      </c>
      <c r="Q74" s="19" t="e">
        <f>Abyssus!R4</f>
        <v>#N/A</v>
      </c>
      <c r="R74" s="11" t="e">
        <f>_xlfn.CONCAT("            Helmets = """, Q74, """,")</f>
        <v>#N/A</v>
      </c>
      <c r="S74" s="19" t="e">
        <f>Abyssus!T4</f>
        <v>#N/A</v>
      </c>
      <c r="T74" s="11" t="e">
        <f>_xlfn.CONCAT("            Helmets = """, S74, """,")</f>
        <v>#N/A</v>
      </c>
      <c r="V74" s="1" t="s">
        <v>104</v>
      </c>
    </row>
    <row r="75" spans="1:22" ht="15.95" customHeight="1" x14ac:dyDescent="0.25">
      <c r="A75" s="19" t="str">
        <f>Mistwall!B4</f>
        <v>Shields</v>
      </c>
      <c r="B75" s="11" t="str">
        <f>_xlfn.CONCAT("            Shields = """, A75, """,")</f>
        <v xml:space="preserve">            Shields = "Shields",</v>
      </c>
      <c r="C75" s="19" t="e">
        <f>Mistwall!D4</f>
        <v>#N/A</v>
      </c>
      <c r="D75" s="11" t="e">
        <f>_xlfn.CONCAT("            Shields = """, C75, """,")</f>
        <v>#N/A</v>
      </c>
      <c r="E75" s="19" t="e">
        <f>Mistwall!F4</f>
        <v>#N/A</v>
      </c>
      <c r="F75" s="11" t="e">
        <f>_xlfn.CONCAT("            Shields = """, E75, """,")</f>
        <v>#N/A</v>
      </c>
      <c r="G75" s="19" t="str">
        <f>Mistwall!H4</f>
        <v>Boucliers</v>
      </c>
      <c r="H75" s="11" t="str">
        <f>_xlfn.CONCAT("            Shields = """, G75, """,")</f>
        <v xml:space="preserve">            Shields = "Boucliers",</v>
      </c>
      <c r="I75" s="19" t="e">
        <f>Mistwall!J4</f>
        <v>#N/A</v>
      </c>
      <c r="J75" s="11" t="e">
        <f>_xlfn.CONCAT("            Shields = """, I75, """,")</f>
        <v>#N/A</v>
      </c>
      <c r="K75" s="19" t="e">
        <f>Mistwall!L4</f>
        <v>#N/A</v>
      </c>
      <c r="L75" s="11" t="e">
        <f>_xlfn.CONCAT("            Shields = """, K75, """,")</f>
        <v>#N/A</v>
      </c>
      <c r="M75" s="19" t="e">
        <f>Mistwall!N4</f>
        <v>#N/A</v>
      </c>
      <c r="N75" s="11" t="e">
        <f>_xlfn.CONCAT("            Shields = """, M75, """,")</f>
        <v>#N/A</v>
      </c>
      <c r="O75" s="19" t="e">
        <f>Mistwall!P4</f>
        <v>#N/A</v>
      </c>
      <c r="P75" s="11" t="e">
        <f>_xlfn.CONCAT("            Shields = """, O75, """,")</f>
        <v>#N/A</v>
      </c>
      <c r="Q75" s="19" t="e">
        <f>Mistwall!R4</f>
        <v>#N/A</v>
      </c>
      <c r="R75" s="11" t="e">
        <f>_xlfn.CONCAT("            Shields = """, Q75, """,")</f>
        <v>#N/A</v>
      </c>
      <c r="S75" s="19" t="e">
        <f>Mistwall!T4</f>
        <v>#N/A</v>
      </c>
      <c r="T75" s="11" t="e">
        <f>_xlfn.CONCAT("            Shields = """, S75, """,")</f>
        <v>#N/A</v>
      </c>
      <c r="V75" s="1" t="s">
        <v>105</v>
      </c>
    </row>
    <row r="76" spans="1:22" ht="15.95" customHeight="1" x14ac:dyDescent="0.25">
      <c r="A76" s="19" t="str">
        <f>Quiver!B4</f>
        <v>Quivers</v>
      </c>
      <c r="B76" s="11" t="str">
        <f>_xlfn.CONCAT("            Quivers = """, A76, """,")</f>
        <v xml:space="preserve">            Quivers = "Quivers",</v>
      </c>
      <c r="C76" s="19" t="e">
        <f>Quiver!D4</f>
        <v>#N/A</v>
      </c>
      <c r="D76" s="11" t="e">
        <f>_xlfn.CONCAT("            Quivers = """, C76, """,")</f>
        <v>#N/A</v>
      </c>
      <c r="E76" s="19" t="e">
        <f>Quiver!F4</f>
        <v>#N/A</v>
      </c>
      <c r="F76" s="11" t="e">
        <f>_xlfn.CONCAT("            Quivers = """, E76, """,")</f>
        <v>#N/A</v>
      </c>
      <c r="G76" s="19" t="str">
        <f>Quiver!H4</f>
        <v>Carquois</v>
      </c>
      <c r="H76" s="11" t="str">
        <f>_xlfn.CONCAT("            Quivers = """, G76, """,")</f>
        <v xml:space="preserve">            Quivers = "Carquois",</v>
      </c>
      <c r="I76" s="19" t="e">
        <f>Quiver!J4</f>
        <v>#N/A</v>
      </c>
      <c r="J76" s="11" t="e">
        <f>_xlfn.CONCAT("            Quivers = """, I76, """,")</f>
        <v>#N/A</v>
      </c>
      <c r="K76" s="19" t="e">
        <f>Quiver!L4</f>
        <v>#N/A</v>
      </c>
      <c r="L76" s="11" t="e">
        <f>_xlfn.CONCAT("            Quivers = """, K76, """,")</f>
        <v>#N/A</v>
      </c>
      <c r="M76" s="19" t="e">
        <f>Quiver!N4</f>
        <v>#N/A</v>
      </c>
      <c r="N76" s="11" t="e">
        <f>_xlfn.CONCAT("            Quivers = """, M76, """,")</f>
        <v>#N/A</v>
      </c>
      <c r="O76" s="19" t="e">
        <f>Quiver!P4</f>
        <v>#N/A</v>
      </c>
      <c r="P76" s="11" t="e">
        <f>_xlfn.CONCAT("            Quivers = """, O76, """,")</f>
        <v>#N/A</v>
      </c>
      <c r="Q76" s="19" t="e">
        <f>Quiver!R4</f>
        <v>#N/A</v>
      </c>
      <c r="R76" s="11" t="e">
        <f>_xlfn.CONCAT("            Quivers = """, Q76, """,")</f>
        <v>#N/A</v>
      </c>
      <c r="S76" s="19" t="e">
        <f>Quiver!T4</f>
        <v>#N/A</v>
      </c>
      <c r="T76" s="11" t="e">
        <f>_xlfn.CONCAT("            Quivers = """, S76, """,")</f>
        <v>#N/A</v>
      </c>
      <c r="V76" s="1" t="s">
        <v>106</v>
      </c>
    </row>
    <row r="77" spans="1:22" ht="15.95" customHeight="1" x14ac:dyDescent="0.25">
      <c r="A77" s="19" t="str">
        <f>'Life Flask'!B4</f>
        <v>Life Flasks</v>
      </c>
      <c r="B77" s="11" t="str">
        <f>_xlfn.CONCAT("            LifeFlasks = """, A77, """,")</f>
        <v xml:space="preserve">            LifeFlasks = "Life Flasks",</v>
      </c>
      <c r="C77" s="19" t="e">
        <f>'Life Flask'!D4</f>
        <v>#N/A</v>
      </c>
      <c r="D77" s="11" t="e">
        <f>_xlfn.CONCAT("            LifeFlasks = """, C77, """,")</f>
        <v>#N/A</v>
      </c>
      <c r="E77" s="19" t="e">
        <f>'Life Flask'!F4</f>
        <v>#N/A</v>
      </c>
      <c r="F77" s="11" t="e">
        <f>_xlfn.CONCAT("            LifeFlasks = """, E77, """,")</f>
        <v>#N/A</v>
      </c>
      <c r="G77" s="19" t="str">
        <f>'Life Flask'!H4</f>
        <v>Flacons de Vie</v>
      </c>
      <c r="H77" s="11" t="str">
        <f>_xlfn.CONCAT("            LifeFlasks = """, G77, """,")</f>
        <v xml:space="preserve">            LifeFlasks = "Flacons de Vie",</v>
      </c>
      <c r="I77" s="19" t="e">
        <f>'Life Flask'!J4</f>
        <v>#N/A</v>
      </c>
      <c r="J77" s="11" t="e">
        <f>_xlfn.CONCAT("            LifeFlasks = """, I77, """,")</f>
        <v>#N/A</v>
      </c>
      <c r="K77" s="19" t="e">
        <f>'Life Flask'!L4</f>
        <v>#N/A</v>
      </c>
      <c r="L77" s="11" t="e">
        <f>_xlfn.CONCAT("            LifeFlasks = """, K77, """,")</f>
        <v>#N/A</v>
      </c>
      <c r="M77" s="19" t="e">
        <f>'Life Flask'!N4</f>
        <v>#N/A</v>
      </c>
      <c r="N77" s="11" t="e">
        <f>_xlfn.CONCAT("            LifeFlasks = """, M77, """,")</f>
        <v>#N/A</v>
      </c>
      <c r="O77" s="19" t="e">
        <f>'Life Flask'!P4</f>
        <v>#N/A</v>
      </c>
      <c r="P77" s="11" t="e">
        <f>_xlfn.CONCAT("            LifeFlasks = """, O77, """,")</f>
        <v>#N/A</v>
      </c>
      <c r="Q77" s="19" t="e">
        <f>'Life Flask'!R4</f>
        <v>#N/A</v>
      </c>
      <c r="R77" s="11" t="e">
        <f>_xlfn.CONCAT("            LifeFlasks = """, Q77, """,")</f>
        <v>#N/A</v>
      </c>
      <c r="S77" s="19" t="e">
        <f>'Life Flask'!T4</f>
        <v>#N/A</v>
      </c>
      <c r="T77" s="11" t="e">
        <f>_xlfn.CONCAT("            LifeFlasks = """, S77, """,")</f>
        <v>#N/A</v>
      </c>
      <c r="V77" s="1" t="s">
        <v>777</v>
      </c>
    </row>
    <row r="78" spans="1:22" ht="15.95" customHeight="1" x14ac:dyDescent="0.25">
      <c r="A78" s="19" t="str">
        <f>'Mana Flask'!B4</f>
        <v>Mana Flasks</v>
      </c>
      <c r="B78" s="11" t="str">
        <f>_xlfn.CONCAT("            ManaFlasks = """, A78, """,")</f>
        <v xml:space="preserve">            ManaFlasks = "Mana Flasks",</v>
      </c>
      <c r="C78" s="19" t="e">
        <f>'Mana Flask'!D4</f>
        <v>#N/A</v>
      </c>
      <c r="D78" s="11" t="e">
        <f>_xlfn.CONCAT("            ManaFlasks = """, C78, """,")</f>
        <v>#N/A</v>
      </c>
      <c r="E78" s="19" t="e">
        <f>'Mana Flask'!F4</f>
        <v>#N/A</v>
      </c>
      <c r="F78" s="11" t="e">
        <f>_xlfn.CONCAT("            ManaFlasks = """, E78, """,")</f>
        <v>#N/A</v>
      </c>
      <c r="G78" s="19" t="str">
        <f>'Mana Flask'!H4</f>
        <v>Flacons de Mana</v>
      </c>
      <c r="H78" s="11" t="str">
        <f>_xlfn.CONCAT("            ManaFlasks = """, G78, """,")</f>
        <v xml:space="preserve">            ManaFlasks = "Flacons de Mana",</v>
      </c>
      <c r="I78" s="19" t="e">
        <f>'Mana Flask'!J4</f>
        <v>#N/A</v>
      </c>
      <c r="J78" s="11" t="e">
        <f>_xlfn.CONCAT("            ManaFlasks = """, I78, """,")</f>
        <v>#N/A</v>
      </c>
      <c r="K78" s="19" t="e">
        <f>'Mana Flask'!L4</f>
        <v>#N/A</v>
      </c>
      <c r="L78" s="11" t="e">
        <f>_xlfn.CONCAT("            ManaFlasks = """, K78, """,")</f>
        <v>#N/A</v>
      </c>
      <c r="M78" s="19" t="e">
        <f>'Mana Flask'!N4</f>
        <v>#N/A</v>
      </c>
      <c r="N78" s="11" t="e">
        <f>_xlfn.CONCAT("            ManaFlasks = """, M78, """,")</f>
        <v>#N/A</v>
      </c>
      <c r="O78" s="19" t="e">
        <f>'Mana Flask'!P4</f>
        <v>#N/A</v>
      </c>
      <c r="P78" s="11" t="e">
        <f>_xlfn.CONCAT("            ManaFlasks = """, O78, """,")</f>
        <v>#N/A</v>
      </c>
      <c r="Q78" s="19" t="e">
        <f>'Mana Flask'!R4</f>
        <v>#N/A</v>
      </c>
      <c r="R78" s="11" t="e">
        <f>_xlfn.CONCAT("            ManaFlasks = """, Q78, """,")</f>
        <v>#N/A</v>
      </c>
      <c r="S78" s="19" t="e">
        <f>'Mana Flask'!T4</f>
        <v>#N/A</v>
      </c>
      <c r="T78" s="11" t="e">
        <f>_xlfn.CONCAT("            ManaFlasks = """, S78, """,")</f>
        <v>#N/A</v>
      </c>
      <c r="V78" s="1" t="s">
        <v>778</v>
      </c>
    </row>
    <row r="79" spans="1:22" ht="15.95" customHeight="1" x14ac:dyDescent="0.25">
      <c r="A79" s="19" t="str">
        <f>'Hybrid Flask'!B4</f>
        <v>Hybrid Flasks</v>
      </c>
      <c r="B79" s="11" t="str">
        <f>_xlfn.CONCAT("            HybridFlasks = """, A79, """,")</f>
        <v xml:space="preserve">            HybridFlasks = "Hybrid Flasks",</v>
      </c>
      <c r="C79" s="19" t="e">
        <f>'Hybrid Flask'!D4</f>
        <v>#N/A</v>
      </c>
      <c r="D79" s="11" t="e">
        <f>_xlfn.CONCAT("            HybridFlasks = """, C79, """,")</f>
        <v>#N/A</v>
      </c>
      <c r="E79" s="19" t="e">
        <f>'Hybrid Flask'!F4</f>
        <v>#N/A</v>
      </c>
      <c r="F79" s="11" t="e">
        <f>_xlfn.CONCAT("            HybridFlasks = """, E79, """,")</f>
        <v>#N/A</v>
      </c>
      <c r="G79" s="19" t="str">
        <f>'Hybrid Flask'!H4</f>
        <v>Flacons hybrides</v>
      </c>
      <c r="H79" s="11" t="str">
        <f>_xlfn.CONCAT("            HybridFlasks = """, G79, """,")</f>
        <v xml:space="preserve">            HybridFlasks = "Flacons hybrides",</v>
      </c>
      <c r="I79" s="19" t="e">
        <f>'Hybrid Flask'!J4</f>
        <v>#N/A</v>
      </c>
      <c r="J79" s="11" t="e">
        <f>_xlfn.CONCAT("            HybridFlasks = """, I79, """,")</f>
        <v>#N/A</v>
      </c>
      <c r="K79" s="19" t="e">
        <f>'Hybrid Flask'!L4</f>
        <v>#N/A</v>
      </c>
      <c r="L79" s="11" t="e">
        <f>_xlfn.CONCAT("            HybridFlasks = """, K79, """,")</f>
        <v>#N/A</v>
      </c>
      <c r="M79" s="19" t="e">
        <f>'Hybrid Flask'!N4</f>
        <v>#N/A</v>
      </c>
      <c r="N79" s="11" t="e">
        <f>_xlfn.CONCAT("            HybridFlasks = """, M79, """,")</f>
        <v>#N/A</v>
      </c>
      <c r="O79" s="19" t="e">
        <f>'Hybrid Flask'!P4</f>
        <v>#N/A</v>
      </c>
      <c r="P79" s="11" t="e">
        <f>_xlfn.CONCAT("            HybridFlasks = """, O79, """,")</f>
        <v>#N/A</v>
      </c>
      <c r="Q79" s="19" t="e">
        <f>'Hybrid Flask'!R4</f>
        <v>#N/A</v>
      </c>
      <c r="R79" s="11" t="e">
        <f>_xlfn.CONCAT("            HybridFlasks = """, Q79, """,")</f>
        <v>#N/A</v>
      </c>
      <c r="S79" s="19" t="e">
        <f>'Hybrid Flask'!T4</f>
        <v>#N/A</v>
      </c>
      <c r="T79" s="11" t="e">
        <f>_xlfn.CONCAT("            HybridFlasks = """, S79, """,")</f>
        <v>#N/A</v>
      </c>
      <c r="V79" s="1" t="s">
        <v>779</v>
      </c>
    </row>
    <row r="80" spans="1:22" ht="15.95" customHeight="1" x14ac:dyDescent="0.25">
      <c r="A80" s="19" t="str">
        <f>'Magic Utility Flask'!B4</f>
        <v>Utility Flasks</v>
      </c>
      <c r="B80" s="11" t="str">
        <f>_xlfn.CONCAT("            UtilityFlasks = """, A80, """,")</f>
        <v xml:space="preserve">            UtilityFlasks = "Utility Flasks",</v>
      </c>
      <c r="C80" s="19" t="e">
        <f>'Magic Utility Flask'!D4</f>
        <v>#N/A</v>
      </c>
      <c r="D80" s="11" t="e">
        <f>_xlfn.CONCAT("            UtilityFlasks = """, C80, """,")</f>
        <v>#N/A</v>
      </c>
      <c r="E80" s="19" t="e">
        <f>'Magic Utility Flask'!F4</f>
        <v>#N/A</v>
      </c>
      <c r="F80" s="11" t="e">
        <f>_xlfn.CONCAT("            UtilityFlasks = """, E80, """,")</f>
        <v>#N/A</v>
      </c>
      <c r="G80" s="19" t="str">
        <f>'Magic Utility Flask'!H4</f>
        <v>Flacons utilitaires</v>
      </c>
      <c r="H80" s="11" t="str">
        <f>_xlfn.CONCAT("            UtilityFlasks = """, G80, """,")</f>
        <v xml:space="preserve">            UtilityFlasks = "Flacons utilitaires",</v>
      </c>
      <c r="I80" s="19" t="e">
        <f>'Magic Utility Flask'!J4</f>
        <v>#N/A</v>
      </c>
      <c r="J80" s="11" t="e">
        <f>_xlfn.CONCAT("            UtilityFlasks = """, I80, """,")</f>
        <v>#N/A</v>
      </c>
      <c r="K80" s="19" t="e">
        <f>'Magic Utility Flask'!L4</f>
        <v>#N/A</v>
      </c>
      <c r="L80" s="11" t="e">
        <f>_xlfn.CONCAT("            UtilityFlasks = """, K80, """,")</f>
        <v>#N/A</v>
      </c>
      <c r="M80" s="19" t="e">
        <f>'Magic Utility Flask'!N4</f>
        <v>#N/A</v>
      </c>
      <c r="N80" s="11" t="e">
        <f>_xlfn.CONCAT("            UtilityFlasks = """, M80, """,")</f>
        <v>#N/A</v>
      </c>
      <c r="O80" s="19" t="e">
        <f>'Magic Utility Flask'!P4</f>
        <v>#N/A</v>
      </c>
      <c r="P80" s="11" t="e">
        <f>_xlfn.CONCAT("            UtilityFlasks = """, O80, """,")</f>
        <v>#N/A</v>
      </c>
      <c r="Q80" s="19" t="e">
        <f>'Magic Utility Flask'!R4</f>
        <v>#N/A</v>
      </c>
      <c r="R80" s="11" t="e">
        <f>_xlfn.CONCAT("            UtilityFlasks = """, Q80, """,")</f>
        <v>#N/A</v>
      </c>
      <c r="S80" s="19" t="e">
        <f>'Magic Utility Flask'!T4</f>
        <v>#N/A</v>
      </c>
      <c r="T80" s="11" t="e">
        <f>_xlfn.CONCAT("            UtilityFlasks = """, S80, """,")</f>
        <v>#N/A</v>
      </c>
      <c r="V80" s="1" t="s">
        <v>554</v>
      </c>
    </row>
    <row r="81" spans="1:22" ht="15.95" customHeight="1" x14ac:dyDescent="0.25">
      <c r="A81" s="19" t="str">
        <f>'Phantasmal Gem'!B4</f>
        <v>Skill Gems</v>
      </c>
      <c r="B81" s="11" t="str">
        <f>_xlfn.CONCAT("            ActiveSkillGems = """, A81, """,")</f>
        <v xml:space="preserve">            ActiveSkillGems = "Skill Gems",</v>
      </c>
      <c r="C81" s="19" t="e">
        <f>'Phantasmal Gem'!D4</f>
        <v>#N/A</v>
      </c>
      <c r="D81" s="11" t="e">
        <f>_xlfn.CONCAT("            ActiveSkillGems = """, C81, """,")</f>
        <v>#N/A</v>
      </c>
      <c r="E81" s="19" t="e">
        <f>'Phantasmal Gem'!F4</f>
        <v>#N/A</v>
      </c>
      <c r="F81" s="11" t="e">
        <f>_xlfn.CONCAT("            ActiveSkillGems = """, E81, """,")</f>
        <v>#N/A</v>
      </c>
      <c r="G81" s="19" t="str">
        <f>'Phantasmal Gem'!H4</f>
        <v>Gemmes d'aptitude</v>
      </c>
      <c r="H81" s="11" t="str">
        <f>_xlfn.CONCAT("            ActiveSkillGems = """, G81, """,")</f>
        <v xml:space="preserve">            ActiveSkillGems = "Gemmes d'aptitude",</v>
      </c>
      <c r="I81" s="19" t="e">
        <f>'Phantasmal Gem'!J4</f>
        <v>#N/A</v>
      </c>
      <c r="J81" s="11" t="e">
        <f>_xlfn.CONCAT("            ActiveSkillGems = """, I81, """,")</f>
        <v>#N/A</v>
      </c>
      <c r="K81" s="19" t="e">
        <f>'Phantasmal Gem'!L4</f>
        <v>#N/A</v>
      </c>
      <c r="L81" s="11" t="e">
        <f>_xlfn.CONCAT("            ActiveSkillGems = """, K81, """,")</f>
        <v>#N/A</v>
      </c>
      <c r="M81" s="19" t="e">
        <f>'Phantasmal Gem'!N4</f>
        <v>#N/A</v>
      </c>
      <c r="N81" s="11" t="e">
        <f>_xlfn.CONCAT("            ActiveSkillGems = """, M81, """,")</f>
        <v>#N/A</v>
      </c>
      <c r="O81" s="19" t="e">
        <f>'Phantasmal Gem'!P4</f>
        <v>#N/A</v>
      </c>
      <c r="P81" s="11" t="e">
        <f>_xlfn.CONCAT("            ActiveSkillGems = """, O81, """,")</f>
        <v>#N/A</v>
      </c>
      <c r="Q81" s="19" t="e">
        <f>'Phantasmal Gem'!R4</f>
        <v>#N/A</v>
      </c>
      <c r="R81" s="11" t="e">
        <f>_xlfn.CONCAT("            ActiveSkillGems = """, Q81, """,")</f>
        <v>#N/A</v>
      </c>
      <c r="S81" s="19" t="e">
        <f>'Phantasmal Gem'!T4</f>
        <v>#N/A</v>
      </c>
      <c r="T81" s="11" t="e">
        <f>_xlfn.CONCAT("            ActiveSkillGems = """, S81, """,")</f>
        <v>#N/A</v>
      </c>
      <c r="V81" s="1" t="s">
        <v>555</v>
      </c>
    </row>
    <row r="82" spans="1:22" ht="15.95" customHeight="1" x14ac:dyDescent="0.25">
      <c r="A82" s="19" t="str">
        <f>'Divergent Support Gem'!B4</f>
        <v>Support Gems</v>
      </c>
      <c r="B82" s="11" t="str">
        <f>_xlfn.CONCAT("            SupportSkillGems = """, A82, """,")</f>
        <v xml:space="preserve">            SupportSkillGems = "Support Gems",</v>
      </c>
      <c r="C82" s="19" t="e">
        <f>'Divergent Support Gem'!D4</f>
        <v>#N/A</v>
      </c>
      <c r="D82" s="11" t="e">
        <f>_xlfn.CONCAT("            SupportSkillGems = """, C82, """,")</f>
        <v>#N/A</v>
      </c>
      <c r="E82" s="19" t="e">
        <f>'Divergent Support Gem'!F4</f>
        <v>#N/A</v>
      </c>
      <c r="F82" s="11" t="e">
        <f>_xlfn.CONCAT("            SupportSkillGems = """, E82, """,")</f>
        <v>#N/A</v>
      </c>
      <c r="G82" s="19" t="str">
        <f>'Divergent Support Gem'!H4</f>
        <v>Gemmes de soutien</v>
      </c>
      <c r="H82" s="11" t="str">
        <f>_xlfn.CONCAT("            SupportSkillGems = """, G82, """,")</f>
        <v xml:space="preserve">            SupportSkillGems = "Gemmes de soutien",</v>
      </c>
      <c r="I82" s="19" t="e">
        <f>'Divergent Support Gem'!J4</f>
        <v>#N/A</v>
      </c>
      <c r="J82" s="11" t="e">
        <f>_xlfn.CONCAT("            SupportSkillGems = """, I82, """,")</f>
        <v>#N/A</v>
      </c>
      <c r="K82" s="19" t="e">
        <f>'Divergent Support Gem'!L4</f>
        <v>#N/A</v>
      </c>
      <c r="L82" s="11" t="e">
        <f>_xlfn.CONCAT("            SupportSkillGems = """, K82, """,")</f>
        <v>#N/A</v>
      </c>
      <c r="M82" s="19" t="e">
        <f>'Divergent Support Gem'!N4</f>
        <v>#N/A</v>
      </c>
      <c r="N82" s="11" t="e">
        <f>_xlfn.CONCAT("            SupportSkillGems = """, M82, """,")</f>
        <v>#N/A</v>
      </c>
      <c r="O82" s="19" t="e">
        <f>'Divergent Support Gem'!P4</f>
        <v>#N/A</v>
      </c>
      <c r="P82" s="11" t="e">
        <f>_xlfn.CONCAT("            SupportSkillGems = """, O82, """,")</f>
        <v>#N/A</v>
      </c>
      <c r="Q82" s="19" t="e">
        <f>'Divergent Support Gem'!R4</f>
        <v>#N/A</v>
      </c>
      <c r="R82" s="11" t="e">
        <f>_xlfn.CONCAT("            SupportSkillGems = """, Q82, """,")</f>
        <v>#N/A</v>
      </c>
      <c r="S82" s="19" t="e">
        <f>'Divergent Support Gem'!T4</f>
        <v>#N/A</v>
      </c>
      <c r="T82" s="11" t="e">
        <f>_xlfn.CONCAT("            SupportSkillGems = """, S82, """,")</f>
        <v>#N/A</v>
      </c>
      <c r="V82" s="1" t="s">
        <v>556</v>
      </c>
    </row>
    <row r="83" spans="1:22" ht="15.95" customHeight="1" x14ac:dyDescent="0.25">
      <c r="A83" s="19" t="str">
        <f>Map!B4</f>
        <v>Maps</v>
      </c>
      <c r="B83" s="11" t="str">
        <f>_xlfn.CONCAT("            Maps = """, A83, """,")</f>
        <v xml:space="preserve">            Maps = "Maps",</v>
      </c>
      <c r="C83" s="19" t="e">
        <f>Map!D4</f>
        <v>#N/A</v>
      </c>
      <c r="D83" s="11" t="e">
        <f>_xlfn.CONCAT("            Maps = """, C83, """,")</f>
        <v>#N/A</v>
      </c>
      <c r="E83" s="19" t="e">
        <f>Map!F4</f>
        <v>#N/A</v>
      </c>
      <c r="F83" s="11" t="e">
        <f>_xlfn.CONCAT("            Maps = """, E83, """,")</f>
        <v>#N/A</v>
      </c>
      <c r="G83" s="19" t="str">
        <f>Map!H4</f>
        <v>Cartes</v>
      </c>
      <c r="H83" s="11" t="str">
        <f>_xlfn.CONCAT("            Maps = """, G83, """,")</f>
        <v xml:space="preserve">            Maps = "Cartes",</v>
      </c>
      <c r="I83" s="19" t="e">
        <f>Map!J4</f>
        <v>#N/A</v>
      </c>
      <c r="J83" s="11" t="e">
        <f>_xlfn.CONCAT("            Maps = """, I83, """,")</f>
        <v>#N/A</v>
      </c>
      <c r="K83" s="19" t="e">
        <f>Map!L4</f>
        <v>#N/A</v>
      </c>
      <c r="L83" s="11" t="e">
        <f>_xlfn.CONCAT("            Maps = """, K83, """,")</f>
        <v>#N/A</v>
      </c>
      <c r="M83" s="19" t="e">
        <f>Map!N4</f>
        <v>#N/A</v>
      </c>
      <c r="N83" s="11" t="e">
        <f>_xlfn.CONCAT("            Maps = """, M83, """,")</f>
        <v>#N/A</v>
      </c>
      <c r="O83" s="19" t="e">
        <f>Map!P4</f>
        <v>#N/A</v>
      </c>
      <c r="P83" s="11" t="e">
        <f>_xlfn.CONCAT("            Maps = """, O83, """,")</f>
        <v>#N/A</v>
      </c>
      <c r="Q83" s="19" t="e">
        <f>Map!R4</f>
        <v>#N/A</v>
      </c>
      <c r="R83" s="11" t="e">
        <f>_xlfn.CONCAT("            Maps = """, Q83, """,")</f>
        <v>#N/A</v>
      </c>
      <c r="S83" s="19" t="e">
        <f>Map!T4</f>
        <v>#N/A</v>
      </c>
      <c r="T83" s="11" t="e">
        <f>_xlfn.CONCAT("            Maps = """, S83, """,")</f>
        <v>#N/A</v>
      </c>
      <c r="V83" s="1" t="s">
        <v>780</v>
      </c>
    </row>
    <row r="84" spans="1:22" ht="15.95" customHeight="1" x14ac:dyDescent="0.25">
      <c r="A84" s="19" t="str">
        <f>'Map Fragment'!B4</f>
        <v>Map Fragments</v>
      </c>
      <c r="B84" s="11" t="str">
        <f>_xlfn.CONCAT("            MapFragments = """, A84, """,")</f>
        <v xml:space="preserve">            MapFragments = "Map Fragments",</v>
      </c>
      <c r="C84" s="19" t="e">
        <f>'Map Fragment'!D4</f>
        <v>#N/A</v>
      </c>
      <c r="D84" s="11" t="e">
        <f>_xlfn.CONCAT("            MapFragments = """, C84, """,")</f>
        <v>#N/A</v>
      </c>
      <c r="E84" s="19" t="e">
        <f>'Map Fragment'!F4</f>
        <v>#N/A</v>
      </c>
      <c r="F84" s="11" t="e">
        <f>_xlfn.CONCAT("            MapFragments = """, E84, """,")</f>
        <v>#N/A</v>
      </c>
      <c r="G84" s="19" t="str">
        <f>'Map Fragment'!H4</f>
        <v>Fragments de carte</v>
      </c>
      <c r="H84" s="11" t="str">
        <f>_xlfn.CONCAT("            MapFragments = """, G84, """,")</f>
        <v xml:space="preserve">            MapFragments = "Fragments de carte",</v>
      </c>
      <c r="I84" s="19" t="e">
        <f>'Map Fragment'!J4</f>
        <v>#N/A</v>
      </c>
      <c r="J84" s="11" t="e">
        <f>_xlfn.CONCAT("            MapFragments = """, I84, """,")</f>
        <v>#N/A</v>
      </c>
      <c r="K84" s="19" t="e">
        <f>'Map Fragment'!L4</f>
        <v>#N/A</v>
      </c>
      <c r="L84" s="11" t="e">
        <f>_xlfn.CONCAT("            MapFragments = """, K84, """,")</f>
        <v>#N/A</v>
      </c>
      <c r="M84" s="19" t="e">
        <f>'Map Fragment'!N4</f>
        <v>#N/A</v>
      </c>
      <c r="N84" s="11" t="e">
        <f>_xlfn.CONCAT("            MapFragments = """, M84, """,")</f>
        <v>#N/A</v>
      </c>
      <c r="O84" s="19" t="e">
        <f>'Map Fragment'!P4</f>
        <v>#N/A</v>
      </c>
      <c r="P84" s="11" t="e">
        <f>_xlfn.CONCAT("            MapFragments = """, O84, """,")</f>
        <v>#N/A</v>
      </c>
      <c r="Q84" s="19" t="e">
        <f>'Map Fragment'!R4</f>
        <v>#N/A</v>
      </c>
      <c r="R84" s="11" t="e">
        <f>_xlfn.CONCAT("            MapFragments = """, Q84, """,")</f>
        <v>#N/A</v>
      </c>
      <c r="S84" s="19" t="e">
        <f>'Map Fragment'!T4</f>
        <v>#N/A</v>
      </c>
      <c r="T84" s="11" t="e">
        <f>_xlfn.CONCAT("            MapFragments = """, S84, """,")</f>
        <v>#N/A</v>
      </c>
      <c r="V84" s="1" t="s">
        <v>781</v>
      </c>
    </row>
    <row r="85" spans="1:22" ht="15.95" customHeight="1" x14ac:dyDescent="0.25">
      <c r="A85" s="19" t="str">
        <f>Contract!B4</f>
        <v>Contracts</v>
      </c>
      <c r="B85" s="11" t="str">
        <f>_xlfn.CONCAT("            Contract = """, A85, """,")</f>
        <v xml:space="preserve">            Contract = "Contracts",</v>
      </c>
      <c r="C85" s="19" t="e">
        <f>Contract!D4</f>
        <v>#N/A</v>
      </c>
      <c r="D85" s="11" t="e">
        <f>_xlfn.CONCAT("            Contract = """, C85, """,")</f>
        <v>#N/A</v>
      </c>
      <c r="E85" s="19" t="e">
        <f>Contract!F4</f>
        <v>#N/A</v>
      </c>
      <c r="F85" s="11" t="e">
        <f>_xlfn.CONCAT("            Contract = """, E85, """,")</f>
        <v>#N/A</v>
      </c>
      <c r="G85" s="19" t="str">
        <f>Contract!H4</f>
        <v>Contrats</v>
      </c>
      <c r="H85" s="11" t="str">
        <f>_xlfn.CONCAT("            Contract = """, G85, """,")</f>
        <v xml:space="preserve">            Contract = "Contrats",</v>
      </c>
      <c r="I85" s="19" t="e">
        <f>Contract!J4</f>
        <v>#N/A</v>
      </c>
      <c r="J85" s="11" t="e">
        <f>_xlfn.CONCAT("            Contract = """, I85, """,")</f>
        <v>#N/A</v>
      </c>
      <c r="K85" s="19" t="e">
        <f>Contract!L4</f>
        <v>#N/A</v>
      </c>
      <c r="L85" s="11" t="e">
        <f>_xlfn.CONCAT("            Contract = """, K85, """,")</f>
        <v>#N/A</v>
      </c>
      <c r="M85" s="19" t="e">
        <f>Contract!N4</f>
        <v>#N/A</v>
      </c>
      <c r="N85" s="11" t="e">
        <f>_xlfn.CONCAT("            Contract = """, M85, """,")</f>
        <v>#N/A</v>
      </c>
      <c r="O85" s="19" t="e">
        <f>Contract!P4</f>
        <v>#N/A</v>
      </c>
      <c r="P85" s="11" t="e">
        <f>_xlfn.CONCAT("            Contract = """, O85, """,")</f>
        <v>#N/A</v>
      </c>
      <c r="Q85" s="19" t="e">
        <f>Contract!R4</f>
        <v>#N/A</v>
      </c>
      <c r="R85" s="11" t="e">
        <f>_xlfn.CONCAT("            Contract = """, Q85, """,")</f>
        <v>#N/A</v>
      </c>
      <c r="S85" s="19" t="e">
        <f>Contract!T4</f>
        <v>#N/A</v>
      </c>
      <c r="T85" s="11" t="e">
        <f>_xlfn.CONCAT("            Contract = """, S85, """,")</f>
        <v>#N/A</v>
      </c>
      <c r="V85" s="1" t="s">
        <v>782</v>
      </c>
    </row>
    <row r="86" spans="1:22" ht="15.95" customHeight="1" x14ac:dyDescent="0.25">
      <c r="A86" s="19" t="str">
        <f>Blueprint!B4</f>
        <v>Blueprints</v>
      </c>
      <c r="B86" s="11" t="str">
        <f>_xlfn.CONCAT("            Blueprint = """, A86, """,")</f>
        <v xml:space="preserve">            Blueprint = "Blueprints",</v>
      </c>
      <c r="C86" s="19" t="e">
        <f>Blueprint!D4</f>
        <v>#N/A</v>
      </c>
      <c r="D86" s="11" t="e">
        <f>_xlfn.CONCAT("            Blueprint = """, C86, """,")</f>
        <v>#N/A</v>
      </c>
      <c r="E86" s="19" t="e">
        <f>Blueprint!F4</f>
        <v>#N/A</v>
      </c>
      <c r="F86" s="11" t="e">
        <f>_xlfn.CONCAT("            Blueprint = """, E86, """,")</f>
        <v>#N/A</v>
      </c>
      <c r="G86" s="19" t="str">
        <f>Blueprint!H4</f>
        <v>Plans</v>
      </c>
      <c r="H86" s="11" t="str">
        <f>_xlfn.CONCAT("            Blueprint = """, G86, """,")</f>
        <v xml:space="preserve">            Blueprint = "Plans",</v>
      </c>
      <c r="I86" s="19" t="e">
        <f>Blueprint!J4</f>
        <v>#N/A</v>
      </c>
      <c r="J86" s="11" t="e">
        <f>_xlfn.CONCAT("            Blueprint = """, I86, """,")</f>
        <v>#N/A</v>
      </c>
      <c r="K86" s="19" t="e">
        <f>Blueprint!L4</f>
        <v>#N/A</v>
      </c>
      <c r="L86" s="11" t="e">
        <f>_xlfn.CONCAT("            Blueprint = """, K86, """,")</f>
        <v>#N/A</v>
      </c>
      <c r="M86" s="19" t="e">
        <f>Blueprint!N4</f>
        <v>#N/A</v>
      </c>
      <c r="N86" s="11" t="e">
        <f>_xlfn.CONCAT("            Blueprint = """, M86, """,")</f>
        <v>#N/A</v>
      </c>
      <c r="O86" s="19" t="e">
        <f>Blueprint!P4</f>
        <v>#N/A</v>
      </c>
      <c r="P86" s="11" t="e">
        <f>_xlfn.CONCAT("            Blueprint = """, O86, """,")</f>
        <v>#N/A</v>
      </c>
      <c r="Q86" s="19" t="e">
        <f>Blueprint!R4</f>
        <v>#N/A</v>
      </c>
      <c r="R86" s="11" t="e">
        <f>_xlfn.CONCAT("            Blueprint = """, Q86, """,")</f>
        <v>#N/A</v>
      </c>
      <c r="S86" s="19" t="e">
        <f>Blueprint!T4</f>
        <v>#N/A</v>
      </c>
      <c r="T86" s="11" t="e">
        <f>_xlfn.CONCAT("            Blueprint = """, S86, """,")</f>
        <v>#N/A</v>
      </c>
      <c r="V86" s="1" t="s">
        <v>783</v>
      </c>
    </row>
    <row r="87" spans="1:22" ht="15.95" customHeight="1" x14ac:dyDescent="0.25">
      <c r="A87" s="19" t="str">
        <f>'Misc Map Item'!B4</f>
        <v>Misc Map Items</v>
      </c>
      <c r="B87" s="11" t="str">
        <f>_xlfn.CONCAT("            MiscMapItems = """, A87, """,")</f>
        <v xml:space="preserve">            MiscMapItems = "Misc Map Items",</v>
      </c>
      <c r="C87" s="19" t="e">
        <f>'Misc Map Item'!D4</f>
        <v>#N/A</v>
      </c>
      <c r="D87" s="11" t="e">
        <f>_xlfn.CONCAT("            MiscMapItems = """, C87, """,")</f>
        <v>#N/A</v>
      </c>
      <c r="E87" s="19" t="e">
        <f>'Misc Map Item'!F4</f>
        <v>#N/A</v>
      </c>
      <c r="F87" s="11" t="e">
        <f>_xlfn.CONCAT("            MiscMapItems = """, E87, """,")</f>
        <v>#N/A</v>
      </c>
      <c r="G87" s="19" t="str">
        <f>'Misc Map Item'!H4</f>
        <v>Objets de Carte divers</v>
      </c>
      <c r="H87" s="11" t="str">
        <f>_xlfn.CONCAT("            MiscMapItems = """, G87, """,")</f>
        <v xml:space="preserve">            MiscMapItems = "Objets de Carte divers",</v>
      </c>
      <c r="I87" s="19" t="e">
        <f>'Misc Map Item'!J4</f>
        <v>#N/A</v>
      </c>
      <c r="J87" s="11" t="e">
        <f>_xlfn.CONCAT("            MiscMapItems = """, I87, """,")</f>
        <v>#N/A</v>
      </c>
      <c r="K87" s="19" t="e">
        <f>'Misc Map Item'!L4</f>
        <v>#N/A</v>
      </c>
      <c r="L87" s="11" t="e">
        <f>_xlfn.CONCAT("            MiscMapItems = """, K87, """,")</f>
        <v>#N/A</v>
      </c>
      <c r="M87" s="19" t="e">
        <f>'Misc Map Item'!N4</f>
        <v>#N/A</v>
      </c>
      <c r="N87" s="11" t="e">
        <f>_xlfn.CONCAT("            MiscMapItems = """, M87, """,")</f>
        <v>#N/A</v>
      </c>
      <c r="O87" s="19" t="e">
        <f>'Misc Map Item'!P4</f>
        <v>#N/A</v>
      </c>
      <c r="P87" s="11" t="e">
        <f>_xlfn.CONCAT("            MiscMapItems = """, O87, """,")</f>
        <v>#N/A</v>
      </c>
      <c r="Q87" s="19" t="e">
        <f>'Misc Map Item'!R4</f>
        <v>#N/A</v>
      </c>
      <c r="R87" s="11" t="e">
        <f>_xlfn.CONCAT("            MiscMapItems = """, Q87, """,")</f>
        <v>#N/A</v>
      </c>
      <c r="S87" s="19" t="e">
        <f>'Misc Map Item'!T4</f>
        <v>#N/A</v>
      </c>
      <c r="T87" s="11" t="e">
        <f>_xlfn.CONCAT("            MiscMapItems = """, S87, """,")</f>
        <v>#N/A</v>
      </c>
      <c r="V87" s="1" t="s">
        <v>784</v>
      </c>
    </row>
    <row r="88" spans="1:22" ht="15.95" customHeight="1" x14ac:dyDescent="0.25">
      <c r="A88" s="19" t="str">
        <f>Claw!B4</f>
        <v>Claws</v>
      </c>
      <c r="B88" s="11" t="str">
        <f>_xlfn.CONCAT("            Claws = """, A88, """,")</f>
        <v xml:space="preserve">            Claws = "Claws",</v>
      </c>
      <c r="C88" s="19" t="e">
        <f>Claw!D4</f>
        <v>#N/A</v>
      </c>
      <c r="D88" s="11" t="e">
        <f>_xlfn.CONCAT("            Claws = """, C88, """,")</f>
        <v>#N/A</v>
      </c>
      <c r="E88" s="19" t="e">
        <f>Claw!F4</f>
        <v>#N/A</v>
      </c>
      <c r="F88" s="11" t="e">
        <f>_xlfn.CONCAT("            Claws = """, E88, """,")</f>
        <v>#N/A</v>
      </c>
      <c r="G88" s="19" t="str">
        <f>Claw!H4</f>
        <v>Griffes</v>
      </c>
      <c r="H88" s="11" t="str">
        <f>_xlfn.CONCAT("            Claws = """, G88, """,")</f>
        <v xml:space="preserve">            Claws = "Griffes",</v>
      </c>
      <c r="I88" s="19" t="e">
        <f>Claw!J4</f>
        <v>#N/A</v>
      </c>
      <c r="J88" s="11" t="e">
        <f>_xlfn.CONCAT("            Claws = """, I88, """,")</f>
        <v>#N/A</v>
      </c>
      <c r="K88" s="19" t="e">
        <f>Claw!L4</f>
        <v>#N/A</v>
      </c>
      <c r="L88" s="11" t="e">
        <f>_xlfn.CONCAT("            Claws = """, K88, """,")</f>
        <v>#N/A</v>
      </c>
      <c r="M88" s="19" t="e">
        <f>Claw!N4</f>
        <v>#N/A</v>
      </c>
      <c r="N88" s="11" t="e">
        <f>_xlfn.CONCAT("            Claws = """, M88, """,")</f>
        <v>#N/A</v>
      </c>
      <c r="O88" s="19" t="e">
        <f>Claw!P4</f>
        <v>#N/A</v>
      </c>
      <c r="P88" s="11" t="e">
        <f>_xlfn.CONCAT("            Claws = """, O88, """,")</f>
        <v>#N/A</v>
      </c>
      <c r="Q88" s="19" t="e">
        <f>Claw!R4</f>
        <v>#N/A</v>
      </c>
      <c r="R88" s="11" t="e">
        <f>_xlfn.CONCAT("            Claws = """, Q88, """,")</f>
        <v>#N/A</v>
      </c>
      <c r="S88" s="19" t="e">
        <f>Claw!T4</f>
        <v>#N/A</v>
      </c>
      <c r="T88" s="11" t="e">
        <f>_xlfn.CONCAT("            Claws = """, S88, """,")</f>
        <v>#N/A</v>
      </c>
      <c r="V88" s="1" t="s">
        <v>557</v>
      </c>
    </row>
    <row r="89" spans="1:22" ht="15.95" customHeight="1" x14ac:dyDescent="0.25">
      <c r="A89" s="19" t="str">
        <f>Dagger!B4</f>
        <v>Daggers</v>
      </c>
      <c r="B89" s="11" t="str">
        <f>_xlfn.CONCAT("            Daggers = """, A89, """,")</f>
        <v xml:space="preserve">            Daggers = "Daggers",</v>
      </c>
      <c r="C89" s="19" t="e">
        <f>Dagger!D4</f>
        <v>#N/A</v>
      </c>
      <c r="D89" s="11" t="e">
        <f>_xlfn.CONCAT("            Daggers = """, C89, """,")</f>
        <v>#N/A</v>
      </c>
      <c r="E89" s="19" t="e">
        <f>Dagger!F4</f>
        <v>#N/A</v>
      </c>
      <c r="F89" s="11" t="e">
        <f>_xlfn.CONCAT("            Daggers = """, E89, """,")</f>
        <v>#N/A</v>
      </c>
      <c r="G89" s="19" t="str">
        <f>Dagger!H4</f>
        <v>Dagues</v>
      </c>
      <c r="H89" s="11" t="str">
        <f>_xlfn.CONCAT("            Daggers = """, G89, """,")</f>
        <v xml:space="preserve">            Daggers = "Dagues",</v>
      </c>
      <c r="I89" s="19" t="e">
        <f>Dagger!J4</f>
        <v>#N/A</v>
      </c>
      <c r="J89" s="11" t="e">
        <f>_xlfn.CONCAT("            Daggers = """, I89, """,")</f>
        <v>#N/A</v>
      </c>
      <c r="K89" s="19" t="e">
        <f>Dagger!L4</f>
        <v>#N/A</v>
      </c>
      <c r="L89" s="11" t="e">
        <f>_xlfn.CONCAT("            Daggers = """, K89, """,")</f>
        <v>#N/A</v>
      </c>
      <c r="M89" s="19" t="e">
        <f>Dagger!N4</f>
        <v>#N/A</v>
      </c>
      <c r="N89" s="11" t="e">
        <f>_xlfn.CONCAT("            Daggers = """, M89, """,")</f>
        <v>#N/A</v>
      </c>
      <c r="O89" s="19" t="e">
        <f>Dagger!P4</f>
        <v>#N/A</v>
      </c>
      <c r="P89" s="11" t="e">
        <f>_xlfn.CONCAT("            Daggers = """, O89, """,")</f>
        <v>#N/A</v>
      </c>
      <c r="Q89" s="19" t="e">
        <f>Dagger!R4</f>
        <v>#N/A</v>
      </c>
      <c r="R89" s="11" t="e">
        <f>_xlfn.CONCAT("            Daggers = """, Q89, """,")</f>
        <v>#N/A</v>
      </c>
      <c r="S89" s="19" t="e">
        <f>Dagger!T4</f>
        <v>#N/A</v>
      </c>
      <c r="T89" s="11" t="e">
        <f>_xlfn.CONCAT("            Daggers = """, S89, """,")</f>
        <v>#N/A</v>
      </c>
      <c r="V89" s="1" t="s">
        <v>558</v>
      </c>
    </row>
    <row r="90" spans="1:22" ht="15.95" customHeight="1" x14ac:dyDescent="0.25">
      <c r="A90" s="19" t="str">
        <f>Wand!B4</f>
        <v>Wands</v>
      </c>
      <c r="B90" s="11" t="str">
        <f>_xlfn.CONCAT("            Wands = """, A90, """,")</f>
        <v xml:space="preserve">            Wands = "Wands",</v>
      </c>
      <c r="C90" s="19" t="e">
        <f>Wand!D4</f>
        <v>#N/A</v>
      </c>
      <c r="D90" s="11" t="e">
        <f>_xlfn.CONCAT("            Wands = """, C90, """,")</f>
        <v>#N/A</v>
      </c>
      <c r="E90" s="19" t="e">
        <f>Wand!F4</f>
        <v>#N/A</v>
      </c>
      <c r="F90" s="11" t="e">
        <f>_xlfn.CONCAT("            Wands = """, E90, """,")</f>
        <v>#N/A</v>
      </c>
      <c r="G90" s="19" t="str">
        <f>Wand!H4</f>
        <v>Baguettes</v>
      </c>
      <c r="H90" s="11" t="str">
        <f>_xlfn.CONCAT("            Wands = """, G90, """,")</f>
        <v xml:space="preserve">            Wands = "Baguettes",</v>
      </c>
      <c r="I90" s="19" t="e">
        <f>Wand!J4</f>
        <v>#N/A</v>
      </c>
      <c r="J90" s="11" t="e">
        <f>_xlfn.CONCAT("            Wands = """, I90, """,")</f>
        <v>#N/A</v>
      </c>
      <c r="K90" s="19" t="e">
        <f>Wand!L4</f>
        <v>#N/A</v>
      </c>
      <c r="L90" s="11" t="e">
        <f>_xlfn.CONCAT("            Wands = """, K90, """,")</f>
        <v>#N/A</v>
      </c>
      <c r="M90" s="19" t="e">
        <f>Wand!N4</f>
        <v>#N/A</v>
      </c>
      <c r="N90" s="11" t="e">
        <f>_xlfn.CONCAT("            Wands = """, M90, """,")</f>
        <v>#N/A</v>
      </c>
      <c r="O90" s="19" t="e">
        <f>Wand!P4</f>
        <v>#N/A</v>
      </c>
      <c r="P90" s="11" t="e">
        <f>_xlfn.CONCAT("            Wands = """, O90, """,")</f>
        <v>#N/A</v>
      </c>
      <c r="Q90" s="19" t="e">
        <f>Wand!R4</f>
        <v>#N/A</v>
      </c>
      <c r="R90" s="11" t="e">
        <f>_xlfn.CONCAT("            Wands = """, Q90, """,")</f>
        <v>#N/A</v>
      </c>
      <c r="S90" s="19" t="e">
        <f>Wand!T4</f>
        <v>#N/A</v>
      </c>
      <c r="T90" s="11" t="e">
        <f>_xlfn.CONCAT("            Wands = """, S90, """,")</f>
        <v>#N/A</v>
      </c>
      <c r="V90" s="1" t="s">
        <v>559</v>
      </c>
    </row>
    <row r="91" spans="1:22" ht="15.95" customHeight="1" x14ac:dyDescent="0.25">
      <c r="A91" s="19" t="str">
        <f>'1H Sword'!B4</f>
        <v>One Hand Swords</v>
      </c>
      <c r="B91" s="11" t="str">
        <f>_xlfn.CONCAT("            OneHandSwords = """, A91, """,")</f>
        <v xml:space="preserve">            OneHandSwords = "One Hand Swords",</v>
      </c>
      <c r="C91" s="19" t="e">
        <f>'1H Sword'!D4</f>
        <v>#N/A</v>
      </c>
      <c r="D91" s="11" t="e">
        <f>_xlfn.CONCAT("            OneHandSwords = """, C91, """,")</f>
        <v>#N/A</v>
      </c>
      <c r="E91" s="19" t="e">
        <f>'1H Sword'!F4</f>
        <v>#N/A</v>
      </c>
      <c r="F91" s="11" t="e">
        <f>_xlfn.CONCAT("            OneHandSwords = """, E91, """,")</f>
        <v>#N/A</v>
      </c>
      <c r="G91" s="19" t="str">
        <f>'1H Sword'!H4</f>
        <v>Épées à une main</v>
      </c>
      <c r="H91" s="11" t="str">
        <f>_xlfn.CONCAT("            OneHandSwords = """, G91, """,")</f>
        <v xml:space="preserve">            OneHandSwords = "Épées à une main",</v>
      </c>
      <c r="I91" s="19" t="e">
        <f>'1H Sword'!J4</f>
        <v>#N/A</v>
      </c>
      <c r="J91" s="11" t="e">
        <f>_xlfn.CONCAT("            OneHandSwords = """, I91, """,")</f>
        <v>#N/A</v>
      </c>
      <c r="K91" s="19" t="e">
        <f>'1H Sword'!L4</f>
        <v>#N/A</v>
      </c>
      <c r="L91" s="11" t="e">
        <f>_xlfn.CONCAT("            OneHandSwords = """, K91, """,")</f>
        <v>#N/A</v>
      </c>
      <c r="M91" s="19" t="e">
        <f>'1H Sword'!N4</f>
        <v>#N/A</v>
      </c>
      <c r="N91" s="11" t="e">
        <f>_xlfn.CONCAT("            OneHandSwords = """, M91, """,")</f>
        <v>#N/A</v>
      </c>
      <c r="O91" s="19" t="e">
        <f>'1H Sword'!P4</f>
        <v>#N/A</v>
      </c>
      <c r="P91" s="11" t="e">
        <f>_xlfn.CONCAT("            OneHandSwords = """, O91, """,")</f>
        <v>#N/A</v>
      </c>
      <c r="Q91" s="19" t="e">
        <f>'1H Sword'!R4</f>
        <v>#N/A</v>
      </c>
      <c r="R91" s="11" t="e">
        <f>_xlfn.CONCAT("            OneHandSwords = """, Q91, """,")</f>
        <v>#N/A</v>
      </c>
      <c r="S91" s="19" t="e">
        <f>'1H Sword'!T4</f>
        <v>#N/A</v>
      </c>
      <c r="T91" s="11" t="e">
        <f>_xlfn.CONCAT("            OneHandSwords = """, S91, """,")</f>
        <v>#N/A</v>
      </c>
      <c r="V91" s="1" t="s">
        <v>560</v>
      </c>
    </row>
    <row r="92" spans="1:22" ht="15.95" customHeight="1" x14ac:dyDescent="0.25">
      <c r="A92" s="19" t="str">
        <f>'1H Thrusting Sword'!B4</f>
        <v>Thrusting One Hand Swords</v>
      </c>
      <c r="B92" s="11" t="str">
        <f>_xlfn.CONCAT("            ThrustingOneHandSwords = """, A92, """,")</f>
        <v xml:space="preserve">            ThrustingOneHandSwords = "Thrusting One Hand Swords",</v>
      </c>
      <c r="C92" s="19" t="e">
        <f>'1H Thrusting Sword'!D4</f>
        <v>#N/A</v>
      </c>
      <c r="D92" s="11" t="e">
        <f>_xlfn.CONCAT("            ThrustingOneHandSwords = """, C92, """,")</f>
        <v>#N/A</v>
      </c>
      <c r="E92" s="19" t="e">
        <f>'1H Thrusting Sword'!F4</f>
        <v>#N/A</v>
      </c>
      <c r="F92" s="11" t="e">
        <f>_xlfn.CONCAT("            ThrustingOneHandSwords = """, E92, """,")</f>
        <v>#N/A</v>
      </c>
      <c r="G92" s="19" t="str">
        <f>'1H Thrusting Sword'!H4</f>
        <v>Épées d'estoc à une main</v>
      </c>
      <c r="H92" s="11" t="str">
        <f>_xlfn.CONCAT("            ThrustingOneHandSwords = """, G92, """,")</f>
        <v xml:space="preserve">            ThrustingOneHandSwords = "Épées d'estoc à une main",</v>
      </c>
      <c r="I92" s="19" t="e">
        <f>'1H Thrusting Sword'!J4</f>
        <v>#N/A</v>
      </c>
      <c r="J92" s="11" t="e">
        <f>_xlfn.CONCAT("            ThrustingOneHandSwords = """, I92, """,")</f>
        <v>#N/A</v>
      </c>
      <c r="K92" s="19" t="e">
        <f>'1H Thrusting Sword'!L4</f>
        <v>#N/A</v>
      </c>
      <c r="L92" s="11" t="e">
        <f>_xlfn.CONCAT("            ThrustingOneHandSwords = """, K92, """,")</f>
        <v>#N/A</v>
      </c>
      <c r="M92" s="19" t="e">
        <f>'1H Thrusting Sword'!N4</f>
        <v>#N/A</v>
      </c>
      <c r="N92" s="11" t="e">
        <f>_xlfn.CONCAT("            ThrustingOneHandSwords = """, M92, """,")</f>
        <v>#N/A</v>
      </c>
      <c r="O92" s="19" t="e">
        <f>'1H Thrusting Sword'!P4</f>
        <v>#N/A</v>
      </c>
      <c r="P92" s="11" t="e">
        <f>_xlfn.CONCAT("            ThrustingOneHandSwords = """, O92, """,")</f>
        <v>#N/A</v>
      </c>
      <c r="Q92" s="19" t="e">
        <f>'1H Thrusting Sword'!R4</f>
        <v>#N/A</v>
      </c>
      <c r="R92" s="11" t="e">
        <f>_xlfn.CONCAT("            ThrustingOneHandSwords = """, Q92, """,")</f>
        <v>#N/A</v>
      </c>
      <c r="S92" s="19" t="e">
        <f>'1H Thrusting Sword'!T4</f>
        <v>#N/A</v>
      </c>
      <c r="T92" s="11" t="e">
        <f>_xlfn.CONCAT("            ThrustingOneHandSwords = """, S92, """,")</f>
        <v>#N/A</v>
      </c>
      <c r="V92" s="1" t="s">
        <v>561</v>
      </c>
    </row>
    <row r="93" spans="1:22" ht="15.95" customHeight="1" x14ac:dyDescent="0.25">
      <c r="A93" s="19" t="str">
        <f>'1H Axe'!B4</f>
        <v>One Hand Axes</v>
      </c>
      <c r="B93" s="11" t="str">
        <f>_xlfn.CONCAT("            OneHandAxes = """, A93, """,")</f>
        <v xml:space="preserve">            OneHandAxes = "One Hand Axes",</v>
      </c>
      <c r="C93" s="19" t="e">
        <f>'1H Axe'!D4</f>
        <v>#N/A</v>
      </c>
      <c r="D93" s="11" t="e">
        <f>_xlfn.CONCAT("            OneHandAxes = """, C93, """,")</f>
        <v>#N/A</v>
      </c>
      <c r="E93" s="19" t="e">
        <f>'1H Axe'!F4</f>
        <v>#N/A</v>
      </c>
      <c r="F93" s="11" t="e">
        <f>_xlfn.CONCAT("            OneHandAxes = """, E93, """,")</f>
        <v>#N/A</v>
      </c>
      <c r="G93" s="19" t="str">
        <f>'1H Axe'!H4</f>
        <v>Haches à une main</v>
      </c>
      <c r="H93" s="11" t="str">
        <f>_xlfn.CONCAT("            OneHandAxes = """, G93, """,")</f>
        <v xml:space="preserve">            OneHandAxes = "Haches à une main",</v>
      </c>
      <c r="I93" s="19" t="e">
        <f>'1H Axe'!J4</f>
        <v>#N/A</v>
      </c>
      <c r="J93" s="11" t="e">
        <f>_xlfn.CONCAT("            OneHandAxes = """, I93, """,")</f>
        <v>#N/A</v>
      </c>
      <c r="K93" s="19" t="e">
        <f>'1H Axe'!L4</f>
        <v>#N/A</v>
      </c>
      <c r="L93" s="11" t="e">
        <f>_xlfn.CONCAT("            OneHandAxes = """, K93, """,")</f>
        <v>#N/A</v>
      </c>
      <c r="M93" s="19" t="e">
        <f>'1H Axe'!N4</f>
        <v>#N/A</v>
      </c>
      <c r="N93" s="11" t="e">
        <f>_xlfn.CONCAT("            OneHandAxes = """, M93, """,")</f>
        <v>#N/A</v>
      </c>
      <c r="O93" s="19" t="e">
        <f>'1H Axe'!P4</f>
        <v>#N/A</v>
      </c>
      <c r="P93" s="11" t="e">
        <f>_xlfn.CONCAT("            OneHandAxes = """, O93, """,")</f>
        <v>#N/A</v>
      </c>
      <c r="Q93" s="19" t="e">
        <f>'1H Axe'!R4</f>
        <v>#N/A</v>
      </c>
      <c r="R93" s="11" t="e">
        <f>_xlfn.CONCAT("            OneHandAxes = """, Q93, """,")</f>
        <v>#N/A</v>
      </c>
      <c r="S93" s="19" t="e">
        <f>'1H Axe'!T4</f>
        <v>#N/A</v>
      </c>
      <c r="T93" s="11" t="e">
        <f>_xlfn.CONCAT("            OneHandAxes = """, S93, """,")</f>
        <v>#N/A</v>
      </c>
      <c r="V93" s="1" t="s">
        <v>562</v>
      </c>
    </row>
    <row r="94" spans="1:22" ht="15.95" customHeight="1" x14ac:dyDescent="0.25">
      <c r="A94" s="19" t="str">
        <f>'1H Mace'!B4</f>
        <v>One Hand Maces</v>
      </c>
      <c r="B94" s="11" t="str">
        <f>_xlfn.CONCAT("            OneHandMaces = """, A94, """,")</f>
        <v xml:space="preserve">            OneHandMaces = "One Hand Maces",</v>
      </c>
      <c r="C94" s="19" t="e">
        <f>'1H Mace'!D4</f>
        <v>#N/A</v>
      </c>
      <c r="D94" s="11" t="e">
        <f>_xlfn.CONCAT("            OneHandMaces = """, C94, """,")</f>
        <v>#N/A</v>
      </c>
      <c r="E94" s="19" t="e">
        <f>'1H Mace'!F4</f>
        <v>#N/A</v>
      </c>
      <c r="F94" s="11" t="e">
        <f>_xlfn.CONCAT("            OneHandMaces = """, E94, """,")</f>
        <v>#N/A</v>
      </c>
      <c r="G94" s="19" t="str">
        <f>'1H Mace'!H4</f>
        <v>Masses à une main</v>
      </c>
      <c r="H94" s="11" t="str">
        <f>_xlfn.CONCAT("            OneHandMaces = """, G94, """,")</f>
        <v xml:space="preserve">            OneHandMaces = "Masses à une main",</v>
      </c>
      <c r="I94" s="19" t="e">
        <f>'1H Mace'!J4</f>
        <v>#N/A</v>
      </c>
      <c r="J94" s="11" t="e">
        <f>_xlfn.CONCAT("            OneHandMaces = """, I94, """,")</f>
        <v>#N/A</v>
      </c>
      <c r="K94" s="19" t="e">
        <f>'1H Mace'!L4</f>
        <v>#N/A</v>
      </c>
      <c r="L94" s="11" t="e">
        <f>_xlfn.CONCAT("            OneHandMaces = """, K94, """,")</f>
        <v>#N/A</v>
      </c>
      <c r="M94" s="19" t="e">
        <f>'1H Mace'!N4</f>
        <v>#N/A</v>
      </c>
      <c r="N94" s="11" t="e">
        <f>_xlfn.CONCAT("            OneHandMaces = """, M94, """,")</f>
        <v>#N/A</v>
      </c>
      <c r="O94" s="19" t="e">
        <f>'1H Mace'!P4</f>
        <v>#N/A</v>
      </c>
      <c r="P94" s="11" t="e">
        <f>_xlfn.CONCAT("            OneHandMaces = """, O94, """,")</f>
        <v>#N/A</v>
      </c>
      <c r="Q94" s="19" t="e">
        <f>'1H Mace'!R4</f>
        <v>#N/A</v>
      </c>
      <c r="R94" s="11" t="e">
        <f>_xlfn.CONCAT("            OneHandMaces = """, Q94, """,")</f>
        <v>#N/A</v>
      </c>
      <c r="S94" s="19" t="e">
        <f>'1H Mace'!T4</f>
        <v>#N/A</v>
      </c>
      <c r="T94" s="11" t="e">
        <f>_xlfn.CONCAT("            OneHandMaces = """, S94, """,")</f>
        <v>#N/A</v>
      </c>
      <c r="V94" s="1" t="s">
        <v>563</v>
      </c>
    </row>
    <row r="95" spans="1:22" ht="15.95" customHeight="1" x14ac:dyDescent="0.25">
      <c r="A95" s="19" t="str">
        <f>Bow!B4</f>
        <v>Bows</v>
      </c>
      <c r="B95" s="11" t="str">
        <f>_xlfn.CONCAT("            Bows = """, A95, """,")</f>
        <v xml:space="preserve">            Bows = "Bows",</v>
      </c>
      <c r="C95" s="19" t="e">
        <f>Bow!D4</f>
        <v>#N/A</v>
      </c>
      <c r="D95" s="11" t="e">
        <f>_xlfn.CONCAT("            Bows = """, C95, """,")</f>
        <v>#N/A</v>
      </c>
      <c r="E95" s="19" t="e">
        <f>Bow!F4</f>
        <v>#N/A</v>
      </c>
      <c r="F95" s="11" t="e">
        <f>_xlfn.CONCAT("            Bows = """, E95, """,")</f>
        <v>#N/A</v>
      </c>
      <c r="G95" s="19" t="str">
        <f>Bow!H4</f>
        <v>Arcs</v>
      </c>
      <c r="H95" s="11" t="str">
        <f>_xlfn.CONCAT("            Bows = """, G95, """,")</f>
        <v xml:space="preserve">            Bows = "Arcs",</v>
      </c>
      <c r="I95" s="19" t="e">
        <f>Bow!J4</f>
        <v>#N/A</v>
      </c>
      <c r="J95" s="11" t="e">
        <f>_xlfn.CONCAT("            Bows = """, I95, """,")</f>
        <v>#N/A</v>
      </c>
      <c r="K95" s="19" t="e">
        <f>Bow!L4</f>
        <v>#N/A</v>
      </c>
      <c r="L95" s="11" t="e">
        <f>_xlfn.CONCAT("            Bows = """, K95, """,")</f>
        <v>#N/A</v>
      </c>
      <c r="M95" s="19" t="e">
        <f>Bow!N4</f>
        <v>#N/A</v>
      </c>
      <c r="N95" s="11" t="e">
        <f>_xlfn.CONCAT("            Bows = """, M95, """,")</f>
        <v>#N/A</v>
      </c>
      <c r="O95" s="19" t="e">
        <f>Bow!P4</f>
        <v>#N/A</v>
      </c>
      <c r="P95" s="11" t="e">
        <f>_xlfn.CONCAT("            Bows = """, O95, """,")</f>
        <v>#N/A</v>
      </c>
      <c r="Q95" s="19" t="e">
        <f>Bow!R4</f>
        <v>#N/A</v>
      </c>
      <c r="R95" s="11" t="e">
        <f>_xlfn.CONCAT("            Bows = """, Q95, """,")</f>
        <v>#N/A</v>
      </c>
      <c r="S95" s="19" t="e">
        <f>Bow!T4</f>
        <v>#N/A</v>
      </c>
      <c r="T95" s="11" t="e">
        <f>_xlfn.CONCAT("            Bows = """, S95, """,")</f>
        <v>#N/A</v>
      </c>
      <c r="V95" s="1" t="s">
        <v>564</v>
      </c>
    </row>
    <row r="96" spans="1:22" ht="15.95" customHeight="1" x14ac:dyDescent="0.25">
      <c r="A96" s="19" t="str">
        <f>Staff!B4</f>
        <v>Staves</v>
      </c>
      <c r="B96" s="11" t="str">
        <f>_xlfn.CONCAT("            Staves = """, A96, """,")</f>
        <v xml:space="preserve">            Staves = "Staves",</v>
      </c>
      <c r="C96" s="19" t="e">
        <f>Staff!D4</f>
        <v>#N/A</v>
      </c>
      <c r="D96" s="11" t="e">
        <f>_xlfn.CONCAT("            Staves = """, C96, """,")</f>
        <v>#N/A</v>
      </c>
      <c r="E96" s="19" t="e">
        <f>Staff!F4</f>
        <v>#N/A</v>
      </c>
      <c r="F96" s="11" t="e">
        <f>_xlfn.CONCAT("            Staves = """, E96, """,")</f>
        <v>#N/A</v>
      </c>
      <c r="G96" s="19" t="str">
        <f>Staff!H4</f>
        <v>Bâtons</v>
      </c>
      <c r="H96" s="11" t="str">
        <f>_xlfn.CONCAT("            Staves = """, G96, """,")</f>
        <v xml:space="preserve">            Staves = "Bâtons",</v>
      </c>
      <c r="I96" s="19" t="e">
        <f>Staff!J4</f>
        <v>#N/A</v>
      </c>
      <c r="J96" s="11" t="e">
        <f>_xlfn.CONCAT("            Staves = """, I96, """,")</f>
        <v>#N/A</v>
      </c>
      <c r="K96" s="19" t="e">
        <f>Staff!L4</f>
        <v>#N/A</v>
      </c>
      <c r="L96" s="11" t="e">
        <f>_xlfn.CONCAT("            Staves = """, K96, """,")</f>
        <v>#N/A</v>
      </c>
      <c r="M96" s="19" t="e">
        <f>Staff!N4</f>
        <v>#N/A</v>
      </c>
      <c r="N96" s="11" t="e">
        <f>_xlfn.CONCAT("            Staves = """, M96, """,")</f>
        <v>#N/A</v>
      </c>
      <c r="O96" s="19" t="e">
        <f>Staff!P4</f>
        <v>#N/A</v>
      </c>
      <c r="P96" s="11" t="e">
        <f>_xlfn.CONCAT("            Staves = """, O96, """,")</f>
        <v>#N/A</v>
      </c>
      <c r="Q96" s="19" t="e">
        <f>Staff!R4</f>
        <v>#N/A</v>
      </c>
      <c r="R96" s="11" t="e">
        <f>_xlfn.CONCAT("            Staves = """, Q96, """,")</f>
        <v>#N/A</v>
      </c>
      <c r="S96" s="19" t="e">
        <f>Staff!T4</f>
        <v>#N/A</v>
      </c>
      <c r="T96" s="11" t="e">
        <f>_xlfn.CONCAT("            Staves = """, S96, """,")</f>
        <v>#N/A</v>
      </c>
      <c r="V96" s="1" t="s">
        <v>565</v>
      </c>
    </row>
    <row r="97" spans="1:22" ht="15.95" customHeight="1" x14ac:dyDescent="0.25">
      <c r="A97" s="19" t="str">
        <f>'2H Sword'!B4</f>
        <v>Two Hand Swords</v>
      </c>
      <c r="B97" s="11" t="str">
        <f>_xlfn.CONCAT("            TwoHandSwords = """, A97, """,")</f>
        <v xml:space="preserve">            TwoHandSwords = "Two Hand Swords",</v>
      </c>
      <c r="C97" s="19" t="e">
        <f>'2H Sword'!D4</f>
        <v>#N/A</v>
      </c>
      <c r="D97" s="11" t="e">
        <f>_xlfn.CONCAT("            TwoHandSwords = """, C97, """,")</f>
        <v>#N/A</v>
      </c>
      <c r="E97" s="19" t="e">
        <f>'2H Sword'!F4</f>
        <v>#N/A</v>
      </c>
      <c r="F97" s="11" t="e">
        <f>_xlfn.CONCAT("            TwoHandSwords = """, E97, """,")</f>
        <v>#N/A</v>
      </c>
      <c r="G97" s="19" t="str">
        <f>'2H Sword'!H4</f>
        <v>Épées à deux mains</v>
      </c>
      <c r="H97" s="11" t="str">
        <f>_xlfn.CONCAT("            TwoHandSwords = """, G97, """,")</f>
        <v xml:space="preserve">            TwoHandSwords = "Épées à deux mains",</v>
      </c>
      <c r="I97" s="19" t="e">
        <f>'2H Sword'!J4</f>
        <v>#N/A</v>
      </c>
      <c r="J97" s="11" t="e">
        <f>_xlfn.CONCAT("            TwoHandSwords = """, I97, """,")</f>
        <v>#N/A</v>
      </c>
      <c r="K97" s="19" t="e">
        <f>'2H Sword'!L4</f>
        <v>#N/A</v>
      </c>
      <c r="L97" s="11" t="e">
        <f>_xlfn.CONCAT("            TwoHandSwords = """, K97, """,")</f>
        <v>#N/A</v>
      </c>
      <c r="M97" s="19" t="e">
        <f>'2H Sword'!N4</f>
        <v>#N/A</v>
      </c>
      <c r="N97" s="11" t="e">
        <f>_xlfn.CONCAT("            TwoHandSwords = """, M97, """,")</f>
        <v>#N/A</v>
      </c>
      <c r="O97" s="19" t="e">
        <f>'2H Sword'!P4</f>
        <v>#N/A</v>
      </c>
      <c r="P97" s="11" t="e">
        <f>_xlfn.CONCAT("            TwoHandSwords = """, O97, """,")</f>
        <v>#N/A</v>
      </c>
      <c r="Q97" s="19" t="e">
        <f>'2H Sword'!R4</f>
        <v>#N/A</v>
      </c>
      <c r="R97" s="11" t="e">
        <f>_xlfn.CONCAT("            TwoHandSwords = """, Q97, """,")</f>
        <v>#N/A</v>
      </c>
      <c r="S97" s="19" t="e">
        <f>'2H Sword'!T4</f>
        <v>#N/A</v>
      </c>
      <c r="T97" s="11" t="e">
        <f>_xlfn.CONCAT("            TwoHandSwords = """, S97, """,")</f>
        <v>#N/A</v>
      </c>
      <c r="V97" s="1" t="s">
        <v>566</v>
      </c>
    </row>
    <row r="98" spans="1:22" ht="15.95" customHeight="1" x14ac:dyDescent="0.25">
      <c r="A98" s="19" t="str">
        <f>'2H Axe'!B4</f>
        <v>Two Hand Axes</v>
      </c>
      <c r="B98" s="11" t="str">
        <f>_xlfn.CONCAT("            TwoHandAxes = """, A98, """,")</f>
        <v xml:space="preserve">            TwoHandAxes = "Two Hand Axes",</v>
      </c>
      <c r="C98" s="19" t="e">
        <f>'2H Axe'!D4</f>
        <v>#N/A</v>
      </c>
      <c r="D98" s="11" t="e">
        <f>_xlfn.CONCAT("            TwoHandAxes = """, C98, """,")</f>
        <v>#N/A</v>
      </c>
      <c r="E98" s="19" t="e">
        <f>'2H Axe'!F4</f>
        <v>#N/A</v>
      </c>
      <c r="F98" s="11" t="e">
        <f>_xlfn.CONCAT("            TwoHandAxes = """, E98, """,")</f>
        <v>#N/A</v>
      </c>
      <c r="G98" s="19" t="str">
        <f>'2H Axe'!H4</f>
        <v>Haches à deux mains</v>
      </c>
      <c r="H98" s="11" t="str">
        <f>_xlfn.CONCAT("            TwoHandAxes = """, G98, """,")</f>
        <v xml:space="preserve">            TwoHandAxes = "Haches à deux mains",</v>
      </c>
      <c r="I98" s="19" t="e">
        <f>'2H Axe'!J4</f>
        <v>#N/A</v>
      </c>
      <c r="J98" s="11" t="e">
        <f>_xlfn.CONCAT("            TwoHandAxes = """, I98, """,")</f>
        <v>#N/A</v>
      </c>
      <c r="K98" s="19" t="e">
        <f>'2H Axe'!L4</f>
        <v>#N/A</v>
      </c>
      <c r="L98" s="11" t="e">
        <f>_xlfn.CONCAT("            TwoHandAxes = """, K98, """,")</f>
        <v>#N/A</v>
      </c>
      <c r="M98" s="19" t="e">
        <f>'2H Axe'!N4</f>
        <v>#N/A</v>
      </c>
      <c r="N98" s="11" t="e">
        <f>_xlfn.CONCAT("            TwoHandAxes = """, M98, """,")</f>
        <v>#N/A</v>
      </c>
      <c r="O98" s="19" t="e">
        <f>'2H Axe'!P4</f>
        <v>#N/A</v>
      </c>
      <c r="P98" s="11" t="e">
        <f>_xlfn.CONCAT("            TwoHandAxes = """, O98, """,")</f>
        <v>#N/A</v>
      </c>
      <c r="Q98" s="19" t="e">
        <f>'2H Axe'!R4</f>
        <v>#N/A</v>
      </c>
      <c r="R98" s="11" t="e">
        <f>_xlfn.CONCAT("            TwoHandAxes = """, Q98, """,")</f>
        <v>#N/A</v>
      </c>
      <c r="S98" s="19" t="e">
        <f>'2H Axe'!T4</f>
        <v>#N/A</v>
      </c>
      <c r="T98" s="11" t="e">
        <f>_xlfn.CONCAT("            TwoHandAxes = """, S98, """,")</f>
        <v>#N/A</v>
      </c>
      <c r="V98" s="1" t="s">
        <v>567</v>
      </c>
    </row>
    <row r="99" spans="1:22" ht="15.95" customHeight="1" x14ac:dyDescent="0.25">
      <c r="A99" s="19" t="str">
        <f>'2H Mace'!B4</f>
        <v>Two Hand Maces</v>
      </c>
      <c r="B99" s="11" t="str">
        <f>_xlfn.CONCAT("            TwoHandMaces = """, A99, """,")</f>
        <v xml:space="preserve">            TwoHandMaces = "Two Hand Maces",</v>
      </c>
      <c r="C99" s="19" t="e">
        <f>'2H Mace'!D4</f>
        <v>#N/A</v>
      </c>
      <c r="D99" s="11" t="e">
        <f>_xlfn.CONCAT("            TwoHandMaces = """, C99, """,")</f>
        <v>#N/A</v>
      </c>
      <c r="E99" s="19" t="e">
        <f>'2H Mace'!F4</f>
        <v>#N/A</v>
      </c>
      <c r="F99" s="11" t="e">
        <f>_xlfn.CONCAT("            TwoHandMaces = """, E99, """,")</f>
        <v>#N/A</v>
      </c>
      <c r="G99" s="19" t="str">
        <f>'2H Mace'!H4</f>
        <v>Masses à deux mains</v>
      </c>
      <c r="H99" s="11" t="str">
        <f>_xlfn.CONCAT("            TwoHandMaces = """, G99, """,")</f>
        <v xml:space="preserve">            TwoHandMaces = "Masses à deux mains",</v>
      </c>
      <c r="I99" s="19" t="e">
        <f>'2H Mace'!J4</f>
        <v>#N/A</v>
      </c>
      <c r="J99" s="11" t="e">
        <f>_xlfn.CONCAT("            TwoHandMaces = """, I99, """,")</f>
        <v>#N/A</v>
      </c>
      <c r="K99" s="19" t="e">
        <f>'2H Mace'!L4</f>
        <v>#N/A</v>
      </c>
      <c r="L99" s="11" t="e">
        <f>_xlfn.CONCAT("            TwoHandMaces = """, K99, """,")</f>
        <v>#N/A</v>
      </c>
      <c r="M99" s="19" t="e">
        <f>'2H Mace'!N4</f>
        <v>#N/A</v>
      </c>
      <c r="N99" s="11" t="e">
        <f>_xlfn.CONCAT("            TwoHandMaces = """, M99, """,")</f>
        <v>#N/A</v>
      </c>
      <c r="O99" s="19" t="e">
        <f>'2H Mace'!P4</f>
        <v>#N/A</v>
      </c>
      <c r="P99" s="11" t="e">
        <f>_xlfn.CONCAT("            TwoHandMaces = """, O99, """,")</f>
        <v>#N/A</v>
      </c>
      <c r="Q99" s="19" t="e">
        <f>'2H Mace'!R4</f>
        <v>#N/A</v>
      </c>
      <c r="R99" s="11" t="e">
        <f>_xlfn.CONCAT("            TwoHandMaces = """, Q99, """,")</f>
        <v>#N/A</v>
      </c>
      <c r="S99" s="19" t="e">
        <f>'2H Mace'!T4</f>
        <v>#N/A</v>
      </c>
      <c r="T99" s="11" t="e">
        <f>_xlfn.CONCAT("            TwoHandMaces = """, S99, """,")</f>
        <v>#N/A</v>
      </c>
      <c r="V99" s="1" t="s">
        <v>568</v>
      </c>
    </row>
    <row r="100" spans="1:22" ht="15.95" customHeight="1" x14ac:dyDescent="0.25">
      <c r="A100" s="19" t="str">
        <f>Sceptre!B4</f>
        <v>Sceptres</v>
      </c>
      <c r="B100" s="11" t="str">
        <f>_xlfn.CONCAT("            Sceptres = """, A100, """,")</f>
        <v xml:space="preserve">            Sceptres = "Sceptres",</v>
      </c>
      <c r="C100" s="19" t="e">
        <f>Sceptre!D4</f>
        <v>#N/A</v>
      </c>
      <c r="D100" s="11" t="e">
        <f>_xlfn.CONCAT("            Sceptres = """, C100, """,")</f>
        <v>#N/A</v>
      </c>
      <c r="E100" s="19" t="e">
        <f>Sceptre!F4</f>
        <v>#N/A</v>
      </c>
      <c r="F100" s="11" t="e">
        <f>_xlfn.CONCAT("            Sceptres = """, E100, """,")</f>
        <v>#N/A</v>
      </c>
      <c r="G100" s="19" t="str">
        <f>Sceptre!H4</f>
        <v>Sceptres</v>
      </c>
      <c r="H100" s="11" t="str">
        <f>_xlfn.CONCAT("            Sceptres = """, G100, """,")</f>
        <v xml:space="preserve">            Sceptres = "Sceptres",</v>
      </c>
      <c r="I100" s="19" t="e">
        <f>Sceptre!J4</f>
        <v>#N/A</v>
      </c>
      <c r="J100" s="11" t="e">
        <f>_xlfn.CONCAT("            Sceptres = """, I100, """,")</f>
        <v>#N/A</v>
      </c>
      <c r="K100" s="19" t="e">
        <f>Sceptre!L4</f>
        <v>#N/A</v>
      </c>
      <c r="L100" s="11" t="e">
        <f>_xlfn.CONCAT("            Sceptres = """, K100, """,")</f>
        <v>#N/A</v>
      </c>
      <c r="M100" s="19" t="e">
        <f>Sceptre!N4</f>
        <v>#N/A</v>
      </c>
      <c r="N100" s="11" t="e">
        <f>_xlfn.CONCAT("            Sceptres = """, M100, """,")</f>
        <v>#N/A</v>
      </c>
      <c r="O100" s="19" t="e">
        <f>Sceptre!P4</f>
        <v>#N/A</v>
      </c>
      <c r="P100" s="11" t="e">
        <f>_xlfn.CONCAT("            Sceptres = """, O100, """,")</f>
        <v>#N/A</v>
      </c>
      <c r="Q100" s="19" t="e">
        <f>Sceptre!R4</f>
        <v>#N/A</v>
      </c>
      <c r="R100" s="11" t="e">
        <f>_xlfn.CONCAT("            Sceptres = """, Q100, """,")</f>
        <v>#N/A</v>
      </c>
      <c r="S100" s="19" t="e">
        <f>Sceptre!T4</f>
        <v>#N/A</v>
      </c>
      <c r="T100" s="11" t="e">
        <f>_xlfn.CONCAT("            Sceptres = """, S100, """,")</f>
        <v>#N/A</v>
      </c>
      <c r="V100" s="1" t="s">
        <v>569</v>
      </c>
    </row>
    <row r="101" spans="1:22" ht="15.95" customHeight="1" x14ac:dyDescent="0.25">
      <c r="A101" s="19" t="str">
        <f>'White Wind'!B4</f>
        <v>Rune Daggers</v>
      </c>
      <c r="B101" s="11" t="str">
        <f>_xlfn.CONCAT("            RuneDaggers = """, A101, """,")</f>
        <v xml:space="preserve">            RuneDaggers = "Rune Daggers",</v>
      </c>
      <c r="C101" s="19" t="e">
        <f>'White Wind'!D4</f>
        <v>#N/A</v>
      </c>
      <c r="D101" s="11" t="e">
        <f>_xlfn.CONCAT("            RuneDaggers = """, C101, """,")</f>
        <v>#N/A</v>
      </c>
      <c r="E101" s="19" t="e">
        <f>'White Wind'!F4</f>
        <v>#N/A</v>
      </c>
      <c r="F101" s="11" t="e">
        <f>_xlfn.CONCAT("            RuneDaggers = """, E101, """,")</f>
        <v>#N/A</v>
      </c>
      <c r="G101" s="19" t="str">
        <f>'White Wind'!H4</f>
        <v>Dagues runiques</v>
      </c>
      <c r="H101" s="11" t="str">
        <f>_xlfn.CONCAT("            RuneDaggers = """, G101, """,")</f>
        <v xml:space="preserve">            RuneDaggers = "Dagues runiques",</v>
      </c>
      <c r="I101" s="19" t="e">
        <f>'White Wind'!J4</f>
        <v>#N/A</v>
      </c>
      <c r="J101" s="11" t="e">
        <f>_xlfn.CONCAT("            RuneDaggers = """, I101, """,")</f>
        <v>#N/A</v>
      </c>
      <c r="K101" s="19" t="e">
        <f>'White Wind'!L4</f>
        <v>#N/A</v>
      </c>
      <c r="L101" s="11" t="e">
        <f>_xlfn.CONCAT("            RuneDaggers = """, K101, """,")</f>
        <v>#N/A</v>
      </c>
      <c r="M101" s="19" t="e">
        <f>'White Wind'!N4</f>
        <v>#N/A</v>
      </c>
      <c r="N101" s="11" t="e">
        <f>_xlfn.CONCAT("            RuneDaggers = """, M101, """,")</f>
        <v>#N/A</v>
      </c>
      <c r="O101" s="19" t="e">
        <f>'White Wind'!P4</f>
        <v>#N/A</v>
      </c>
      <c r="P101" s="11" t="e">
        <f>_xlfn.CONCAT("            RuneDaggers = """, O101, """,")</f>
        <v>#N/A</v>
      </c>
      <c r="Q101" s="19" t="e">
        <f>'White Wind'!R4</f>
        <v>#N/A</v>
      </c>
      <c r="R101" s="11" t="e">
        <f>_xlfn.CONCAT("            RuneDaggers = """, Q101, """,")</f>
        <v>#N/A</v>
      </c>
      <c r="S101" s="19" t="e">
        <f>'White Wind'!T4</f>
        <v>#N/A</v>
      </c>
      <c r="T101" s="11" t="e">
        <f>_xlfn.CONCAT("            RuneDaggers = """, S101, """,")</f>
        <v>#N/A</v>
      </c>
      <c r="V101" s="1" t="s">
        <v>570</v>
      </c>
    </row>
    <row r="102" spans="1:22" ht="15.95" customHeight="1" x14ac:dyDescent="0.25">
      <c r="A102" s="19" t="str">
        <f>Warstaff!B4</f>
        <v>Warstaves</v>
      </c>
      <c r="B102" s="11" t="str">
        <f>_xlfn.CONCAT("            Warstaves = """, A102, """,")</f>
        <v xml:space="preserve">            Warstaves = "Warstaves",</v>
      </c>
      <c r="C102" s="19" t="e">
        <f>Warstaff!D4</f>
        <v>#N/A</v>
      </c>
      <c r="D102" s="11" t="e">
        <f>_xlfn.CONCAT("            Warstaves = """, C102, """,")</f>
        <v>#N/A</v>
      </c>
      <c r="E102" s="19" t="e">
        <f>Warstaff!F4</f>
        <v>#N/A</v>
      </c>
      <c r="F102" s="11" t="e">
        <f>_xlfn.CONCAT("            Warstaves = """, E102, """,")</f>
        <v>#N/A</v>
      </c>
      <c r="G102" s="19" t="str">
        <f>Warstaff!H4</f>
        <v>Bâtons de guerre</v>
      </c>
      <c r="H102" s="11" t="str">
        <f>_xlfn.CONCAT("            Warstaves = """, G102, """,")</f>
        <v xml:space="preserve">            Warstaves = "Bâtons de guerre",</v>
      </c>
      <c r="I102" s="19" t="e">
        <f>Warstaff!J4</f>
        <v>#N/A</v>
      </c>
      <c r="J102" s="11" t="e">
        <f>_xlfn.CONCAT("            Warstaves = """, I102, """,")</f>
        <v>#N/A</v>
      </c>
      <c r="K102" s="19" t="e">
        <f>Warstaff!L4</f>
        <v>#N/A</v>
      </c>
      <c r="L102" s="11" t="e">
        <f>_xlfn.CONCAT("            Warstaves = """, K102, """,")</f>
        <v>#N/A</v>
      </c>
      <c r="M102" s="19" t="e">
        <f>Warstaff!N4</f>
        <v>#N/A</v>
      </c>
      <c r="N102" s="11" t="e">
        <f>_xlfn.CONCAT("            Warstaves = """, M102, """,")</f>
        <v>#N/A</v>
      </c>
      <c r="O102" s="19" t="e">
        <f>Warstaff!P4</f>
        <v>#N/A</v>
      </c>
      <c r="P102" s="11" t="e">
        <f>_xlfn.CONCAT("            Warstaves = """, O102, """,")</f>
        <v>#N/A</v>
      </c>
      <c r="Q102" s="19" t="e">
        <f>Warstaff!R4</f>
        <v>#N/A</v>
      </c>
      <c r="R102" s="11" t="e">
        <f>_xlfn.CONCAT("            Warstaves = """, Q102, """,")</f>
        <v>#N/A</v>
      </c>
      <c r="S102" s="19" t="e">
        <f>Warstaff!T4</f>
        <v>#N/A</v>
      </c>
      <c r="T102" s="11" t="e">
        <f>_xlfn.CONCAT("            Warstaves = """, S102, """,")</f>
        <v>#N/A</v>
      </c>
      <c r="V102" s="1" t="s">
        <v>571</v>
      </c>
    </row>
    <row r="103" spans="1:22" ht="15.95" customHeight="1" x14ac:dyDescent="0.25">
      <c r="A103" s="19" t="str">
        <f>'Fishing Rod'!B4</f>
        <v>Fishing Rods</v>
      </c>
      <c r="B103" s="11" t="str">
        <f>_xlfn.CONCAT("            FishingRods = """, A103, """,")</f>
        <v xml:space="preserve">            FishingRods = "Fishing Rods",</v>
      </c>
      <c r="C103" s="19" t="e">
        <f>'Fishing Rod'!D4</f>
        <v>#N/A</v>
      </c>
      <c r="D103" s="11" t="e">
        <f>_xlfn.CONCAT("            FishingRods = """, C103, """,")</f>
        <v>#N/A</v>
      </c>
      <c r="E103" s="19" t="e">
        <f>'Fishing Rod'!F4</f>
        <v>#N/A</v>
      </c>
      <c r="F103" s="11" t="e">
        <f>_xlfn.CONCAT("            FishingRods = """, E103, """,")</f>
        <v>#N/A</v>
      </c>
      <c r="G103" s="19" t="str">
        <f>'Fishing Rod'!H4</f>
        <v>Cannes à pêche</v>
      </c>
      <c r="H103" s="11" t="str">
        <f>_xlfn.CONCAT("            FishingRods = """, G103, """,")</f>
        <v xml:space="preserve">            FishingRods = "Cannes à pêche",</v>
      </c>
      <c r="I103" s="19" t="e">
        <f>'Fishing Rod'!J4</f>
        <v>#N/A</v>
      </c>
      <c r="J103" s="11" t="e">
        <f>_xlfn.CONCAT("            FishingRods = """, I103, """,")</f>
        <v>#N/A</v>
      </c>
      <c r="K103" s="19" t="e">
        <f>'Fishing Rod'!L4</f>
        <v>#N/A</v>
      </c>
      <c r="L103" s="11" t="e">
        <f>_xlfn.CONCAT("            FishingRods = """, K103, """,")</f>
        <v>#N/A</v>
      </c>
      <c r="M103" s="19" t="e">
        <f>'Fishing Rod'!N4</f>
        <v>#N/A</v>
      </c>
      <c r="N103" s="11" t="e">
        <f>_xlfn.CONCAT("            FishingRods = """, M103, """,")</f>
        <v>#N/A</v>
      </c>
      <c r="O103" s="19" t="e">
        <f>'Fishing Rod'!P4</f>
        <v>#N/A</v>
      </c>
      <c r="P103" s="11" t="e">
        <f>_xlfn.CONCAT("            FishingRods = """, O103, """,")</f>
        <v>#N/A</v>
      </c>
      <c r="Q103" s="19" t="e">
        <f>'Fishing Rod'!R4</f>
        <v>#N/A</v>
      </c>
      <c r="R103" s="11" t="e">
        <f>_xlfn.CONCAT("            FishingRods = """, Q103, """,")</f>
        <v>#N/A</v>
      </c>
      <c r="S103" s="19" t="e">
        <f>'Fishing Rod'!T4</f>
        <v>#N/A</v>
      </c>
      <c r="T103" s="11" t="e">
        <f>_xlfn.CONCAT("            FishingRods = """, S103, """,")</f>
        <v>#N/A</v>
      </c>
      <c r="V103" s="1" t="s">
        <v>1554</v>
      </c>
    </row>
    <row r="104" spans="1:22" ht="15.95" customHeight="1" x14ac:dyDescent="0.25">
      <c r="A104" s="19" t="str">
        <f>'Heist Gear'!B4</f>
        <v>Heist Gear</v>
      </c>
      <c r="B104" s="11" t="str">
        <f>_xlfn.CONCAT("            HeistGear = """, A104, """,")</f>
        <v xml:space="preserve">            HeistGear = "Heist Gear",</v>
      </c>
      <c r="C104" s="19" t="e">
        <f>'Heist Gear'!D4</f>
        <v>#N/A</v>
      </c>
      <c r="D104" s="11" t="e">
        <f>_xlfn.CONCAT("            HeistGear = """, C104, """,")</f>
        <v>#N/A</v>
      </c>
      <c r="E104" s="19" t="e">
        <f>'Heist Gear'!F4</f>
        <v>#N/A</v>
      </c>
      <c r="F104" s="11" t="e">
        <f>_xlfn.CONCAT("            HeistGear = """, E104, """,")</f>
        <v>#N/A</v>
      </c>
      <c r="G104" s="19" t="str">
        <f>'Heist Gear'!H4</f>
        <v>Équipements de Malfaiteur</v>
      </c>
      <c r="H104" s="11" t="str">
        <f>_xlfn.CONCAT("            HeistGear = """, G104, """,")</f>
        <v xml:space="preserve">            HeistGear = "Équipements de Malfaiteur",</v>
      </c>
      <c r="I104" s="19" t="e">
        <f>'Heist Gear'!J4</f>
        <v>#N/A</v>
      </c>
      <c r="J104" s="11" t="e">
        <f>_xlfn.CONCAT("            HeistGear = """, I104, """,")</f>
        <v>#N/A</v>
      </c>
      <c r="K104" s="19" t="e">
        <f>'Heist Gear'!L4</f>
        <v>#N/A</v>
      </c>
      <c r="L104" s="11" t="e">
        <f>_xlfn.CONCAT("            HeistGear = """, K104, """,")</f>
        <v>#N/A</v>
      </c>
      <c r="M104" s="19" t="e">
        <f>'Heist Gear'!N4</f>
        <v>#N/A</v>
      </c>
      <c r="N104" s="11" t="e">
        <f>_xlfn.CONCAT("            HeistGear = """, M104, """,")</f>
        <v>#N/A</v>
      </c>
      <c r="O104" s="19" t="e">
        <f>'Heist Gear'!P4</f>
        <v>#N/A</v>
      </c>
      <c r="P104" s="11" t="e">
        <f>_xlfn.CONCAT("            HeistGear = """, O104, """,")</f>
        <v>#N/A</v>
      </c>
      <c r="Q104" s="19" t="e">
        <f>'Heist Gear'!R4</f>
        <v>#N/A</v>
      </c>
      <c r="R104" s="11" t="e">
        <f>_xlfn.CONCAT("            HeistGear = """, Q104, """,")</f>
        <v>#N/A</v>
      </c>
      <c r="S104" s="19" t="e">
        <f>'Heist Gear'!T4</f>
        <v>#N/A</v>
      </c>
      <c r="T104" s="11" t="e">
        <f>_xlfn.CONCAT("            HeistGear = """, S104, """,")</f>
        <v>#N/A</v>
      </c>
      <c r="V104" s="1" t="s">
        <v>785</v>
      </c>
    </row>
    <row r="105" spans="1:22" ht="15.95" customHeight="1" x14ac:dyDescent="0.25">
      <c r="A105" s="19" t="str">
        <f>'Heist Brooch'!B4</f>
        <v>Heist Brooches</v>
      </c>
      <c r="B105" s="11" t="str">
        <f>_xlfn.CONCAT("            HeistBrooch = """, A105, """,")</f>
        <v xml:space="preserve">            HeistBrooch = "Heist Brooches",</v>
      </c>
      <c r="C105" s="19" t="e">
        <f>'Heist Brooch'!D4</f>
        <v>#N/A</v>
      </c>
      <c r="D105" s="11" t="e">
        <f>_xlfn.CONCAT("            HeistBrooch = """, C105, """,")</f>
        <v>#N/A</v>
      </c>
      <c r="E105" s="19" t="e">
        <f>'Heist Brooch'!F4</f>
        <v>#N/A</v>
      </c>
      <c r="F105" s="11" t="e">
        <f>_xlfn.CONCAT("            HeistBrooch = """, E105, """,")</f>
        <v>#N/A</v>
      </c>
      <c r="G105" s="19" t="str">
        <f>'Heist Brooch'!H4</f>
        <v>Broches de Malfaiteur</v>
      </c>
      <c r="H105" s="11" t="str">
        <f>_xlfn.CONCAT("            HeistBrooch = """, G105, """,")</f>
        <v xml:space="preserve">            HeistBrooch = "Broches de Malfaiteur",</v>
      </c>
      <c r="I105" s="19" t="e">
        <f>'Heist Brooch'!J4</f>
        <v>#N/A</v>
      </c>
      <c r="J105" s="11" t="e">
        <f>_xlfn.CONCAT("            HeistBrooch = """, I105, """,")</f>
        <v>#N/A</v>
      </c>
      <c r="K105" s="19" t="e">
        <f>'Heist Brooch'!L4</f>
        <v>#N/A</v>
      </c>
      <c r="L105" s="11" t="e">
        <f>_xlfn.CONCAT("            HeistBrooch = """, K105, """,")</f>
        <v>#N/A</v>
      </c>
      <c r="M105" s="19" t="e">
        <f>'Heist Brooch'!N4</f>
        <v>#N/A</v>
      </c>
      <c r="N105" s="11" t="e">
        <f>_xlfn.CONCAT("            HeistBrooch = """, M105, """,")</f>
        <v>#N/A</v>
      </c>
      <c r="O105" s="19" t="e">
        <f>'Heist Brooch'!P4</f>
        <v>#N/A</v>
      </c>
      <c r="P105" s="11" t="e">
        <f>_xlfn.CONCAT("            HeistBrooch = """, O105, """,")</f>
        <v>#N/A</v>
      </c>
      <c r="Q105" s="19" t="e">
        <f>'Heist Brooch'!R4</f>
        <v>#N/A</v>
      </c>
      <c r="R105" s="11" t="e">
        <f>_xlfn.CONCAT("            HeistBrooch = """, Q105, """,")</f>
        <v>#N/A</v>
      </c>
      <c r="S105" s="19" t="e">
        <f>'Heist Brooch'!T4</f>
        <v>#N/A</v>
      </c>
      <c r="T105" s="11" t="e">
        <f>_xlfn.CONCAT("            HeistBrooch = """, S105, """,")</f>
        <v>#N/A</v>
      </c>
      <c r="V105" s="1" t="s">
        <v>572</v>
      </c>
    </row>
    <row r="106" spans="1:22" ht="15.95" customHeight="1" x14ac:dyDescent="0.25">
      <c r="A106" s="19" t="str">
        <f>'Heist Target'!B4</f>
        <v>Heist Targets</v>
      </c>
      <c r="B106" s="11" t="str">
        <f>_xlfn.CONCAT("            HeistTarget = """, A106, """,")</f>
        <v xml:space="preserve">            HeistTarget = "Heist Targets",</v>
      </c>
      <c r="C106" s="19" t="e">
        <f>'Heist Target'!D4</f>
        <v>#N/A</v>
      </c>
      <c r="D106" s="11" t="e">
        <f>_xlfn.CONCAT("            HeistTarget = """, C106, """,")</f>
        <v>#N/A</v>
      </c>
      <c r="E106" s="19" t="e">
        <f>'Heist Target'!F4</f>
        <v>#N/A</v>
      </c>
      <c r="F106" s="11" t="e">
        <f>_xlfn.CONCAT("            HeistTarget = """, E106, """,")</f>
        <v>#N/A</v>
      </c>
      <c r="G106" s="19" t="str">
        <f>'Heist Target'!H4</f>
        <v>Objectifs de Casse</v>
      </c>
      <c r="H106" s="11" t="str">
        <f>_xlfn.CONCAT("            HeistTarget = """, G106, """,")</f>
        <v xml:space="preserve">            HeistTarget = "Objectifs de Casse",</v>
      </c>
      <c r="I106" s="19" t="e">
        <f>'Heist Target'!J4</f>
        <v>#N/A</v>
      </c>
      <c r="J106" s="11" t="e">
        <f>_xlfn.CONCAT("            HeistTarget = """, I106, """,")</f>
        <v>#N/A</v>
      </c>
      <c r="K106" s="19" t="e">
        <f>'Heist Target'!L4</f>
        <v>#N/A</v>
      </c>
      <c r="L106" s="11" t="e">
        <f>_xlfn.CONCAT("            HeistTarget = """, K106, """,")</f>
        <v>#N/A</v>
      </c>
      <c r="M106" s="19" t="e">
        <f>'Heist Target'!N4</f>
        <v>#N/A</v>
      </c>
      <c r="N106" s="11" t="e">
        <f>_xlfn.CONCAT("            HeistTarget = """, M106, """,")</f>
        <v>#N/A</v>
      </c>
      <c r="O106" s="19" t="e">
        <f>'Heist Target'!P4</f>
        <v>#N/A</v>
      </c>
      <c r="P106" s="11" t="e">
        <f>_xlfn.CONCAT("            HeistTarget = """, O106, """,")</f>
        <v>#N/A</v>
      </c>
      <c r="Q106" s="19" t="e">
        <f>'Heist Target'!R4</f>
        <v>#N/A</v>
      </c>
      <c r="R106" s="11" t="e">
        <f>_xlfn.CONCAT("            HeistTarget = """, Q106, """,")</f>
        <v>#N/A</v>
      </c>
      <c r="S106" s="19" t="e">
        <f>'Heist Target'!T4</f>
        <v>#N/A</v>
      </c>
      <c r="T106" s="11" t="e">
        <f>_xlfn.CONCAT("            HeistTarget = """, S106, """,")</f>
        <v>#N/A</v>
      </c>
      <c r="V106" s="1" t="s">
        <v>786</v>
      </c>
    </row>
    <row r="107" spans="1:22" ht="15.95" customHeight="1" x14ac:dyDescent="0.25">
      <c r="A107" s="19" t="str">
        <f>'Heist Cloak'!B4</f>
        <v>Heist Cloaks</v>
      </c>
      <c r="B107" s="11" t="str">
        <f>_xlfn.CONCAT("            HeistCloak = """, A107, """,")</f>
        <v xml:space="preserve">            HeistCloak = "Heist Cloaks",</v>
      </c>
      <c r="C107" s="19" t="e">
        <f>'Heist Cloak'!D4</f>
        <v>#N/A</v>
      </c>
      <c r="D107" s="11" t="e">
        <f>_xlfn.CONCAT("            HeistCloak = """, C107, """,")</f>
        <v>#N/A</v>
      </c>
      <c r="E107" s="19" t="e">
        <f>'Heist Cloak'!F4</f>
        <v>#N/A</v>
      </c>
      <c r="F107" s="11" t="e">
        <f>_xlfn.CONCAT("            HeistCloak = """, E107, """,")</f>
        <v>#N/A</v>
      </c>
      <c r="G107" s="19" t="str">
        <f>'Heist Cloak'!H4</f>
        <v>Capes de Malfaiteur</v>
      </c>
      <c r="H107" s="11" t="str">
        <f>_xlfn.CONCAT("            HeistCloak = """, G107, """,")</f>
        <v xml:space="preserve">            HeistCloak = "Capes de Malfaiteur",</v>
      </c>
      <c r="I107" s="19" t="e">
        <f>'Heist Cloak'!J4</f>
        <v>#N/A</v>
      </c>
      <c r="J107" s="11" t="e">
        <f>_xlfn.CONCAT("            HeistCloak = """, I107, """,")</f>
        <v>#N/A</v>
      </c>
      <c r="K107" s="19" t="e">
        <f>'Heist Cloak'!L4</f>
        <v>#N/A</v>
      </c>
      <c r="L107" s="11" t="e">
        <f>_xlfn.CONCAT("            HeistCloak = """, K107, """,")</f>
        <v>#N/A</v>
      </c>
      <c r="M107" s="19" t="e">
        <f>'Heist Cloak'!N4</f>
        <v>#N/A</v>
      </c>
      <c r="N107" s="11" t="e">
        <f>_xlfn.CONCAT("            HeistCloak = """, M107, """,")</f>
        <v>#N/A</v>
      </c>
      <c r="O107" s="19" t="e">
        <f>'Heist Cloak'!P4</f>
        <v>#N/A</v>
      </c>
      <c r="P107" s="11" t="e">
        <f>_xlfn.CONCAT("            HeistCloak = """, O107, """,")</f>
        <v>#N/A</v>
      </c>
      <c r="Q107" s="19" t="e">
        <f>'Heist Cloak'!R4</f>
        <v>#N/A</v>
      </c>
      <c r="R107" s="11" t="e">
        <f>_xlfn.CONCAT("            HeistCloak = """, Q107, """,")</f>
        <v>#N/A</v>
      </c>
      <c r="S107" s="19" t="e">
        <f>'Heist Cloak'!T4</f>
        <v>#N/A</v>
      </c>
      <c r="T107" s="11" t="e">
        <f>_xlfn.CONCAT("            HeistCloak = """, S107, """,")</f>
        <v>#N/A</v>
      </c>
      <c r="V107" s="1" t="s">
        <v>787</v>
      </c>
    </row>
    <row r="108" spans="1:22" ht="15.95" customHeight="1" x14ac:dyDescent="0.25">
      <c r="A108" s="19" t="str">
        <f>'Abyssal Jewel'!B4</f>
        <v>Abyss Jewels</v>
      </c>
      <c r="B108" s="11" t="str">
        <f>_xlfn.CONCAT("            AbyssJewel = """, A108, """,")</f>
        <v xml:space="preserve">            AbyssJewel = "Abyss Jewels",</v>
      </c>
      <c r="C108" s="19" t="e">
        <f>'Abyssal Jewel'!D4</f>
        <v>#N/A</v>
      </c>
      <c r="D108" s="11" t="e">
        <f>_xlfn.CONCAT("            AbyssJewel = """, C108, """,")</f>
        <v>#N/A</v>
      </c>
      <c r="E108" s="19" t="e">
        <f>'Abyssal Jewel'!F4</f>
        <v>#N/A</v>
      </c>
      <c r="F108" s="11" t="e">
        <f>_xlfn.CONCAT("            AbyssJewel = """, E108, """,")</f>
        <v>#N/A</v>
      </c>
      <c r="G108" s="19" t="str">
        <f>'Abyssal Jewel'!H4</f>
        <v>Joyaux abyssaux</v>
      </c>
      <c r="H108" s="11" t="str">
        <f>_xlfn.CONCAT("            AbyssJewel = """, G108, """,")</f>
        <v xml:space="preserve">            AbyssJewel = "Joyaux abyssaux",</v>
      </c>
      <c r="I108" s="19" t="e">
        <f>'Abyssal Jewel'!J4</f>
        <v>#N/A</v>
      </c>
      <c r="J108" s="11" t="e">
        <f>_xlfn.CONCAT("            AbyssJewel = """, I108, """,")</f>
        <v>#N/A</v>
      </c>
      <c r="K108" s="19" t="e">
        <f>'Abyssal Jewel'!L4</f>
        <v>#N/A</v>
      </c>
      <c r="L108" s="11" t="e">
        <f>_xlfn.CONCAT("            AbyssJewel = """, K108, """,")</f>
        <v>#N/A</v>
      </c>
      <c r="M108" s="19" t="e">
        <f>'Abyssal Jewel'!N4</f>
        <v>#N/A</v>
      </c>
      <c r="N108" s="11" t="e">
        <f>_xlfn.CONCAT("            AbyssJewel = """, M108, """,")</f>
        <v>#N/A</v>
      </c>
      <c r="O108" s="19" t="e">
        <f>'Abyssal Jewel'!P4</f>
        <v>#N/A</v>
      </c>
      <c r="P108" s="11" t="e">
        <f>_xlfn.CONCAT("            AbyssJewel = """, O108, """,")</f>
        <v>#N/A</v>
      </c>
      <c r="Q108" s="19" t="e">
        <f>'Abyssal Jewel'!R4</f>
        <v>#N/A</v>
      </c>
      <c r="R108" s="11" t="e">
        <f>_xlfn.CONCAT("            AbyssJewel = """, Q108, """,")</f>
        <v>#N/A</v>
      </c>
      <c r="S108" s="19" t="e">
        <f>'Abyssal Jewel'!T4</f>
        <v>#N/A</v>
      </c>
      <c r="T108" s="11" t="e">
        <f>_xlfn.CONCAT("            AbyssJewel = """, S108, """,")</f>
        <v>#N/A</v>
      </c>
      <c r="V108" s="1" t="s">
        <v>873</v>
      </c>
    </row>
    <row r="109" spans="1:22" ht="15.95" customHeight="1" x14ac:dyDescent="0.25">
      <c r="A109" s="19" t="str">
        <f>'Heist Trinket'!B4</f>
        <v>Trinkets</v>
      </c>
      <c r="B109" s="11" t="str">
        <f>_xlfn.CONCAT("            Trinkets = """, A109, """,")</f>
        <v xml:space="preserve">            Trinkets = "Trinkets",</v>
      </c>
      <c r="C109" s="19" t="e">
        <f>'Heist Trinket'!D4</f>
        <v>#N/A</v>
      </c>
      <c r="D109" s="11" t="e">
        <f>_xlfn.CONCAT("            Trinkets = """, C109, """,")</f>
        <v>#N/A</v>
      </c>
      <c r="E109" s="19" t="e">
        <f>'Heist Trinket'!F4</f>
        <v>#N/A</v>
      </c>
      <c r="F109" s="11" t="e">
        <f>_xlfn.CONCAT("            Trinkets = """, E109, """,")</f>
        <v>#N/A</v>
      </c>
      <c r="G109" s="19" t="str">
        <f>'Heist Trinket'!H4</f>
        <v>Babioles</v>
      </c>
      <c r="H109" s="11" t="str">
        <f>_xlfn.CONCAT("            Trinkets = """, G109, """,")</f>
        <v xml:space="preserve">            Trinkets = "Babioles",</v>
      </c>
      <c r="I109" s="19" t="e">
        <f>'Heist Trinket'!J4</f>
        <v>#N/A</v>
      </c>
      <c r="J109" s="11" t="e">
        <f>_xlfn.CONCAT("            Trinkets = """, I109, """,")</f>
        <v>#N/A</v>
      </c>
      <c r="K109" s="19" t="e">
        <f>'Heist Trinket'!L4</f>
        <v>#N/A</v>
      </c>
      <c r="L109" s="11" t="e">
        <f>_xlfn.CONCAT("            Trinkets = """, K109, """,")</f>
        <v>#N/A</v>
      </c>
      <c r="M109" s="19" t="e">
        <f>'Heist Trinket'!N4</f>
        <v>#N/A</v>
      </c>
      <c r="N109" s="11" t="e">
        <f>_xlfn.CONCAT("            Trinkets = """, M109, """,")</f>
        <v>#N/A</v>
      </c>
      <c r="O109" s="19" t="e">
        <f>'Heist Trinket'!P4</f>
        <v>#N/A</v>
      </c>
      <c r="P109" s="11" t="e">
        <f>_xlfn.CONCAT("            Trinkets = """, O109, """,")</f>
        <v>#N/A</v>
      </c>
      <c r="Q109" s="19" t="e">
        <f>'Heist Trinket'!R4</f>
        <v>#N/A</v>
      </c>
      <c r="R109" s="11" t="e">
        <f>_xlfn.CONCAT("            Trinkets = """, Q109, """,")</f>
        <v>#N/A</v>
      </c>
      <c r="S109" s="19" t="e">
        <f>'Heist Trinket'!T4</f>
        <v>#N/A</v>
      </c>
      <c r="T109" s="11" t="e">
        <f>_xlfn.CONCAT("            Trinkets = """, S109, """,")</f>
        <v>#N/A</v>
      </c>
      <c r="V109" s="1" t="s">
        <v>1553</v>
      </c>
    </row>
    <row r="110" spans="1:22" ht="15.95" customHeight="1" x14ac:dyDescent="0.25">
      <c r="A110" s="19" t="str">
        <f>Logbook!B4</f>
        <v>Expedition Logbooks</v>
      </c>
      <c r="B110" s="11" t="str">
        <f>_xlfn.CONCAT("            Logbooks = """, A110, """,")</f>
        <v xml:space="preserve">            Logbooks = "Expedition Logbooks",</v>
      </c>
      <c r="C110" s="19" t="e">
        <f>Logbook!D4</f>
        <v>#N/A</v>
      </c>
      <c r="D110" s="11" t="e">
        <f>_xlfn.CONCAT("            Logbooks = """, C110, """,")</f>
        <v>#N/A</v>
      </c>
      <c r="E110" s="19" t="e">
        <f>Logbook!F4</f>
        <v>#N/A</v>
      </c>
      <c r="F110" s="11" t="e">
        <f>_xlfn.CONCAT("            Logbooks = """, E110, """,")</f>
        <v>#N/A</v>
      </c>
      <c r="G110" s="19" t="str">
        <f>Logbook!H4</f>
        <v>Journaux de bord d'Expédition</v>
      </c>
      <c r="H110" s="11" t="str">
        <f>_xlfn.CONCAT("            Logbooks = """, G110, """,")</f>
        <v xml:space="preserve">            Logbooks = "Journaux de bord d'Expédition",</v>
      </c>
      <c r="I110" s="19" t="e">
        <f>Logbook!J4</f>
        <v>#N/A</v>
      </c>
      <c r="J110" s="11" t="e">
        <f>_xlfn.CONCAT("            Logbooks = """, I110, """,")</f>
        <v>#N/A</v>
      </c>
      <c r="K110" s="19" t="e">
        <f>Logbook!L4</f>
        <v>#N/A</v>
      </c>
      <c r="L110" s="11" t="e">
        <f>_xlfn.CONCAT("            Logbooks = """, K110, """,")</f>
        <v>#N/A</v>
      </c>
      <c r="M110" s="19" t="e">
        <f>Logbook!N4</f>
        <v>#N/A</v>
      </c>
      <c r="N110" s="11" t="e">
        <f>_xlfn.CONCAT("            Logbooks = """, M110, """,")</f>
        <v>#N/A</v>
      </c>
      <c r="O110" s="19" t="e">
        <f>Logbook!P4</f>
        <v>#N/A</v>
      </c>
      <c r="P110" s="11" t="e">
        <f>_xlfn.CONCAT("            Logbooks = """, O110, """,")</f>
        <v>#N/A</v>
      </c>
      <c r="Q110" s="19" t="e">
        <f>Logbook!R4</f>
        <v>#N/A</v>
      </c>
      <c r="R110" s="11" t="e">
        <f>_xlfn.CONCAT("            Logbooks = """, Q110, """,")</f>
        <v>#N/A</v>
      </c>
      <c r="S110" s="19" t="e">
        <f>Logbook!T4</f>
        <v>#N/A</v>
      </c>
      <c r="T110" s="11" t="e">
        <f>_xlfn.CONCAT("            Logbooks = """, S110, """,")</f>
        <v>#N/A</v>
      </c>
      <c r="V110" s="1" t="s">
        <v>788</v>
      </c>
    </row>
    <row r="111" spans="1:22" ht="15.95" customHeight="1" x14ac:dyDescent="0.25">
      <c r="A111" s="19" t="str">
        <f>Memory!B4</f>
        <v>Memories</v>
      </c>
      <c r="B111" s="11" t="str">
        <f>_xlfn.CONCAT("            MemoryLine = """, A111, """,")</f>
        <v xml:space="preserve">            MemoryLine = "Memories",</v>
      </c>
      <c r="C111" s="19" t="e">
        <f>Memory!D4</f>
        <v>#N/A</v>
      </c>
      <c r="D111" s="11" t="e">
        <f>_xlfn.CONCAT("            MemoryLine = """, C111, """,")</f>
        <v>#N/A</v>
      </c>
      <c r="E111" s="19" t="e">
        <f>Memory!F4</f>
        <v>#N/A</v>
      </c>
      <c r="F111" s="11" t="e">
        <f>_xlfn.CONCAT("            MemoryLine = """, E111, """,")</f>
        <v>#N/A</v>
      </c>
      <c r="G111" s="19" t="str">
        <f>Memory!H4</f>
        <v>Souvenirs</v>
      </c>
      <c r="H111" s="11" t="str">
        <f>_xlfn.CONCAT("            MemoryLine = """, G111, """,")</f>
        <v xml:space="preserve">            MemoryLine = "Souvenirs",</v>
      </c>
      <c r="I111" s="19" t="e">
        <f>Memory!J4</f>
        <v>#N/A</v>
      </c>
      <c r="J111" s="11" t="e">
        <f>_xlfn.CONCAT("            MemoryLine = """, I111, """,")</f>
        <v>#N/A</v>
      </c>
      <c r="K111" s="19" t="e">
        <f>Memory!L4</f>
        <v>#N/A</v>
      </c>
      <c r="L111" s="11" t="e">
        <f>_xlfn.CONCAT("            MemoryLine = """, K111, """,")</f>
        <v>#N/A</v>
      </c>
      <c r="M111" s="19" t="e">
        <f>Memory!N4</f>
        <v>#N/A</v>
      </c>
      <c r="N111" s="11" t="e">
        <f>_xlfn.CONCAT("            MemoryLine = """, M111, """,")</f>
        <v>#N/A</v>
      </c>
      <c r="O111" s="19" t="e">
        <f>Memory!P4</f>
        <v>#N/A</v>
      </c>
      <c r="P111" s="11" t="e">
        <f>_xlfn.CONCAT("            MemoryLine = """, O111, """,")</f>
        <v>#N/A</v>
      </c>
      <c r="Q111" s="19" t="e">
        <f>Memory!R4</f>
        <v>#N/A</v>
      </c>
      <c r="R111" s="11" t="e">
        <f>_xlfn.CONCAT("            MemoryLine = """, Q111, """,")</f>
        <v>#N/A</v>
      </c>
      <c r="S111" s="19" t="e">
        <f>Memory!T4</f>
        <v>#N/A</v>
      </c>
      <c r="T111" s="11" t="e">
        <f>_xlfn.CONCAT("            MemoryLine = """, S111, """,")</f>
        <v>#N/A</v>
      </c>
      <c r="V111" s="1" t="s">
        <v>874</v>
      </c>
    </row>
    <row r="112" spans="1:22" ht="15.95" customHeight="1" x14ac:dyDescent="0.25">
      <c r="A112" s="19" t="str">
        <f>Tome!B4</f>
        <v>Sanctum Research</v>
      </c>
      <c r="B112" s="11" t="str">
        <f>_xlfn.CONCAT("            SanctumResearch = """, A112, """,")</f>
        <v xml:space="preserve">            SanctumResearch = "Sanctum Research",</v>
      </c>
      <c r="C112" s="19" t="e">
        <f>Tome!D4</f>
        <v>#N/A</v>
      </c>
      <c r="D112" s="11" t="e">
        <f>_xlfn.CONCAT("            SanctumResearch = """, C112, """,")</f>
        <v>#N/A</v>
      </c>
      <c r="E112" s="19" t="e">
        <f>Tome!F4</f>
        <v>#N/A</v>
      </c>
      <c r="F112" s="11" t="e">
        <f>_xlfn.CONCAT("            SanctumResearch = """, E112, """,")</f>
        <v>#N/A</v>
      </c>
      <c r="G112" s="19" t="str">
        <f>Tome!H4</f>
        <v>Recherche du Sanctuaire</v>
      </c>
      <c r="H112" s="11" t="str">
        <f>_xlfn.CONCAT("            SanctumResearch = """, G112, """,")</f>
        <v xml:space="preserve">            SanctumResearch = "Recherche du Sanctuaire",</v>
      </c>
      <c r="I112" s="19" t="e">
        <f>Tome!J4</f>
        <v>#N/A</v>
      </c>
      <c r="J112" s="11" t="e">
        <f>_xlfn.CONCAT("            SanctumResearch = """, I112, """,")</f>
        <v>#N/A</v>
      </c>
      <c r="K112" s="19" t="e">
        <f>Tome!L4</f>
        <v>#N/A</v>
      </c>
      <c r="L112" s="11" t="e">
        <f>_xlfn.CONCAT("            SanctumResearch = """, K112, """,")</f>
        <v>#N/A</v>
      </c>
      <c r="M112" s="19" t="e">
        <f>Tome!N4</f>
        <v>#N/A</v>
      </c>
      <c r="N112" s="11" t="e">
        <f>_xlfn.CONCAT("            SanctumResearch = """, M112, """,")</f>
        <v>#N/A</v>
      </c>
      <c r="O112" s="19" t="e">
        <f>Tome!P4</f>
        <v>#N/A</v>
      </c>
      <c r="P112" s="11" t="e">
        <f>_xlfn.CONCAT("            SanctumResearch = """, O112, """,")</f>
        <v>#N/A</v>
      </c>
      <c r="Q112" s="19" t="e">
        <f>Tome!R4</f>
        <v>#N/A</v>
      </c>
      <c r="R112" s="11" t="e">
        <f>_xlfn.CONCAT("            SanctumResearch = """, Q112, """,")</f>
        <v>#N/A</v>
      </c>
      <c r="S112" s="19" t="e">
        <f>Tome!T4</f>
        <v>#N/A</v>
      </c>
      <c r="T112" s="11" t="e">
        <f>_xlfn.CONCAT("            SanctumResearch = """, S112, """,")</f>
        <v>#N/A</v>
      </c>
      <c r="V112" s="1" t="s">
        <v>875</v>
      </c>
    </row>
    <row r="113" spans="1:22" ht="15.95" customHeight="1" x14ac:dyDescent="0.25">
      <c r="A113" s="12" t="s">
        <v>28</v>
      </c>
      <c r="B113" s="11" t="s">
        <v>17</v>
      </c>
      <c r="C113" s="12" t="s">
        <v>28</v>
      </c>
      <c r="D113" s="11" t="s">
        <v>17</v>
      </c>
      <c r="E113" s="12" t="s">
        <v>28</v>
      </c>
      <c r="F113" s="11" t="s">
        <v>17</v>
      </c>
      <c r="G113" s="12" t="s">
        <v>28</v>
      </c>
      <c r="H113" s="11" t="s">
        <v>17</v>
      </c>
      <c r="I113" s="12" t="s">
        <v>28</v>
      </c>
      <c r="J113" s="11" t="s">
        <v>17</v>
      </c>
      <c r="K113" s="12" t="s">
        <v>28</v>
      </c>
      <c r="L113" s="11" t="s">
        <v>17</v>
      </c>
      <c r="M113" s="12" t="s">
        <v>28</v>
      </c>
      <c r="N113" s="11" t="s">
        <v>17</v>
      </c>
      <c r="O113" s="12" t="s">
        <v>28</v>
      </c>
      <c r="P113" s="11" t="s">
        <v>17</v>
      </c>
      <c r="Q113" s="12" t="s">
        <v>28</v>
      </c>
      <c r="R113" s="11" t="s">
        <v>17</v>
      </c>
      <c r="S113" s="12" t="s">
        <v>28</v>
      </c>
      <c r="T113" s="11" t="s">
        <v>17</v>
      </c>
      <c r="V113" s="1" t="s">
        <v>28</v>
      </c>
    </row>
    <row r="114" spans="1:22" ht="15.95" customHeight="1" x14ac:dyDescent="0.25">
      <c r="A114" s="12" t="s">
        <v>28</v>
      </c>
      <c r="B114" s="11" t="s">
        <v>18</v>
      </c>
      <c r="C114" s="12" t="s">
        <v>28</v>
      </c>
      <c r="D114" s="11" t="s">
        <v>18</v>
      </c>
      <c r="E114" s="12" t="s">
        <v>28</v>
      </c>
      <c r="F114" s="11" t="s">
        <v>18</v>
      </c>
      <c r="G114" s="12" t="s">
        <v>28</v>
      </c>
      <c r="H114" s="11" t="s">
        <v>18</v>
      </c>
      <c r="I114" s="12" t="s">
        <v>28</v>
      </c>
      <c r="J114" s="11" t="s">
        <v>18</v>
      </c>
      <c r="K114" s="12" t="s">
        <v>28</v>
      </c>
      <c r="L114" s="11" t="s">
        <v>18</v>
      </c>
      <c r="M114" s="12" t="s">
        <v>28</v>
      </c>
      <c r="N114" s="11" t="s">
        <v>18</v>
      </c>
      <c r="O114" s="12" t="s">
        <v>28</v>
      </c>
      <c r="P114" s="11" t="s">
        <v>18</v>
      </c>
      <c r="Q114" s="12" t="s">
        <v>28</v>
      </c>
      <c r="R114" s="11" t="s">
        <v>18</v>
      </c>
      <c r="S114" s="12" t="s">
        <v>28</v>
      </c>
      <c r="T114" s="11" t="s">
        <v>18</v>
      </c>
      <c r="V114" s="1" t="s">
        <v>28</v>
      </c>
    </row>
    <row r="115" spans="1:22" ht="15.95" customHeight="1" x14ac:dyDescent="0.25">
      <c r="A115" s="12" t="s">
        <v>28</v>
      </c>
      <c r="B115" s="14" t="s">
        <v>19</v>
      </c>
      <c r="C115" s="12" t="s">
        <v>28</v>
      </c>
      <c r="D115" s="14" t="s">
        <v>19</v>
      </c>
      <c r="E115" s="12" t="s">
        <v>28</v>
      </c>
      <c r="F115" s="14" t="s">
        <v>19</v>
      </c>
      <c r="G115" s="12" t="s">
        <v>28</v>
      </c>
      <c r="H115" s="14" t="s">
        <v>19</v>
      </c>
      <c r="I115" s="12" t="s">
        <v>28</v>
      </c>
      <c r="J115" s="14" t="s">
        <v>19</v>
      </c>
      <c r="K115" s="12" t="s">
        <v>28</v>
      </c>
      <c r="L115" s="14" t="s">
        <v>19</v>
      </c>
      <c r="M115" s="12" t="s">
        <v>28</v>
      </c>
      <c r="N115" s="14" t="s">
        <v>19</v>
      </c>
      <c r="O115" s="12" t="s">
        <v>28</v>
      </c>
      <c r="P115" s="14" t="s">
        <v>19</v>
      </c>
      <c r="Q115" s="12" t="s">
        <v>28</v>
      </c>
      <c r="R115" s="14" t="s">
        <v>19</v>
      </c>
      <c r="S115" s="12" t="s">
        <v>28</v>
      </c>
      <c r="T115" s="14" t="s">
        <v>19</v>
      </c>
      <c r="V115" s="1" t="s">
        <v>28</v>
      </c>
    </row>
  </sheetData>
  <conditionalFormatting sqref="A2:T115">
    <cfRule type="cellIs" dxfId="15" priority="9" stopIfTrue="1" operator="equal">
      <formula>"-"</formula>
    </cfRule>
    <cfRule type="cellIs" dxfId="14" priority="10" operator="between">
      <formula>"(Lowest value)"</formula>
      <formula>0</formula>
    </cfRule>
    <cfRule type="containsBlanks" dxfId="13" priority="5" stopIfTrue="1">
      <formula>LEN(TRIM(A2))=0</formula>
    </cfRule>
    <cfRule type="notContainsBlanks" dxfId="12" priority="16">
      <formula>LEN(TRIM(A2))&gt;0</formula>
    </cfRule>
    <cfRule type="containsErrors" dxfId="11" priority="4" stopIfTrue="1">
      <formula>ISERROR(A2)</formula>
    </cfRule>
  </conditionalFormatting>
  <conditionalFormatting sqref="B2:B115 H2:H115 D2:D115 F2:F115 J2:J115 L2:L115 N2:N115 P2:P115 R2:R115 T2:T115">
    <cfRule type="notContainsErrors" dxfId="8" priority="1" stopIfTrue="1">
      <formula>NOT(ISERROR(B2))</formula>
    </cfRule>
  </conditionalFormatting>
  <conditionalFormatting sqref="V2:V115">
    <cfRule type="cellIs" dxfId="10" priority="6" operator="equal">
      <formula>A2</formula>
    </cfRule>
    <cfRule type="cellIs" dxfId="9" priority="7" operator="notEqual">
      <formula>A2</formula>
    </cfRule>
  </conditionalFormatting>
  <hyperlinks>
    <hyperlink ref="A10" r:id="rId1" xr:uid="{28F494D0-F57F-4BBF-8C0A-C82AB3299A9E}"/>
    <hyperlink ref="A12" r:id="rId2" xr:uid="{855ECDD4-C93A-4F1F-8713-0829BF813B5A}"/>
  </hyperlinks>
  <pageMargins left="0.7" right="0.7" top="0.75" bottom="0.75" header="0.3" footer="0.3"/>
  <pageSetup orientation="portrait" horizontalDpi="4294967293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C20E-4A0C-4A8D-90F3-EB063DCBD0D3}">
  <dimension ref="A1:T51"/>
  <sheetViews>
    <sheetView workbookViewId="0">
      <selection activeCell="L22" sqref="L22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/>
      <c r="B3" s="16" t="e">
        <f>TRIM(_xlfn.TEXTBEFORE(A3, ":"))</f>
        <v>#N/A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/>
      <c r="H3" s="16" t="e">
        <f>TRIM(_xlfn.TEXTBEFORE(G3, ":"))</f>
        <v>#N/A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/>
      <c r="B4" s="16" t="e">
        <f>TRIM(_xlfn.TEXTAFTER(A3, ":"))</f>
        <v>#N/A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/>
      <c r="H4" s="16" t="e">
        <f>TRIM(_xlfn.TEXTAFTER(G3, ":"))</f>
        <v>#N/A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/>
      <c r="B5" s="16" t="e">
        <f>TRIM(_xlfn.TEXTBEFORE(A4, ":"))</f>
        <v>#N/A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/>
      <c r="H5" s="16" t="e">
        <f>TRIM(_xlfn.TEXTBEFORE(G4, ":"))</f>
        <v>#N/A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/>
      <c r="B6" s="16" t="e">
        <f>TRIM(_xlfn.TEXTAFTER(A4,":"))</f>
        <v>#N/A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/>
      <c r="H6" s="16" t="e">
        <f>TRIM(_xlfn.TEXTAFTER(G4,":"))</f>
        <v>#N/A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/>
      <c r="B7" s="16"/>
      <c r="C7" s="18"/>
      <c r="D7" s="16"/>
      <c r="E7" s="18"/>
      <c r="F7" s="16"/>
      <c r="G7" s="18"/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/>
      <c r="B8" s="16"/>
      <c r="C8" s="18"/>
      <c r="D8" s="16"/>
      <c r="E8" s="18"/>
      <c r="F8" s="16"/>
      <c r="G8" s="18"/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/>
      <c r="B9" s="16"/>
      <c r="C9" s="18"/>
      <c r="D9" s="16"/>
      <c r="E9" s="18"/>
      <c r="F9" s="16"/>
      <c r="G9" s="18"/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/>
      <c r="B10" s="16"/>
      <c r="C10" s="18"/>
      <c r="D10" s="16"/>
      <c r="E10" s="18"/>
      <c r="F10" s="16"/>
      <c r="G10" s="18"/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/>
      <c r="B11" s="16"/>
      <c r="C11" s="18"/>
      <c r="D11" s="16"/>
      <c r="E11" s="18"/>
      <c r="F11" s="16"/>
      <c r="G11" s="18"/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/>
      <c r="B12" s="16"/>
      <c r="C12" s="18"/>
      <c r="D12" s="16"/>
      <c r="E12" s="18"/>
      <c r="F12" s="16"/>
      <c r="G12" s="18"/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/>
      <c r="B13" s="16"/>
      <c r="C13" s="18"/>
      <c r="D13" s="16"/>
      <c r="E13" s="18"/>
      <c r="F13" s="16"/>
      <c r="G13" s="18"/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/>
      <c r="B14" s="16"/>
      <c r="C14" s="18"/>
      <c r="D14" s="16"/>
      <c r="E14" s="18"/>
      <c r="F14" s="16"/>
      <c r="G14" s="18"/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743" priority="2" stopIfTrue="1">
      <formula>NOT(ISERROR(A3))</formula>
    </cfRule>
  </conditionalFormatting>
  <conditionalFormatting sqref="A3:T51">
    <cfRule type="containsErrors" dxfId="742" priority="1" stopIfTrue="1">
      <formula>ISERROR(A3)</formula>
    </cfRule>
    <cfRule type="notContainsBlanks" dxfId="741" priority="3">
      <formula>LEN(TRIM(A3))&gt;0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1EC6E-6C85-435B-ACAB-073E458B20F4}">
  <dimension ref="A1:T51"/>
  <sheetViews>
    <sheetView workbookViewId="0">
      <selection activeCell="H7" sqref="H7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531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882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532</v>
      </c>
      <c r="B4" s="16" t="str">
        <f>TRIM(_xlfn.TEXTAFTER(A3, ":"))</f>
        <v>Skill Gems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883</v>
      </c>
      <c r="H4" s="16" t="str">
        <f>TRIM(_xlfn.TEXTAFTER(G3, ":"))</f>
        <v>Gemmes d'aptitude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625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903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Gem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Gemme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626</v>
      </c>
      <c r="B7" s="16" t="str">
        <f>TRIM(_xlfn.TEXTBEFORE(A5, " "))</f>
        <v>Anomalous</v>
      </c>
      <c r="C7" s="18"/>
      <c r="D7" s="16" t="e">
        <f>TRIM(_xlfn.TEXTBEFORE(C5, " "))</f>
        <v>#N/A</v>
      </c>
      <c r="E7" s="18"/>
      <c r="F7" s="16" t="e">
        <f>TRIM(_xlfn.TEXTBEFORE(E5, " "))</f>
        <v>#N/A</v>
      </c>
      <c r="G7" s="18" t="s">
        <v>904</v>
      </c>
      <c r="H7" s="16" t="s">
        <v>1605</v>
      </c>
      <c r="I7" s="18"/>
      <c r="J7" s="16" t="e">
        <f>TRIM(_xlfn.TEXTBEFORE(I5, " "))</f>
        <v>#N/A</v>
      </c>
      <c r="K7" s="18"/>
      <c r="L7" s="16" t="e">
        <f>TRIM(_xlfn.TEXTBEFORE(K5, " "))</f>
        <v>#N/A</v>
      </c>
      <c r="M7" s="18"/>
      <c r="N7" s="16" t="e">
        <f>TRIM(_xlfn.TEXTBEFORE(M5, " "))</f>
        <v>#N/A</v>
      </c>
      <c r="O7" s="18"/>
      <c r="P7" s="16" t="e">
        <f>TRIM(_xlfn.TEXTBEFORE(O5, " "))</f>
        <v>#N/A</v>
      </c>
      <c r="Q7" s="18"/>
      <c r="R7" s="16" t="e">
        <f>TRIM(_xlfn.TEXTBEFORE(Q5, " "))</f>
        <v>#N/A</v>
      </c>
      <c r="S7" s="18"/>
      <c r="T7" s="20" t="e">
        <f>TRIM(_xlfn.TEXTBEFORE(S5, " "))</f>
        <v>#N/A</v>
      </c>
    </row>
    <row r="8" spans="1:20" ht="15.95" customHeight="1" x14ac:dyDescent="0.25">
      <c r="A8" s="18" t="s">
        <v>600</v>
      </c>
      <c r="B8" s="16"/>
      <c r="C8" s="18"/>
      <c r="D8" s="16"/>
      <c r="E8" s="18"/>
      <c r="F8" s="16"/>
      <c r="G8" s="18" t="s">
        <v>905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627</v>
      </c>
      <c r="B9" s="16"/>
      <c r="C9" s="18"/>
      <c r="D9" s="16"/>
      <c r="E9" s="18"/>
      <c r="F9" s="16"/>
      <c r="G9" s="18" t="s">
        <v>906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628</v>
      </c>
      <c r="B10" s="16"/>
      <c r="C10" s="18"/>
      <c r="D10" s="16"/>
      <c r="E10" s="18"/>
      <c r="F10" s="16"/>
      <c r="G10" s="18" t="s">
        <v>907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629</v>
      </c>
      <c r="B11" s="16"/>
      <c r="C11" s="18"/>
      <c r="D11" s="16"/>
      <c r="E11" s="18"/>
      <c r="F11" s="16"/>
      <c r="G11" s="18" t="s">
        <v>908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630</v>
      </c>
      <c r="B12" s="16"/>
      <c r="C12" s="18"/>
      <c r="D12" s="16"/>
      <c r="E12" s="18"/>
      <c r="F12" s="16"/>
      <c r="G12" s="18" t="s">
        <v>891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601</v>
      </c>
      <c r="B13" s="16"/>
      <c r="C13" s="18"/>
      <c r="D13" s="16"/>
      <c r="E13" s="18"/>
      <c r="F13" s="16"/>
      <c r="G13" s="18" t="s">
        <v>892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110</v>
      </c>
      <c r="B15" s="16"/>
      <c r="C15" s="18"/>
      <c r="D15" s="16"/>
      <c r="E15" s="18"/>
      <c r="F15" s="16"/>
      <c r="G15" s="18" t="s">
        <v>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602</v>
      </c>
      <c r="B16" s="16"/>
      <c r="C16" s="18"/>
      <c r="D16" s="16"/>
      <c r="E16" s="18"/>
      <c r="F16" s="16"/>
      <c r="G16" s="18" t="s">
        <v>909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631</v>
      </c>
      <c r="B17" s="16"/>
      <c r="C17" s="18"/>
      <c r="D17" s="16"/>
      <c r="E17" s="18"/>
      <c r="F17" s="16"/>
      <c r="G17" s="18" t="s">
        <v>631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632</v>
      </c>
      <c r="B19" s="16"/>
      <c r="C19" s="18"/>
      <c r="D19" s="16"/>
      <c r="E19" s="18"/>
      <c r="F19" s="16"/>
      <c r="G19" s="18" t="s">
        <v>910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633</v>
      </c>
      <c r="B21" s="16"/>
      <c r="C21" s="18"/>
      <c r="D21" s="16"/>
      <c r="E21" s="18"/>
      <c r="F21" s="16"/>
      <c r="G21" s="18" t="s">
        <v>911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634</v>
      </c>
      <c r="B22" s="16"/>
      <c r="C22" s="18"/>
      <c r="D22" s="16"/>
      <c r="E22" s="18"/>
      <c r="F22" s="16"/>
      <c r="G22" s="18" t="s">
        <v>912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635</v>
      </c>
      <c r="B23" s="16"/>
      <c r="C23" s="18"/>
      <c r="D23" s="16"/>
      <c r="E23" s="18"/>
      <c r="F23" s="16"/>
      <c r="G23" s="18" t="s">
        <v>913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 t="s">
        <v>533</v>
      </c>
      <c r="B25" s="16"/>
      <c r="C25" s="18"/>
      <c r="D25" s="16"/>
      <c r="E25" s="18"/>
      <c r="F25" s="16"/>
      <c r="G25" s="18" t="s">
        <v>902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 t="s">
        <v>4</v>
      </c>
      <c r="B26" s="16"/>
      <c r="C26" s="18"/>
      <c r="D26" s="16"/>
      <c r="E26" s="18"/>
      <c r="F26" s="16"/>
      <c r="G26" s="18" t="s">
        <v>4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 t="s">
        <v>78</v>
      </c>
      <c r="B27" s="16" t="str">
        <f>A27</f>
        <v>Corrupted</v>
      </c>
      <c r="C27" s="18"/>
      <c r="D27" s="16">
        <f>C27</f>
        <v>0</v>
      </c>
      <c r="E27" s="18"/>
      <c r="F27" s="16">
        <f>E27</f>
        <v>0</v>
      </c>
      <c r="G27" s="18" t="s">
        <v>914</v>
      </c>
      <c r="H27" s="16" t="str">
        <f>G27</f>
        <v>Corrompu</v>
      </c>
      <c r="I27" s="18"/>
      <c r="J27" s="16">
        <f t="shared" ref="J26:J27" si="0">I27</f>
        <v>0</v>
      </c>
      <c r="K27" s="18"/>
      <c r="L27" s="16">
        <f>K27</f>
        <v>0</v>
      </c>
      <c r="M27" s="18"/>
      <c r="N27" s="16">
        <f>M27</f>
        <v>0</v>
      </c>
      <c r="O27" s="18"/>
      <c r="P27" s="16">
        <f>O27</f>
        <v>0</v>
      </c>
      <c r="Q27" s="18"/>
      <c r="R27" s="16">
        <f>Q27</f>
        <v>0</v>
      </c>
      <c r="S27" s="18"/>
      <c r="T27" s="20">
        <f>S27</f>
        <v>0</v>
      </c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740" priority="64" stopIfTrue="1">
      <formula>NOT(ISERROR(A3))</formula>
    </cfRule>
  </conditionalFormatting>
  <conditionalFormatting sqref="A3:T6 A8:T25 A7 C7 A28:T51 A27 C27 E27 G27 I27 K27 M27 O27 Q27 S27 E7 G7 I7 K7 M7 O7 Q7 S7 A26:I26 K26:T26">
    <cfRule type="containsErrors" dxfId="739" priority="63" stopIfTrue="1">
      <formula>ISERROR(A3)</formula>
    </cfRule>
    <cfRule type="notContainsBlanks" dxfId="738" priority="65">
      <formula>LEN(TRIM(A3))&gt;0</formula>
    </cfRule>
  </conditionalFormatting>
  <conditionalFormatting sqref="B7">
    <cfRule type="containsErrors" dxfId="737" priority="61" stopIfTrue="1">
      <formula>ISERROR(B7)</formula>
    </cfRule>
    <cfRule type="notContainsBlanks" dxfId="736" priority="62">
      <formula>LEN(TRIM(B7))&gt;0</formula>
    </cfRule>
  </conditionalFormatting>
  <conditionalFormatting sqref="B27">
    <cfRule type="containsErrors" dxfId="735" priority="59" stopIfTrue="1">
      <formula>ISERROR(B27)</formula>
    </cfRule>
    <cfRule type="notContainsBlanks" dxfId="734" priority="60">
      <formula>LEN(TRIM(B27))&gt;0</formula>
    </cfRule>
  </conditionalFormatting>
  <conditionalFormatting sqref="D7">
    <cfRule type="containsErrors" dxfId="733" priority="39" stopIfTrue="1">
      <formula>ISERROR(D7)</formula>
    </cfRule>
    <cfRule type="notContainsBlanks" dxfId="732" priority="40">
      <formula>LEN(TRIM(D7))&gt;0</formula>
    </cfRule>
  </conditionalFormatting>
  <conditionalFormatting sqref="F7">
    <cfRule type="containsErrors" dxfId="731" priority="37" stopIfTrue="1">
      <formula>ISERROR(F7)</formula>
    </cfRule>
    <cfRule type="notContainsBlanks" dxfId="730" priority="38">
      <formula>LEN(TRIM(F7))&gt;0</formula>
    </cfRule>
  </conditionalFormatting>
  <conditionalFormatting sqref="J7">
    <cfRule type="containsErrors" dxfId="727" priority="33" stopIfTrue="1">
      <formula>ISERROR(J7)</formula>
    </cfRule>
    <cfRule type="notContainsBlanks" dxfId="726" priority="34">
      <formula>LEN(TRIM(J7))&gt;0</formula>
    </cfRule>
  </conditionalFormatting>
  <conditionalFormatting sqref="L7">
    <cfRule type="containsErrors" dxfId="725" priority="31" stopIfTrue="1">
      <formula>ISERROR(L7)</formula>
    </cfRule>
    <cfRule type="notContainsBlanks" dxfId="724" priority="32">
      <formula>LEN(TRIM(L7))&gt;0</formula>
    </cfRule>
  </conditionalFormatting>
  <conditionalFormatting sqref="N7">
    <cfRule type="containsErrors" dxfId="723" priority="29" stopIfTrue="1">
      <formula>ISERROR(N7)</formula>
    </cfRule>
    <cfRule type="notContainsBlanks" dxfId="722" priority="30">
      <formula>LEN(TRIM(N7))&gt;0</formula>
    </cfRule>
  </conditionalFormatting>
  <conditionalFormatting sqref="P7">
    <cfRule type="containsErrors" dxfId="721" priority="27" stopIfTrue="1">
      <formula>ISERROR(P7)</formula>
    </cfRule>
    <cfRule type="notContainsBlanks" dxfId="720" priority="28">
      <formula>LEN(TRIM(P7))&gt;0</formula>
    </cfRule>
  </conditionalFormatting>
  <conditionalFormatting sqref="R7">
    <cfRule type="containsErrors" dxfId="719" priority="25" stopIfTrue="1">
      <formula>ISERROR(R7)</formula>
    </cfRule>
    <cfRule type="notContainsBlanks" dxfId="718" priority="26">
      <formula>LEN(TRIM(R7))&gt;0</formula>
    </cfRule>
  </conditionalFormatting>
  <conditionalFormatting sqref="T7">
    <cfRule type="containsErrors" dxfId="717" priority="21" stopIfTrue="1">
      <formula>ISERROR(T7)</formula>
    </cfRule>
    <cfRule type="notContainsBlanks" dxfId="716" priority="22">
      <formula>LEN(TRIM(T7))&gt;0</formula>
    </cfRule>
  </conditionalFormatting>
  <conditionalFormatting sqref="D27">
    <cfRule type="containsErrors" dxfId="715" priority="19" stopIfTrue="1">
      <formula>ISERROR(D27)</formula>
    </cfRule>
    <cfRule type="notContainsBlanks" dxfId="714" priority="20">
      <formula>LEN(TRIM(D27))&gt;0</formula>
    </cfRule>
  </conditionalFormatting>
  <conditionalFormatting sqref="F27">
    <cfRule type="containsErrors" dxfId="713" priority="17" stopIfTrue="1">
      <formula>ISERROR(F27)</formula>
    </cfRule>
    <cfRule type="notContainsBlanks" dxfId="712" priority="18">
      <formula>LEN(TRIM(F27))&gt;0</formula>
    </cfRule>
  </conditionalFormatting>
  <conditionalFormatting sqref="H27">
    <cfRule type="containsErrors" dxfId="711" priority="15" stopIfTrue="1">
      <formula>ISERROR(H27)</formula>
    </cfRule>
    <cfRule type="notContainsBlanks" dxfId="710" priority="16">
      <formula>LEN(TRIM(H27))&gt;0</formula>
    </cfRule>
  </conditionalFormatting>
  <conditionalFormatting sqref="J26:J27">
    <cfRule type="containsErrors" dxfId="709" priority="13" stopIfTrue="1">
      <formula>ISERROR(J26)</formula>
    </cfRule>
    <cfRule type="notContainsBlanks" dxfId="708" priority="14">
      <formula>LEN(TRIM(J26))&gt;0</formula>
    </cfRule>
  </conditionalFormatting>
  <conditionalFormatting sqref="L27">
    <cfRule type="containsErrors" dxfId="707" priority="11" stopIfTrue="1">
      <formula>ISERROR(L27)</formula>
    </cfRule>
    <cfRule type="notContainsBlanks" dxfId="706" priority="12">
      <formula>LEN(TRIM(L27))&gt;0</formula>
    </cfRule>
  </conditionalFormatting>
  <conditionalFormatting sqref="N27">
    <cfRule type="containsErrors" dxfId="705" priority="9" stopIfTrue="1">
      <formula>ISERROR(N27)</formula>
    </cfRule>
    <cfRule type="notContainsBlanks" dxfId="704" priority="10">
      <formula>LEN(TRIM(N27))&gt;0</formula>
    </cfRule>
  </conditionalFormatting>
  <conditionalFormatting sqref="P27">
    <cfRule type="containsErrors" dxfId="703" priority="7" stopIfTrue="1">
      <formula>ISERROR(P27)</formula>
    </cfRule>
    <cfRule type="notContainsBlanks" dxfId="702" priority="8">
      <formula>LEN(TRIM(P27))&gt;0</formula>
    </cfRule>
  </conditionalFormatting>
  <conditionalFormatting sqref="R27">
    <cfRule type="containsErrors" dxfId="701" priority="5" stopIfTrue="1">
      <formula>ISERROR(R27)</formula>
    </cfRule>
    <cfRule type="notContainsBlanks" dxfId="700" priority="6">
      <formula>LEN(TRIM(R27))&gt;0</formula>
    </cfRule>
  </conditionalFormatting>
  <conditionalFormatting sqref="T27">
    <cfRule type="containsErrors" dxfId="699" priority="3" stopIfTrue="1">
      <formula>ISERROR(T27)</formula>
    </cfRule>
    <cfRule type="notContainsBlanks" dxfId="698" priority="4">
      <formula>LEN(TRIM(T27))&gt;0</formula>
    </cfRule>
  </conditionalFormatting>
  <conditionalFormatting sqref="H7">
    <cfRule type="containsErrors" dxfId="23" priority="1" stopIfTrue="1">
      <formula>ISERROR(H7)</formula>
    </cfRule>
    <cfRule type="notContainsBlanks" dxfId="22" priority="2">
      <formula>LEN(TRIM(H7))&gt;0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8012D-6808-40ED-823C-6FEB4AAFF296}">
  <dimension ref="A1:T51"/>
  <sheetViews>
    <sheetView workbookViewId="0">
      <selection activeCell="D46" sqref="D46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534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915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532</v>
      </c>
      <c r="B4" s="16" t="str">
        <f>TRIM(_xlfn.TEXTAFTER(A3, ":"))</f>
        <v>Support Gems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883</v>
      </c>
      <c r="H4" s="16" t="str">
        <f>TRIM(_xlfn.TEXTAFTER(G3, ":"))</f>
        <v>Gemmes de soutien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598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916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Gem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Gemme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599</v>
      </c>
      <c r="B7" s="16" t="str">
        <f>TRIM(_xlfn.TEXTBEFORE(A5, " "))</f>
        <v>Divergent</v>
      </c>
      <c r="C7" s="18"/>
      <c r="D7" s="16" t="e">
        <f>TRIM(_xlfn.TEXTBEFORE(C5, " "))</f>
        <v>#N/A</v>
      </c>
      <c r="E7" s="18"/>
      <c r="F7" s="16" t="e">
        <f>TRIM(_xlfn.TEXTBEFORE(E5, " "))</f>
        <v>#N/A</v>
      </c>
      <c r="G7" s="18" t="s">
        <v>917</v>
      </c>
      <c r="H7" s="16" t="s">
        <v>1604</v>
      </c>
      <c r="I7" s="18"/>
      <c r="J7" s="16" t="e">
        <f>TRIM(_xlfn.TEXTBEFORE(I5, " "))</f>
        <v>#N/A</v>
      </c>
      <c r="K7" s="18"/>
      <c r="L7" s="16" t="e">
        <f>TRIM(_xlfn.TEXTBEFORE(K5, " "))</f>
        <v>#N/A</v>
      </c>
      <c r="M7" s="18"/>
      <c r="N7" s="16" t="e">
        <f>TRIM(_xlfn.TEXTBEFORE(M5, " "))</f>
        <v>#N/A</v>
      </c>
      <c r="O7" s="18"/>
      <c r="P7" s="16" t="e">
        <f>TRIM(_xlfn.TEXTBEFORE(O5, " "))</f>
        <v>#N/A</v>
      </c>
      <c r="Q7" s="18"/>
      <c r="R7" s="16" t="e">
        <f>TRIM(_xlfn.TEXTBEFORE(Q5, " "))</f>
        <v>#N/A</v>
      </c>
      <c r="S7" s="18"/>
      <c r="T7" s="16" t="e">
        <f>TRIM(_xlfn.TEXTBEFORE(S5, " "))</f>
        <v>#N/A</v>
      </c>
    </row>
    <row r="8" spans="1:20" ht="15.95" customHeight="1" x14ac:dyDescent="0.25">
      <c r="A8" s="18" t="s">
        <v>600</v>
      </c>
      <c r="B8" s="16"/>
      <c r="C8" s="18"/>
      <c r="D8" s="16"/>
      <c r="E8" s="18"/>
      <c r="F8" s="16"/>
      <c r="G8" s="18" t="s">
        <v>905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500</v>
      </c>
      <c r="B9" s="16"/>
      <c r="C9" s="18"/>
      <c r="D9" s="16"/>
      <c r="E9" s="18"/>
      <c r="F9" s="16"/>
      <c r="G9" s="18" t="s">
        <v>918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601</v>
      </c>
      <c r="B10" s="16" t="str">
        <f>A10</f>
        <v>Alternate Quality</v>
      </c>
      <c r="C10" s="18"/>
      <c r="D10" s="16">
        <f>C10</f>
        <v>0</v>
      </c>
      <c r="E10" s="18"/>
      <c r="F10" s="16">
        <f>E10</f>
        <v>0</v>
      </c>
      <c r="G10" s="18" t="s">
        <v>892</v>
      </c>
      <c r="H10" s="16" t="str">
        <f>G10</f>
        <v>Qualité alternative</v>
      </c>
      <c r="I10" s="18"/>
      <c r="J10" s="16">
        <f>I10</f>
        <v>0</v>
      </c>
      <c r="K10" s="18"/>
      <c r="L10" s="16">
        <f>K10</f>
        <v>0</v>
      </c>
      <c r="M10" s="18"/>
      <c r="N10" s="16">
        <f>M10</f>
        <v>0</v>
      </c>
      <c r="O10" s="18"/>
      <c r="P10" s="16">
        <f>O10</f>
        <v>0</v>
      </c>
      <c r="Q10" s="18"/>
      <c r="R10" s="16">
        <f>Q10</f>
        <v>0</v>
      </c>
      <c r="S10" s="18"/>
      <c r="T10" s="16">
        <f>S10</f>
        <v>0</v>
      </c>
    </row>
    <row r="11" spans="1:20" ht="15.95" customHeight="1" x14ac:dyDescent="0.25">
      <c r="A11" s="18" t="s">
        <v>4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110</v>
      </c>
      <c r="B12" s="16"/>
      <c r="C12" s="18"/>
      <c r="D12" s="16"/>
      <c r="E12" s="18"/>
      <c r="F12" s="16"/>
      <c r="G12" s="18" t="s">
        <v>5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602</v>
      </c>
      <c r="B13" s="16"/>
      <c r="C13" s="18"/>
      <c r="D13" s="16"/>
      <c r="E13" s="18"/>
      <c r="F13" s="16"/>
      <c r="G13" s="18" t="s">
        <v>909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603</v>
      </c>
      <c r="B14" s="16"/>
      <c r="C14" s="18"/>
      <c r="D14" s="16"/>
      <c r="E14" s="18"/>
      <c r="F14" s="16"/>
      <c r="G14" s="18" t="s">
        <v>919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604</v>
      </c>
      <c r="B15" s="16"/>
      <c r="C15" s="18"/>
      <c r="D15" s="16"/>
      <c r="E15" s="18"/>
      <c r="F15" s="16"/>
      <c r="G15" s="18" t="s">
        <v>604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605</v>
      </c>
      <c r="B17" s="16"/>
      <c r="C17" s="18"/>
      <c r="D17" s="16"/>
      <c r="E17" s="18"/>
      <c r="F17" s="16"/>
      <c r="G17" s="18" t="s">
        <v>920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606</v>
      </c>
      <c r="B19" s="16"/>
      <c r="C19" s="18"/>
      <c r="D19" s="16"/>
      <c r="E19" s="18"/>
      <c r="F19" s="16"/>
      <c r="G19" s="18" t="s">
        <v>921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607</v>
      </c>
      <c r="B20" s="16"/>
      <c r="C20" s="18"/>
      <c r="D20" s="16"/>
      <c r="E20" s="18"/>
      <c r="F20" s="16"/>
      <c r="G20" s="18" t="s">
        <v>922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608</v>
      </c>
      <c r="B21" s="16"/>
      <c r="C21" s="18"/>
      <c r="D21" s="16"/>
      <c r="E21" s="18"/>
      <c r="F21" s="16"/>
      <c r="G21" s="18" t="s">
        <v>923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609</v>
      </c>
      <c r="B22" s="16"/>
      <c r="C22" s="18"/>
      <c r="D22" s="16"/>
      <c r="E22" s="18"/>
      <c r="F22" s="16"/>
      <c r="G22" s="18" t="s">
        <v>924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610</v>
      </c>
      <c r="B23" s="16"/>
      <c r="C23" s="18"/>
      <c r="D23" s="16"/>
      <c r="E23" s="18"/>
      <c r="F23" s="16"/>
      <c r="G23" s="18" t="s">
        <v>925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611</v>
      </c>
      <c r="B24" s="16"/>
      <c r="C24" s="18"/>
      <c r="D24" s="16"/>
      <c r="E24" s="18"/>
      <c r="F24" s="16"/>
      <c r="G24" s="18" t="s">
        <v>926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</v>
      </c>
      <c r="B25" s="16"/>
      <c r="C25" s="18"/>
      <c r="D25" s="16"/>
      <c r="E25" s="18"/>
      <c r="F25" s="16"/>
      <c r="G25" s="18" t="s">
        <v>4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 t="s">
        <v>536</v>
      </c>
      <c r="B26" s="16"/>
      <c r="C26" s="18"/>
      <c r="D26" s="16"/>
      <c r="E26" s="18"/>
      <c r="F26" s="16"/>
      <c r="G26" s="18" t="s">
        <v>927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697" priority="24" stopIfTrue="1">
      <formula>NOT(ISERROR(A3))</formula>
    </cfRule>
  </conditionalFormatting>
  <conditionalFormatting sqref="A3:T6 A8:T51 A7 C7 E7 G7 I7 K7 M7 O7 Q7 S7">
    <cfRule type="containsErrors" dxfId="696" priority="23" stopIfTrue="1">
      <formula>ISERROR(A3)</formula>
    </cfRule>
    <cfRule type="notContainsBlanks" dxfId="695" priority="25">
      <formula>LEN(TRIM(A3))&gt;0</formula>
    </cfRule>
  </conditionalFormatting>
  <conditionalFormatting sqref="B7">
    <cfRule type="containsErrors" dxfId="694" priority="21" stopIfTrue="1">
      <formula>ISERROR(B7)</formula>
    </cfRule>
    <cfRule type="notContainsBlanks" dxfId="693" priority="22">
      <formula>LEN(TRIM(B7))&gt;0</formula>
    </cfRule>
  </conditionalFormatting>
  <conditionalFormatting sqref="D7">
    <cfRule type="containsErrors" dxfId="692" priority="19" stopIfTrue="1">
      <formula>ISERROR(D7)</formula>
    </cfRule>
    <cfRule type="notContainsBlanks" dxfId="691" priority="20">
      <formula>LEN(TRIM(D7))&gt;0</formula>
    </cfRule>
  </conditionalFormatting>
  <conditionalFormatting sqref="F7">
    <cfRule type="containsErrors" dxfId="690" priority="17" stopIfTrue="1">
      <formula>ISERROR(F7)</formula>
    </cfRule>
    <cfRule type="notContainsBlanks" dxfId="689" priority="18">
      <formula>LEN(TRIM(F7))&gt;0</formula>
    </cfRule>
  </conditionalFormatting>
  <conditionalFormatting sqref="J7">
    <cfRule type="containsErrors" dxfId="686" priority="13" stopIfTrue="1">
      <formula>ISERROR(J7)</formula>
    </cfRule>
    <cfRule type="notContainsBlanks" dxfId="685" priority="14">
      <formula>LEN(TRIM(J7))&gt;0</formula>
    </cfRule>
  </conditionalFormatting>
  <conditionalFormatting sqref="L7">
    <cfRule type="containsErrors" dxfId="684" priority="11" stopIfTrue="1">
      <formula>ISERROR(L7)</formula>
    </cfRule>
    <cfRule type="notContainsBlanks" dxfId="683" priority="12">
      <formula>LEN(TRIM(L7))&gt;0</formula>
    </cfRule>
  </conditionalFormatting>
  <conditionalFormatting sqref="N7">
    <cfRule type="containsErrors" dxfId="682" priority="9" stopIfTrue="1">
      <formula>ISERROR(N7)</formula>
    </cfRule>
    <cfRule type="notContainsBlanks" dxfId="681" priority="10">
      <formula>LEN(TRIM(N7))&gt;0</formula>
    </cfRule>
  </conditionalFormatting>
  <conditionalFormatting sqref="P7">
    <cfRule type="containsErrors" dxfId="680" priority="7" stopIfTrue="1">
      <formula>ISERROR(P7)</formula>
    </cfRule>
    <cfRule type="notContainsBlanks" dxfId="679" priority="8">
      <formula>LEN(TRIM(P7))&gt;0</formula>
    </cfRule>
  </conditionalFormatting>
  <conditionalFormatting sqref="R7">
    <cfRule type="containsErrors" dxfId="678" priority="5" stopIfTrue="1">
      <formula>ISERROR(R7)</formula>
    </cfRule>
    <cfRule type="notContainsBlanks" dxfId="677" priority="6">
      <formula>LEN(TRIM(R7))&gt;0</formula>
    </cfRule>
  </conditionalFormatting>
  <conditionalFormatting sqref="T7">
    <cfRule type="containsErrors" dxfId="676" priority="3" stopIfTrue="1">
      <formula>ISERROR(T7)</formula>
    </cfRule>
    <cfRule type="notContainsBlanks" dxfId="675" priority="4">
      <formula>LEN(TRIM(T7))&gt;0</formula>
    </cfRule>
  </conditionalFormatting>
  <conditionalFormatting sqref="H7">
    <cfRule type="containsErrors" dxfId="21" priority="1" stopIfTrue="1">
      <formula>ISERROR(H7)</formula>
    </cfRule>
    <cfRule type="notContainsBlanks" dxfId="20" priority="2">
      <formula>LEN(TRIM(H7))&gt;0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4D7E2-EFF1-4C00-BE50-D78E9E9030CD}">
  <dimension ref="A1:T51"/>
  <sheetViews>
    <sheetView workbookViewId="0">
      <selection activeCell="H7" sqref="H7"/>
    </sheetView>
  </sheetViews>
  <sheetFormatPr defaultRowHeight="15" x14ac:dyDescent="0.25"/>
  <cols>
    <col min="1" max="1" width="44.7109375" customWidth="1"/>
    <col min="2" max="2" width="13.85546875" customWidth="1"/>
    <col min="8" max="8" width="16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531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882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532</v>
      </c>
      <c r="B4" s="16" t="str">
        <f>TRIM(_xlfn.TEXTAFTER(A3, ":"))</f>
        <v>Skill Gems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883</v>
      </c>
      <c r="H4" s="16" t="str">
        <f>TRIM(_xlfn.TEXTAFTER(G3, ":"))</f>
        <v>Gemmes d'aptitude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636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884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Gem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Gemme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637</v>
      </c>
      <c r="B7" s="16" t="str">
        <f>TRIM(_xlfn.TEXTBEFORE(A5, " "))</f>
        <v>Phantasmal</v>
      </c>
      <c r="C7" s="18"/>
      <c r="D7" s="16" t="e">
        <f>TRIM(_xlfn.TEXTBEFORE(C5, " "))</f>
        <v>#N/A</v>
      </c>
      <c r="E7" s="18"/>
      <c r="F7" s="16" t="e">
        <f>TRIM(_xlfn.TEXTBEFORE(E5, " "))</f>
        <v>#N/A</v>
      </c>
      <c r="G7" s="18" t="s">
        <v>885</v>
      </c>
      <c r="H7" s="16" t="s">
        <v>1606</v>
      </c>
      <c r="I7" s="18"/>
      <c r="J7" s="16" t="e">
        <f>TRIM(_xlfn.TEXTBEFORE(I5, " "))</f>
        <v>#N/A</v>
      </c>
      <c r="K7" s="18"/>
      <c r="L7" s="16" t="e">
        <f>TRIM(_xlfn.TEXTBEFORE(K5, " "))</f>
        <v>#N/A</v>
      </c>
      <c r="M7" s="18"/>
      <c r="N7" s="16" t="e">
        <f>TRIM(_xlfn.TEXTBEFORE(M5, " "))</f>
        <v>#N/A</v>
      </c>
      <c r="O7" s="18"/>
      <c r="P7" s="16" t="e">
        <f>TRIM(_xlfn.TEXTBEFORE(O5, " "))</f>
        <v>#N/A</v>
      </c>
      <c r="Q7" s="18"/>
      <c r="R7" s="16" t="e">
        <f>TRIM(_xlfn.TEXTBEFORE(Q5, " "))</f>
        <v>#N/A</v>
      </c>
      <c r="S7" s="18"/>
      <c r="T7" s="16" t="e">
        <f>TRIM(_xlfn.TEXTBEFORE(S5, " "))</f>
        <v>#N/A</v>
      </c>
    </row>
    <row r="8" spans="1:20" ht="15.95" customHeight="1" x14ac:dyDescent="0.25">
      <c r="A8" s="18" t="s">
        <v>535</v>
      </c>
      <c r="B8" s="16" t="str">
        <f>TRIM(_xlfn.TEXTBEFORE(A8,":"))</f>
        <v>Level</v>
      </c>
      <c r="C8" s="18"/>
      <c r="D8" s="16" t="e">
        <f>TRIM(_xlfn.TEXTBEFORE(C8,":"))</f>
        <v>#N/A</v>
      </c>
      <c r="E8" s="18"/>
      <c r="F8" s="16" t="e">
        <f>TRIM(_xlfn.TEXTBEFORE(E8,":"))</f>
        <v>#N/A</v>
      </c>
      <c r="G8" s="18" t="s">
        <v>886</v>
      </c>
      <c r="H8" s="16" t="str">
        <f>TRIM(_xlfn.TEXTBEFORE(G8,":"))</f>
        <v>Niveau</v>
      </c>
      <c r="I8" s="18"/>
      <c r="J8" s="16" t="e">
        <f>TRIM(_xlfn.TEXTBEFORE(I8,":"))</f>
        <v>#N/A</v>
      </c>
      <c r="K8" s="18"/>
      <c r="L8" s="16" t="e">
        <f>TRIM(_xlfn.TEXTBEFORE(K8,":"))</f>
        <v>#N/A</v>
      </c>
      <c r="M8" s="18"/>
      <c r="N8" s="16" t="e">
        <f>TRIM(_xlfn.TEXTBEFORE(M8,":"))</f>
        <v>#N/A</v>
      </c>
      <c r="O8" s="18"/>
      <c r="P8" s="16" t="e">
        <f>TRIM(_xlfn.TEXTBEFORE(O8,":"))</f>
        <v>#N/A</v>
      </c>
      <c r="Q8" s="18"/>
      <c r="R8" s="16" t="e">
        <f>TRIM(_xlfn.TEXTBEFORE(Q8,":"))</f>
        <v>#N/A</v>
      </c>
      <c r="S8" s="18"/>
      <c r="T8" s="16" t="e">
        <f>TRIM(_xlfn.TEXTBEFORE(S8,":"))</f>
        <v>#N/A</v>
      </c>
    </row>
    <row r="9" spans="1:20" ht="15.95" customHeight="1" x14ac:dyDescent="0.25">
      <c r="A9" s="18" t="s">
        <v>638</v>
      </c>
      <c r="B9" s="16"/>
      <c r="C9" s="18"/>
      <c r="D9" s="16"/>
      <c r="E9" s="18"/>
      <c r="F9" s="16"/>
      <c r="G9" s="18" t="s">
        <v>887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639</v>
      </c>
      <c r="B10" s="16"/>
      <c r="C10" s="18"/>
      <c r="D10" s="16"/>
      <c r="E10" s="18"/>
      <c r="F10" s="16"/>
      <c r="G10" s="18" t="s">
        <v>888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640</v>
      </c>
      <c r="B11" s="16"/>
      <c r="C11" s="18"/>
      <c r="D11" s="16"/>
      <c r="E11" s="18"/>
      <c r="F11" s="16"/>
      <c r="G11" s="18" t="s">
        <v>889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641</v>
      </c>
      <c r="B12" s="16"/>
      <c r="C12" s="18"/>
      <c r="D12" s="16"/>
      <c r="E12" s="18"/>
      <c r="F12" s="16"/>
      <c r="G12" s="18" t="s">
        <v>890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16"/>
    </row>
    <row r="13" spans="1:20" ht="15.95" customHeight="1" x14ac:dyDescent="0.25">
      <c r="A13" s="18" t="s">
        <v>630</v>
      </c>
      <c r="B13" s="16"/>
      <c r="C13" s="18"/>
      <c r="D13" s="16"/>
      <c r="E13" s="18"/>
      <c r="F13" s="16"/>
      <c r="G13" s="18" t="s">
        <v>891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16"/>
    </row>
    <row r="14" spans="1:20" ht="15.95" customHeight="1" x14ac:dyDescent="0.25">
      <c r="A14" s="18" t="s">
        <v>601</v>
      </c>
      <c r="B14" s="16"/>
      <c r="C14" s="18"/>
      <c r="D14" s="16"/>
      <c r="E14" s="18"/>
      <c r="F14" s="16"/>
      <c r="G14" s="18" t="s">
        <v>892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16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16"/>
    </row>
    <row r="16" spans="1:20" ht="15.95" customHeight="1" x14ac:dyDescent="0.25">
      <c r="A16" s="18" t="s">
        <v>110</v>
      </c>
      <c r="B16" s="16"/>
      <c r="C16" s="18"/>
      <c r="D16" s="16"/>
      <c r="E16" s="18"/>
      <c r="F16" s="16"/>
      <c r="G16" s="18" t="s">
        <v>5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16"/>
    </row>
    <row r="17" spans="1:20" ht="15.95" customHeight="1" x14ac:dyDescent="0.25">
      <c r="A17" s="18" t="s">
        <v>136</v>
      </c>
      <c r="B17" s="16"/>
      <c r="C17" s="18"/>
      <c r="D17" s="16"/>
      <c r="E17" s="18"/>
      <c r="F17" s="16"/>
      <c r="G17" s="18" t="s">
        <v>893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16"/>
    </row>
    <row r="18" spans="1:20" ht="15.95" customHeight="1" x14ac:dyDescent="0.25">
      <c r="A18" s="18" t="s">
        <v>476</v>
      </c>
      <c r="B18" s="16"/>
      <c r="C18" s="18"/>
      <c r="D18" s="16"/>
      <c r="E18" s="18"/>
      <c r="F18" s="16"/>
      <c r="G18" s="18" t="s">
        <v>894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16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16"/>
    </row>
    <row r="20" spans="1:20" ht="15.95" customHeight="1" x14ac:dyDescent="0.25">
      <c r="A20" s="18" t="s">
        <v>642</v>
      </c>
      <c r="B20" s="16"/>
      <c r="C20" s="18"/>
      <c r="D20" s="16"/>
      <c r="E20" s="18"/>
      <c r="F20" s="16"/>
      <c r="G20" s="18" t="s">
        <v>895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16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16"/>
    </row>
    <row r="22" spans="1:20" ht="15.95" customHeight="1" x14ac:dyDescent="0.25">
      <c r="A22" s="18" t="s">
        <v>643</v>
      </c>
      <c r="B22" s="16"/>
      <c r="C22" s="18"/>
      <c r="D22" s="16"/>
      <c r="E22" s="18"/>
      <c r="F22" s="16"/>
      <c r="G22" s="18" t="s">
        <v>896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16"/>
    </row>
    <row r="23" spans="1:20" ht="15.95" customHeight="1" x14ac:dyDescent="0.25">
      <c r="A23" s="18" t="s">
        <v>644</v>
      </c>
      <c r="B23" s="16"/>
      <c r="C23" s="18"/>
      <c r="D23" s="16"/>
      <c r="E23" s="18"/>
      <c r="F23" s="16"/>
      <c r="G23" s="18" t="s">
        <v>897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16"/>
    </row>
    <row r="24" spans="1:20" ht="15.95" customHeight="1" x14ac:dyDescent="0.25">
      <c r="A24" s="18" t="s">
        <v>645</v>
      </c>
      <c r="B24" s="16"/>
      <c r="C24" s="18"/>
      <c r="D24" s="16"/>
      <c r="E24" s="18"/>
      <c r="F24" s="16"/>
      <c r="G24" s="18" t="s">
        <v>898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16"/>
    </row>
    <row r="25" spans="1:20" ht="15.95" customHeight="1" x14ac:dyDescent="0.25">
      <c r="A25" s="18" t="s">
        <v>646</v>
      </c>
      <c r="B25" s="16"/>
      <c r="C25" s="18"/>
      <c r="D25" s="16"/>
      <c r="E25" s="18"/>
      <c r="F25" s="16"/>
      <c r="G25" s="18" t="s">
        <v>899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 t="s">
        <v>647</v>
      </c>
      <c r="B26" s="16"/>
      <c r="C26" s="18"/>
      <c r="D26" s="16"/>
      <c r="E26" s="18"/>
      <c r="F26" s="16"/>
      <c r="G26" s="18" t="s">
        <v>900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16"/>
    </row>
    <row r="27" spans="1:20" ht="15.95" customHeight="1" x14ac:dyDescent="0.25">
      <c r="A27" s="18" t="s">
        <v>4</v>
      </c>
      <c r="B27" s="16"/>
      <c r="C27" s="18"/>
      <c r="D27" s="16"/>
      <c r="E27" s="18"/>
      <c r="F27" s="16"/>
      <c r="G27" s="18" t="s">
        <v>4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16"/>
    </row>
    <row r="28" spans="1:20" ht="15.95" customHeight="1" x14ac:dyDescent="0.25">
      <c r="A28" s="18" t="s">
        <v>648</v>
      </c>
      <c r="B28" s="16" t="str">
        <f>TRIM(_xlfn.TEXTBEFORE(A28,":"))</f>
        <v>Experience</v>
      </c>
      <c r="C28" s="18"/>
      <c r="D28" s="16" t="e">
        <f>TRIM(_xlfn.TEXTBEFORE(C28,":"))</f>
        <v>#N/A</v>
      </c>
      <c r="E28" s="18"/>
      <c r="F28" s="16" t="e">
        <f>TRIM(_xlfn.TEXTBEFORE(E28,":"))</f>
        <v>#N/A</v>
      </c>
      <c r="G28" s="18" t="s">
        <v>901</v>
      </c>
      <c r="H28" s="16" t="str">
        <f>TRIM(_xlfn.TEXTBEFORE(G28,":"))</f>
        <v>Expérience</v>
      </c>
      <c r="I28" s="18"/>
      <c r="J28" s="16" t="e">
        <f>TRIM(_xlfn.TEXTBEFORE(I28,":"))</f>
        <v>#N/A</v>
      </c>
      <c r="K28" s="18"/>
      <c r="L28" s="16" t="e">
        <f>TRIM(_xlfn.TEXTBEFORE(K28,":"))</f>
        <v>#N/A</v>
      </c>
      <c r="M28" s="18"/>
      <c r="N28" s="16" t="e">
        <f>TRIM(_xlfn.TEXTBEFORE(M28,":"))</f>
        <v>#N/A</v>
      </c>
      <c r="O28" s="18"/>
      <c r="P28" s="16" t="e">
        <f>TRIM(_xlfn.TEXTBEFORE(O28,":"))</f>
        <v>#N/A</v>
      </c>
      <c r="Q28" s="18"/>
      <c r="R28" s="16" t="e">
        <f>TRIM(_xlfn.TEXTBEFORE(Q28,":"))</f>
        <v>#N/A</v>
      </c>
      <c r="S28" s="18"/>
      <c r="T28" s="16" t="e">
        <f>TRIM(_xlfn.TEXTBEFORE(S28,":"))</f>
        <v>#N/A</v>
      </c>
    </row>
    <row r="29" spans="1:20" ht="15.95" customHeight="1" x14ac:dyDescent="0.25">
      <c r="A29" s="18" t="s">
        <v>4</v>
      </c>
      <c r="B29" s="16"/>
      <c r="C29" s="18"/>
      <c r="D29" s="16"/>
      <c r="E29" s="18"/>
      <c r="F29" s="16"/>
      <c r="G29" s="18" t="s">
        <v>4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16"/>
    </row>
    <row r="30" spans="1:20" ht="15.95" customHeight="1" x14ac:dyDescent="0.25">
      <c r="A30" s="18" t="s">
        <v>533</v>
      </c>
      <c r="B30" s="16"/>
      <c r="C30" s="18"/>
      <c r="D30" s="16"/>
      <c r="E30" s="18"/>
      <c r="F30" s="16"/>
      <c r="G30" s="18" t="s">
        <v>902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16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674" priority="82" stopIfTrue="1">
      <formula>NOT(ISERROR(A3))</formula>
    </cfRule>
  </conditionalFormatting>
  <conditionalFormatting sqref="A3:T6 E7:E29 A7:A8 A9:D27 G7:G29 F9:F27 I7:I29 H9:H27 K7:K29 J9:J27 M7:M29 L9:L27 O7:O29 N9:N27 Q7:Q29 P9:P27 S7:S29 R9:R27 T9:T27 A30:T51 A28:A29 C28:C29 C7:C8">
    <cfRule type="containsErrors" dxfId="673" priority="81" stopIfTrue="1">
      <formula>ISERROR(A3)</formula>
    </cfRule>
    <cfRule type="notContainsBlanks" dxfId="672" priority="83">
      <formula>LEN(TRIM(A3))&gt;0</formula>
    </cfRule>
  </conditionalFormatting>
  <conditionalFormatting sqref="B28:B29">
    <cfRule type="containsErrors" dxfId="671" priority="79" stopIfTrue="1">
      <formula>ISERROR(B28)</formula>
    </cfRule>
    <cfRule type="notContainsBlanks" dxfId="670" priority="80">
      <formula>LEN(TRIM(B28))&gt;0</formula>
    </cfRule>
  </conditionalFormatting>
  <conditionalFormatting sqref="B8">
    <cfRule type="containsErrors" dxfId="669" priority="77" stopIfTrue="1">
      <formula>ISERROR(B8)</formula>
    </cfRule>
    <cfRule type="notContainsBlanks" dxfId="668" priority="78">
      <formula>LEN(TRIM(B8))&gt;0</formula>
    </cfRule>
  </conditionalFormatting>
  <conditionalFormatting sqref="D29">
    <cfRule type="containsErrors" dxfId="667" priority="75" stopIfTrue="1">
      <formula>ISERROR(D29)</formula>
    </cfRule>
    <cfRule type="notContainsBlanks" dxfId="666" priority="76">
      <formula>LEN(TRIM(D29))&gt;0</formula>
    </cfRule>
  </conditionalFormatting>
  <conditionalFormatting sqref="D8">
    <cfRule type="containsErrors" dxfId="665" priority="73" stopIfTrue="1">
      <formula>ISERROR(D8)</formula>
    </cfRule>
    <cfRule type="notContainsBlanks" dxfId="664" priority="74">
      <formula>LEN(TRIM(D8))&gt;0</formula>
    </cfRule>
  </conditionalFormatting>
  <conditionalFormatting sqref="F29">
    <cfRule type="containsErrors" dxfId="663" priority="71" stopIfTrue="1">
      <formula>ISERROR(F29)</formula>
    </cfRule>
    <cfRule type="notContainsBlanks" dxfId="662" priority="72">
      <formula>LEN(TRIM(F29))&gt;0</formula>
    </cfRule>
  </conditionalFormatting>
  <conditionalFormatting sqref="F8">
    <cfRule type="containsErrors" dxfId="661" priority="69" stopIfTrue="1">
      <formula>ISERROR(F8)</formula>
    </cfRule>
    <cfRule type="notContainsBlanks" dxfId="660" priority="70">
      <formula>LEN(TRIM(F8))&gt;0</formula>
    </cfRule>
  </conditionalFormatting>
  <conditionalFormatting sqref="H29">
    <cfRule type="containsErrors" dxfId="659" priority="67" stopIfTrue="1">
      <formula>ISERROR(H29)</formula>
    </cfRule>
    <cfRule type="notContainsBlanks" dxfId="658" priority="68">
      <formula>LEN(TRIM(H29))&gt;0</formula>
    </cfRule>
  </conditionalFormatting>
  <conditionalFormatting sqref="H8">
    <cfRule type="containsErrors" dxfId="657" priority="65" stopIfTrue="1">
      <formula>ISERROR(H8)</formula>
    </cfRule>
    <cfRule type="notContainsBlanks" dxfId="656" priority="66">
      <formula>LEN(TRIM(H8))&gt;0</formula>
    </cfRule>
  </conditionalFormatting>
  <conditionalFormatting sqref="J29">
    <cfRule type="containsErrors" dxfId="655" priority="63" stopIfTrue="1">
      <formula>ISERROR(J29)</formula>
    </cfRule>
    <cfRule type="notContainsBlanks" dxfId="654" priority="64">
      <formula>LEN(TRIM(J29))&gt;0</formula>
    </cfRule>
  </conditionalFormatting>
  <conditionalFormatting sqref="J8">
    <cfRule type="containsErrors" dxfId="653" priority="61" stopIfTrue="1">
      <formula>ISERROR(J8)</formula>
    </cfRule>
    <cfRule type="notContainsBlanks" dxfId="652" priority="62">
      <formula>LEN(TRIM(J8))&gt;0</formula>
    </cfRule>
  </conditionalFormatting>
  <conditionalFormatting sqref="L29">
    <cfRule type="containsErrors" dxfId="651" priority="59" stopIfTrue="1">
      <formula>ISERROR(L29)</formula>
    </cfRule>
    <cfRule type="notContainsBlanks" dxfId="650" priority="60">
      <formula>LEN(TRIM(L29))&gt;0</formula>
    </cfRule>
  </conditionalFormatting>
  <conditionalFormatting sqref="L8">
    <cfRule type="containsErrors" dxfId="649" priority="57" stopIfTrue="1">
      <formula>ISERROR(L8)</formula>
    </cfRule>
    <cfRule type="notContainsBlanks" dxfId="648" priority="58">
      <formula>LEN(TRIM(L8))&gt;0</formula>
    </cfRule>
  </conditionalFormatting>
  <conditionalFormatting sqref="N29">
    <cfRule type="containsErrors" dxfId="647" priority="55" stopIfTrue="1">
      <formula>ISERROR(N29)</formula>
    </cfRule>
    <cfRule type="notContainsBlanks" dxfId="646" priority="56">
      <formula>LEN(TRIM(N29))&gt;0</formula>
    </cfRule>
  </conditionalFormatting>
  <conditionalFormatting sqref="N8">
    <cfRule type="containsErrors" dxfId="645" priority="53" stopIfTrue="1">
      <formula>ISERROR(N8)</formula>
    </cfRule>
    <cfRule type="notContainsBlanks" dxfId="644" priority="54">
      <formula>LEN(TRIM(N8))&gt;0</formula>
    </cfRule>
  </conditionalFormatting>
  <conditionalFormatting sqref="P29">
    <cfRule type="containsErrors" dxfId="643" priority="51" stopIfTrue="1">
      <formula>ISERROR(P29)</formula>
    </cfRule>
    <cfRule type="notContainsBlanks" dxfId="642" priority="52">
      <formula>LEN(TRIM(P29))&gt;0</formula>
    </cfRule>
  </conditionalFormatting>
  <conditionalFormatting sqref="P8">
    <cfRule type="containsErrors" dxfId="641" priority="49" stopIfTrue="1">
      <formula>ISERROR(P8)</formula>
    </cfRule>
    <cfRule type="notContainsBlanks" dxfId="640" priority="50">
      <formula>LEN(TRIM(P8))&gt;0</formula>
    </cfRule>
  </conditionalFormatting>
  <conditionalFormatting sqref="R29">
    <cfRule type="containsErrors" dxfId="639" priority="47" stopIfTrue="1">
      <formula>ISERROR(R29)</formula>
    </cfRule>
    <cfRule type="notContainsBlanks" dxfId="638" priority="48">
      <formula>LEN(TRIM(R29))&gt;0</formula>
    </cfRule>
  </conditionalFormatting>
  <conditionalFormatting sqref="R8">
    <cfRule type="containsErrors" dxfId="637" priority="45" stopIfTrue="1">
      <formula>ISERROR(R8)</formula>
    </cfRule>
    <cfRule type="notContainsBlanks" dxfId="636" priority="46">
      <formula>LEN(TRIM(R8))&gt;0</formula>
    </cfRule>
  </conditionalFormatting>
  <conditionalFormatting sqref="T29">
    <cfRule type="containsErrors" dxfId="635" priority="43" stopIfTrue="1">
      <formula>ISERROR(T29)</formula>
    </cfRule>
    <cfRule type="notContainsBlanks" dxfId="634" priority="44">
      <formula>LEN(TRIM(T29))&gt;0</formula>
    </cfRule>
  </conditionalFormatting>
  <conditionalFormatting sqref="T8">
    <cfRule type="containsErrors" dxfId="633" priority="41" stopIfTrue="1">
      <formula>ISERROR(T8)</formula>
    </cfRule>
    <cfRule type="notContainsBlanks" dxfId="632" priority="42">
      <formula>LEN(TRIM(T8))&gt;0</formula>
    </cfRule>
  </conditionalFormatting>
  <conditionalFormatting sqref="D28">
    <cfRule type="containsErrors" dxfId="631" priority="39" stopIfTrue="1">
      <formula>ISERROR(D28)</formula>
    </cfRule>
    <cfRule type="notContainsBlanks" dxfId="630" priority="40">
      <formula>LEN(TRIM(D28))&gt;0</formula>
    </cfRule>
  </conditionalFormatting>
  <conditionalFormatting sqref="F28">
    <cfRule type="containsErrors" dxfId="629" priority="37" stopIfTrue="1">
      <formula>ISERROR(F28)</formula>
    </cfRule>
    <cfRule type="notContainsBlanks" dxfId="628" priority="38">
      <formula>LEN(TRIM(F28))&gt;0</formula>
    </cfRule>
  </conditionalFormatting>
  <conditionalFormatting sqref="H28">
    <cfRule type="containsErrors" dxfId="627" priority="35" stopIfTrue="1">
      <formula>ISERROR(H28)</formula>
    </cfRule>
    <cfRule type="notContainsBlanks" dxfId="626" priority="36">
      <formula>LEN(TRIM(H28))&gt;0</formula>
    </cfRule>
  </conditionalFormatting>
  <conditionalFormatting sqref="J28">
    <cfRule type="containsErrors" dxfId="625" priority="33" stopIfTrue="1">
      <formula>ISERROR(J28)</formula>
    </cfRule>
    <cfRule type="notContainsBlanks" dxfId="624" priority="34">
      <formula>LEN(TRIM(J28))&gt;0</formula>
    </cfRule>
  </conditionalFormatting>
  <conditionalFormatting sqref="L28">
    <cfRule type="containsErrors" dxfId="623" priority="31" stopIfTrue="1">
      <formula>ISERROR(L28)</formula>
    </cfRule>
    <cfRule type="notContainsBlanks" dxfId="622" priority="32">
      <formula>LEN(TRIM(L28))&gt;0</formula>
    </cfRule>
  </conditionalFormatting>
  <conditionalFormatting sqref="N28">
    <cfRule type="containsErrors" dxfId="621" priority="29" stopIfTrue="1">
      <formula>ISERROR(N28)</formula>
    </cfRule>
    <cfRule type="notContainsBlanks" dxfId="620" priority="30">
      <formula>LEN(TRIM(N28))&gt;0</formula>
    </cfRule>
  </conditionalFormatting>
  <conditionalFormatting sqref="P28">
    <cfRule type="containsErrors" dxfId="619" priority="27" stopIfTrue="1">
      <formula>ISERROR(P28)</formula>
    </cfRule>
    <cfRule type="notContainsBlanks" dxfId="618" priority="28">
      <formula>LEN(TRIM(P28))&gt;0</formula>
    </cfRule>
  </conditionalFormatting>
  <conditionalFormatting sqref="R28">
    <cfRule type="containsErrors" dxfId="617" priority="25" stopIfTrue="1">
      <formula>ISERROR(R28)</formula>
    </cfRule>
    <cfRule type="notContainsBlanks" dxfId="616" priority="26">
      <formula>LEN(TRIM(R28))&gt;0</formula>
    </cfRule>
  </conditionalFormatting>
  <conditionalFormatting sqref="T28">
    <cfRule type="containsErrors" dxfId="615" priority="23" stopIfTrue="1">
      <formula>ISERROR(T28)</formula>
    </cfRule>
    <cfRule type="notContainsBlanks" dxfId="614" priority="24">
      <formula>LEN(TRIM(T28))&gt;0</formula>
    </cfRule>
  </conditionalFormatting>
  <conditionalFormatting sqref="B7">
    <cfRule type="containsErrors" dxfId="613" priority="21" stopIfTrue="1">
      <formula>ISERROR(B7)</formula>
    </cfRule>
    <cfRule type="notContainsBlanks" dxfId="612" priority="22">
      <formula>LEN(TRIM(B7))&gt;0</formula>
    </cfRule>
  </conditionalFormatting>
  <conditionalFormatting sqref="D7">
    <cfRule type="containsErrors" dxfId="611" priority="19" stopIfTrue="1">
      <formula>ISERROR(D7)</formula>
    </cfRule>
    <cfRule type="notContainsBlanks" dxfId="610" priority="20">
      <formula>LEN(TRIM(D7))&gt;0</formula>
    </cfRule>
  </conditionalFormatting>
  <conditionalFormatting sqref="F7">
    <cfRule type="containsErrors" dxfId="609" priority="17" stopIfTrue="1">
      <formula>ISERROR(F7)</formula>
    </cfRule>
    <cfRule type="notContainsBlanks" dxfId="608" priority="18">
      <formula>LEN(TRIM(F7))&gt;0</formula>
    </cfRule>
  </conditionalFormatting>
  <conditionalFormatting sqref="J7">
    <cfRule type="containsErrors" dxfId="605" priority="13" stopIfTrue="1">
      <formula>ISERROR(J7)</formula>
    </cfRule>
    <cfRule type="notContainsBlanks" dxfId="604" priority="14">
      <formula>LEN(TRIM(J7))&gt;0</formula>
    </cfRule>
  </conditionalFormatting>
  <conditionalFormatting sqref="L7">
    <cfRule type="containsErrors" dxfId="603" priority="11" stopIfTrue="1">
      <formula>ISERROR(L7)</formula>
    </cfRule>
    <cfRule type="notContainsBlanks" dxfId="602" priority="12">
      <formula>LEN(TRIM(L7))&gt;0</formula>
    </cfRule>
  </conditionalFormatting>
  <conditionalFormatting sqref="N7">
    <cfRule type="containsErrors" dxfId="601" priority="9" stopIfTrue="1">
      <formula>ISERROR(N7)</formula>
    </cfRule>
    <cfRule type="notContainsBlanks" dxfId="600" priority="10">
      <formula>LEN(TRIM(N7))&gt;0</formula>
    </cfRule>
  </conditionalFormatting>
  <conditionalFormatting sqref="P7">
    <cfRule type="containsErrors" dxfId="599" priority="7" stopIfTrue="1">
      <formula>ISERROR(P7)</formula>
    </cfRule>
    <cfRule type="notContainsBlanks" dxfId="598" priority="8">
      <formula>LEN(TRIM(P7))&gt;0</formula>
    </cfRule>
  </conditionalFormatting>
  <conditionalFormatting sqref="R7">
    <cfRule type="containsErrors" dxfId="597" priority="5" stopIfTrue="1">
      <formula>ISERROR(R7)</formula>
    </cfRule>
    <cfRule type="notContainsBlanks" dxfId="596" priority="6">
      <formula>LEN(TRIM(R7))&gt;0</formula>
    </cfRule>
  </conditionalFormatting>
  <conditionalFormatting sqref="T7">
    <cfRule type="containsErrors" dxfId="595" priority="3" stopIfTrue="1">
      <formula>ISERROR(T7)</formula>
    </cfRule>
    <cfRule type="notContainsBlanks" dxfId="594" priority="4">
      <formula>LEN(TRIM(T7))&gt;0</formula>
    </cfRule>
  </conditionalFormatting>
  <conditionalFormatting sqref="H7">
    <cfRule type="containsErrors" dxfId="19" priority="1" stopIfTrue="1">
      <formula>ISERROR(H7)</formula>
    </cfRule>
    <cfRule type="notContainsBlanks" dxfId="18" priority="2">
      <formula>LEN(TRIM(H7))&gt;0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5DA9F-3881-4772-A298-9B58E9545CD1}">
  <dimension ref="A1:T51"/>
  <sheetViews>
    <sheetView workbookViewId="0">
      <selection activeCell="G3" sqref="G3:G1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581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876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582</v>
      </c>
      <c r="B4" s="16" t="str">
        <f>TRIM(_xlfn.TEXTAFTER(A3, ":"))</f>
        <v>Stackable Currency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877</v>
      </c>
      <c r="H4" s="16" t="str">
        <f>TRIM(_xlfn.TEXTAFTER(G3, ":"))</f>
        <v>Objets monétaires empilables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583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878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Currency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Objet monétaire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584</v>
      </c>
      <c r="B7" s="16"/>
      <c r="C7" s="18"/>
      <c r="D7" s="16"/>
      <c r="E7" s="18"/>
      <c r="F7" s="16"/>
      <c r="G7" s="18" t="s">
        <v>879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585</v>
      </c>
      <c r="B9" s="16"/>
      <c r="C9" s="18"/>
      <c r="D9" s="16"/>
      <c r="E9" s="18"/>
      <c r="F9" s="16"/>
      <c r="G9" s="18" t="s">
        <v>880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586</v>
      </c>
      <c r="B11" s="16"/>
      <c r="C11" s="18"/>
      <c r="D11" s="16"/>
      <c r="E11" s="18"/>
      <c r="F11" s="16"/>
      <c r="G11" s="18" t="s">
        <v>881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/>
      <c r="B12" s="16"/>
      <c r="C12" s="18"/>
      <c r="D12" s="16"/>
      <c r="E12" s="18"/>
      <c r="F12" s="16"/>
      <c r="G12" s="18"/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/>
      <c r="B13" s="16"/>
      <c r="C13" s="18"/>
      <c r="D13" s="16"/>
      <c r="E13" s="18"/>
      <c r="F13" s="16"/>
      <c r="G13" s="18"/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/>
      <c r="B14" s="16"/>
      <c r="C14" s="18"/>
      <c r="D14" s="16"/>
      <c r="E14" s="18"/>
      <c r="F14" s="16"/>
      <c r="G14" s="18"/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93" priority="2" stopIfTrue="1">
      <formula>NOT(ISERROR(A3))</formula>
    </cfRule>
  </conditionalFormatting>
  <conditionalFormatting sqref="A3:T51">
    <cfRule type="containsErrors" dxfId="592" priority="1" stopIfTrue="1">
      <formula>ISERROR(A3)</formula>
    </cfRule>
    <cfRule type="notContainsBlanks" dxfId="591" priority="3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4766C-0220-4D2A-B205-4AD613FCA5B2}">
  <dimension ref="A1:T51"/>
  <sheetViews>
    <sheetView workbookViewId="0">
      <selection activeCell="G3" sqref="G3:G1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612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928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582</v>
      </c>
      <c r="B4" s="16" t="str">
        <f>TRIM(_xlfn.TEXTAFTER(A3, ":"))</f>
        <v>Delve Stackable Socketable Currency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877</v>
      </c>
      <c r="H4" s="16" t="str">
        <f>TRIM(_xlfn.TEXTAFTER(G3, ":"))</f>
        <v>Objets enchâssables et empilables Delve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613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929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Currency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Objet monétaire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614</v>
      </c>
      <c r="B7" s="16"/>
      <c r="C7" s="18"/>
      <c r="D7" s="16"/>
      <c r="E7" s="18"/>
      <c r="F7" s="16"/>
      <c r="G7" s="18" t="s">
        <v>930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615</v>
      </c>
      <c r="B8" s="16"/>
      <c r="C8" s="18"/>
      <c r="D8" s="16"/>
      <c r="E8" s="18"/>
      <c r="F8" s="16"/>
      <c r="G8" s="18" t="s">
        <v>931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616</v>
      </c>
      <c r="B10" s="16"/>
      <c r="C10" s="18"/>
      <c r="D10" s="16"/>
      <c r="E10" s="18"/>
      <c r="F10" s="16"/>
      <c r="G10" s="18" t="s">
        <v>932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4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585</v>
      </c>
      <c r="B12" s="16"/>
      <c r="C12" s="18"/>
      <c r="D12" s="16"/>
      <c r="E12" s="18"/>
      <c r="F12" s="16"/>
      <c r="G12" s="18" t="s">
        <v>880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617</v>
      </c>
      <c r="B14" s="16"/>
      <c r="C14" s="18"/>
      <c r="D14" s="16"/>
      <c r="E14" s="18"/>
      <c r="F14" s="16"/>
      <c r="G14" s="18" t="s">
        <v>933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90" priority="2" stopIfTrue="1">
      <formula>NOT(ISERROR(A3))</formula>
    </cfRule>
  </conditionalFormatting>
  <conditionalFormatting sqref="A3:T51">
    <cfRule type="containsErrors" dxfId="589" priority="1" stopIfTrue="1">
      <formula>ISERROR(A3)</formula>
    </cfRule>
    <cfRule type="notContainsBlanks" dxfId="588" priority="3">
      <formula>LEN(TRIM(A3))&gt;0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C483C-1F4A-4A35-A28B-D3FA533B3963}">
  <dimension ref="A1:T51"/>
  <sheetViews>
    <sheetView workbookViewId="0">
      <selection activeCell="G3" sqref="G3:G9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537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934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538</v>
      </c>
      <c r="B4" s="16" t="str">
        <f>TRIM(_xlfn.TEXTAFTER(A3, ":"))</f>
        <v>Divination Cards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935</v>
      </c>
      <c r="H4" s="16" t="str">
        <f>TRIM(_xlfn.TEXTAFTER(G3, ":"))</f>
        <v>Cartes divinatoires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539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936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Divination Card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Carte divinatoire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540</v>
      </c>
      <c r="B7" s="16"/>
      <c r="C7" s="18"/>
      <c r="D7" s="16"/>
      <c r="E7" s="18"/>
      <c r="F7" s="16"/>
      <c r="G7" s="18" t="s">
        <v>937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541</v>
      </c>
      <c r="B9" s="16"/>
      <c r="C9" s="18"/>
      <c r="D9" s="16"/>
      <c r="E9" s="18"/>
      <c r="F9" s="16"/>
      <c r="G9" s="18" t="s">
        <v>938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/>
      <c r="B10" s="16"/>
      <c r="C10" s="18"/>
      <c r="D10" s="16"/>
      <c r="E10" s="18"/>
      <c r="F10" s="16"/>
      <c r="G10" s="18"/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/>
      <c r="B11" s="16"/>
      <c r="C11" s="18"/>
      <c r="D11" s="16"/>
      <c r="E11" s="18"/>
      <c r="F11" s="16"/>
      <c r="G11" s="18"/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/>
      <c r="B12" s="16"/>
      <c r="C12" s="18"/>
      <c r="D12" s="16"/>
      <c r="E12" s="18"/>
      <c r="F12" s="16"/>
      <c r="G12" s="18"/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/>
      <c r="B13" s="16"/>
      <c r="C13" s="18"/>
      <c r="D13" s="16"/>
      <c r="E13" s="18"/>
      <c r="F13" s="16"/>
      <c r="G13" s="18"/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/>
      <c r="B14" s="16"/>
      <c r="C14" s="18"/>
      <c r="D14" s="16"/>
      <c r="E14" s="18"/>
      <c r="F14" s="16"/>
      <c r="G14" s="18"/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87" priority="2" stopIfTrue="1">
      <formula>NOT(ISERROR(A3))</formula>
    </cfRule>
  </conditionalFormatting>
  <conditionalFormatting sqref="A3:T51">
    <cfRule type="containsErrors" dxfId="586" priority="1" stopIfTrue="1">
      <formula>ISERROR(A3)</formula>
    </cfRule>
    <cfRule type="notContainsBlanks" dxfId="585" priority="3">
      <formula>LEN(TRIM(A3))&gt;0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ED90F-F2E9-4E65-8454-4DB86A9EE08D}">
  <dimension ref="A1:T51"/>
  <sheetViews>
    <sheetView workbookViewId="0">
      <selection activeCell="G3" sqref="G3:G17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618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939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Metamorph Samples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Organes de Métamorphe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619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940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620</v>
      </c>
      <c r="B7" s="16"/>
      <c r="C7" s="18"/>
      <c r="D7" s="16"/>
      <c r="E7" s="18"/>
      <c r="F7" s="16"/>
      <c r="G7" s="18" t="s">
        <v>941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198</v>
      </c>
      <c r="B9" s="16"/>
      <c r="C9" s="18"/>
      <c r="D9" s="16"/>
      <c r="E9" s="18"/>
      <c r="F9" s="16"/>
      <c r="G9" s="18" t="s">
        <v>942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621</v>
      </c>
      <c r="B11" s="16"/>
      <c r="C11" s="18"/>
      <c r="D11" s="16"/>
      <c r="E11" s="18"/>
      <c r="F11" s="16"/>
      <c r="G11" s="18" t="s">
        <v>943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621</v>
      </c>
      <c r="B12" s="16"/>
      <c r="C12" s="18"/>
      <c r="D12" s="16"/>
      <c r="E12" s="18"/>
      <c r="F12" s="16"/>
      <c r="G12" s="18" t="s">
        <v>943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622</v>
      </c>
      <c r="B13" s="16"/>
      <c r="C13" s="18"/>
      <c r="D13" s="16"/>
      <c r="E13" s="18"/>
      <c r="F13" s="16"/>
      <c r="G13" s="18" t="s">
        <v>944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623</v>
      </c>
      <c r="B14" s="16"/>
      <c r="C14" s="18"/>
      <c r="D14" s="16"/>
      <c r="E14" s="18"/>
      <c r="F14" s="16"/>
      <c r="G14" s="18" t="s">
        <v>945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622</v>
      </c>
      <c r="B15" s="16"/>
      <c r="C15" s="18"/>
      <c r="D15" s="16"/>
      <c r="E15" s="18"/>
      <c r="F15" s="16"/>
      <c r="G15" s="18" t="s">
        <v>944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624</v>
      </c>
      <c r="B17" s="16"/>
      <c r="C17" s="18"/>
      <c r="D17" s="16"/>
      <c r="E17" s="18"/>
      <c r="F17" s="16"/>
      <c r="G17" s="18" t="s">
        <v>946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84" priority="2" stopIfTrue="1">
      <formula>NOT(ISERROR(A3))</formula>
    </cfRule>
  </conditionalFormatting>
  <conditionalFormatting sqref="A3:T51">
    <cfRule type="containsErrors" dxfId="583" priority="1" stopIfTrue="1">
      <formula>ISERROR(A3)</formula>
    </cfRule>
    <cfRule type="notContainsBlanks" dxfId="582" priority="3">
      <formula>LEN(TRIM(A3))&gt;0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49966-7528-47DC-AD09-69DE54AB195A}">
  <dimension ref="A1:T51"/>
  <sheetViews>
    <sheetView workbookViewId="0">
      <selection activeCell="H10" sqref="H10"/>
    </sheetView>
  </sheetViews>
  <sheetFormatPr defaultRowHeight="15" x14ac:dyDescent="0.25"/>
  <cols>
    <col min="1" max="1" width="44.7109375" customWidth="1"/>
    <col min="2" max="2" width="13.85546875" customWidth="1"/>
    <col min="8" max="8" width="16.2851562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524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947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Maps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Cartes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695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949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696</v>
      </c>
      <c r="B7" s="16" t="str">
        <f>TRIM(_xlfn.TEXTBEFORE(A7,":"))</f>
        <v>Map Tier</v>
      </c>
      <c r="C7" s="18"/>
      <c r="D7" s="16" t="e">
        <f>TRIM(_xlfn.TEXTBEFORE(C7,":"))</f>
        <v>#N/A</v>
      </c>
      <c r="E7" s="18"/>
      <c r="F7" s="16" t="e">
        <f>TRIM(_xlfn.TEXTBEFORE(E7,":"))</f>
        <v>#N/A</v>
      </c>
      <c r="G7" s="18" t="s">
        <v>950</v>
      </c>
      <c r="H7" s="16" t="str">
        <f>TRIM(_xlfn.TEXTBEFORE(G7,":"))</f>
        <v>Palier de Carte</v>
      </c>
      <c r="I7" s="18"/>
      <c r="J7" s="16" t="e">
        <f>TRIM(_xlfn.TEXTBEFORE(I7,":"))</f>
        <v>#N/A</v>
      </c>
      <c r="K7" s="18"/>
      <c r="L7" s="16" t="e">
        <f>TRIM(_xlfn.TEXTBEFORE(K7,":"))</f>
        <v>#N/A</v>
      </c>
      <c r="M7" s="18"/>
      <c r="N7" s="16" t="e">
        <f>TRIM(_xlfn.TEXTBEFORE(M7,":"))</f>
        <v>#N/A</v>
      </c>
      <c r="O7" s="18"/>
      <c r="P7" s="16" t="e">
        <f>TRIM(_xlfn.TEXTBEFORE(O7,":"))</f>
        <v>#N/A</v>
      </c>
      <c r="Q7" s="18"/>
      <c r="R7" s="16" t="e">
        <f>TRIM(_xlfn.TEXTBEFORE(Q7,":"))</f>
        <v>#N/A</v>
      </c>
      <c r="S7" s="18"/>
      <c r="T7" s="16" t="e">
        <f>TRIM(_xlfn.TEXTBEFORE(S7,":"))</f>
        <v>#N/A</v>
      </c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198</v>
      </c>
      <c r="B9" s="16"/>
      <c r="C9" s="18"/>
      <c r="D9" s="16"/>
      <c r="E9" s="18"/>
      <c r="F9" s="16"/>
      <c r="G9" s="18" t="s">
        <v>942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 t="str">
        <f>TRIM(_xlfn.TEXTBEFORE(A5, " "))</f>
        <v>Blighted</v>
      </c>
      <c r="C10" s="18"/>
      <c r="D10" s="16" t="e">
        <f>TRIM(_xlfn.TEXTBEFORE(C5, " "))</f>
        <v>#N/A</v>
      </c>
      <c r="E10" s="18"/>
      <c r="F10" s="16" t="e">
        <f>TRIM(_xlfn.TEXTBEFORE(E5, " "))</f>
        <v>#N/A</v>
      </c>
      <c r="G10" s="18" t="s">
        <v>4</v>
      </c>
      <c r="H10" s="16" t="str">
        <f>TRIM(_xlfn.TEXTAFTER(G5, " ", -2))</f>
        <v>Carte infestée</v>
      </c>
      <c r="I10" s="18"/>
      <c r="J10" s="16" t="e">
        <f>TRIM(_xlfn.TEXTBEFORE(I5, " "))</f>
        <v>#N/A</v>
      </c>
      <c r="K10" s="18"/>
      <c r="L10" s="16" t="e">
        <f>TRIM(_xlfn.TEXTBEFORE(K5, " "))</f>
        <v>#N/A</v>
      </c>
      <c r="M10" s="18"/>
      <c r="N10" s="16" t="e">
        <f>TRIM(_xlfn.TEXTBEFORE(M5, " "))</f>
        <v>#N/A</v>
      </c>
      <c r="O10" s="18"/>
      <c r="P10" s="16" t="e">
        <f>TRIM(_xlfn.TEXTBEFORE(O5, " "))</f>
        <v>#N/A</v>
      </c>
      <c r="Q10" s="18"/>
      <c r="R10" s="16" t="e">
        <f>TRIM(_xlfn.TEXTBEFORE(Q5, " "))</f>
        <v>#N/A</v>
      </c>
      <c r="S10" s="18"/>
      <c r="T10" s="16" t="e">
        <f>TRIM(_xlfn.TEXTBEFORE(S5, " "))</f>
        <v>#N/A</v>
      </c>
    </row>
    <row r="11" spans="1:20" ht="15.95" customHeight="1" x14ac:dyDescent="0.25">
      <c r="A11" s="18" t="s">
        <v>526</v>
      </c>
      <c r="B11" s="16"/>
      <c r="C11" s="18"/>
      <c r="D11" s="16"/>
      <c r="E11" s="18"/>
      <c r="F11" s="16"/>
      <c r="G11" s="18" t="s">
        <v>951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527</v>
      </c>
      <c r="B12" s="16"/>
      <c r="C12" s="18"/>
      <c r="D12" s="16"/>
      <c r="E12" s="18"/>
      <c r="F12" s="16"/>
      <c r="G12" s="18" t="s">
        <v>952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528</v>
      </c>
      <c r="B13" s="16"/>
      <c r="C13" s="18"/>
      <c r="D13" s="16"/>
      <c r="E13" s="18"/>
      <c r="F13" s="16"/>
      <c r="G13" s="18" t="s">
        <v>953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529</v>
      </c>
      <c r="B14" s="16"/>
      <c r="C14" s="18"/>
      <c r="D14" s="16"/>
      <c r="E14" s="18"/>
      <c r="F14" s="16"/>
      <c r="G14" s="18" t="s">
        <v>954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530</v>
      </c>
      <c r="B16" s="16"/>
      <c r="C16" s="18"/>
      <c r="D16" s="16"/>
      <c r="E16" s="18"/>
      <c r="F16" s="16"/>
      <c r="G16" s="18" t="s">
        <v>955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81" priority="98" stopIfTrue="1">
      <formula>NOT(ISERROR(A3))</formula>
    </cfRule>
  </conditionalFormatting>
  <conditionalFormatting sqref="A3:T6 A7:A9 C7:C9 E7:E9 G7:G9 I7:I9 K7:K9 M7:M9 O7:O9 Q7:Q9 S7:S9 A10:T51">
    <cfRule type="containsErrors" dxfId="580" priority="97" stopIfTrue="1">
      <formula>ISERROR(A3)</formula>
    </cfRule>
    <cfRule type="notContainsBlanks" dxfId="579" priority="99">
      <formula>LEN(TRIM(A3))&gt;0</formula>
    </cfRule>
  </conditionalFormatting>
  <conditionalFormatting sqref="B7">
    <cfRule type="containsErrors" dxfId="578" priority="95" stopIfTrue="1">
      <formula>ISERROR(B7)</formula>
    </cfRule>
    <cfRule type="notContainsBlanks" dxfId="577" priority="96">
      <formula>LEN(TRIM(B7))&gt;0</formula>
    </cfRule>
  </conditionalFormatting>
  <conditionalFormatting sqref="B8">
    <cfRule type="containsErrors" dxfId="576" priority="93" stopIfTrue="1">
      <formula>ISERROR(B8)</formula>
    </cfRule>
    <cfRule type="notContainsBlanks" dxfId="575" priority="94">
      <formula>LEN(TRIM(B8))&gt;0</formula>
    </cfRule>
  </conditionalFormatting>
  <conditionalFormatting sqref="B9">
    <cfRule type="containsErrors" dxfId="574" priority="91" stopIfTrue="1">
      <formula>ISERROR(B9)</formula>
    </cfRule>
    <cfRule type="notContainsBlanks" dxfId="573" priority="92">
      <formula>LEN(TRIM(B9))&gt;0</formula>
    </cfRule>
  </conditionalFormatting>
  <conditionalFormatting sqref="D7">
    <cfRule type="containsErrors" dxfId="572" priority="89" stopIfTrue="1">
      <formula>ISERROR(D7)</formula>
    </cfRule>
    <cfRule type="notContainsBlanks" dxfId="571" priority="90">
      <formula>LEN(TRIM(D7))&gt;0</formula>
    </cfRule>
  </conditionalFormatting>
  <conditionalFormatting sqref="F7">
    <cfRule type="containsErrors" dxfId="566" priority="83" stopIfTrue="1">
      <formula>ISERROR(F7)</formula>
    </cfRule>
    <cfRule type="notContainsBlanks" dxfId="565" priority="84">
      <formula>LEN(TRIM(F7))&gt;0</formula>
    </cfRule>
  </conditionalFormatting>
  <conditionalFormatting sqref="H7">
    <cfRule type="containsErrors" dxfId="560" priority="77" stopIfTrue="1">
      <formula>ISERROR(H7)</formula>
    </cfRule>
    <cfRule type="notContainsBlanks" dxfId="559" priority="78">
      <formula>LEN(TRIM(H7))&gt;0</formula>
    </cfRule>
  </conditionalFormatting>
  <conditionalFormatting sqref="J7">
    <cfRule type="containsErrors" dxfId="554" priority="71" stopIfTrue="1">
      <formula>ISERROR(J7)</formula>
    </cfRule>
    <cfRule type="notContainsBlanks" dxfId="553" priority="72">
      <formula>LEN(TRIM(J7))&gt;0</formula>
    </cfRule>
  </conditionalFormatting>
  <conditionalFormatting sqref="L7">
    <cfRule type="containsErrors" dxfId="548" priority="65" stopIfTrue="1">
      <formula>ISERROR(L7)</formula>
    </cfRule>
    <cfRule type="notContainsBlanks" dxfId="547" priority="66">
      <formula>LEN(TRIM(L7))&gt;0</formula>
    </cfRule>
  </conditionalFormatting>
  <conditionalFormatting sqref="N7">
    <cfRule type="containsErrors" dxfId="542" priority="59" stopIfTrue="1">
      <formula>ISERROR(N7)</formula>
    </cfRule>
    <cfRule type="notContainsBlanks" dxfId="541" priority="60">
      <formula>LEN(TRIM(N7))&gt;0</formula>
    </cfRule>
  </conditionalFormatting>
  <conditionalFormatting sqref="P7">
    <cfRule type="containsErrors" dxfId="536" priority="53" stopIfTrue="1">
      <formula>ISERROR(P7)</formula>
    </cfRule>
    <cfRule type="notContainsBlanks" dxfId="535" priority="54">
      <formula>LEN(TRIM(P7))&gt;0</formula>
    </cfRule>
  </conditionalFormatting>
  <conditionalFormatting sqref="R7">
    <cfRule type="containsErrors" dxfId="530" priority="47" stopIfTrue="1">
      <formula>ISERROR(R7)</formula>
    </cfRule>
    <cfRule type="notContainsBlanks" dxfId="529" priority="48">
      <formula>LEN(TRIM(R7))&gt;0</formula>
    </cfRule>
  </conditionalFormatting>
  <conditionalFormatting sqref="T7">
    <cfRule type="containsErrors" dxfId="524" priority="41" stopIfTrue="1">
      <formula>ISERROR(T7)</formula>
    </cfRule>
    <cfRule type="notContainsBlanks" dxfId="523" priority="42">
      <formula>LEN(TRIM(T7))&gt;0</formula>
    </cfRule>
  </conditionalFormatting>
  <conditionalFormatting sqref="D8">
    <cfRule type="containsErrors" dxfId="518" priority="35" stopIfTrue="1">
      <formula>ISERROR(D8)</formula>
    </cfRule>
    <cfRule type="notContainsBlanks" dxfId="517" priority="36">
      <formula>LEN(TRIM(D8))&gt;0</formula>
    </cfRule>
  </conditionalFormatting>
  <conditionalFormatting sqref="D9">
    <cfRule type="containsErrors" dxfId="516" priority="33" stopIfTrue="1">
      <formula>ISERROR(D9)</formula>
    </cfRule>
    <cfRule type="notContainsBlanks" dxfId="515" priority="34">
      <formula>LEN(TRIM(D9))&gt;0</formula>
    </cfRule>
  </conditionalFormatting>
  <conditionalFormatting sqref="F8">
    <cfRule type="containsErrors" dxfId="514" priority="31" stopIfTrue="1">
      <formula>ISERROR(F8)</formula>
    </cfRule>
    <cfRule type="notContainsBlanks" dxfId="513" priority="32">
      <formula>LEN(TRIM(F8))&gt;0</formula>
    </cfRule>
  </conditionalFormatting>
  <conditionalFormatting sqref="F9">
    <cfRule type="containsErrors" dxfId="512" priority="29" stopIfTrue="1">
      <formula>ISERROR(F9)</formula>
    </cfRule>
    <cfRule type="notContainsBlanks" dxfId="511" priority="30">
      <formula>LEN(TRIM(F9))&gt;0</formula>
    </cfRule>
  </conditionalFormatting>
  <conditionalFormatting sqref="H8">
    <cfRule type="containsErrors" dxfId="510" priority="27" stopIfTrue="1">
      <formula>ISERROR(H8)</formula>
    </cfRule>
    <cfRule type="notContainsBlanks" dxfId="509" priority="28">
      <formula>LEN(TRIM(H8))&gt;0</formula>
    </cfRule>
  </conditionalFormatting>
  <conditionalFormatting sqref="H9">
    <cfRule type="containsErrors" dxfId="508" priority="25" stopIfTrue="1">
      <formula>ISERROR(H9)</formula>
    </cfRule>
    <cfRule type="notContainsBlanks" dxfId="507" priority="26">
      <formula>LEN(TRIM(H9))&gt;0</formula>
    </cfRule>
  </conditionalFormatting>
  <conditionalFormatting sqref="J8">
    <cfRule type="containsErrors" dxfId="506" priority="23" stopIfTrue="1">
      <formula>ISERROR(J8)</formula>
    </cfRule>
    <cfRule type="notContainsBlanks" dxfId="505" priority="24">
      <formula>LEN(TRIM(J8))&gt;0</formula>
    </cfRule>
  </conditionalFormatting>
  <conditionalFormatting sqref="J9">
    <cfRule type="containsErrors" dxfId="504" priority="21" stopIfTrue="1">
      <formula>ISERROR(J9)</formula>
    </cfRule>
    <cfRule type="notContainsBlanks" dxfId="503" priority="22">
      <formula>LEN(TRIM(J9))&gt;0</formula>
    </cfRule>
  </conditionalFormatting>
  <conditionalFormatting sqref="L8">
    <cfRule type="containsErrors" dxfId="502" priority="19" stopIfTrue="1">
      <formula>ISERROR(L8)</formula>
    </cfRule>
    <cfRule type="notContainsBlanks" dxfId="501" priority="20">
      <formula>LEN(TRIM(L8))&gt;0</formula>
    </cfRule>
  </conditionalFormatting>
  <conditionalFormatting sqref="L9">
    <cfRule type="containsErrors" dxfId="500" priority="17" stopIfTrue="1">
      <formula>ISERROR(L9)</formula>
    </cfRule>
    <cfRule type="notContainsBlanks" dxfId="499" priority="18">
      <formula>LEN(TRIM(L9))&gt;0</formula>
    </cfRule>
  </conditionalFormatting>
  <conditionalFormatting sqref="N8">
    <cfRule type="containsErrors" dxfId="498" priority="15" stopIfTrue="1">
      <formula>ISERROR(N8)</formula>
    </cfRule>
    <cfRule type="notContainsBlanks" dxfId="497" priority="16">
      <formula>LEN(TRIM(N8))&gt;0</formula>
    </cfRule>
  </conditionalFormatting>
  <conditionalFormatting sqref="N9">
    <cfRule type="containsErrors" dxfId="496" priority="13" stopIfTrue="1">
      <formula>ISERROR(N9)</formula>
    </cfRule>
    <cfRule type="notContainsBlanks" dxfId="495" priority="14">
      <formula>LEN(TRIM(N9))&gt;0</formula>
    </cfRule>
  </conditionalFormatting>
  <conditionalFormatting sqref="P8">
    <cfRule type="containsErrors" dxfId="494" priority="11" stopIfTrue="1">
      <formula>ISERROR(P8)</formula>
    </cfRule>
    <cfRule type="notContainsBlanks" dxfId="493" priority="12">
      <formula>LEN(TRIM(P8))&gt;0</formula>
    </cfRule>
  </conditionalFormatting>
  <conditionalFormatting sqref="P9">
    <cfRule type="containsErrors" dxfId="492" priority="9" stopIfTrue="1">
      <formula>ISERROR(P9)</formula>
    </cfRule>
    <cfRule type="notContainsBlanks" dxfId="491" priority="10">
      <formula>LEN(TRIM(P9))&gt;0</formula>
    </cfRule>
  </conditionalFormatting>
  <conditionalFormatting sqref="R8">
    <cfRule type="containsErrors" dxfId="490" priority="7" stopIfTrue="1">
      <formula>ISERROR(R8)</formula>
    </cfRule>
    <cfRule type="notContainsBlanks" dxfId="489" priority="8">
      <formula>LEN(TRIM(R8))&gt;0</formula>
    </cfRule>
  </conditionalFormatting>
  <conditionalFormatting sqref="R9">
    <cfRule type="containsErrors" dxfId="488" priority="5" stopIfTrue="1">
      <formula>ISERROR(R9)</formula>
    </cfRule>
    <cfRule type="notContainsBlanks" dxfId="487" priority="6">
      <formula>LEN(TRIM(R9))&gt;0</formula>
    </cfRule>
  </conditionalFormatting>
  <conditionalFormatting sqref="T8">
    <cfRule type="containsErrors" dxfId="486" priority="3" stopIfTrue="1">
      <formula>ISERROR(T8)</formula>
    </cfRule>
    <cfRule type="notContainsBlanks" dxfId="485" priority="4">
      <formula>LEN(TRIM(T8))&gt;0</formula>
    </cfRule>
  </conditionalFormatting>
  <conditionalFormatting sqref="T9">
    <cfRule type="containsErrors" dxfId="484" priority="1" stopIfTrue="1">
      <formula>ISERROR(T9)</formula>
    </cfRule>
    <cfRule type="notContainsBlanks" dxfId="483" priority="2">
      <formula>LEN(TRIM(T9))&gt;0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527A9-7E69-43D6-BBE3-6C105F950EA2}">
  <dimension ref="A1:T51"/>
  <sheetViews>
    <sheetView workbookViewId="0">
      <selection activeCell="H8" sqref="H8"/>
    </sheetView>
  </sheetViews>
  <sheetFormatPr defaultRowHeight="15" x14ac:dyDescent="0.25"/>
  <cols>
    <col min="1" max="1" width="44.7109375" customWidth="1"/>
    <col min="2" max="2" width="13.85546875" customWidth="1"/>
    <col min="8" max="8" width="27.71093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524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947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Maps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Cartes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688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956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689</v>
      </c>
      <c r="B7" s="16" t="str">
        <f>TRIM(_xlfn.TEXTBEFORE(A5, " "))</f>
        <v>Blight-ravaged</v>
      </c>
      <c r="C7" s="18"/>
      <c r="D7" s="16" t="e">
        <f>TRIM(_xlfn.TEXTBEFORE(C5, " "))</f>
        <v>#N/A</v>
      </c>
      <c r="E7" s="18"/>
      <c r="F7" s="16" t="e">
        <f>TRIM(_xlfn.TEXTBEFORE(E5, " "))</f>
        <v>#N/A</v>
      </c>
      <c r="G7" s="18" t="s">
        <v>957</v>
      </c>
      <c r="H7" s="16" t="str">
        <f>TRIM(_xlfn.TEXTAFTER(G5, " ", -4))</f>
        <v>Carte ravagée par l'Infestation</v>
      </c>
      <c r="I7" s="18"/>
      <c r="J7" s="16" t="e">
        <f>TRIM(_xlfn.TEXTBEFORE(I5, " "))</f>
        <v>#N/A</v>
      </c>
      <c r="K7" s="18"/>
      <c r="L7" s="16" t="e">
        <f>TRIM(_xlfn.TEXTBEFORE(K5, " "))</f>
        <v>#N/A</v>
      </c>
      <c r="M7" s="18"/>
      <c r="N7" s="16" t="e">
        <f>TRIM(_xlfn.TEXTBEFORE(M5, " "))</f>
        <v>#N/A</v>
      </c>
      <c r="O7" s="18"/>
      <c r="P7" s="16" t="e">
        <f>TRIM(_xlfn.TEXTBEFORE(O5, " "))</f>
        <v>#N/A</v>
      </c>
      <c r="Q7" s="18"/>
      <c r="R7" s="16" t="e">
        <f>TRIM(_xlfn.TEXTBEFORE(Q5, " "))</f>
        <v>#N/A</v>
      </c>
      <c r="S7" s="18"/>
      <c r="T7" s="16" t="e">
        <f>TRIM(_xlfn.TEXTBEFORE(S5, " "))</f>
        <v>#N/A</v>
      </c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111</v>
      </c>
      <c r="B9" s="16"/>
      <c r="C9" s="18"/>
      <c r="D9" s="16"/>
      <c r="E9" s="18"/>
      <c r="F9" s="16"/>
      <c r="G9" s="18" t="s">
        <v>958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690</v>
      </c>
      <c r="B11" s="16"/>
      <c r="C11" s="18"/>
      <c r="D11" s="16"/>
      <c r="E11" s="18"/>
      <c r="F11" s="16"/>
      <c r="G11" s="18" t="s">
        <v>959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691</v>
      </c>
      <c r="B12" s="16"/>
      <c r="C12" s="18"/>
      <c r="D12" s="16"/>
      <c r="E12" s="18"/>
      <c r="F12" s="16"/>
      <c r="G12" s="18" t="s">
        <v>960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692</v>
      </c>
      <c r="B13" s="16"/>
      <c r="C13" s="18"/>
      <c r="D13" s="16"/>
      <c r="E13" s="18"/>
      <c r="F13" s="16"/>
      <c r="G13" s="18" t="s">
        <v>961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526</v>
      </c>
      <c r="B14" s="16"/>
      <c r="C14" s="18"/>
      <c r="D14" s="16"/>
      <c r="E14" s="18"/>
      <c r="F14" s="16"/>
      <c r="G14" s="18" t="s">
        <v>951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693</v>
      </c>
      <c r="B15" s="16"/>
      <c r="C15" s="18"/>
      <c r="D15" s="16"/>
      <c r="E15" s="18"/>
      <c r="F15" s="16"/>
      <c r="G15" s="18" t="s">
        <v>962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694</v>
      </c>
      <c r="B16" s="16"/>
      <c r="C16" s="18"/>
      <c r="D16" s="16"/>
      <c r="E16" s="18"/>
      <c r="F16" s="16"/>
      <c r="G16" s="18" t="s">
        <v>963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529</v>
      </c>
      <c r="B17" s="16"/>
      <c r="C17" s="18"/>
      <c r="D17" s="16"/>
      <c r="E17" s="18"/>
      <c r="F17" s="16"/>
      <c r="G17" s="18" t="s">
        <v>954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530</v>
      </c>
      <c r="B19" s="16"/>
      <c r="C19" s="18"/>
      <c r="D19" s="16"/>
      <c r="E19" s="18"/>
      <c r="F19" s="16"/>
      <c r="G19" s="18" t="s">
        <v>955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82" priority="26" stopIfTrue="1">
      <formula>NOT(ISERROR(A3))</formula>
    </cfRule>
  </conditionalFormatting>
  <conditionalFormatting sqref="A3:T6 A8:T51 A7 C7 E7 G7 I7 K7 M7 O7 Q7 S7">
    <cfRule type="containsErrors" dxfId="481" priority="25" stopIfTrue="1">
      <formula>ISERROR(A3)</formula>
    </cfRule>
    <cfRule type="notContainsBlanks" dxfId="480" priority="27">
      <formula>LEN(TRIM(A3))&gt;0</formula>
    </cfRule>
  </conditionalFormatting>
  <conditionalFormatting sqref="B7">
    <cfRule type="containsErrors" dxfId="479" priority="23" stopIfTrue="1">
      <formula>ISERROR(B7)</formula>
    </cfRule>
    <cfRule type="notContainsBlanks" dxfId="478" priority="24">
      <formula>LEN(TRIM(B7))&gt;0</formula>
    </cfRule>
  </conditionalFormatting>
  <conditionalFormatting sqref="D7">
    <cfRule type="containsErrors" dxfId="475" priority="19" stopIfTrue="1">
      <formula>ISERROR(D7)</formula>
    </cfRule>
    <cfRule type="notContainsBlanks" dxfId="474" priority="20">
      <formula>LEN(TRIM(D7))&gt;0</formula>
    </cfRule>
  </conditionalFormatting>
  <conditionalFormatting sqref="F7">
    <cfRule type="containsErrors" dxfId="473" priority="17" stopIfTrue="1">
      <formula>ISERROR(F7)</formula>
    </cfRule>
    <cfRule type="notContainsBlanks" dxfId="472" priority="18">
      <formula>LEN(TRIM(F7))&gt;0</formula>
    </cfRule>
  </conditionalFormatting>
  <conditionalFormatting sqref="J7">
    <cfRule type="containsErrors" dxfId="469" priority="13" stopIfTrue="1">
      <formula>ISERROR(J7)</formula>
    </cfRule>
    <cfRule type="notContainsBlanks" dxfId="468" priority="14">
      <formula>LEN(TRIM(J7))&gt;0</formula>
    </cfRule>
  </conditionalFormatting>
  <conditionalFormatting sqref="L7">
    <cfRule type="containsErrors" dxfId="467" priority="11" stopIfTrue="1">
      <formula>ISERROR(L7)</formula>
    </cfRule>
    <cfRule type="notContainsBlanks" dxfId="466" priority="12">
      <formula>LEN(TRIM(L7))&gt;0</formula>
    </cfRule>
  </conditionalFormatting>
  <conditionalFormatting sqref="N7">
    <cfRule type="containsErrors" dxfId="465" priority="9" stopIfTrue="1">
      <formula>ISERROR(N7)</formula>
    </cfRule>
    <cfRule type="notContainsBlanks" dxfId="464" priority="10">
      <formula>LEN(TRIM(N7))&gt;0</formula>
    </cfRule>
  </conditionalFormatting>
  <conditionalFormatting sqref="P7">
    <cfRule type="containsErrors" dxfId="463" priority="7" stopIfTrue="1">
      <formula>ISERROR(P7)</formula>
    </cfRule>
    <cfRule type="notContainsBlanks" dxfId="462" priority="8">
      <formula>LEN(TRIM(P7))&gt;0</formula>
    </cfRule>
  </conditionalFormatting>
  <conditionalFormatting sqref="R7">
    <cfRule type="containsErrors" dxfId="461" priority="5" stopIfTrue="1">
      <formula>ISERROR(R7)</formula>
    </cfRule>
    <cfRule type="notContainsBlanks" dxfId="460" priority="6">
      <formula>LEN(TRIM(R7))&gt;0</formula>
    </cfRule>
  </conditionalFormatting>
  <conditionalFormatting sqref="T7">
    <cfRule type="containsErrors" dxfId="459" priority="3" stopIfTrue="1">
      <formula>ISERROR(T7)</formula>
    </cfRule>
    <cfRule type="notContainsBlanks" dxfId="458" priority="4">
      <formula>LEN(TRIM(T7))&gt;0</formula>
    </cfRule>
  </conditionalFormatting>
  <conditionalFormatting sqref="H7">
    <cfRule type="containsErrors" dxfId="17" priority="1" stopIfTrue="1">
      <formula>ISERROR(H7)</formula>
    </cfRule>
    <cfRule type="notContainsBlanks" dxfId="16" priority="2">
      <formula>LEN(TRIM(H7))&gt;0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EBDC-0C29-49F8-8383-8BE8A23F7B54}">
  <dimension ref="A1:T51"/>
  <sheetViews>
    <sheetView workbookViewId="0">
      <selection activeCell="G3" sqref="G3:G18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707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964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Blueprints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Plans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708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965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709</v>
      </c>
      <c r="B7" s="16"/>
      <c r="C7" s="18"/>
      <c r="D7" s="16"/>
      <c r="E7" s="18"/>
      <c r="F7" s="16"/>
      <c r="G7" s="18" t="s">
        <v>966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710</v>
      </c>
      <c r="B8" s="16"/>
      <c r="C8" s="18"/>
      <c r="D8" s="16"/>
      <c r="E8" s="18"/>
      <c r="F8" s="16"/>
      <c r="G8" s="18" t="s">
        <v>967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711</v>
      </c>
      <c r="B9" s="16"/>
      <c r="C9" s="18"/>
      <c r="D9" s="16"/>
      <c r="E9" s="18"/>
      <c r="F9" s="16"/>
      <c r="G9" s="18" t="s">
        <v>968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712</v>
      </c>
      <c r="B10" s="16"/>
      <c r="C10" s="18"/>
      <c r="D10" s="16"/>
      <c r="E10" s="18"/>
      <c r="F10" s="16"/>
      <c r="G10" s="18" t="s">
        <v>969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713</v>
      </c>
      <c r="B11" s="16"/>
      <c r="C11" s="18"/>
      <c r="D11" s="16"/>
      <c r="E11" s="18"/>
      <c r="F11" s="16"/>
      <c r="G11" s="18" t="s">
        <v>970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714</v>
      </c>
      <c r="B12" s="16"/>
      <c r="C12" s="18"/>
      <c r="D12" s="16"/>
      <c r="E12" s="18"/>
      <c r="F12" s="16"/>
      <c r="G12" s="18" t="s">
        <v>971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715</v>
      </c>
      <c r="B13" s="16"/>
      <c r="C13" s="18"/>
      <c r="D13" s="16"/>
      <c r="E13" s="18"/>
      <c r="F13" s="16"/>
      <c r="G13" s="18" t="s">
        <v>972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716</v>
      </c>
      <c r="B14" s="16"/>
      <c r="C14" s="18"/>
      <c r="D14" s="16"/>
      <c r="E14" s="18"/>
      <c r="F14" s="16"/>
      <c r="G14" s="18" t="s">
        <v>973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717</v>
      </c>
      <c r="B16" s="16"/>
      <c r="C16" s="18"/>
      <c r="D16" s="16"/>
      <c r="E16" s="18"/>
      <c r="F16" s="16"/>
      <c r="G16" s="18" t="s">
        <v>974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718</v>
      </c>
      <c r="B18" s="16"/>
      <c r="C18" s="18"/>
      <c r="D18" s="16"/>
      <c r="E18" s="18"/>
      <c r="F18" s="16"/>
      <c r="G18" s="18" t="s">
        <v>975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57" priority="2" stopIfTrue="1">
      <formula>NOT(ISERROR(A3))</formula>
    </cfRule>
  </conditionalFormatting>
  <conditionalFormatting sqref="A3:T51">
    <cfRule type="containsErrors" dxfId="456" priority="1" stopIfTrue="1">
      <formula>ISERROR(A3)</formula>
    </cfRule>
    <cfRule type="notContainsBlanks" dxfId="455" priority="3">
      <formula>LEN(TRIM(A3))&gt;0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B93F0-AC3C-4FED-984C-C2F3F6C3CB5E}">
  <dimension ref="A1:T51"/>
  <sheetViews>
    <sheetView workbookViewId="0">
      <selection activeCell="B21" sqref="B2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719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976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499</v>
      </c>
      <c r="B4" s="16" t="str">
        <f>TRIM(_xlfn.TEXTAFTER(A3, ":"))</f>
        <v>Contracts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977</v>
      </c>
      <c r="H4" s="16" t="str">
        <f>TRIM(_xlfn.TEXTAFTER(G3, ":"))</f>
        <v>Contrats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720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978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Magic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Magique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721</v>
      </c>
      <c r="B7" s="16"/>
      <c r="C7" s="18"/>
      <c r="D7" s="16"/>
      <c r="E7" s="18"/>
      <c r="F7" s="16"/>
      <c r="G7" s="18" t="s">
        <v>979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722</v>
      </c>
      <c r="B8" s="16"/>
      <c r="C8" s="18"/>
      <c r="D8" s="16"/>
      <c r="E8" s="18"/>
      <c r="F8" s="16"/>
      <c r="G8" s="18" t="s">
        <v>980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723</v>
      </c>
      <c r="B9" s="16"/>
      <c r="C9" s="18"/>
      <c r="D9" s="16"/>
      <c r="E9" s="18"/>
      <c r="F9" s="16"/>
      <c r="G9" s="18" t="s">
        <v>981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724</v>
      </c>
      <c r="B10" s="16"/>
      <c r="C10" s="18"/>
      <c r="D10" s="16"/>
      <c r="E10" s="18"/>
      <c r="F10" s="16"/>
      <c r="G10" s="18" t="s">
        <v>982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725</v>
      </c>
      <c r="B11" s="16"/>
      <c r="C11" s="18"/>
      <c r="D11" s="16"/>
      <c r="E11" s="18"/>
      <c r="F11" s="16"/>
      <c r="G11" s="18" t="s">
        <v>983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726</v>
      </c>
      <c r="B12" s="16"/>
      <c r="C12" s="18"/>
      <c r="D12" s="16"/>
      <c r="E12" s="18"/>
      <c r="F12" s="16"/>
      <c r="G12" s="18" t="s">
        <v>984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727</v>
      </c>
      <c r="B13" s="16"/>
      <c r="C13" s="18"/>
      <c r="D13" s="16"/>
      <c r="E13" s="18"/>
      <c r="F13" s="16"/>
      <c r="G13" s="18" t="s">
        <v>985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728</v>
      </c>
      <c r="B14" s="16"/>
      <c r="C14" s="18"/>
      <c r="D14" s="16"/>
      <c r="E14" s="18"/>
      <c r="F14" s="16"/>
      <c r="G14" s="18" t="s">
        <v>986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729</v>
      </c>
      <c r="B15" s="16"/>
      <c r="C15" s="18"/>
      <c r="D15" s="16"/>
      <c r="E15" s="18"/>
      <c r="F15" s="16"/>
      <c r="G15" s="18" t="s">
        <v>987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730</v>
      </c>
      <c r="B17" s="16"/>
      <c r="C17" s="18"/>
      <c r="D17" s="16"/>
      <c r="E17" s="18"/>
      <c r="F17" s="16"/>
      <c r="G17" s="18" t="s">
        <v>988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731</v>
      </c>
      <c r="B19" s="16"/>
      <c r="C19" s="18"/>
      <c r="D19" s="16"/>
      <c r="E19" s="18"/>
      <c r="F19" s="16"/>
      <c r="G19" s="18" t="s">
        <v>989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732</v>
      </c>
      <c r="B21" s="16"/>
      <c r="C21" s="18"/>
      <c r="D21" s="16"/>
      <c r="E21" s="18"/>
      <c r="F21" s="16"/>
      <c r="G21" s="18" t="s">
        <v>990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991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733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 t="s">
        <v>992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54" priority="2" stopIfTrue="1">
      <formula>NOT(ISERROR(A3))</formula>
    </cfRule>
  </conditionalFormatting>
  <conditionalFormatting sqref="A3:T51">
    <cfRule type="containsErrors" dxfId="453" priority="1" stopIfTrue="1">
      <formula>ISERROR(A3)</formula>
    </cfRule>
    <cfRule type="notContainsBlanks" dxfId="452" priority="3">
      <formula>LEN(TRIM(A3))&gt;0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71E2B-B2C5-4EE3-9A24-06EADDAB0CDB}">
  <dimension ref="A1:T51"/>
  <sheetViews>
    <sheetView workbookViewId="0">
      <selection activeCell="G3" sqref="G3:G2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587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993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Expedition Logbooks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Journaux de bord d'Expédition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588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994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589</v>
      </c>
      <c r="B7" s="16" t="str">
        <f>TRIM(_xlfn.TEXTBEFORE(A7,":"))</f>
        <v>Area Level</v>
      </c>
      <c r="C7" s="18"/>
      <c r="D7" s="16" t="e">
        <f>TRIM(_xlfn.TEXTBEFORE(C7,":"))</f>
        <v>#N/A</v>
      </c>
      <c r="E7" s="18"/>
      <c r="F7" s="16" t="e">
        <f>TRIM(_xlfn.TEXTBEFORE(E7,":"))</f>
        <v>#N/A</v>
      </c>
      <c r="G7" s="18" t="s">
        <v>995</v>
      </c>
      <c r="H7" s="16" t="str">
        <f>TRIM(_xlfn.TEXTBEFORE(G7,":"))</f>
        <v>Niveau de la zone</v>
      </c>
      <c r="I7" s="18"/>
      <c r="J7" s="16" t="e">
        <f>TRIM(_xlfn.TEXTBEFORE(I7,":"))</f>
        <v>#N/A</v>
      </c>
      <c r="K7" s="18"/>
      <c r="L7" s="16" t="e">
        <f>TRIM(_xlfn.TEXTBEFORE(K7,":"))</f>
        <v>#N/A</v>
      </c>
      <c r="M7" s="18"/>
      <c r="N7" s="16" t="e">
        <f>TRIM(_xlfn.TEXTBEFORE(M7,":"))</f>
        <v>#N/A</v>
      </c>
      <c r="O7" s="18"/>
      <c r="P7" s="16" t="e">
        <f>TRIM(_xlfn.TEXTBEFORE(O7,":"))</f>
        <v>#N/A</v>
      </c>
      <c r="Q7" s="18"/>
      <c r="R7" s="16" t="e">
        <f>TRIM(_xlfn.TEXTBEFORE(Q7,":"))</f>
        <v>#N/A</v>
      </c>
      <c r="S7" s="18"/>
      <c r="T7" s="16" t="e">
        <f>TRIM(_xlfn.TEXTBEFORE(S7,":"))</f>
        <v>#N/A</v>
      </c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462</v>
      </c>
      <c r="B9" s="16"/>
      <c r="C9" s="18"/>
      <c r="D9" s="16"/>
      <c r="E9" s="18"/>
      <c r="F9" s="16"/>
      <c r="G9" s="18" t="s">
        <v>996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590</v>
      </c>
      <c r="B11" s="16"/>
      <c r="C11" s="18"/>
      <c r="D11" s="16"/>
      <c r="E11" s="18"/>
      <c r="F11" s="16"/>
      <c r="G11" s="18" t="s">
        <v>997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591</v>
      </c>
      <c r="B12" s="16"/>
      <c r="C12" s="18"/>
      <c r="D12" s="16"/>
      <c r="E12" s="18"/>
      <c r="F12" s="16"/>
      <c r="G12" s="18" t="s">
        <v>998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592</v>
      </c>
      <c r="B13" s="16"/>
      <c r="C13" s="18"/>
      <c r="D13" s="16"/>
      <c r="E13" s="18"/>
      <c r="F13" s="16"/>
      <c r="G13" s="18" t="s">
        <v>999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593</v>
      </c>
      <c r="B14" s="16"/>
      <c r="C14" s="18"/>
      <c r="D14" s="16"/>
      <c r="E14" s="18"/>
      <c r="F14" s="16"/>
      <c r="G14" s="18" t="s">
        <v>1000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594</v>
      </c>
      <c r="B16" s="16"/>
      <c r="C16" s="18"/>
      <c r="D16" s="16"/>
      <c r="E16" s="18"/>
      <c r="F16" s="16"/>
      <c r="G16" s="18" t="s">
        <v>1001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591</v>
      </c>
      <c r="B17" s="16"/>
      <c r="C17" s="18"/>
      <c r="D17" s="16"/>
      <c r="E17" s="18"/>
      <c r="F17" s="16"/>
      <c r="G17" s="18" t="s">
        <v>998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595</v>
      </c>
      <c r="B18" s="16"/>
      <c r="C18" s="18"/>
      <c r="D18" s="16"/>
      <c r="E18" s="18"/>
      <c r="F18" s="16"/>
      <c r="G18" s="18" t="s">
        <v>1002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596</v>
      </c>
      <c r="B19" s="16"/>
      <c r="C19" s="18"/>
      <c r="D19" s="16"/>
      <c r="E19" s="18"/>
      <c r="F19" s="16"/>
      <c r="G19" s="18" t="s">
        <v>1003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597</v>
      </c>
      <c r="B21" s="16"/>
      <c r="C21" s="18"/>
      <c r="D21" s="16"/>
      <c r="E21" s="18"/>
      <c r="F21" s="16"/>
      <c r="G21" s="18" t="s">
        <v>1004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51" priority="22" stopIfTrue="1">
      <formula>NOT(ISERROR(A3))</formula>
    </cfRule>
  </conditionalFormatting>
  <conditionalFormatting sqref="A3:T6 A8:T51 A7 C7 E7 G7 I7 K7 M7 O7 Q7 S7">
    <cfRule type="containsErrors" dxfId="450" priority="21" stopIfTrue="1">
      <formula>ISERROR(A3)</formula>
    </cfRule>
    <cfRule type="notContainsBlanks" dxfId="449" priority="23">
      <formula>LEN(TRIM(A3))&gt;0</formula>
    </cfRule>
  </conditionalFormatting>
  <conditionalFormatting sqref="B7">
    <cfRule type="containsErrors" dxfId="448" priority="19" stopIfTrue="1">
      <formula>ISERROR(B7)</formula>
    </cfRule>
    <cfRule type="notContainsBlanks" dxfId="447" priority="20">
      <formula>LEN(TRIM(B7))&gt;0</formula>
    </cfRule>
  </conditionalFormatting>
  <conditionalFormatting sqref="D7">
    <cfRule type="containsErrors" dxfId="446" priority="17" stopIfTrue="1">
      <formula>ISERROR(D7)</formula>
    </cfRule>
    <cfRule type="notContainsBlanks" dxfId="445" priority="18">
      <formula>LEN(TRIM(D7))&gt;0</formula>
    </cfRule>
  </conditionalFormatting>
  <conditionalFormatting sqref="F7">
    <cfRule type="containsErrors" dxfId="444" priority="15" stopIfTrue="1">
      <formula>ISERROR(F7)</formula>
    </cfRule>
    <cfRule type="notContainsBlanks" dxfId="443" priority="16">
      <formula>LEN(TRIM(F7))&gt;0</formula>
    </cfRule>
  </conditionalFormatting>
  <conditionalFormatting sqref="H7">
    <cfRule type="containsErrors" dxfId="442" priority="13" stopIfTrue="1">
      <formula>ISERROR(H7)</formula>
    </cfRule>
    <cfRule type="notContainsBlanks" dxfId="441" priority="14">
      <formula>LEN(TRIM(H7))&gt;0</formula>
    </cfRule>
  </conditionalFormatting>
  <conditionalFormatting sqref="J7">
    <cfRule type="containsErrors" dxfId="440" priority="11" stopIfTrue="1">
      <formula>ISERROR(J7)</formula>
    </cfRule>
    <cfRule type="notContainsBlanks" dxfId="439" priority="12">
      <formula>LEN(TRIM(J7))&gt;0</formula>
    </cfRule>
  </conditionalFormatting>
  <conditionalFormatting sqref="L7">
    <cfRule type="containsErrors" dxfId="438" priority="9" stopIfTrue="1">
      <formula>ISERROR(L7)</formula>
    </cfRule>
    <cfRule type="notContainsBlanks" dxfId="437" priority="10">
      <formula>LEN(TRIM(L7))&gt;0</formula>
    </cfRule>
  </conditionalFormatting>
  <conditionalFormatting sqref="N7">
    <cfRule type="containsErrors" dxfId="436" priority="7" stopIfTrue="1">
      <formula>ISERROR(N7)</formula>
    </cfRule>
    <cfRule type="notContainsBlanks" dxfId="435" priority="8">
      <formula>LEN(TRIM(N7))&gt;0</formula>
    </cfRule>
  </conditionalFormatting>
  <conditionalFormatting sqref="P7">
    <cfRule type="containsErrors" dxfId="434" priority="5" stopIfTrue="1">
      <formula>ISERROR(P7)</formula>
    </cfRule>
    <cfRule type="notContainsBlanks" dxfId="433" priority="6">
      <formula>LEN(TRIM(P7))&gt;0</formula>
    </cfRule>
  </conditionalFormatting>
  <conditionalFormatting sqref="R7">
    <cfRule type="containsErrors" dxfId="432" priority="3" stopIfTrue="1">
      <formula>ISERROR(R7)</formula>
    </cfRule>
    <cfRule type="notContainsBlanks" dxfId="431" priority="4">
      <formula>LEN(TRIM(R7))&gt;0</formula>
    </cfRule>
  </conditionalFormatting>
  <conditionalFormatting sqref="T7">
    <cfRule type="containsErrors" dxfId="430" priority="1" stopIfTrue="1">
      <formula>ISERROR(T7)</formula>
    </cfRule>
    <cfRule type="notContainsBlanks" dxfId="429" priority="2">
      <formula>LEN(TRIM(T7))&gt;0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4D65-4352-487D-B6A7-1DFC0529E5BB}">
  <dimension ref="A1:T51"/>
  <sheetViews>
    <sheetView workbookViewId="0">
      <selection activeCell="G3" sqref="G3:G18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524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947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499</v>
      </c>
      <c r="B4" s="16" t="str">
        <f>TRIM(_xlfn.TEXTAFTER(A3, ":"))</f>
        <v>Maps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977</v>
      </c>
      <c r="H4" s="16" t="str">
        <f>TRIM(_xlfn.TEXTAFTER(G3, ":"))</f>
        <v>Cartes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573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1005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Magic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Magique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574</v>
      </c>
      <c r="B7" s="16"/>
      <c r="C7" s="18"/>
      <c r="D7" s="16"/>
      <c r="E7" s="18"/>
      <c r="F7" s="16"/>
      <c r="G7" s="18" t="s">
        <v>1006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575</v>
      </c>
      <c r="B8" s="16" t="str">
        <f>TRIM(_xlfn.TEXTBEFORE(A8,":"))</f>
        <v>Item Quantity</v>
      </c>
      <c r="C8" s="18"/>
      <c r="D8" s="16" t="e">
        <f>TRIM(_xlfn.TEXTBEFORE(C8,":"))</f>
        <v>#N/A</v>
      </c>
      <c r="E8" s="18"/>
      <c r="F8" s="16" t="e">
        <f>TRIM(_xlfn.TEXTBEFORE(E8,":"))</f>
        <v>#N/A</v>
      </c>
      <c r="G8" s="18" t="s">
        <v>1007</v>
      </c>
      <c r="H8" s="16" t="str">
        <f>TRIM(_xlfn.TEXTBEFORE(G8,":"))</f>
        <v>Quantité d'objets</v>
      </c>
      <c r="I8" s="18"/>
      <c r="J8" s="16" t="e">
        <f>TRIM(_xlfn.TEXTBEFORE(I8,":"))</f>
        <v>#N/A</v>
      </c>
      <c r="K8" s="18"/>
      <c r="L8" s="16" t="e">
        <f>TRIM(_xlfn.TEXTBEFORE(K8,":"))</f>
        <v>#N/A</v>
      </c>
      <c r="M8" s="18"/>
      <c r="N8" s="16" t="e">
        <f>TRIM(_xlfn.TEXTBEFORE(M8,":"))</f>
        <v>#N/A</v>
      </c>
      <c r="O8" s="18"/>
      <c r="P8" s="16" t="e">
        <f>TRIM(_xlfn.TEXTBEFORE(O8,":"))</f>
        <v>#N/A</v>
      </c>
      <c r="Q8" s="18"/>
      <c r="R8" s="16" t="e">
        <f>TRIM(_xlfn.TEXTBEFORE(Q8,":"))</f>
        <v>#N/A</v>
      </c>
      <c r="S8" s="18"/>
      <c r="T8" s="16" t="e">
        <f>TRIM(_xlfn.TEXTBEFORE(S8,":"))</f>
        <v>#N/A</v>
      </c>
    </row>
    <row r="9" spans="1:20" ht="15.95" customHeight="1" x14ac:dyDescent="0.25">
      <c r="A9" s="18" t="s">
        <v>576</v>
      </c>
      <c r="B9" s="16" t="str">
        <f>TRIM(_xlfn.TEXTBEFORE(A9,":"))</f>
        <v>Item Rarity</v>
      </c>
      <c r="C9" s="18"/>
      <c r="D9" s="16" t="e">
        <f>TRIM(_xlfn.TEXTBEFORE(C9,":"))</f>
        <v>#N/A</v>
      </c>
      <c r="E9" s="18"/>
      <c r="F9" s="16" t="e">
        <f>TRIM(_xlfn.TEXTBEFORE(E9,":"))</f>
        <v>#N/A</v>
      </c>
      <c r="G9" s="18" t="s">
        <v>1008</v>
      </c>
      <c r="H9" s="16" t="str">
        <f>TRIM(_xlfn.TEXTBEFORE(G9,":"))</f>
        <v>Rareté des objets</v>
      </c>
      <c r="I9" s="18"/>
      <c r="J9" s="16" t="e">
        <f>TRIM(_xlfn.TEXTBEFORE(I9,":"))</f>
        <v>#N/A</v>
      </c>
      <c r="K9" s="18"/>
      <c r="L9" s="16" t="e">
        <f>TRIM(_xlfn.TEXTBEFORE(K9,":"))</f>
        <v>#N/A</v>
      </c>
      <c r="M9" s="18"/>
      <c r="N9" s="16" t="e">
        <f>TRIM(_xlfn.TEXTBEFORE(M9,":"))</f>
        <v>#N/A</v>
      </c>
      <c r="O9" s="18"/>
      <c r="P9" s="16" t="e">
        <f>TRIM(_xlfn.TEXTBEFORE(O9,":"))</f>
        <v>#N/A</v>
      </c>
      <c r="Q9" s="18"/>
      <c r="R9" s="16" t="e">
        <f>TRIM(_xlfn.TEXTBEFORE(Q9,":"))</f>
        <v>#N/A</v>
      </c>
      <c r="S9" s="18"/>
      <c r="T9" s="16" t="e">
        <f>TRIM(_xlfn.TEXTBEFORE(S9,":"))</f>
        <v>#N/A</v>
      </c>
    </row>
    <row r="10" spans="1:20" ht="15.95" customHeight="1" x14ac:dyDescent="0.25">
      <c r="A10" s="18" t="s">
        <v>577</v>
      </c>
      <c r="B10" s="16" t="str">
        <f>TRIM(_xlfn.TEXTBEFORE(A10,":"))</f>
        <v>Monster Pack Size</v>
      </c>
      <c r="C10" s="18"/>
      <c r="D10" s="16" t="e">
        <f>TRIM(_xlfn.TEXTBEFORE(C10,":"))</f>
        <v>#N/A</v>
      </c>
      <c r="E10" s="18"/>
      <c r="F10" s="16" t="e">
        <f>TRIM(_xlfn.TEXTBEFORE(E10,":"))</f>
        <v>#N/A</v>
      </c>
      <c r="G10" s="18" t="s">
        <v>1009</v>
      </c>
      <c r="H10" s="16" t="str">
        <f>TRIM(_xlfn.TEXTBEFORE(G10,":"))</f>
        <v>Taille des groupes de monstres</v>
      </c>
      <c r="I10" s="18"/>
      <c r="J10" s="16" t="e">
        <f>TRIM(_xlfn.TEXTBEFORE(I10,":"))</f>
        <v>#N/A</v>
      </c>
      <c r="K10" s="18"/>
      <c r="L10" s="16" t="e">
        <f>TRIM(_xlfn.TEXTBEFORE(K10,":"))</f>
        <v>#N/A</v>
      </c>
      <c r="M10" s="18"/>
      <c r="N10" s="16" t="e">
        <f>TRIM(_xlfn.TEXTBEFORE(M10,":"))</f>
        <v>#N/A</v>
      </c>
      <c r="O10" s="18"/>
      <c r="P10" s="16" t="e">
        <f>TRIM(_xlfn.TEXTBEFORE(O10,":"))</f>
        <v>#N/A</v>
      </c>
      <c r="Q10" s="18"/>
      <c r="R10" s="16" t="e">
        <f>TRIM(_xlfn.TEXTBEFORE(Q10,":"))</f>
        <v>#N/A</v>
      </c>
      <c r="S10" s="18"/>
      <c r="T10" s="16" t="e">
        <f>TRIM(_xlfn.TEXTBEFORE(S10,":"))</f>
        <v>#N/A</v>
      </c>
    </row>
    <row r="11" spans="1:20" ht="15.95" customHeight="1" x14ac:dyDescent="0.25">
      <c r="A11" s="18" t="s">
        <v>4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117</v>
      </c>
      <c r="B12" s="16"/>
      <c r="C12" s="18"/>
      <c r="D12" s="16"/>
      <c r="E12" s="18"/>
      <c r="F12" s="16"/>
      <c r="G12" s="18" t="s">
        <v>1010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578</v>
      </c>
      <c r="B14" s="16"/>
      <c r="C14" s="18"/>
      <c r="D14" s="16"/>
      <c r="E14" s="18"/>
      <c r="F14" s="16"/>
      <c r="G14" s="18" t="s">
        <v>1011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579</v>
      </c>
      <c r="B15" s="16"/>
      <c r="C15" s="18"/>
      <c r="D15" s="16"/>
      <c r="E15" s="18"/>
      <c r="F15" s="16"/>
      <c r="G15" s="18" t="s">
        <v>1012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580</v>
      </c>
      <c r="B16" s="16"/>
      <c r="C16" s="18"/>
      <c r="D16" s="16"/>
      <c r="E16" s="18"/>
      <c r="F16" s="16"/>
      <c r="G16" s="18" t="s">
        <v>1013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530</v>
      </c>
      <c r="B18" s="16"/>
      <c r="C18" s="18"/>
      <c r="D18" s="16"/>
      <c r="E18" s="18"/>
      <c r="F18" s="16"/>
      <c r="G18" s="18" t="s">
        <v>955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28" priority="42" stopIfTrue="1">
      <formula>NOT(ISERROR(A3))</formula>
    </cfRule>
  </conditionalFormatting>
  <conditionalFormatting sqref="A3:T7 A11:T51 A8:A10 C8:C10 E8:E10 G8:G10 I8:I10 K8:K10 M8:M10 O8:O10 Q8:Q10 S8:S10">
    <cfRule type="containsErrors" dxfId="427" priority="41" stopIfTrue="1">
      <formula>ISERROR(A3)</formula>
    </cfRule>
    <cfRule type="notContainsBlanks" dxfId="426" priority="43">
      <formula>LEN(TRIM(A3))&gt;0</formula>
    </cfRule>
  </conditionalFormatting>
  <conditionalFormatting sqref="B8:B9">
    <cfRule type="containsErrors" dxfId="425" priority="39" stopIfTrue="1">
      <formula>ISERROR(B8)</formula>
    </cfRule>
    <cfRule type="notContainsBlanks" dxfId="424" priority="40">
      <formula>LEN(TRIM(B8))&gt;0</formula>
    </cfRule>
  </conditionalFormatting>
  <conditionalFormatting sqref="B10">
    <cfRule type="containsErrors" dxfId="423" priority="37" stopIfTrue="1">
      <formula>ISERROR(B10)</formula>
    </cfRule>
    <cfRule type="notContainsBlanks" dxfId="422" priority="38">
      <formula>LEN(TRIM(B10))&gt;0</formula>
    </cfRule>
  </conditionalFormatting>
  <conditionalFormatting sqref="D8:D9">
    <cfRule type="containsErrors" dxfId="421" priority="35" stopIfTrue="1">
      <formula>ISERROR(D8)</formula>
    </cfRule>
    <cfRule type="notContainsBlanks" dxfId="420" priority="36">
      <formula>LEN(TRIM(D8))&gt;0</formula>
    </cfRule>
  </conditionalFormatting>
  <conditionalFormatting sqref="D10">
    <cfRule type="containsErrors" dxfId="419" priority="33" stopIfTrue="1">
      <formula>ISERROR(D10)</formula>
    </cfRule>
    <cfRule type="notContainsBlanks" dxfId="418" priority="34">
      <formula>LEN(TRIM(D10))&gt;0</formula>
    </cfRule>
  </conditionalFormatting>
  <conditionalFormatting sqref="F8:F9">
    <cfRule type="containsErrors" dxfId="417" priority="31" stopIfTrue="1">
      <formula>ISERROR(F8)</formula>
    </cfRule>
    <cfRule type="notContainsBlanks" dxfId="416" priority="32">
      <formula>LEN(TRIM(F8))&gt;0</formula>
    </cfRule>
  </conditionalFormatting>
  <conditionalFormatting sqref="F10">
    <cfRule type="containsErrors" dxfId="415" priority="29" stopIfTrue="1">
      <formula>ISERROR(F10)</formula>
    </cfRule>
    <cfRule type="notContainsBlanks" dxfId="414" priority="30">
      <formula>LEN(TRIM(F10))&gt;0</formula>
    </cfRule>
  </conditionalFormatting>
  <conditionalFormatting sqref="H8:H9">
    <cfRule type="containsErrors" dxfId="413" priority="27" stopIfTrue="1">
      <formula>ISERROR(H8)</formula>
    </cfRule>
    <cfRule type="notContainsBlanks" dxfId="412" priority="28">
      <formula>LEN(TRIM(H8))&gt;0</formula>
    </cfRule>
  </conditionalFormatting>
  <conditionalFormatting sqref="H10">
    <cfRule type="containsErrors" dxfId="411" priority="25" stopIfTrue="1">
      <formula>ISERROR(H10)</formula>
    </cfRule>
    <cfRule type="notContainsBlanks" dxfId="410" priority="26">
      <formula>LEN(TRIM(H10))&gt;0</formula>
    </cfRule>
  </conditionalFormatting>
  <conditionalFormatting sqref="J8:J9">
    <cfRule type="containsErrors" dxfId="409" priority="23" stopIfTrue="1">
      <formula>ISERROR(J8)</formula>
    </cfRule>
    <cfRule type="notContainsBlanks" dxfId="408" priority="24">
      <formula>LEN(TRIM(J8))&gt;0</formula>
    </cfRule>
  </conditionalFormatting>
  <conditionalFormatting sqref="J10">
    <cfRule type="containsErrors" dxfId="407" priority="21" stopIfTrue="1">
      <formula>ISERROR(J10)</formula>
    </cfRule>
    <cfRule type="notContainsBlanks" dxfId="406" priority="22">
      <formula>LEN(TRIM(J10))&gt;0</formula>
    </cfRule>
  </conditionalFormatting>
  <conditionalFormatting sqref="L8:L9">
    <cfRule type="containsErrors" dxfId="405" priority="19" stopIfTrue="1">
      <formula>ISERROR(L8)</formula>
    </cfRule>
    <cfRule type="notContainsBlanks" dxfId="404" priority="20">
      <formula>LEN(TRIM(L8))&gt;0</formula>
    </cfRule>
  </conditionalFormatting>
  <conditionalFormatting sqref="L10">
    <cfRule type="containsErrors" dxfId="403" priority="17" stopIfTrue="1">
      <formula>ISERROR(L10)</formula>
    </cfRule>
    <cfRule type="notContainsBlanks" dxfId="402" priority="18">
      <formula>LEN(TRIM(L10))&gt;0</formula>
    </cfRule>
  </conditionalFormatting>
  <conditionalFormatting sqref="N8:N9">
    <cfRule type="containsErrors" dxfId="401" priority="15" stopIfTrue="1">
      <formula>ISERROR(N8)</formula>
    </cfRule>
    <cfRule type="notContainsBlanks" dxfId="400" priority="16">
      <formula>LEN(TRIM(N8))&gt;0</formula>
    </cfRule>
  </conditionalFormatting>
  <conditionalFormatting sqref="N10">
    <cfRule type="containsErrors" dxfId="399" priority="13" stopIfTrue="1">
      <formula>ISERROR(N10)</formula>
    </cfRule>
    <cfRule type="notContainsBlanks" dxfId="398" priority="14">
      <formula>LEN(TRIM(N10))&gt;0</formula>
    </cfRule>
  </conditionalFormatting>
  <conditionalFormatting sqref="P8:P9">
    <cfRule type="containsErrors" dxfId="397" priority="11" stopIfTrue="1">
      <formula>ISERROR(P8)</formula>
    </cfRule>
    <cfRule type="notContainsBlanks" dxfId="396" priority="12">
      <formula>LEN(TRIM(P8))&gt;0</formula>
    </cfRule>
  </conditionalFormatting>
  <conditionalFormatting sqref="P10">
    <cfRule type="containsErrors" dxfId="395" priority="9" stopIfTrue="1">
      <formula>ISERROR(P10)</formula>
    </cfRule>
    <cfRule type="notContainsBlanks" dxfId="394" priority="10">
      <formula>LEN(TRIM(P10))&gt;0</formula>
    </cfRule>
  </conditionalFormatting>
  <conditionalFormatting sqref="R8:R9">
    <cfRule type="containsErrors" dxfId="393" priority="7" stopIfTrue="1">
      <formula>ISERROR(R8)</formula>
    </cfRule>
    <cfRule type="notContainsBlanks" dxfId="392" priority="8">
      <formula>LEN(TRIM(R8))&gt;0</formula>
    </cfRule>
  </conditionalFormatting>
  <conditionalFormatting sqref="R10">
    <cfRule type="containsErrors" dxfId="391" priority="5" stopIfTrue="1">
      <formula>ISERROR(R10)</formula>
    </cfRule>
    <cfRule type="notContainsBlanks" dxfId="390" priority="6">
      <formula>LEN(TRIM(R10))&gt;0</formula>
    </cfRule>
  </conditionalFormatting>
  <conditionalFormatting sqref="T8:T9">
    <cfRule type="containsErrors" dxfId="389" priority="3" stopIfTrue="1">
      <formula>ISERROR(T8)</formula>
    </cfRule>
    <cfRule type="notContainsBlanks" dxfId="388" priority="4">
      <formula>LEN(TRIM(T8))&gt;0</formula>
    </cfRule>
  </conditionalFormatting>
  <conditionalFormatting sqref="T10">
    <cfRule type="containsErrors" dxfId="387" priority="1" stopIfTrue="1">
      <formula>ISERROR(T10)</formula>
    </cfRule>
    <cfRule type="notContainsBlanks" dxfId="386" priority="2">
      <formula>LEN(TRIM(T10))&gt;0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C58B8-D573-4245-B438-FF64530DB016}">
  <dimension ref="A1:T51"/>
  <sheetViews>
    <sheetView workbookViewId="0">
      <selection activeCell="G3" sqref="G3:G1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697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1014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Map Fragments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Fragments de carte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698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1015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614</v>
      </c>
      <c r="B7" s="16"/>
      <c r="C7" s="18"/>
      <c r="D7" s="16"/>
      <c r="E7" s="18"/>
      <c r="F7" s="16"/>
      <c r="G7" s="18" t="s">
        <v>930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699</v>
      </c>
      <c r="B9" s="16"/>
      <c r="C9" s="18"/>
      <c r="D9" s="16"/>
      <c r="E9" s="18"/>
      <c r="F9" s="16"/>
      <c r="G9" s="18" t="s">
        <v>1016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700</v>
      </c>
      <c r="B11" s="16"/>
      <c r="C11" s="18"/>
      <c r="D11" s="16"/>
      <c r="E11" s="18"/>
      <c r="F11" s="16"/>
      <c r="G11" s="18" t="s">
        <v>1017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/>
      <c r="B12" s="16"/>
      <c r="C12" s="18"/>
      <c r="D12" s="16"/>
      <c r="E12" s="18"/>
      <c r="F12" s="16"/>
      <c r="G12" s="18"/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/>
      <c r="B13" s="16"/>
      <c r="C13" s="18"/>
      <c r="D13" s="16"/>
      <c r="E13" s="18"/>
      <c r="F13" s="16"/>
      <c r="G13" s="18"/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/>
      <c r="B14" s="16"/>
      <c r="C14" s="18"/>
      <c r="D14" s="16"/>
      <c r="E14" s="18"/>
      <c r="F14" s="16"/>
      <c r="G14" s="18"/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85" priority="2" stopIfTrue="1">
      <formula>NOT(ISERROR(A3))</formula>
    </cfRule>
  </conditionalFormatting>
  <conditionalFormatting sqref="A3:T51">
    <cfRule type="containsErrors" dxfId="384" priority="1" stopIfTrue="1">
      <formula>ISERROR(A3)</formula>
    </cfRule>
    <cfRule type="notContainsBlanks" dxfId="383" priority="3">
      <formula>LEN(TRIM(A3))&gt;0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9D524-222B-4301-8EF7-53962688966E}">
  <dimension ref="A1:T51"/>
  <sheetViews>
    <sheetView workbookViewId="0">
      <selection activeCell="G3" sqref="G3:G15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789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1018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499</v>
      </c>
      <c r="B4" s="16" t="str">
        <f>TRIM(_xlfn.TEXTAFTER(A3, ":"))</f>
        <v>Memories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977</v>
      </c>
      <c r="H4" s="16" t="str">
        <f>TRIM(_xlfn.TEXTAFTER(G3, ":"))</f>
        <v>Souvenirs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790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1019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Magic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Magique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117</v>
      </c>
      <c r="B7" s="16"/>
      <c r="C7" s="18"/>
      <c r="D7" s="16"/>
      <c r="E7" s="18"/>
      <c r="F7" s="16"/>
      <c r="G7" s="18" t="s">
        <v>1010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791</v>
      </c>
      <c r="B9" s="16"/>
      <c r="C9" s="18"/>
      <c r="D9" s="16"/>
      <c r="E9" s="18"/>
      <c r="F9" s="16"/>
      <c r="G9" s="18" t="s">
        <v>1020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792</v>
      </c>
      <c r="B10" s="16"/>
      <c r="C10" s="18"/>
      <c r="D10" s="16"/>
      <c r="E10" s="18"/>
      <c r="F10" s="16"/>
      <c r="G10" s="18" t="s">
        <v>1021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793</v>
      </c>
      <c r="B11" s="16"/>
      <c r="C11" s="18"/>
      <c r="D11" s="16"/>
      <c r="E11" s="18"/>
      <c r="F11" s="16"/>
      <c r="G11" s="18" t="s">
        <v>1022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794</v>
      </c>
      <c r="B13" s="16"/>
      <c r="C13" s="18"/>
      <c r="D13" s="16"/>
      <c r="E13" s="18"/>
      <c r="F13" s="16"/>
      <c r="G13" s="18" t="s">
        <v>1023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795</v>
      </c>
      <c r="B15" s="16"/>
      <c r="C15" s="18"/>
      <c r="D15" s="16"/>
      <c r="E15" s="18"/>
      <c r="F15" s="16"/>
      <c r="G15" s="18" t="s">
        <v>1024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82" priority="2" stopIfTrue="1">
      <formula>NOT(ISERROR(A3))</formula>
    </cfRule>
  </conditionalFormatting>
  <conditionalFormatting sqref="A3:T51">
    <cfRule type="containsErrors" dxfId="381" priority="1" stopIfTrue="1">
      <formula>ISERROR(A3)</formula>
    </cfRule>
    <cfRule type="notContainsBlanks" dxfId="380" priority="3">
      <formula>LEN(TRIM(A3))&gt;0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38A3-897B-4598-B9B6-A774339C51ED}">
  <dimension ref="A1:T51"/>
  <sheetViews>
    <sheetView workbookViewId="0">
      <selection activeCell="G3" sqref="G3:G1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701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1025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Misc Map Items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Objets de Carte divers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702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1026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283</v>
      </c>
      <c r="B7" s="16"/>
      <c r="C7" s="18"/>
      <c r="D7" s="16"/>
      <c r="E7" s="18"/>
      <c r="F7" s="16"/>
      <c r="G7" s="18" t="s">
        <v>1027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703</v>
      </c>
      <c r="B9" s="16"/>
      <c r="C9" s="18"/>
      <c r="D9" s="16"/>
      <c r="E9" s="18"/>
      <c r="F9" s="16"/>
      <c r="G9" s="18" t="s">
        <v>1028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704</v>
      </c>
      <c r="B11" s="16"/>
      <c r="C11" s="18"/>
      <c r="D11" s="16"/>
      <c r="E11" s="18"/>
      <c r="F11" s="16"/>
      <c r="G11" s="18" t="s">
        <v>1029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705</v>
      </c>
      <c r="B12" s="16"/>
      <c r="C12" s="18"/>
      <c r="D12" s="16"/>
      <c r="E12" s="18"/>
      <c r="F12" s="16"/>
      <c r="G12" s="18" t="s">
        <v>1030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706</v>
      </c>
      <c r="B14" s="16"/>
      <c r="C14" s="18"/>
      <c r="D14" s="16"/>
      <c r="E14" s="18"/>
      <c r="F14" s="16"/>
      <c r="G14" s="18" t="s">
        <v>1031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79" priority="2" stopIfTrue="1">
      <formula>NOT(ISERROR(A3))</formula>
    </cfRule>
  </conditionalFormatting>
  <conditionalFormatting sqref="A3:T51">
    <cfRule type="containsErrors" dxfId="378" priority="1" stopIfTrue="1">
      <formula>ISERROR(A3)</formula>
    </cfRule>
    <cfRule type="notContainsBlanks" dxfId="377" priority="3">
      <formula>LEN(TRIM(A3))&gt;0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81E9-D352-4219-81D4-922101FCC99E}">
  <dimension ref="A1:T51"/>
  <sheetViews>
    <sheetView workbookViewId="0">
      <selection activeCell="G3" sqref="G3:G1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867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1600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582</v>
      </c>
      <c r="B4" s="16" t="str">
        <f>TRIM(_xlfn.TEXTAFTER(A3, ":"))</f>
        <v>Sanctum Research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877</v>
      </c>
      <c r="H4" s="16" t="str">
        <f>TRIM(_xlfn.TEXTAFTER(G3, ":"))</f>
        <v>Recherche du Sanctuaire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868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1601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Currency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Objet monétaire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869</v>
      </c>
      <c r="B7" s="16"/>
      <c r="C7" s="18"/>
      <c r="D7" s="16"/>
      <c r="E7" s="18"/>
      <c r="F7" s="16"/>
      <c r="G7" s="18" t="s">
        <v>1602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111</v>
      </c>
      <c r="B9" s="16"/>
      <c r="C9" s="18"/>
      <c r="D9" s="16"/>
      <c r="E9" s="18"/>
      <c r="F9" s="16"/>
      <c r="G9" s="18" t="s">
        <v>958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870</v>
      </c>
      <c r="B11" s="16"/>
      <c r="C11" s="18"/>
      <c r="D11" s="16"/>
      <c r="E11" s="18"/>
      <c r="F11" s="16"/>
      <c r="G11" s="18" t="s">
        <v>870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871</v>
      </c>
      <c r="B12" s="16"/>
      <c r="C12" s="18"/>
      <c r="D12" s="16"/>
      <c r="E12" s="18"/>
      <c r="F12" s="16"/>
      <c r="G12" s="18" t="s">
        <v>871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872</v>
      </c>
      <c r="B14" s="16"/>
      <c r="C14" s="18"/>
      <c r="D14" s="16"/>
      <c r="E14" s="18"/>
      <c r="F14" s="16"/>
      <c r="G14" s="18" t="s">
        <v>1603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76" priority="2" stopIfTrue="1">
      <formula>NOT(ISERROR(A3))</formula>
    </cfRule>
  </conditionalFormatting>
  <conditionalFormatting sqref="A3:T51">
    <cfRule type="containsErrors" dxfId="375" priority="1" stopIfTrue="1">
      <formula>ISERROR(A3)</formula>
    </cfRule>
    <cfRule type="notContainsBlanks" dxfId="374" priority="3">
      <formula>LEN(TRIM(A3))&gt;0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E9F78-3449-4B7A-86B2-D2791905F1A0}">
  <dimension ref="A1:T51"/>
  <sheetViews>
    <sheetView workbookViewId="0">
      <selection activeCell="G3" sqref="G3:G18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674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1032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Hybrid Flasks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Flacons hybrides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675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1033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676</v>
      </c>
      <c r="B7" s="16"/>
      <c r="C7" s="18"/>
      <c r="D7" s="16"/>
      <c r="E7" s="18"/>
      <c r="F7" s="16"/>
      <c r="G7" s="18" t="s">
        <v>1034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677</v>
      </c>
      <c r="B8" s="16"/>
      <c r="C8" s="18"/>
      <c r="D8" s="16"/>
      <c r="E8" s="18"/>
      <c r="F8" s="16"/>
      <c r="G8" s="18" t="s">
        <v>1035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678</v>
      </c>
      <c r="B9" s="16"/>
      <c r="C9" s="18"/>
      <c r="D9" s="16"/>
      <c r="E9" s="18"/>
      <c r="F9" s="16"/>
      <c r="G9" s="18" t="s">
        <v>1036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679</v>
      </c>
      <c r="B10" s="16"/>
      <c r="C10" s="18"/>
      <c r="D10" s="16"/>
      <c r="E10" s="18"/>
      <c r="F10" s="16"/>
      <c r="G10" s="18" t="s">
        <v>1037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501</v>
      </c>
      <c r="B11" s="16"/>
      <c r="C11" s="18"/>
      <c r="D11" s="16"/>
      <c r="E11" s="18"/>
      <c r="F11" s="16"/>
      <c r="G11" s="18" t="s">
        <v>1038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110</v>
      </c>
      <c r="B13" s="16"/>
      <c r="C13" s="18"/>
      <c r="D13" s="16"/>
      <c r="E13" s="18"/>
      <c r="F13" s="16"/>
      <c r="G13" s="18" t="s">
        <v>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318</v>
      </c>
      <c r="B14" s="16"/>
      <c r="C14" s="18"/>
      <c r="D14" s="16"/>
      <c r="E14" s="18"/>
      <c r="F14" s="16"/>
      <c r="G14" s="18" t="s">
        <v>1039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321</v>
      </c>
      <c r="B16" s="16"/>
      <c r="C16" s="18"/>
      <c r="D16" s="16"/>
      <c r="E16" s="18"/>
      <c r="F16" s="16"/>
      <c r="G16" s="18" t="s">
        <v>1040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502</v>
      </c>
      <c r="B18" s="16"/>
      <c r="C18" s="18"/>
      <c r="D18" s="16"/>
      <c r="E18" s="18"/>
      <c r="F18" s="16"/>
      <c r="G18" s="18" t="s">
        <v>1041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73" priority="2" stopIfTrue="1">
      <formula>NOT(ISERROR(A3))</formula>
    </cfRule>
  </conditionalFormatting>
  <conditionalFormatting sqref="A3:T51">
    <cfRule type="containsErrors" dxfId="372" priority="1" stopIfTrue="1">
      <formula>ISERROR(A3)</formula>
    </cfRule>
    <cfRule type="notContainsBlanks" dxfId="371" priority="3">
      <formula>LEN(TRIM(A3))&gt;0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2E452-3067-45A4-9CE4-A27E93A768D3}">
  <dimension ref="A1:T51"/>
  <sheetViews>
    <sheetView workbookViewId="0">
      <selection activeCell="G3" sqref="G3:G17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6" t="s">
        <v>669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1042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Mana Flasks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Flacons de Mana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670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1043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671</v>
      </c>
      <c r="B7" s="16"/>
      <c r="C7" s="18"/>
      <c r="D7" s="16"/>
      <c r="E7" s="18"/>
      <c r="F7" s="16"/>
      <c r="G7" s="18" t="s">
        <v>1044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672</v>
      </c>
      <c r="B8" s="16"/>
      <c r="C8" s="18"/>
      <c r="D8" s="16"/>
      <c r="E8" s="18"/>
      <c r="F8" s="16"/>
      <c r="G8" s="18" t="s">
        <v>1045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673</v>
      </c>
      <c r="B9" s="16"/>
      <c r="C9" s="18"/>
      <c r="D9" s="16"/>
      <c r="E9" s="18"/>
      <c r="F9" s="16"/>
      <c r="G9" s="18" t="s">
        <v>1046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501</v>
      </c>
      <c r="B10" s="16"/>
      <c r="C10" s="18"/>
      <c r="D10" s="16"/>
      <c r="E10" s="18"/>
      <c r="F10" s="16"/>
      <c r="G10" s="18" t="s">
        <v>1038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4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110</v>
      </c>
      <c r="B12" s="16"/>
      <c r="C12" s="18"/>
      <c r="D12" s="16"/>
      <c r="E12" s="18"/>
      <c r="F12" s="16"/>
      <c r="G12" s="18" t="s">
        <v>5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667</v>
      </c>
      <c r="B13" s="16"/>
      <c r="C13" s="18"/>
      <c r="D13" s="16"/>
      <c r="E13" s="18"/>
      <c r="F13" s="16"/>
      <c r="G13" s="18" t="s">
        <v>1047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260</v>
      </c>
      <c r="B15" s="16"/>
      <c r="C15" s="18"/>
      <c r="D15" s="16"/>
      <c r="E15" s="18"/>
      <c r="F15" s="16"/>
      <c r="G15" s="18" t="s">
        <v>1048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502</v>
      </c>
      <c r="B17" s="16"/>
      <c r="C17" s="18"/>
      <c r="D17" s="16"/>
      <c r="E17" s="18"/>
      <c r="F17" s="16"/>
      <c r="G17" s="18" t="s">
        <v>1041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70" priority="2" stopIfTrue="1">
      <formula>NOT(ISERROR(A3))</formula>
    </cfRule>
  </conditionalFormatting>
  <conditionalFormatting sqref="A3:T51">
    <cfRule type="containsErrors" dxfId="369" priority="1" stopIfTrue="1">
      <formula>ISERROR(A3)</formula>
    </cfRule>
    <cfRule type="notContainsBlanks" dxfId="368" priority="3">
      <formula>LEN(TRIM(A3))&gt;0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27096-134D-47E9-938C-FF7F57C6FE17}">
  <dimension ref="A1:T51"/>
  <sheetViews>
    <sheetView workbookViewId="0"/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662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1049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525</v>
      </c>
      <c r="B4" s="16" t="str">
        <f>TRIM(_xlfn.TEXTAFTER(A3, ":"))</f>
        <v>Life Flasks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948</v>
      </c>
      <c r="H4" s="16" t="str">
        <f>TRIM(_xlfn.TEXTAFTER(G3, ":"))</f>
        <v>Flacons de Vie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663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1050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Normal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Normal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664</v>
      </c>
      <c r="B7" s="16" t="str">
        <f>TRIM(_xlfn.TEXTBEFORE(A5, " "))</f>
        <v>Superior</v>
      </c>
      <c r="C7" s="18"/>
      <c r="D7" s="16" t="e">
        <f>TRIM(_xlfn.TEXTBEFORE(C5, " "))</f>
        <v>#N/A</v>
      </c>
      <c r="E7" s="18"/>
      <c r="F7" s="16" t="e">
        <f>TRIM(_xlfn.TEXTBEFORE(E5, " "))</f>
        <v>#N/A</v>
      </c>
      <c r="G7" s="18" t="s">
        <v>1051</v>
      </c>
      <c r="H7" s="16" t="str">
        <f>TRIM(_xlfn.TEXTAFTER(G5, " ", -1))</f>
        <v>supérieur</v>
      </c>
      <c r="I7" s="18"/>
      <c r="J7" s="16" t="e">
        <f>TRIM(_xlfn.TEXTBEFORE(I5, " "))</f>
        <v>#N/A</v>
      </c>
      <c r="K7" s="18"/>
      <c r="L7" s="16" t="e">
        <f>TRIM(_xlfn.TEXTBEFORE(K5, " "))</f>
        <v>#N/A</v>
      </c>
      <c r="M7" s="18"/>
      <c r="N7" s="16" t="e">
        <f>TRIM(_xlfn.TEXTBEFORE(M5, " "))</f>
        <v>#N/A</v>
      </c>
      <c r="O7" s="18"/>
      <c r="P7" s="16" t="e">
        <f>TRIM(_xlfn.TEXTBEFORE(O5, " "))</f>
        <v>#N/A</v>
      </c>
      <c r="Q7" s="18"/>
      <c r="R7" s="16" t="e">
        <f>TRIM(_xlfn.TEXTBEFORE(Q5, " "))</f>
        <v>#N/A</v>
      </c>
      <c r="S7" s="18"/>
      <c r="T7" s="16" t="e">
        <f>TRIM(_xlfn.TEXTBEFORE(S5, " "))</f>
        <v>#N/A</v>
      </c>
    </row>
    <row r="8" spans="1:20" ht="15.95" customHeight="1" x14ac:dyDescent="0.25">
      <c r="A8" s="18" t="s">
        <v>665</v>
      </c>
      <c r="B8" s="16" t="str">
        <f>TRIM(_xlfn.TEXTBEFORE(A7, ":"))</f>
        <v>Quality</v>
      </c>
      <c r="C8" s="18"/>
      <c r="D8" s="16" t="e">
        <f>TRIM(_xlfn.TEXTBEFORE(C7, ":"))</f>
        <v>#N/A</v>
      </c>
      <c r="E8" s="18"/>
      <c r="F8" s="16" t="e">
        <f>TRIM(_xlfn.TEXTBEFORE(E7, ":"))</f>
        <v>#N/A</v>
      </c>
      <c r="G8" s="18" t="s">
        <v>1052</v>
      </c>
      <c r="H8" s="16" t="str">
        <f>TRIM(_xlfn.TEXTBEFORE(G7, ":"))</f>
        <v>Qualité</v>
      </c>
      <c r="I8" s="18"/>
      <c r="J8" s="16" t="e">
        <f>TRIM(_xlfn.TEXTBEFORE(I7, ":"))</f>
        <v>#N/A</v>
      </c>
      <c r="K8" s="18"/>
      <c r="L8" s="16" t="e">
        <f>TRIM(_xlfn.TEXTBEFORE(K7, ":"))</f>
        <v>#N/A</v>
      </c>
      <c r="M8" s="18"/>
      <c r="N8" s="16" t="e">
        <f>TRIM(_xlfn.TEXTBEFORE(M7, ":"))</f>
        <v>#N/A</v>
      </c>
      <c r="O8" s="18"/>
      <c r="P8" s="16" t="e">
        <f>TRIM(_xlfn.TEXTBEFORE(O7, ":"))</f>
        <v>#N/A</v>
      </c>
      <c r="Q8" s="18"/>
      <c r="R8" s="16" t="e">
        <f>TRIM(_xlfn.TEXTBEFORE(Q7, ":"))</f>
        <v>#N/A</v>
      </c>
      <c r="S8" s="18"/>
      <c r="T8" s="16" t="e">
        <f>TRIM(_xlfn.TEXTBEFORE(S7, ":"))</f>
        <v>#N/A</v>
      </c>
    </row>
    <row r="9" spans="1:20" ht="15.95" customHeight="1" x14ac:dyDescent="0.25">
      <c r="A9" s="18" t="s">
        <v>666</v>
      </c>
      <c r="B9" s="16"/>
      <c r="C9" s="18"/>
      <c r="D9" s="16"/>
      <c r="E9" s="18"/>
      <c r="F9" s="16"/>
      <c r="G9" s="18" t="s">
        <v>1053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501</v>
      </c>
      <c r="B10" s="16"/>
      <c r="C10" s="18"/>
      <c r="D10" s="16"/>
      <c r="E10" s="18"/>
      <c r="F10" s="16"/>
      <c r="G10" s="18" t="s">
        <v>1038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4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110</v>
      </c>
      <c r="B12" s="16"/>
      <c r="C12" s="18"/>
      <c r="D12" s="16"/>
      <c r="E12" s="18"/>
      <c r="F12" s="16"/>
      <c r="G12" s="18" t="s">
        <v>5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667</v>
      </c>
      <c r="B13" s="16"/>
      <c r="C13" s="18"/>
      <c r="D13" s="16"/>
      <c r="E13" s="18"/>
      <c r="F13" s="16"/>
      <c r="G13" s="18" t="s">
        <v>1047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668</v>
      </c>
      <c r="B15" s="16"/>
      <c r="C15" s="18"/>
      <c r="D15" s="16"/>
      <c r="E15" s="18"/>
      <c r="F15" s="16"/>
      <c r="G15" s="18" t="s">
        <v>1054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502</v>
      </c>
      <c r="B17" s="16"/>
      <c r="C17" s="18"/>
      <c r="D17" s="16"/>
      <c r="E17" s="18"/>
      <c r="F17" s="16"/>
      <c r="G17" s="18" t="s">
        <v>1041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67" priority="42" stopIfTrue="1">
      <formula>NOT(ISERROR(A3))</formula>
    </cfRule>
  </conditionalFormatting>
  <conditionalFormatting sqref="A3:T6 A9:T51 A7:A8 C7:C8 E7:E8 G7:G8 I7:I8 K7:K8 M7:M8 O7:O8 Q7:Q8 S7:S8">
    <cfRule type="containsErrors" dxfId="366" priority="41" stopIfTrue="1">
      <formula>ISERROR(A3)</formula>
    </cfRule>
    <cfRule type="notContainsBlanks" dxfId="365" priority="43">
      <formula>LEN(TRIM(A3))&gt;0</formula>
    </cfRule>
  </conditionalFormatting>
  <conditionalFormatting sqref="B7:B8">
    <cfRule type="containsErrors" dxfId="364" priority="39" stopIfTrue="1">
      <formula>ISERROR(B7)</formula>
    </cfRule>
    <cfRule type="notContainsBlanks" dxfId="363" priority="40">
      <formula>LEN(TRIM(B7))&gt;0</formula>
    </cfRule>
  </conditionalFormatting>
  <conditionalFormatting sqref="D7">
    <cfRule type="containsErrors" dxfId="362" priority="37" stopIfTrue="1">
      <formula>ISERROR(D7)</formula>
    </cfRule>
    <cfRule type="notContainsBlanks" dxfId="361" priority="38">
      <formula>LEN(TRIM(D7))&gt;0</formula>
    </cfRule>
  </conditionalFormatting>
  <conditionalFormatting sqref="F7">
    <cfRule type="containsErrors" dxfId="360" priority="35" stopIfTrue="1">
      <formula>ISERROR(F7)</formula>
    </cfRule>
    <cfRule type="notContainsBlanks" dxfId="359" priority="36">
      <formula>LEN(TRIM(F7))&gt;0</formula>
    </cfRule>
  </conditionalFormatting>
  <conditionalFormatting sqref="J7">
    <cfRule type="containsErrors" dxfId="356" priority="31" stopIfTrue="1">
      <formula>ISERROR(J7)</formula>
    </cfRule>
    <cfRule type="notContainsBlanks" dxfId="355" priority="32">
      <formula>LEN(TRIM(J7))&gt;0</formula>
    </cfRule>
  </conditionalFormatting>
  <conditionalFormatting sqref="L7">
    <cfRule type="containsErrors" dxfId="354" priority="29" stopIfTrue="1">
      <formula>ISERROR(L7)</formula>
    </cfRule>
    <cfRule type="notContainsBlanks" dxfId="353" priority="30">
      <formula>LEN(TRIM(L7))&gt;0</formula>
    </cfRule>
  </conditionalFormatting>
  <conditionalFormatting sqref="N7">
    <cfRule type="containsErrors" dxfId="352" priority="27" stopIfTrue="1">
      <formula>ISERROR(N7)</formula>
    </cfRule>
    <cfRule type="notContainsBlanks" dxfId="351" priority="28">
      <formula>LEN(TRIM(N7))&gt;0</formula>
    </cfRule>
  </conditionalFormatting>
  <conditionalFormatting sqref="P7">
    <cfRule type="containsErrors" dxfId="350" priority="25" stopIfTrue="1">
      <formula>ISERROR(P7)</formula>
    </cfRule>
    <cfRule type="notContainsBlanks" dxfId="349" priority="26">
      <formula>LEN(TRIM(P7))&gt;0</formula>
    </cfRule>
  </conditionalFormatting>
  <conditionalFormatting sqref="R7">
    <cfRule type="containsErrors" dxfId="348" priority="23" stopIfTrue="1">
      <formula>ISERROR(R7)</formula>
    </cfRule>
    <cfRule type="notContainsBlanks" dxfId="347" priority="24">
      <formula>LEN(TRIM(R7))&gt;0</formula>
    </cfRule>
  </conditionalFormatting>
  <conditionalFormatting sqref="T7">
    <cfRule type="containsErrors" dxfId="346" priority="21" stopIfTrue="1">
      <formula>ISERROR(T7)</formula>
    </cfRule>
    <cfRule type="notContainsBlanks" dxfId="345" priority="22">
      <formula>LEN(TRIM(T7))&gt;0</formula>
    </cfRule>
  </conditionalFormatting>
  <conditionalFormatting sqref="D8">
    <cfRule type="containsErrors" dxfId="344" priority="19" stopIfTrue="1">
      <formula>ISERROR(D8)</formula>
    </cfRule>
    <cfRule type="notContainsBlanks" dxfId="343" priority="20">
      <formula>LEN(TRIM(D8))&gt;0</formula>
    </cfRule>
  </conditionalFormatting>
  <conditionalFormatting sqref="F8">
    <cfRule type="containsErrors" dxfId="342" priority="17" stopIfTrue="1">
      <formula>ISERROR(F8)</formula>
    </cfRule>
    <cfRule type="notContainsBlanks" dxfId="341" priority="18">
      <formula>LEN(TRIM(F8))&gt;0</formula>
    </cfRule>
  </conditionalFormatting>
  <conditionalFormatting sqref="H8">
    <cfRule type="containsErrors" dxfId="340" priority="15" stopIfTrue="1">
      <formula>ISERROR(H8)</formula>
    </cfRule>
    <cfRule type="notContainsBlanks" dxfId="339" priority="16">
      <formula>LEN(TRIM(H8))&gt;0</formula>
    </cfRule>
  </conditionalFormatting>
  <conditionalFormatting sqref="J8">
    <cfRule type="containsErrors" dxfId="338" priority="13" stopIfTrue="1">
      <formula>ISERROR(J8)</formula>
    </cfRule>
    <cfRule type="notContainsBlanks" dxfId="337" priority="14">
      <formula>LEN(TRIM(J8))&gt;0</formula>
    </cfRule>
  </conditionalFormatting>
  <conditionalFormatting sqref="L8">
    <cfRule type="containsErrors" dxfId="336" priority="11" stopIfTrue="1">
      <formula>ISERROR(L8)</formula>
    </cfRule>
    <cfRule type="notContainsBlanks" dxfId="335" priority="12">
      <formula>LEN(TRIM(L8))&gt;0</formula>
    </cfRule>
  </conditionalFormatting>
  <conditionalFormatting sqref="N8">
    <cfRule type="containsErrors" dxfId="334" priority="9" stopIfTrue="1">
      <formula>ISERROR(N8)</formula>
    </cfRule>
    <cfRule type="notContainsBlanks" dxfId="333" priority="10">
      <formula>LEN(TRIM(N8))&gt;0</formula>
    </cfRule>
  </conditionalFormatting>
  <conditionalFormatting sqref="P8">
    <cfRule type="containsErrors" dxfId="332" priority="7" stopIfTrue="1">
      <formula>ISERROR(P8)</formula>
    </cfRule>
    <cfRule type="notContainsBlanks" dxfId="331" priority="8">
      <formula>LEN(TRIM(P8))&gt;0</formula>
    </cfRule>
  </conditionalFormatting>
  <conditionalFormatting sqref="R8">
    <cfRule type="containsErrors" dxfId="330" priority="5" stopIfTrue="1">
      <formula>ISERROR(R8)</formula>
    </cfRule>
    <cfRule type="notContainsBlanks" dxfId="329" priority="6">
      <formula>LEN(TRIM(R8))&gt;0</formula>
    </cfRule>
  </conditionalFormatting>
  <conditionalFormatting sqref="T8">
    <cfRule type="containsErrors" dxfId="328" priority="3" stopIfTrue="1">
      <formula>ISERROR(T8)</formula>
    </cfRule>
    <cfRule type="notContainsBlanks" dxfId="327" priority="4">
      <formula>LEN(TRIM(T8))&gt;0</formula>
    </cfRule>
  </conditionalFormatting>
  <conditionalFormatting sqref="H7">
    <cfRule type="containsErrors" dxfId="25" priority="1" stopIfTrue="1">
      <formula>ISERROR(H7)</formula>
    </cfRule>
    <cfRule type="notContainsBlanks" dxfId="24" priority="2">
      <formula>LEN(TRIM(H7))&gt;0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F6FDB-8FEE-4B6B-93B4-64C4D4561FB9}">
  <dimension ref="A1:T51"/>
  <sheetViews>
    <sheetView workbookViewId="0">
      <selection activeCell="G3" sqref="G3:G2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498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1055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499</v>
      </c>
      <c r="B4" s="16" t="str">
        <f>TRIM(_xlfn.TEXTAFTER(A3, ":"))</f>
        <v>Utility Flasks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977</v>
      </c>
      <c r="H4" s="16" t="str">
        <f>TRIM(_xlfn.TEXTAFTER(G3, ":"))</f>
        <v>Flacons utilitaires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503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1056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Magic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Magique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504</v>
      </c>
      <c r="B7" s="16"/>
      <c r="C7" s="18"/>
      <c r="D7" s="16"/>
      <c r="E7" s="18"/>
      <c r="F7" s="16"/>
      <c r="G7" s="18" t="s">
        <v>1057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505</v>
      </c>
      <c r="B8" s="16"/>
      <c r="C8" s="18"/>
      <c r="D8" s="16"/>
      <c r="E8" s="18"/>
      <c r="F8" s="16"/>
      <c r="G8" s="18" t="s">
        <v>1058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506</v>
      </c>
      <c r="B9" s="16"/>
      <c r="C9" s="18"/>
      <c r="D9" s="16"/>
      <c r="E9" s="18"/>
      <c r="F9" s="16"/>
      <c r="G9" s="18" t="s">
        <v>1059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501</v>
      </c>
      <c r="B10" s="16"/>
      <c r="C10" s="18"/>
      <c r="D10" s="16"/>
      <c r="E10" s="18"/>
      <c r="F10" s="16"/>
      <c r="G10" s="18" t="s">
        <v>1038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507</v>
      </c>
      <c r="B11" s="16"/>
      <c r="C11" s="18"/>
      <c r="D11" s="16"/>
      <c r="E11" s="18"/>
      <c r="F11" s="16"/>
      <c r="G11" s="18" t="s">
        <v>1060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110</v>
      </c>
      <c r="B13" s="16"/>
      <c r="C13" s="18"/>
      <c r="D13" s="16"/>
      <c r="E13" s="18"/>
      <c r="F13" s="16"/>
      <c r="G13" s="18" t="s">
        <v>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508</v>
      </c>
      <c r="B14" s="16"/>
      <c r="C14" s="18"/>
      <c r="D14" s="16"/>
      <c r="E14" s="18"/>
      <c r="F14" s="16"/>
      <c r="G14" s="18" t="s">
        <v>1061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509</v>
      </c>
      <c r="B16" s="16"/>
      <c r="C16" s="18"/>
      <c r="D16" s="16"/>
      <c r="E16" s="18"/>
      <c r="F16" s="16"/>
      <c r="G16" s="18" t="s">
        <v>1062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510</v>
      </c>
      <c r="B18" s="16"/>
      <c r="C18" s="18"/>
      <c r="D18" s="16"/>
      <c r="E18" s="18"/>
      <c r="F18" s="16"/>
      <c r="G18" s="18" t="s">
        <v>1063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511</v>
      </c>
      <c r="B19" s="16"/>
      <c r="C19" s="18"/>
      <c r="D19" s="16"/>
      <c r="E19" s="18"/>
      <c r="F19" s="16"/>
      <c r="G19" s="18" t="s">
        <v>1064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502</v>
      </c>
      <c r="B21" s="16"/>
      <c r="C21" s="18"/>
      <c r="D21" s="16"/>
      <c r="E21" s="18"/>
      <c r="F21" s="16"/>
      <c r="G21" s="18" t="s">
        <v>1041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26" priority="22" stopIfTrue="1">
      <formula>NOT(ISERROR(A3))</formula>
    </cfRule>
  </conditionalFormatting>
  <conditionalFormatting sqref="A3:T6 A8:T51 A7 C7 E7 G7 I7 K7 M7 O7 Q7 S7">
    <cfRule type="containsErrors" dxfId="325" priority="21" stopIfTrue="1">
      <formula>ISERROR(A3)</formula>
    </cfRule>
    <cfRule type="notContainsBlanks" dxfId="324" priority="23">
      <formula>LEN(TRIM(A3))&gt;0</formula>
    </cfRule>
  </conditionalFormatting>
  <conditionalFormatting sqref="B7">
    <cfRule type="containsErrors" dxfId="323" priority="19" stopIfTrue="1">
      <formula>ISERROR(B7)</formula>
    </cfRule>
    <cfRule type="notContainsBlanks" dxfId="322" priority="20">
      <formula>LEN(TRIM(B7))&gt;0</formula>
    </cfRule>
  </conditionalFormatting>
  <conditionalFormatting sqref="D7">
    <cfRule type="containsErrors" dxfId="321" priority="17" stopIfTrue="1">
      <formula>ISERROR(D7)</formula>
    </cfRule>
    <cfRule type="notContainsBlanks" dxfId="320" priority="18">
      <formula>LEN(TRIM(D7))&gt;0</formula>
    </cfRule>
  </conditionalFormatting>
  <conditionalFormatting sqref="F7">
    <cfRule type="containsErrors" dxfId="319" priority="15" stopIfTrue="1">
      <formula>ISERROR(F7)</formula>
    </cfRule>
    <cfRule type="notContainsBlanks" dxfId="318" priority="16">
      <formula>LEN(TRIM(F7))&gt;0</formula>
    </cfRule>
  </conditionalFormatting>
  <conditionalFormatting sqref="H7">
    <cfRule type="containsErrors" dxfId="317" priority="13" stopIfTrue="1">
      <formula>ISERROR(H7)</formula>
    </cfRule>
    <cfRule type="notContainsBlanks" dxfId="316" priority="14">
      <formula>LEN(TRIM(H7))&gt;0</formula>
    </cfRule>
  </conditionalFormatting>
  <conditionalFormatting sqref="J7">
    <cfRule type="containsErrors" dxfId="315" priority="11" stopIfTrue="1">
      <formula>ISERROR(J7)</formula>
    </cfRule>
    <cfRule type="notContainsBlanks" dxfId="314" priority="12">
      <formula>LEN(TRIM(J7))&gt;0</formula>
    </cfRule>
  </conditionalFormatting>
  <conditionalFormatting sqref="L7">
    <cfRule type="containsErrors" dxfId="313" priority="9" stopIfTrue="1">
      <formula>ISERROR(L7)</formula>
    </cfRule>
    <cfRule type="notContainsBlanks" dxfId="312" priority="10">
      <formula>LEN(TRIM(L7))&gt;0</formula>
    </cfRule>
  </conditionalFormatting>
  <conditionalFormatting sqref="N7">
    <cfRule type="containsErrors" dxfId="311" priority="7" stopIfTrue="1">
      <formula>ISERROR(N7)</formula>
    </cfRule>
    <cfRule type="notContainsBlanks" dxfId="310" priority="8">
      <formula>LEN(TRIM(N7))&gt;0</formula>
    </cfRule>
  </conditionalFormatting>
  <conditionalFormatting sqref="P7">
    <cfRule type="containsErrors" dxfId="309" priority="5" stopIfTrue="1">
      <formula>ISERROR(P7)</formula>
    </cfRule>
    <cfRule type="notContainsBlanks" dxfId="308" priority="6">
      <formula>LEN(TRIM(P7))&gt;0</formula>
    </cfRule>
  </conditionalFormatting>
  <conditionalFormatting sqref="R7">
    <cfRule type="containsErrors" dxfId="307" priority="3" stopIfTrue="1">
      <formula>ISERROR(R7)</formula>
    </cfRule>
    <cfRule type="notContainsBlanks" dxfId="306" priority="4">
      <formula>LEN(TRIM(R7))&gt;0</formula>
    </cfRule>
  </conditionalFormatting>
  <conditionalFormatting sqref="T7">
    <cfRule type="containsErrors" dxfId="305" priority="1" stopIfTrue="1">
      <formula>ISERROR(T7)</formula>
    </cfRule>
    <cfRule type="notContainsBlanks" dxfId="304" priority="2">
      <formula>LEN(TRIM(T7))&gt;0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6D46-CB9F-431A-A937-74D63CA20119}">
  <dimension ref="A1:T51"/>
  <sheetViews>
    <sheetView workbookViewId="0">
      <selection activeCell="G3" sqref="G3:G25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649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1065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Amulets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Amulettes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650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1066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651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1067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110</v>
      </c>
      <c r="B8" s="16"/>
      <c r="C8" s="18"/>
      <c r="D8" s="16"/>
      <c r="E8" s="18"/>
      <c r="F8" s="16"/>
      <c r="G8" s="18" t="s">
        <v>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652</v>
      </c>
      <c r="B9" s="16"/>
      <c r="C9" s="18"/>
      <c r="D9" s="16"/>
      <c r="E9" s="18"/>
      <c r="F9" s="16"/>
      <c r="G9" s="18" t="s">
        <v>1068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653</v>
      </c>
      <c r="B11" s="16"/>
      <c r="C11" s="18"/>
      <c r="D11" s="16"/>
      <c r="E11" s="18"/>
      <c r="F11" s="16"/>
      <c r="G11" s="18" t="s">
        <v>1069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654</v>
      </c>
      <c r="B13" s="16"/>
      <c r="C13" s="18"/>
      <c r="D13" s="16"/>
      <c r="E13" s="18"/>
      <c r="F13" s="16"/>
      <c r="G13" s="18" t="s">
        <v>1070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655</v>
      </c>
      <c r="B15" s="16"/>
      <c r="C15" s="18"/>
      <c r="D15" s="16"/>
      <c r="E15" s="18"/>
      <c r="F15" s="16"/>
      <c r="G15" s="18" t="s">
        <v>1071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656</v>
      </c>
      <c r="B16" s="16"/>
      <c r="C16" s="18"/>
      <c r="D16" s="16"/>
      <c r="E16" s="18"/>
      <c r="F16" s="16"/>
      <c r="G16" s="18" t="s">
        <v>1072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657</v>
      </c>
      <c r="B18" s="16"/>
      <c r="C18" s="18"/>
      <c r="D18" s="16"/>
      <c r="E18" s="18"/>
      <c r="F18" s="16"/>
      <c r="G18" s="18" t="s">
        <v>1073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658</v>
      </c>
      <c r="B19" s="16"/>
      <c r="C19" s="18"/>
      <c r="D19" s="16"/>
      <c r="E19" s="18"/>
      <c r="F19" s="16"/>
      <c r="G19" s="18" t="s">
        <v>1074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659</v>
      </c>
      <c r="B20" s="16"/>
      <c r="C20" s="18"/>
      <c r="D20" s="16"/>
      <c r="E20" s="18"/>
      <c r="F20" s="16"/>
      <c r="G20" s="18" t="s">
        <v>1075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660</v>
      </c>
      <c r="B21" s="16"/>
      <c r="C21" s="18"/>
      <c r="D21" s="16"/>
      <c r="E21" s="18"/>
      <c r="F21" s="16"/>
      <c r="G21" s="18" t="s">
        <v>1076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78</v>
      </c>
      <c r="B23" s="16"/>
      <c r="C23" s="18"/>
      <c r="D23" s="16"/>
      <c r="E23" s="18"/>
      <c r="F23" s="16"/>
      <c r="G23" s="18" t="s">
        <v>914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 t="s">
        <v>661</v>
      </c>
      <c r="B25" s="16"/>
      <c r="C25" s="18"/>
      <c r="D25" s="16"/>
      <c r="E25" s="18"/>
      <c r="F25" s="16"/>
      <c r="G25" s="18" t="s">
        <v>1077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03" priority="2" stopIfTrue="1">
      <formula>NOT(ISERROR(A3))</formula>
    </cfRule>
  </conditionalFormatting>
  <conditionalFormatting sqref="A3:T51">
    <cfRule type="containsErrors" dxfId="302" priority="1" stopIfTrue="1">
      <formula>ISERROR(A3)</formula>
    </cfRule>
    <cfRule type="notContainsBlanks" dxfId="301" priority="3">
      <formula>LEN(TRIM(A3))&gt;0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40A97-B9B9-4642-835F-30572EDF8FFB}">
  <dimension ref="A1:T51"/>
  <sheetViews>
    <sheetView workbookViewId="0">
      <selection activeCell="G3" sqref="G3:G1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542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1078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Rings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Bagues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543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1079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283</v>
      </c>
      <c r="B7" s="16"/>
      <c r="C7" s="18"/>
      <c r="D7" s="16"/>
      <c r="E7" s="18"/>
      <c r="F7" s="16"/>
      <c r="G7" s="18" t="s">
        <v>1027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544</v>
      </c>
      <c r="B9" s="16"/>
      <c r="C9" s="18"/>
      <c r="D9" s="16"/>
      <c r="E9" s="18"/>
      <c r="F9" s="16"/>
      <c r="G9" s="18" t="s">
        <v>1080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75</v>
      </c>
      <c r="B11" s="16" t="str">
        <f>A11</f>
        <v>Unidentified</v>
      </c>
      <c r="C11" s="18"/>
      <c r="D11" s="16">
        <f>C11</f>
        <v>0</v>
      </c>
      <c r="E11" s="18"/>
      <c r="F11" s="16">
        <f>E11</f>
        <v>0</v>
      </c>
      <c r="G11" s="18" t="s">
        <v>1081</v>
      </c>
      <c r="H11" s="16" t="str">
        <f>G11</f>
        <v>Non identifié</v>
      </c>
      <c r="I11" s="18"/>
      <c r="J11" s="16">
        <f>I11</f>
        <v>0</v>
      </c>
      <c r="K11" s="18"/>
      <c r="L11" s="16">
        <f>K11</f>
        <v>0</v>
      </c>
      <c r="M11" s="18"/>
      <c r="N11" s="16">
        <f>M11</f>
        <v>0</v>
      </c>
      <c r="O11" s="18"/>
      <c r="P11" s="16">
        <f>O11</f>
        <v>0</v>
      </c>
      <c r="Q11" s="18"/>
      <c r="R11" s="16">
        <f>Q11</f>
        <v>0</v>
      </c>
      <c r="S11" s="18"/>
      <c r="T11" s="16">
        <f>S11</f>
        <v>0</v>
      </c>
    </row>
    <row r="12" spans="1:20" ht="15.95" customHeight="1" x14ac:dyDescent="0.25">
      <c r="A12" s="18"/>
      <c r="B12" s="16"/>
      <c r="C12" s="18"/>
      <c r="D12" s="16"/>
      <c r="E12" s="18"/>
      <c r="F12" s="16"/>
      <c r="G12" s="18"/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/>
      <c r="B13" s="16"/>
      <c r="C13" s="18"/>
      <c r="D13" s="16"/>
      <c r="E13" s="18"/>
      <c r="F13" s="16"/>
      <c r="G13" s="18"/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/>
      <c r="B14" s="16"/>
      <c r="C14" s="18"/>
      <c r="D14" s="16"/>
      <c r="E14" s="18"/>
      <c r="F14" s="16"/>
      <c r="G14" s="18"/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16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300" priority="2" stopIfTrue="1">
      <formula>NOT(ISERROR(A3))</formula>
    </cfRule>
  </conditionalFormatting>
  <conditionalFormatting sqref="A3:T51">
    <cfRule type="containsErrors" dxfId="299" priority="1" stopIfTrue="1">
      <formula>ISERROR(A3)</formula>
    </cfRule>
    <cfRule type="notContainsBlanks" dxfId="298" priority="3">
      <formula>LEN(TRIM(A3))&gt;0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CD30A-3A72-497F-9F81-E041ECB89468}">
  <dimension ref="A1:T51"/>
  <sheetViews>
    <sheetView workbookViewId="0">
      <selection activeCell="G3" sqref="G3:G25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471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1082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Helmets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Casques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472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472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473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1083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474</v>
      </c>
      <c r="B8" s="16" t="str">
        <f>TRIM(_xlfn.TEXTBEFORE(A8,":"))</f>
        <v>Armour</v>
      </c>
      <c r="C8" s="18"/>
      <c r="D8" s="16" t="e">
        <f>TRIM(_xlfn.TEXTBEFORE(C8,":"))</f>
        <v>#N/A</v>
      </c>
      <c r="E8" s="18"/>
      <c r="F8" s="16" t="e">
        <f>TRIM(_xlfn.TEXTBEFORE(E8,":"))</f>
        <v>#N/A</v>
      </c>
      <c r="G8" s="18" t="s">
        <v>1084</v>
      </c>
      <c r="H8" s="16" t="str">
        <f>TRIM(_xlfn.TEXTBEFORE(G8,":"))</f>
        <v>Armure</v>
      </c>
      <c r="I8" s="18"/>
      <c r="J8" s="16" t="e">
        <f>TRIM(_xlfn.TEXTBEFORE(I8,":"))</f>
        <v>#N/A</v>
      </c>
      <c r="K8" s="18"/>
      <c r="L8" s="16" t="e">
        <f>TRIM(_xlfn.TEXTBEFORE(K8,":"))</f>
        <v>#N/A</v>
      </c>
      <c r="M8" s="18"/>
      <c r="N8" s="16" t="e">
        <f>TRIM(_xlfn.TEXTBEFORE(M8,":"))</f>
        <v>#N/A</v>
      </c>
      <c r="O8" s="18"/>
      <c r="P8" s="16" t="e">
        <f>TRIM(_xlfn.TEXTBEFORE(O8,":"))</f>
        <v>#N/A</v>
      </c>
      <c r="Q8" s="18"/>
      <c r="R8" s="16" t="e">
        <f>TRIM(_xlfn.TEXTBEFORE(Q8,":"))</f>
        <v>#N/A</v>
      </c>
      <c r="S8" s="18"/>
      <c r="T8" s="16" t="e">
        <f>TRIM(_xlfn.TEXTBEFORE(S8,":"))</f>
        <v>#N/A</v>
      </c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475</v>
      </c>
      <c r="B11" s="16"/>
      <c r="C11" s="18"/>
      <c r="D11" s="16"/>
      <c r="E11" s="18"/>
      <c r="F11" s="16"/>
      <c r="G11" s="18" t="s">
        <v>1085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476</v>
      </c>
      <c r="B12" s="16"/>
      <c r="C12" s="18"/>
      <c r="D12" s="16"/>
      <c r="E12" s="18"/>
      <c r="F12" s="16"/>
      <c r="G12" s="18" t="s">
        <v>894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404</v>
      </c>
      <c r="B14" s="16"/>
      <c r="C14" s="18"/>
      <c r="D14" s="16"/>
      <c r="E14" s="18"/>
      <c r="F14" s="16"/>
      <c r="G14" s="18" t="s">
        <v>1086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449</v>
      </c>
      <c r="B16" s="16"/>
      <c r="C16" s="18"/>
      <c r="D16" s="16"/>
      <c r="E16" s="18"/>
      <c r="F16" s="16"/>
      <c r="G16" s="18" t="s">
        <v>7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477</v>
      </c>
      <c r="B18" s="16"/>
      <c r="C18" s="18"/>
      <c r="D18" s="16"/>
      <c r="E18" s="18"/>
      <c r="F18" s="16"/>
      <c r="G18" s="18" t="s">
        <v>1087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478</v>
      </c>
      <c r="B19" s="16"/>
      <c r="C19" s="18"/>
      <c r="D19" s="16"/>
      <c r="E19" s="18"/>
      <c r="F19" s="16"/>
      <c r="G19" s="18" t="s">
        <v>1088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479</v>
      </c>
      <c r="B20" s="16"/>
      <c r="C20" s="18"/>
      <c r="D20" s="16"/>
      <c r="E20" s="18"/>
      <c r="F20" s="16"/>
      <c r="G20" s="18" t="s">
        <v>1089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480</v>
      </c>
      <c r="B21" s="16"/>
      <c r="C21" s="18"/>
      <c r="D21" s="16"/>
      <c r="E21" s="18"/>
      <c r="F21" s="16"/>
      <c r="G21" s="18" t="s">
        <v>1090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481</v>
      </c>
      <c r="B22" s="16"/>
      <c r="C22" s="18"/>
      <c r="D22" s="16"/>
      <c r="E22" s="18"/>
      <c r="F22" s="16"/>
      <c r="G22" s="18" t="s">
        <v>1091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482</v>
      </c>
      <c r="B24" s="16"/>
      <c r="C24" s="18"/>
      <c r="D24" s="16"/>
      <c r="E24" s="18"/>
      <c r="F24" s="16"/>
      <c r="G24" s="18" t="s">
        <v>1092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483</v>
      </c>
      <c r="B25" s="16"/>
      <c r="C25" s="18"/>
      <c r="D25" s="16"/>
      <c r="E25" s="18"/>
      <c r="F25" s="16"/>
      <c r="G25" s="18" t="s">
        <v>1093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297" priority="22" stopIfTrue="1">
      <formula>NOT(ISERROR(A3))</formula>
    </cfRule>
  </conditionalFormatting>
  <conditionalFormatting sqref="A3:T7 A9:T51 A8 C8 E8 G8 I8 K8 M8 O8 Q8 S8">
    <cfRule type="containsErrors" dxfId="296" priority="21" stopIfTrue="1">
      <formula>ISERROR(A3)</formula>
    </cfRule>
    <cfRule type="notContainsBlanks" dxfId="295" priority="23">
      <formula>LEN(TRIM(A3))&gt;0</formula>
    </cfRule>
  </conditionalFormatting>
  <conditionalFormatting sqref="B8">
    <cfRule type="containsErrors" dxfId="294" priority="19" stopIfTrue="1">
      <formula>ISERROR(B8)</formula>
    </cfRule>
    <cfRule type="notContainsBlanks" dxfId="293" priority="20">
      <formula>LEN(TRIM(B8))&gt;0</formula>
    </cfRule>
  </conditionalFormatting>
  <conditionalFormatting sqref="D8">
    <cfRule type="containsErrors" dxfId="292" priority="17" stopIfTrue="1">
      <formula>ISERROR(D8)</formula>
    </cfRule>
    <cfRule type="notContainsBlanks" dxfId="291" priority="18">
      <formula>LEN(TRIM(D8))&gt;0</formula>
    </cfRule>
  </conditionalFormatting>
  <conditionalFormatting sqref="F8">
    <cfRule type="containsErrors" dxfId="290" priority="15" stopIfTrue="1">
      <formula>ISERROR(F8)</formula>
    </cfRule>
    <cfRule type="notContainsBlanks" dxfId="289" priority="16">
      <formula>LEN(TRIM(F8))&gt;0</formula>
    </cfRule>
  </conditionalFormatting>
  <conditionalFormatting sqref="H8">
    <cfRule type="containsErrors" dxfId="288" priority="13" stopIfTrue="1">
      <formula>ISERROR(H8)</formula>
    </cfRule>
    <cfRule type="notContainsBlanks" dxfId="287" priority="14">
      <formula>LEN(TRIM(H8))&gt;0</formula>
    </cfRule>
  </conditionalFormatting>
  <conditionalFormatting sqref="J8">
    <cfRule type="containsErrors" dxfId="286" priority="11" stopIfTrue="1">
      <formula>ISERROR(J8)</formula>
    </cfRule>
    <cfRule type="notContainsBlanks" dxfId="285" priority="12">
      <formula>LEN(TRIM(J8))&gt;0</formula>
    </cfRule>
  </conditionalFormatting>
  <conditionalFormatting sqref="L8">
    <cfRule type="containsErrors" dxfId="284" priority="9" stopIfTrue="1">
      <formula>ISERROR(L8)</formula>
    </cfRule>
    <cfRule type="notContainsBlanks" dxfId="283" priority="10">
      <formula>LEN(TRIM(L8))&gt;0</formula>
    </cfRule>
  </conditionalFormatting>
  <conditionalFormatting sqref="N8">
    <cfRule type="containsErrors" dxfId="282" priority="7" stopIfTrue="1">
      <formula>ISERROR(N8)</formula>
    </cfRule>
    <cfRule type="notContainsBlanks" dxfId="281" priority="8">
      <formula>LEN(TRIM(N8))&gt;0</formula>
    </cfRule>
  </conditionalFormatting>
  <conditionalFormatting sqref="P8">
    <cfRule type="containsErrors" dxfId="280" priority="5" stopIfTrue="1">
      <formula>ISERROR(P8)</formula>
    </cfRule>
    <cfRule type="notContainsBlanks" dxfId="279" priority="6">
      <formula>LEN(TRIM(P8))&gt;0</formula>
    </cfRule>
  </conditionalFormatting>
  <conditionalFormatting sqref="R8">
    <cfRule type="containsErrors" dxfId="278" priority="3" stopIfTrue="1">
      <formula>ISERROR(R8)</formula>
    </cfRule>
    <cfRule type="notContainsBlanks" dxfId="277" priority="4">
      <formula>LEN(TRIM(R8))&gt;0</formula>
    </cfRule>
  </conditionalFormatting>
  <conditionalFormatting sqref="T8">
    <cfRule type="containsErrors" dxfId="276" priority="1" stopIfTrue="1">
      <formula>ISERROR(T8)</formula>
    </cfRule>
    <cfRule type="notContainsBlanks" dxfId="275" priority="2">
      <formula>LEN(TRIM(T8))&gt;0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FCD8A-1847-422E-9A94-9BB0EB317D4B}">
  <dimension ref="A1:T51"/>
  <sheetViews>
    <sheetView workbookViewId="0">
      <selection activeCell="G8" sqref="G8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456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1094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Body Armours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Armures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457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1095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458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1096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459</v>
      </c>
      <c r="B8" s="16" t="str">
        <f>TRIM(_xlfn.TEXTBEFORE(A8,":"))</f>
        <v>Evasion Rating</v>
      </c>
      <c r="C8" s="18"/>
      <c r="D8" s="16" t="e">
        <f>TRIM(_xlfn.TEXTBEFORE(C8,":"))</f>
        <v>#N/A</v>
      </c>
      <c r="E8" s="18"/>
      <c r="F8" s="16" t="e">
        <f>TRIM(_xlfn.TEXTBEFORE(E8,":"))</f>
        <v>#N/A</v>
      </c>
      <c r="G8" s="18" t="s">
        <v>1097</v>
      </c>
      <c r="H8" s="16" t="str">
        <f>TRIM(_xlfn.TEXTBEFORE(G8,":"))</f>
        <v>Score d'Évasion</v>
      </c>
      <c r="I8" s="18"/>
      <c r="J8" s="16" t="e">
        <f>TRIM(_xlfn.TEXTBEFORE(I8,":"))</f>
        <v>#N/A</v>
      </c>
      <c r="K8" s="18"/>
      <c r="L8" s="16" t="e">
        <f>TRIM(_xlfn.TEXTBEFORE(K8,":"))</f>
        <v>#N/A</v>
      </c>
      <c r="M8" s="18"/>
      <c r="N8" s="16" t="e">
        <f>TRIM(_xlfn.TEXTBEFORE(M8,":"))</f>
        <v>#N/A</v>
      </c>
      <c r="O8" s="18"/>
      <c r="P8" s="16" t="e">
        <f>TRIM(_xlfn.TEXTBEFORE(O8,":"))</f>
        <v>#N/A</v>
      </c>
      <c r="Q8" s="18"/>
      <c r="R8" s="16" t="e">
        <f>TRIM(_xlfn.TEXTBEFORE(Q8,":"))</f>
        <v>#N/A</v>
      </c>
      <c r="S8" s="18"/>
      <c r="T8" s="16" t="e">
        <f>TRIM(_xlfn.TEXTBEFORE(S8,":"))</f>
        <v>#N/A</v>
      </c>
    </row>
    <row r="9" spans="1:20" ht="15.95" customHeight="1" x14ac:dyDescent="0.25">
      <c r="A9" s="18" t="s">
        <v>460</v>
      </c>
      <c r="B9" s="16" t="str">
        <f>TRIM(_xlfn.TEXTBEFORE(A9,":"))</f>
        <v>Energy Shield</v>
      </c>
      <c r="C9" s="18"/>
      <c r="D9" s="16" t="e">
        <f>TRIM(_xlfn.TEXTBEFORE(C9,":"))</f>
        <v>#N/A</v>
      </c>
      <c r="E9" s="18"/>
      <c r="F9" s="16" t="e">
        <f>TRIM(_xlfn.TEXTBEFORE(E9,":"))</f>
        <v>#N/A</v>
      </c>
      <c r="G9" s="18" t="s">
        <v>1098</v>
      </c>
      <c r="H9" s="16" t="str">
        <f>TRIM(_xlfn.TEXTBEFORE(G9,":"))</f>
        <v>Bouclier d'énergie</v>
      </c>
      <c r="I9" s="18"/>
      <c r="J9" s="16" t="e">
        <f>TRIM(_xlfn.TEXTBEFORE(I9,":"))</f>
        <v>#N/A</v>
      </c>
      <c r="K9" s="18"/>
      <c r="L9" s="16" t="e">
        <f>TRIM(_xlfn.TEXTBEFORE(K9,":"))</f>
        <v>#N/A</v>
      </c>
      <c r="M9" s="18"/>
      <c r="N9" s="16" t="e">
        <f>TRIM(_xlfn.TEXTBEFORE(M9,":"))</f>
        <v>#N/A</v>
      </c>
      <c r="O9" s="18"/>
      <c r="P9" s="16" t="e">
        <f>TRIM(_xlfn.TEXTBEFORE(O9,":"))</f>
        <v>#N/A</v>
      </c>
      <c r="Q9" s="18"/>
      <c r="R9" s="16" t="e">
        <f>TRIM(_xlfn.TEXTBEFORE(Q9,":"))</f>
        <v>#N/A</v>
      </c>
      <c r="S9" s="18"/>
      <c r="T9" s="16" t="e">
        <f>TRIM(_xlfn.TEXTBEFORE(S9,":"))</f>
        <v>#N/A</v>
      </c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110</v>
      </c>
      <c r="B11" s="16"/>
      <c r="C11" s="18"/>
      <c r="D11" s="16"/>
      <c r="E11" s="18"/>
      <c r="F11" s="16"/>
      <c r="G11" s="18" t="s">
        <v>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136</v>
      </c>
      <c r="B12" s="16"/>
      <c r="C12" s="18"/>
      <c r="D12" s="16"/>
      <c r="E12" s="18"/>
      <c r="F12" s="16"/>
      <c r="G12" s="18" t="s">
        <v>893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258</v>
      </c>
      <c r="B13" s="16"/>
      <c r="C13" s="18"/>
      <c r="D13" s="16"/>
      <c r="E13" s="18"/>
      <c r="F13" s="16"/>
      <c r="G13" s="18" t="s">
        <v>258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461</v>
      </c>
      <c r="B14" s="16"/>
      <c r="C14" s="18"/>
      <c r="D14" s="16"/>
      <c r="E14" s="18"/>
      <c r="F14" s="16"/>
      <c r="G14" s="18" t="s">
        <v>461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387</v>
      </c>
      <c r="B16" s="16"/>
      <c r="C16" s="18"/>
      <c r="D16" s="16"/>
      <c r="E16" s="18"/>
      <c r="F16" s="16"/>
      <c r="G16" s="18" t="s">
        <v>1099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462</v>
      </c>
      <c r="B18" s="16"/>
      <c r="C18" s="18"/>
      <c r="D18" s="16"/>
      <c r="E18" s="18"/>
      <c r="F18" s="16"/>
      <c r="G18" s="18" t="s">
        <v>996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463</v>
      </c>
      <c r="B20" s="16"/>
      <c r="C20" s="18"/>
      <c r="D20" s="16"/>
      <c r="E20" s="18"/>
      <c r="F20" s="16"/>
      <c r="G20" s="18" t="s">
        <v>1100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464</v>
      </c>
      <c r="B21" s="16"/>
      <c r="C21" s="18"/>
      <c r="D21" s="16"/>
      <c r="E21" s="18"/>
      <c r="F21" s="16"/>
      <c r="G21" s="18" t="s">
        <v>1101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465</v>
      </c>
      <c r="B22" s="16"/>
      <c r="C22" s="18"/>
      <c r="D22" s="16"/>
      <c r="E22" s="18"/>
      <c r="F22" s="16"/>
      <c r="G22" s="18" t="s">
        <v>1102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466</v>
      </c>
      <c r="B23" s="16"/>
      <c r="C23" s="18"/>
      <c r="D23" s="16"/>
      <c r="E23" s="18"/>
      <c r="F23" s="16"/>
      <c r="G23" s="18" t="s">
        <v>1103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467</v>
      </c>
      <c r="B24" s="16"/>
      <c r="C24" s="18"/>
      <c r="D24" s="16"/>
      <c r="E24" s="18"/>
      <c r="F24" s="16"/>
      <c r="G24" s="18" t="s">
        <v>1104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468</v>
      </c>
      <c r="B25" s="16"/>
      <c r="C25" s="18"/>
      <c r="D25" s="16"/>
      <c r="E25" s="18"/>
      <c r="F25" s="16"/>
      <c r="G25" s="18" t="s">
        <v>468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4</v>
      </c>
      <c r="B26" s="16"/>
      <c r="C26" s="18"/>
      <c r="D26" s="16"/>
      <c r="E26" s="18"/>
      <c r="F26" s="16"/>
      <c r="G26" s="18" t="s">
        <v>4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469</v>
      </c>
      <c r="B27" s="16"/>
      <c r="C27" s="18"/>
      <c r="D27" s="16"/>
      <c r="E27" s="18"/>
      <c r="F27" s="16"/>
      <c r="G27" s="18" t="s">
        <v>1105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470</v>
      </c>
      <c r="B28" s="16"/>
      <c r="C28" s="18"/>
      <c r="D28" s="16"/>
      <c r="E28" s="18"/>
      <c r="F28" s="16"/>
      <c r="G28" s="18" t="s">
        <v>1106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 t="s">
        <v>1107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274" priority="42" stopIfTrue="1">
      <formula>NOT(ISERROR(A3))</formula>
    </cfRule>
  </conditionalFormatting>
  <conditionalFormatting sqref="A3:T7 A10:T51 A8:A9 C8:C9 E8:E9 G8:G9 I8:I9 K8:K9 M8:M9 O8:O9 Q8:Q9 S8:S9">
    <cfRule type="containsErrors" dxfId="273" priority="41" stopIfTrue="1">
      <formula>ISERROR(A3)</formula>
    </cfRule>
    <cfRule type="notContainsBlanks" dxfId="272" priority="43">
      <formula>LEN(TRIM(A3))&gt;0</formula>
    </cfRule>
  </conditionalFormatting>
  <conditionalFormatting sqref="B8">
    <cfRule type="containsErrors" dxfId="271" priority="39" stopIfTrue="1">
      <formula>ISERROR(B8)</formula>
    </cfRule>
    <cfRule type="notContainsBlanks" dxfId="270" priority="40">
      <formula>LEN(TRIM(B8))&gt;0</formula>
    </cfRule>
  </conditionalFormatting>
  <conditionalFormatting sqref="B9">
    <cfRule type="containsErrors" dxfId="269" priority="37" stopIfTrue="1">
      <formula>ISERROR(B9)</formula>
    </cfRule>
    <cfRule type="notContainsBlanks" dxfId="268" priority="38">
      <formula>LEN(TRIM(B9))&gt;0</formula>
    </cfRule>
  </conditionalFormatting>
  <conditionalFormatting sqref="D8">
    <cfRule type="containsErrors" dxfId="267" priority="35" stopIfTrue="1">
      <formula>ISERROR(D8)</formula>
    </cfRule>
    <cfRule type="notContainsBlanks" dxfId="266" priority="36">
      <formula>LEN(TRIM(D8))&gt;0</formula>
    </cfRule>
  </conditionalFormatting>
  <conditionalFormatting sqref="D9">
    <cfRule type="containsErrors" dxfId="265" priority="33" stopIfTrue="1">
      <formula>ISERROR(D9)</formula>
    </cfRule>
    <cfRule type="notContainsBlanks" dxfId="264" priority="34">
      <formula>LEN(TRIM(D9))&gt;0</formula>
    </cfRule>
  </conditionalFormatting>
  <conditionalFormatting sqref="F8">
    <cfRule type="containsErrors" dxfId="263" priority="31" stopIfTrue="1">
      <formula>ISERROR(F8)</formula>
    </cfRule>
    <cfRule type="notContainsBlanks" dxfId="262" priority="32">
      <formula>LEN(TRIM(F8))&gt;0</formula>
    </cfRule>
  </conditionalFormatting>
  <conditionalFormatting sqref="F9">
    <cfRule type="containsErrors" dxfId="261" priority="29" stopIfTrue="1">
      <formula>ISERROR(F9)</formula>
    </cfRule>
    <cfRule type="notContainsBlanks" dxfId="260" priority="30">
      <formula>LEN(TRIM(F9))&gt;0</formula>
    </cfRule>
  </conditionalFormatting>
  <conditionalFormatting sqref="H8">
    <cfRule type="containsErrors" dxfId="259" priority="27" stopIfTrue="1">
      <formula>ISERROR(H8)</formula>
    </cfRule>
    <cfRule type="notContainsBlanks" dxfId="258" priority="28">
      <formula>LEN(TRIM(H8))&gt;0</formula>
    </cfRule>
  </conditionalFormatting>
  <conditionalFormatting sqref="H9">
    <cfRule type="containsErrors" dxfId="257" priority="25" stopIfTrue="1">
      <formula>ISERROR(H9)</formula>
    </cfRule>
    <cfRule type="notContainsBlanks" dxfId="256" priority="26">
      <formula>LEN(TRIM(H9))&gt;0</formula>
    </cfRule>
  </conditionalFormatting>
  <conditionalFormatting sqref="J8">
    <cfRule type="containsErrors" dxfId="255" priority="23" stopIfTrue="1">
      <formula>ISERROR(J8)</formula>
    </cfRule>
    <cfRule type="notContainsBlanks" dxfId="254" priority="24">
      <formula>LEN(TRIM(J8))&gt;0</formula>
    </cfRule>
  </conditionalFormatting>
  <conditionalFormatting sqref="J9">
    <cfRule type="containsErrors" dxfId="253" priority="21" stopIfTrue="1">
      <formula>ISERROR(J9)</formula>
    </cfRule>
    <cfRule type="notContainsBlanks" dxfId="252" priority="22">
      <formula>LEN(TRIM(J9))&gt;0</formula>
    </cfRule>
  </conditionalFormatting>
  <conditionalFormatting sqref="L8">
    <cfRule type="containsErrors" dxfId="251" priority="19" stopIfTrue="1">
      <formula>ISERROR(L8)</formula>
    </cfRule>
    <cfRule type="notContainsBlanks" dxfId="250" priority="20">
      <formula>LEN(TRIM(L8))&gt;0</formula>
    </cfRule>
  </conditionalFormatting>
  <conditionalFormatting sqref="L9">
    <cfRule type="containsErrors" dxfId="249" priority="17" stopIfTrue="1">
      <formula>ISERROR(L9)</formula>
    </cfRule>
    <cfRule type="notContainsBlanks" dxfId="248" priority="18">
      <formula>LEN(TRIM(L9))&gt;0</formula>
    </cfRule>
  </conditionalFormatting>
  <conditionalFormatting sqref="N8">
    <cfRule type="containsErrors" dxfId="247" priority="15" stopIfTrue="1">
      <formula>ISERROR(N8)</formula>
    </cfRule>
    <cfRule type="notContainsBlanks" dxfId="246" priority="16">
      <formula>LEN(TRIM(N8))&gt;0</formula>
    </cfRule>
  </conditionalFormatting>
  <conditionalFormatting sqref="N9">
    <cfRule type="containsErrors" dxfId="245" priority="13" stopIfTrue="1">
      <formula>ISERROR(N9)</formula>
    </cfRule>
    <cfRule type="notContainsBlanks" dxfId="244" priority="14">
      <formula>LEN(TRIM(N9))&gt;0</formula>
    </cfRule>
  </conditionalFormatting>
  <conditionalFormatting sqref="P8">
    <cfRule type="containsErrors" dxfId="243" priority="11" stopIfTrue="1">
      <formula>ISERROR(P8)</formula>
    </cfRule>
    <cfRule type="notContainsBlanks" dxfId="242" priority="12">
      <formula>LEN(TRIM(P8))&gt;0</formula>
    </cfRule>
  </conditionalFormatting>
  <conditionalFormatting sqref="P9">
    <cfRule type="containsErrors" dxfId="241" priority="9" stopIfTrue="1">
      <formula>ISERROR(P9)</formula>
    </cfRule>
    <cfRule type="notContainsBlanks" dxfId="240" priority="10">
      <formula>LEN(TRIM(P9))&gt;0</formula>
    </cfRule>
  </conditionalFormatting>
  <conditionalFormatting sqref="R8">
    <cfRule type="containsErrors" dxfId="239" priority="7" stopIfTrue="1">
      <formula>ISERROR(R8)</formula>
    </cfRule>
    <cfRule type="notContainsBlanks" dxfId="238" priority="8">
      <formula>LEN(TRIM(R8))&gt;0</formula>
    </cfRule>
  </conditionalFormatting>
  <conditionalFormatting sqref="R9">
    <cfRule type="containsErrors" dxfId="237" priority="5" stopIfTrue="1">
      <formula>ISERROR(R9)</formula>
    </cfRule>
    <cfRule type="notContainsBlanks" dxfId="236" priority="6">
      <formula>LEN(TRIM(R9))&gt;0</formula>
    </cfRule>
  </conditionalFormatting>
  <conditionalFormatting sqref="T8">
    <cfRule type="containsErrors" dxfId="235" priority="3" stopIfTrue="1">
      <formula>ISERROR(T8)</formula>
    </cfRule>
    <cfRule type="notContainsBlanks" dxfId="234" priority="4">
      <formula>LEN(TRIM(T8))&gt;0</formula>
    </cfRule>
  </conditionalFormatting>
  <conditionalFormatting sqref="T9">
    <cfRule type="containsErrors" dxfId="233" priority="1" stopIfTrue="1">
      <formula>ISERROR(T9)</formula>
    </cfRule>
    <cfRule type="notContainsBlanks" dxfId="232" priority="2">
      <formula>LEN(TRIM(T9))&gt;0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C07C-739B-44AE-BF9F-7B538DEE66FD}">
  <dimension ref="A1:T51"/>
  <sheetViews>
    <sheetView workbookViewId="0">
      <selection activeCell="G3" sqref="G3:G29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484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1108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Shields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Boucliers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485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1109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486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1110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487</v>
      </c>
      <c r="B8" s="16" t="str">
        <f>TRIM(_xlfn.TEXTBEFORE(A8,":"))</f>
        <v>Chance to Block</v>
      </c>
      <c r="C8" s="18"/>
      <c r="D8" s="16" t="e">
        <f>TRIM(_xlfn.TEXTBEFORE(C8,":"))</f>
        <v>#N/A</v>
      </c>
      <c r="E8" s="18"/>
      <c r="F8" s="16" t="e">
        <f>TRIM(_xlfn.TEXTBEFORE(E8,":"))</f>
        <v>#N/A</v>
      </c>
      <c r="G8" s="18" t="s">
        <v>1111</v>
      </c>
      <c r="H8" s="16" t="str">
        <f>TRIM(_xlfn.TEXTBEFORE(G8,":"))</f>
        <v>Chances de blocage</v>
      </c>
      <c r="I8" s="18"/>
      <c r="J8" s="16" t="e">
        <f>TRIM(_xlfn.TEXTBEFORE(I8,":"))</f>
        <v>#N/A</v>
      </c>
      <c r="K8" s="18"/>
      <c r="L8" s="16" t="e">
        <f>TRIM(_xlfn.TEXTBEFORE(K8,":"))</f>
        <v>#N/A</v>
      </c>
      <c r="M8" s="18"/>
      <c r="N8" s="16" t="e">
        <f>TRIM(_xlfn.TEXTBEFORE(M8,":"))</f>
        <v>#N/A</v>
      </c>
      <c r="O8" s="18"/>
      <c r="P8" s="16" t="e">
        <f>TRIM(_xlfn.TEXTBEFORE(O8,":"))</f>
        <v>#N/A</v>
      </c>
      <c r="Q8" s="18"/>
      <c r="R8" s="16" t="e">
        <f>TRIM(_xlfn.TEXTBEFORE(Q8,":"))</f>
        <v>#N/A</v>
      </c>
      <c r="S8" s="18"/>
      <c r="T8" s="16" t="e">
        <f>TRIM(_xlfn.TEXTBEFORE(S8,":"))</f>
        <v>#N/A</v>
      </c>
    </row>
    <row r="9" spans="1:20" ht="15.95" customHeight="1" x14ac:dyDescent="0.25">
      <c r="A9" s="18" t="s">
        <v>488</v>
      </c>
      <c r="B9" s="16"/>
      <c r="C9" s="18"/>
      <c r="D9" s="16"/>
      <c r="E9" s="18"/>
      <c r="F9" s="16"/>
      <c r="G9" s="18" t="s">
        <v>1112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110</v>
      </c>
      <c r="B11" s="16"/>
      <c r="C11" s="18"/>
      <c r="D11" s="16"/>
      <c r="E11" s="18"/>
      <c r="F11" s="16"/>
      <c r="G11" s="18" t="s">
        <v>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475</v>
      </c>
      <c r="B12" s="16"/>
      <c r="C12" s="18"/>
      <c r="D12" s="16"/>
      <c r="E12" s="18"/>
      <c r="F12" s="16"/>
      <c r="G12" s="18" t="s">
        <v>1085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489</v>
      </c>
      <c r="B13" s="16"/>
      <c r="C13" s="18"/>
      <c r="D13" s="16"/>
      <c r="E13" s="18"/>
      <c r="F13" s="16"/>
      <c r="G13" s="18" t="s">
        <v>489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320</v>
      </c>
      <c r="B15" s="16"/>
      <c r="C15" s="18"/>
      <c r="D15" s="16"/>
      <c r="E15" s="18"/>
      <c r="F15" s="16"/>
      <c r="G15" s="18" t="s">
        <v>1113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283</v>
      </c>
      <c r="B17" s="16"/>
      <c r="C17" s="18"/>
      <c r="D17" s="16"/>
      <c r="E17" s="18"/>
      <c r="F17" s="16"/>
      <c r="G17" s="18" t="s">
        <v>1027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490</v>
      </c>
      <c r="B19" s="16"/>
      <c r="C19" s="18"/>
      <c r="D19" s="16"/>
      <c r="E19" s="18"/>
      <c r="F19" s="16"/>
      <c r="G19" s="18" t="s">
        <v>1114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491</v>
      </c>
      <c r="B21" s="16"/>
      <c r="C21" s="18"/>
      <c r="D21" s="16"/>
      <c r="E21" s="18"/>
      <c r="F21" s="16"/>
      <c r="G21" s="18" t="s">
        <v>1115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266</v>
      </c>
      <c r="B22" s="16"/>
      <c r="C22" s="18"/>
      <c r="D22" s="16"/>
      <c r="E22" s="18"/>
      <c r="F22" s="16"/>
      <c r="G22" s="18" t="s">
        <v>1116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492</v>
      </c>
      <c r="B23" s="16"/>
      <c r="C23" s="18"/>
      <c r="D23" s="16"/>
      <c r="E23" s="18"/>
      <c r="F23" s="16"/>
      <c r="G23" s="18" t="s">
        <v>1117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493</v>
      </c>
      <c r="B24" s="16"/>
      <c r="C24" s="18"/>
      <c r="D24" s="16"/>
      <c r="E24" s="18"/>
      <c r="F24" s="16"/>
      <c r="G24" s="18" t="s">
        <v>1118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494</v>
      </c>
      <c r="B25" s="16"/>
      <c r="C25" s="18"/>
      <c r="D25" s="16"/>
      <c r="E25" s="18"/>
      <c r="F25" s="16"/>
      <c r="G25" s="18" t="s">
        <v>1119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495</v>
      </c>
      <c r="B26" s="16"/>
      <c r="C26" s="18"/>
      <c r="D26" s="16"/>
      <c r="E26" s="18"/>
      <c r="F26" s="16"/>
      <c r="G26" s="18" t="s">
        <v>1120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4</v>
      </c>
      <c r="B27" s="16"/>
      <c r="C27" s="18"/>
      <c r="D27" s="16"/>
      <c r="E27" s="18"/>
      <c r="F27" s="16"/>
      <c r="G27" s="18" t="s">
        <v>4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496</v>
      </c>
      <c r="B28" s="16"/>
      <c r="C28" s="18"/>
      <c r="D28" s="16"/>
      <c r="E28" s="18"/>
      <c r="F28" s="16"/>
      <c r="G28" s="18" t="s">
        <v>1121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497</v>
      </c>
      <c r="B29" s="16"/>
      <c r="C29" s="18"/>
      <c r="D29" s="16"/>
      <c r="E29" s="18"/>
      <c r="F29" s="16"/>
      <c r="G29" s="18" t="s">
        <v>1122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231" priority="22" stopIfTrue="1">
      <formula>NOT(ISERROR(A3))</formula>
    </cfRule>
  </conditionalFormatting>
  <conditionalFormatting sqref="A3:T7 A9:T51 A8 C8 E8 G8 I8 K8 M8 O8 Q8 S8">
    <cfRule type="containsErrors" dxfId="230" priority="21" stopIfTrue="1">
      <formula>ISERROR(A3)</formula>
    </cfRule>
    <cfRule type="notContainsBlanks" dxfId="229" priority="23">
      <formula>LEN(TRIM(A3))&gt;0</formula>
    </cfRule>
  </conditionalFormatting>
  <conditionalFormatting sqref="B8">
    <cfRule type="containsErrors" dxfId="228" priority="19" stopIfTrue="1">
      <formula>ISERROR(B8)</formula>
    </cfRule>
    <cfRule type="notContainsBlanks" dxfId="227" priority="20">
      <formula>LEN(TRIM(B8))&gt;0</formula>
    </cfRule>
  </conditionalFormatting>
  <conditionalFormatting sqref="D8">
    <cfRule type="containsErrors" dxfId="226" priority="17" stopIfTrue="1">
      <formula>ISERROR(D8)</formula>
    </cfRule>
    <cfRule type="notContainsBlanks" dxfId="225" priority="18">
      <formula>LEN(TRIM(D8))&gt;0</formula>
    </cfRule>
  </conditionalFormatting>
  <conditionalFormatting sqref="F8">
    <cfRule type="containsErrors" dxfId="224" priority="15" stopIfTrue="1">
      <formula>ISERROR(F8)</formula>
    </cfRule>
    <cfRule type="notContainsBlanks" dxfId="223" priority="16">
      <formula>LEN(TRIM(F8))&gt;0</formula>
    </cfRule>
  </conditionalFormatting>
  <conditionalFormatting sqref="H8">
    <cfRule type="containsErrors" dxfId="222" priority="13" stopIfTrue="1">
      <formula>ISERROR(H8)</formula>
    </cfRule>
    <cfRule type="notContainsBlanks" dxfId="221" priority="14">
      <formula>LEN(TRIM(H8))&gt;0</formula>
    </cfRule>
  </conditionalFormatting>
  <conditionalFormatting sqref="J8">
    <cfRule type="containsErrors" dxfId="220" priority="11" stopIfTrue="1">
      <formula>ISERROR(J8)</formula>
    </cfRule>
    <cfRule type="notContainsBlanks" dxfId="219" priority="12">
      <formula>LEN(TRIM(J8))&gt;0</formula>
    </cfRule>
  </conditionalFormatting>
  <conditionalFormatting sqref="L8">
    <cfRule type="containsErrors" dxfId="218" priority="9" stopIfTrue="1">
      <formula>ISERROR(L8)</formula>
    </cfRule>
    <cfRule type="notContainsBlanks" dxfId="217" priority="10">
      <formula>LEN(TRIM(L8))&gt;0</formula>
    </cfRule>
  </conditionalFormatting>
  <conditionalFormatting sqref="N8">
    <cfRule type="containsErrors" dxfId="216" priority="7" stopIfTrue="1">
      <formula>ISERROR(N8)</formula>
    </cfRule>
    <cfRule type="notContainsBlanks" dxfId="215" priority="8">
      <formula>LEN(TRIM(N8))&gt;0</formula>
    </cfRule>
  </conditionalFormatting>
  <conditionalFormatting sqref="P8">
    <cfRule type="containsErrors" dxfId="214" priority="5" stopIfTrue="1">
      <formula>ISERROR(P8)</formula>
    </cfRule>
    <cfRule type="notContainsBlanks" dxfId="213" priority="6">
      <formula>LEN(TRIM(P8))&gt;0</formula>
    </cfRule>
  </conditionalFormatting>
  <conditionalFormatting sqref="R8">
    <cfRule type="containsErrors" dxfId="212" priority="3" stopIfTrue="1">
      <formula>ISERROR(R8)</formula>
    </cfRule>
    <cfRule type="notContainsBlanks" dxfId="211" priority="4">
      <formula>LEN(TRIM(R8))&gt;0</formula>
    </cfRule>
  </conditionalFormatting>
  <conditionalFormatting sqref="T8">
    <cfRule type="containsErrors" dxfId="210" priority="1" stopIfTrue="1">
      <formula>ISERROR(T8)</formula>
    </cfRule>
    <cfRule type="notContainsBlanks" dxfId="209" priority="2">
      <formula>LEN(TRIM(T8))&gt;0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B8DFC-8F1E-4F38-B9BB-3DFA33F06B83}">
  <dimension ref="A1:T51"/>
  <sheetViews>
    <sheetView workbookViewId="0">
      <selection activeCell="G3" sqref="G3:G3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149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1123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Rune Daggers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Dagues runiques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150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1124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151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1125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152</v>
      </c>
      <c r="B8" s="16"/>
      <c r="C8" s="18"/>
      <c r="D8" s="16"/>
      <c r="E8" s="18"/>
      <c r="F8" s="16"/>
      <c r="G8" s="18" t="s">
        <v>1126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153</v>
      </c>
      <c r="B9" s="16" t="str">
        <f>TRIM(_xlfn.TEXTBEFORE(A9,":"))</f>
        <v>Physical Damage</v>
      </c>
      <c r="C9" s="18"/>
      <c r="D9" s="16" t="e">
        <f>TRIM(_xlfn.TEXTBEFORE(C9,":"))</f>
        <v>#N/A</v>
      </c>
      <c r="E9" s="18"/>
      <c r="F9" s="16" t="e">
        <f>TRIM(_xlfn.TEXTBEFORE(E9,":"))</f>
        <v>#N/A</v>
      </c>
      <c r="G9" s="18" t="s">
        <v>1127</v>
      </c>
      <c r="H9" s="16" t="str">
        <f>TRIM(_xlfn.TEXTBEFORE(G9,":"))</f>
        <v>Dégâts physiques</v>
      </c>
      <c r="I9" s="18"/>
      <c r="J9" s="16" t="e">
        <f>TRIM(_xlfn.TEXTBEFORE(I9,":"))</f>
        <v>#N/A</v>
      </c>
      <c r="K9" s="18"/>
      <c r="L9" s="16" t="e">
        <f>TRIM(_xlfn.TEXTBEFORE(K9,":"))</f>
        <v>#N/A</v>
      </c>
      <c r="M9" s="18"/>
      <c r="N9" s="16" t="e">
        <f>TRIM(_xlfn.TEXTBEFORE(M9,":"))</f>
        <v>#N/A</v>
      </c>
      <c r="O9" s="18"/>
      <c r="P9" s="16" t="e">
        <f>TRIM(_xlfn.TEXTBEFORE(O9,":"))</f>
        <v>#N/A</v>
      </c>
      <c r="Q9" s="18"/>
      <c r="R9" s="16" t="e">
        <f>TRIM(_xlfn.TEXTBEFORE(Q9,":"))</f>
        <v>#N/A</v>
      </c>
      <c r="S9" s="18"/>
      <c r="T9" s="16" t="e">
        <f>TRIM(_xlfn.TEXTBEFORE(S9,":"))</f>
        <v>#N/A</v>
      </c>
    </row>
    <row r="10" spans="1:20" ht="15.95" customHeight="1" x14ac:dyDescent="0.25">
      <c r="A10" s="18" t="s">
        <v>154</v>
      </c>
      <c r="B10" s="16" t="str">
        <f>TRIM(_xlfn.TEXTBEFORE(A10,":"))</f>
        <v>Elemental Damage</v>
      </c>
      <c r="C10" s="18"/>
      <c r="D10" s="16" t="e">
        <f>TRIM(_xlfn.TEXTBEFORE(C10,":"))</f>
        <v>#N/A</v>
      </c>
      <c r="E10" s="18"/>
      <c r="F10" s="16" t="e">
        <f>TRIM(_xlfn.TEXTBEFORE(E10,":"))</f>
        <v>#N/A</v>
      </c>
      <c r="G10" s="18" t="s">
        <v>1128</v>
      </c>
      <c r="H10" s="16" t="str">
        <f>TRIM(_xlfn.TEXTBEFORE(G10,":"))</f>
        <v>Dégâts élémentaires</v>
      </c>
      <c r="I10" s="18"/>
      <c r="J10" s="16" t="e">
        <f>TRIM(_xlfn.TEXTBEFORE(I10,":"))</f>
        <v>#N/A</v>
      </c>
      <c r="K10" s="18"/>
      <c r="L10" s="16" t="e">
        <f>TRIM(_xlfn.TEXTBEFORE(K10,":"))</f>
        <v>#N/A</v>
      </c>
      <c r="M10" s="18"/>
      <c r="N10" s="16" t="e">
        <f>TRIM(_xlfn.TEXTBEFORE(M10,":"))</f>
        <v>#N/A</v>
      </c>
      <c r="O10" s="18"/>
      <c r="P10" s="16" t="e">
        <f>TRIM(_xlfn.TEXTBEFORE(O10,":"))</f>
        <v>#N/A</v>
      </c>
      <c r="Q10" s="18"/>
      <c r="R10" s="16" t="e">
        <f>TRIM(_xlfn.TEXTBEFORE(Q10,":"))</f>
        <v>#N/A</v>
      </c>
      <c r="S10" s="18"/>
      <c r="T10" s="16" t="e">
        <f>TRIM(_xlfn.TEXTBEFORE(S10,":"))</f>
        <v>#N/A</v>
      </c>
    </row>
    <row r="11" spans="1:20" ht="15.95" customHeight="1" x14ac:dyDescent="0.25">
      <c r="A11" s="18" t="s">
        <v>155</v>
      </c>
      <c r="B11" s="16" t="str">
        <f>TRIM(_xlfn.TEXTBEFORE(A11,":"))</f>
        <v>Critical Strike Chance</v>
      </c>
      <c r="C11" s="18"/>
      <c r="D11" s="16" t="e">
        <f>TRIM(_xlfn.TEXTBEFORE(C11,":"))</f>
        <v>#N/A</v>
      </c>
      <c r="E11" s="18"/>
      <c r="F11" s="16" t="e">
        <f>TRIM(_xlfn.TEXTBEFORE(E11,":"))</f>
        <v>#N/A</v>
      </c>
      <c r="G11" s="18" t="s">
        <v>1129</v>
      </c>
      <c r="H11" s="16" t="str">
        <f>TRIM(_xlfn.TEXTBEFORE(G11,":"))</f>
        <v>Chances de coup critique</v>
      </c>
      <c r="I11" s="18"/>
      <c r="J11" s="16" t="e">
        <f>TRIM(_xlfn.TEXTBEFORE(I11,":"))</f>
        <v>#N/A</v>
      </c>
      <c r="K11" s="18"/>
      <c r="L11" s="16" t="e">
        <f>TRIM(_xlfn.TEXTBEFORE(K11,":"))</f>
        <v>#N/A</v>
      </c>
      <c r="M11" s="18"/>
      <c r="N11" s="16" t="e">
        <f>TRIM(_xlfn.TEXTBEFORE(M11,":"))</f>
        <v>#N/A</v>
      </c>
      <c r="O11" s="18"/>
      <c r="P11" s="16" t="e">
        <f>TRIM(_xlfn.TEXTBEFORE(O11,":"))</f>
        <v>#N/A</v>
      </c>
      <c r="Q11" s="18"/>
      <c r="R11" s="16" t="e">
        <f>TRIM(_xlfn.TEXTBEFORE(Q11,":"))</f>
        <v>#N/A</v>
      </c>
      <c r="S11" s="18"/>
      <c r="T11" s="16" t="e">
        <f>TRIM(_xlfn.TEXTBEFORE(S11,":"))</f>
        <v>#N/A</v>
      </c>
    </row>
    <row r="12" spans="1:20" ht="15.95" customHeight="1" x14ac:dyDescent="0.25">
      <c r="A12" s="18" t="s">
        <v>134</v>
      </c>
      <c r="B12" s="16" t="str">
        <f>TRIM(_xlfn.TEXTBEFORE(A12,":"))</f>
        <v>Attacks per Second</v>
      </c>
      <c r="C12" s="18"/>
      <c r="D12" s="16" t="e">
        <f>TRIM(_xlfn.TEXTBEFORE(C12,":"))</f>
        <v>#N/A</v>
      </c>
      <c r="E12" s="18"/>
      <c r="F12" s="16" t="e">
        <f>TRIM(_xlfn.TEXTBEFORE(E12,":"))</f>
        <v>#N/A</v>
      </c>
      <c r="G12" s="18" t="s">
        <v>1130</v>
      </c>
      <c r="H12" s="16" t="str">
        <f>TRIM(_xlfn.TEXTBEFORE(G12,":"))</f>
        <v>Attaques par seconde</v>
      </c>
      <c r="I12" s="18"/>
      <c r="J12" s="16" t="e">
        <f>TRIM(_xlfn.TEXTBEFORE(I12,":"))</f>
        <v>#N/A</v>
      </c>
      <c r="K12" s="18"/>
      <c r="L12" s="16" t="e">
        <f>TRIM(_xlfn.TEXTBEFORE(K12,":"))</f>
        <v>#N/A</v>
      </c>
      <c r="M12" s="18"/>
      <c r="N12" s="16" t="e">
        <f>TRIM(_xlfn.TEXTBEFORE(M12,":"))</f>
        <v>#N/A</v>
      </c>
      <c r="O12" s="18"/>
      <c r="P12" s="16" t="e">
        <f>TRIM(_xlfn.TEXTBEFORE(O12,":"))</f>
        <v>#N/A</v>
      </c>
      <c r="Q12" s="18"/>
      <c r="R12" s="16" t="e">
        <f>TRIM(_xlfn.TEXTBEFORE(Q12,":"))</f>
        <v>#N/A</v>
      </c>
      <c r="S12" s="18"/>
      <c r="T12" s="16" t="e">
        <f>TRIM(_xlfn.TEXTBEFORE(S12,":"))</f>
        <v>#N/A</v>
      </c>
    </row>
    <row r="13" spans="1:20" ht="15.95" customHeight="1" x14ac:dyDescent="0.25">
      <c r="A13" s="18" t="s">
        <v>156</v>
      </c>
      <c r="B13" s="16"/>
      <c r="C13" s="18"/>
      <c r="D13" s="16"/>
      <c r="E13" s="18"/>
      <c r="F13" s="16"/>
      <c r="G13" s="18" t="s">
        <v>1131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16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16"/>
    </row>
    <row r="15" spans="1:20" ht="15.95" customHeight="1" x14ac:dyDescent="0.25">
      <c r="A15" s="18" t="s">
        <v>110</v>
      </c>
      <c r="B15" s="16" t="str">
        <f>TRIM(_xlfn.TEXTBEFORE(A15,":"))</f>
        <v>Requirements</v>
      </c>
      <c r="C15" s="18"/>
      <c r="D15" s="16" t="e">
        <f>TRIM(_xlfn.TEXTBEFORE(C15,":"))</f>
        <v>#N/A</v>
      </c>
      <c r="E15" s="18"/>
      <c r="F15" s="16" t="e">
        <f>TRIM(_xlfn.TEXTBEFORE(E15,":"))</f>
        <v>#N/A</v>
      </c>
      <c r="G15" s="18" t="s">
        <v>5</v>
      </c>
      <c r="H15" s="16" t="str">
        <f>TRIM(_xlfn.TEXTBEFORE(G15,":"))</f>
        <v>Prérequis</v>
      </c>
      <c r="I15" s="18"/>
      <c r="J15" s="16" t="e">
        <f>TRIM(_xlfn.TEXTBEFORE(I15,":"))</f>
        <v>#N/A</v>
      </c>
      <c r="K15" s="18"/>
      <c r="L15" s="16" t="e">
        <f>TRIM(_xlfn.TEXTBEFORE(K15,":"))</f>
        <v>#N/A</v>
      </c>
      <c r="M15" s="18"/>
      <c r="N15" s="16" t="e">
        <f>TRIM(_xlfn.TEXTBEFORE(M15,":"))</f>
        <v>#N/A</v>
      </c>
      <c r="O15" s="18"/>
      <c r="P15" s="16" t="e">
        <f>TRIM(_xlfn.TEXTBEFORE(O15,":"))</f>
        <v>#N/A</v>
      </c>
      <c r="Q15" s="18"/>
      <c r="R15" s="16" t="e">
        <f>TRIM(_xlfn.TEXTBEFORE(Q15,":"))</f>
        <v>#N/A</v>
      </c>
      <c r="S15" s="18"/>
      <c r="T15" s="16" t="e">
        <f>TRIM(_xlfn.TEXTBEFORE(S15,":"))</f>
        <v>#N/A</v>
      </c>
    </row>
    <row r="16" spans="1:20" ht="15.95" customHeight="1" x14ac:dyDescent="0.25">
      <c r="A16" s="18" t="s">
        <v>157</v>
      </c>
      <c r="B16" s="16"/>
      <c r="C16" s="18"/>
      <c r="D16" s="16"/>
      <c r="E16" s="18"/>
      <c r="F16" s="16"/>
      <c r="G16" s="18" t="s">
        <v>6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16"/>
    </row>
    <row r="17" spans="1:20" ht="15.95" customHeight="1" x14ac:dyDescent="0.25">
      <c r="A17" s="18" t="s">
        <v>158</v>
      </c>
      <c r="B17" s="16"/>
      <c r="C17" s="18"/>
      <c r="D17" s="16"/>
      <c r="E17" s="18"/>
      <c r="F17" s="16"/>
      <c r="G17" s="18" t="s">
        <v>158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16"/>
    </row>
    <row r="18" spans="1:20" ht="15.95" customHeight="1" x14ac:dyDescent="0.25">
      <c r="A18" s="18" t="s">
        <v>159</v>
      </c>
      <c r="B18" s="16"/>
      <c r="C18" s="18"/>
      <c r="D18" s="16"/>
      <c r="E18" s="18"/>
      <c r="F18" s="16"/>
      <c r="G18" s="18" t="s">
        <v>159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16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16"/>
    </row>
    <row r="20" spans="1:20" ht="15.95" customHeight="1" x14ac:dyDescent="0.25">
      <c r="A20" s="18" t="s">
        <v>160</v>
      </c>
      <c r="B20" s="16" t="str">
        <f>TRIM(_xlfn.TEXTBEFORE(A20,":"))</f>
        <v>Sockets</v>
      </c>
      <c r="C20" s="18"/>
      <c r="D20" s="16" t="e">
        <f>TRIM(_xlfn.TEXTBEFORE(C20,":"))</f>
        <v>#N/A</v>
      </c>
      <c r="E20" s="18"/>
      <c r="F20" s="16" t="e">
        <f>TRIM(_xlfn.TEXTBEFORE(E20,":"))</f>
        <v>#N/A</v>
      </c>
      <c r="G20" s="18" t="s">
        <v>1132</v>
      </c>
      <c r="H20" s="16" t="str">
        <f>TRIM(_xlfn.TEXTBEFORE(G20,":"))</f>
        <v>Châsses</v>
      </c>
      <c r="I20" s="18"/>
      <c r="J20" s="16" t="e">
        <f>TRIM(_xlfn.TEXTBEFORE(I20,":"))</f>
        <v>#N/A</v>
      </c>
      <c r="K20" s="18"/>
      <c r="L20" s="16" t="e">
        <f>TRIM(_xlfn.TEXTBEFORE(K20,":"))</f>
        <v>#N/A</v>
      </c>
      <c r="M20" s="18"/>
      <c r="N20" s="16" t="e">
        <f>TRIM(_xlfn.TEXTBEFORE(M20,":"))</f>
        <v>#N/A</v>
      </c>
      <c r="O20" s="18"/>
      <c r="P20" s="16" t="e">
        <f>TRIM(_xlfn.TEXTBEFORE(O20,":"))</f>
        <v>#N/A</v>
      </c>
      <c r="Q20" s="18"/>
      <c r="R20" s="16" t="e">
        <f>TRIM(_xlfn.TEXTBEFORE(Q20,":"))</f>
        <v>#N/A</v>
      </c>
      <c r="S20" s="18"/>
      <c r="T20" s="16" t="e">
        <f>TRIM(_xlfn.TEXTBEFORE(S20,":"))</f>
        <v>#N/A</v>
      </c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16"/>
    </row>
    <row r="22" spans="1:20" ht="15.95" customHeight="1" x14ac:dyDescent="0.25">
      <c r="A22" s="18" t="s">
        <v>117</v>
      </c>
      <c r="B22" s="16" t="str">
        <f>TRIM(_xlfn.TEXTBEFORE(A22,":"))</f>
        <v>Item Level</v>
      </c>
      <c r="C22" s="18"/>
      <c r="D22" s="16" t="e">
        <f>TRIM(_xlfn.TEXTBEFORE(C22,":"))</f>
        <v>#N/A</v>
      </c>
      <c r="E22" s="18"/>
      <c r="F22" s="16" t="e">
        <f>TRIM(_xlfn.TEXTBEFORE(E22,":"))</f>
        <v>#N/A</v>
      </c>
      <c r="G22" s="18" t="s">
        <v>1010</v>
      </c>
      <c r="H22" s="16" t="str">
        <f>TRIM(_xlfn.TEXTBEFORE(G22,":"))</f>
        <v>Niveau de l'objet</v>
      </c>
      <c r="I22" s="18"/>
      <c r="J22" s="16" t="e">
        <f>TRIM(_xlfn.TEXTBEFORE(I22,":"))</f>
        <v>#N/A</v>
      </c>
      <c r="K22" s="18"/>
      <c r="L22" s="16" t="e">
        <f>TRIM(_xlfn.TEXTBEFORE(K22,":"))</f>
        <v>#N/A</v>
      </c>
      <c r="M22" s="18"/>
      <c r="N22" s="16" t="e">
        <f>TRIM(_xlfn.TEXTBEFORE(M22,":"))</f>
        <v>#N/A</v>
      </c>
      <c r="O22" s="18"/>
      <c r="P22" s="16" t="e">
        <f>TRIM(_xlfn.TEXTBEFORE(O22,":"))</f>
        <v>#N/A</v>
      </c>
      <c r="Q22" s="18"/>
      <c r="R22" s="16" t="e">
        <f>TRIM(_xlfn.TEXTBEFORE(Q22,":"))</f>
        <v>#N/A</v>
      </c>
      <c r="S22" s="18"/>
      <c r="T22" s="16" t="e">
        <f>TRIM(_xlfn.TEXTBEFORE(S22,":"))</f>
        <v>#N/A</v>
      </c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16"/>
    </row>
    <row r="24" spans="1:20" ht="15.95" customHeight="1" x14ac:dyDescent="0.25">
      <c r="A24" s="18" t="s">
        <v>161</v>
      </c>
      <c r="B24" s="16"/>
      <c r="C24" s="18"/>
      <c r="D24" s="16"/>
      <c r="E24" s="18"/>
      <c r="F24" s="16"/>
      <c r="G24" s="18" t="s">
        <v>1133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</v>
      </c>
      <c r="B25" s="16"/>
      <c r="C25" s="18"/>
      <c r="D25" s="16"/>
      <c r="E25" s="18"/>
      <c r="F25" s="16"/>
      <c r="G25" s="18" t="s">
        <v>4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162</v>
      </c>
      <c r="B26" s="16"/>
      <c r="C26" s="18"/>
      <c r="D26" s="16"/>
      <c r="E26" s="18"/>
      <c r="F26" s="16"/>
      <c r="G26" s="18" t="s">
        <v>1134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163</v>
      </c>
      <c r="B27" s="16"/>
      <c r="C27" s="18"/>
      <c r="D27" s="16"/>
      <c r="E27" s="18"/>
      <c r="F27" s="16"/>
      <c r="G27" s="18" t="s">
        <v>1135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164</v>
      </c>
      <c r="B28" s="16"/>
      <c r="C28" s="18"/>
      <c r="D28" s="16"/>
      <c r="E28" s="18"/>
      <c r="F28" s="16"/>
      <c r="G28" s="18" t="s">
        <v>1136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165</v>
      </c>
      <c r="B29" s="16"/>
      <c r="C29" s="18"/>
      <c r="D29" s="16"/>
      <c r="E29" s="18"/>
      <c r="F29" s="16"/>
      <c r="G29" s="18" t="s">
        <v>1137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166</v>
      </c>
      <c r="B30" s="16"/>
      <c r="C30" s="18"/>
      <c r="D30" s="16"/>
      <c r="E30" s="18"/>
      <c r="F30" s="16"/>
      <c r="G30" s="18" t="s">
        <v>1138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4</v>
      </c>
      <c r="B31" s="16"/>
      <c r="C31" s="18"/>
      <c r="D31" s="16"/>
      <c r="E31" s="18"/>
      <c r="F31" s="16"/>
      <c r="G31" s="18" t="s">
        <v>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167</v>
      </c>
      <c r="B32" s="16"/>
      <c r="C32" s="18"/>
      <c r="D32" s="16"/>
      <c r="E32" s="18"/>
      <c r="F32" s="16"/>
      <c r="G32" s="18" t="s">
        <v>1139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168</v>
      </c>
      <c r="B33" s="16"/>
      <c r="C33" s="18"/>
      <c r="D33" s="16"/>
      <c r="E33" s="18"/>
      <c r="F33" s="16"/>
      <c r="G33" s="18" t="s">
        <v>1140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 t="s">
        <v>169</v>
      </c>
      <c r="B34" s="16"/>
      <c r="C34" s="18"/>
      <c r="D34" s="16"/>
      <c r="E34" s="18"/>
      <c r="F34" s="16"/>
      <c r="G34" s="18" t="s">
        <v>1141</v>
      </c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208" priority="62" stopIfTrue="1">
      <formula>NOT(ISERROR(A3))</formula>
    </cfRule>
  </conditionalFormatting>
  <conditionalFormatting sqref="A3:T12 A24:T51 A22 C22 A15 C15 A20 C20 E13:E23 A13:D14 A23:D23 A16:D19 A21:D21 G13:G23 F13:F14 F23 F16:F19 F21 I13:I23 H13:H14 H23 H16:H19 H21 K13:K23 J13:J14 J23 J16:J19 J21 M13:M23 L13:L14 L23 L16:L19 L21 O13:O23 N13:N14 N23 N16:N19 N21 Q13:Q23 P13:P14 P23 P16:P19 P21 S13:S23 R13:R14 R23 R16:R19 R21 T13:T14 T23 T16:T19 T21">
    <cfRule type="containsErrors" dxfId="207" priority="61" stopIfTrue="1">
      <formula>ISERROR(A3)</formula>
    </cfRule>
    <cfRule type="notContainsBlanks" dxfId="206" priority="63">
      <formula>LEN(TRIM(A3))&gt;0</formula>
    </cfRule>
  </conditionalFormatting>
  <conditionalFormatting sqref="B22">
    <cfRule type="containsErrors" dxfId="205" priority="59" stopIfTrue="1">
      <formula>ISERROR(B22)</formula>
    </cfRule>
    <cfRule type="notContainsBlanks" dxfId="204" priority="60">
      <formula>LEN(TRIM(B22))&gt;0</formula>
    </cfRule>
  </conditionalFormatting>
  <conditionalFormatting sqref="B15">
    <cfRule type="containsErrors" dxfId="203" priority="57" stopIfTrue="1">
      <formula>ISERROR(B15)</formula>
    </cfRule>
    <cfRule type="notContainsBlanks" dxfId="202" priority="58">
      <formula>LEN(TRIM(B15))&gt;0</formula>
    </cfRule>
  </conditionalFormatting>
  <conditionalFormatting sqref="B20">
    <cfRule type="containsErrors" dxfId="201" priority="55" stopIfTrue="1">
      <formula>ISERROR(B20)</formula>
    </cfRule>
    <cfRule type="notContainsBlanks" dxfId="200" priority="56">
      <formula>LEN(TRIM(B20))&gt;0</formula>
    </cfRule>
  </conditionalFormatting>
  <conditionalFormatting sqref="D22">
    <cfRule type="containsErrors" dxfId="199" priority="53" stopIfTrue="1">
      <formula>ISERROR(D22)</formula>
    </cfRule>
    <cfRule type="notContainsBlanks" dxfId="198" priority="54">
      <formula>LEN(TRIM(D22))&gt;0</formula>
    </cfRule>
  </conditionalFormatting>
  <conditionalFormatting sqref="D15">
    <cfRule type="containsErrors" dxfId="197" priority="51" stopIfTrue="1">
      <formula>ISERROR(D15)</formula>
    </cfRule>
    <cfRule type="notContainsBlanks" dxfId="196" priority="52">
      <formula>LEN(TRIM(D15))&gt;0</formula>
    </cfRule>
  </conditionalFormatting>
  <conditionalFormatting sqref="D20">
    <cfRule type="containsErrors" dxfId="195" priority="49" stopIfTrue="1">
      <formula>ISERROR(D20)</formula>
    </cfRule>
    <cfRule type="notContainsBlanks" dxfId="194" priority="50">
      <formula>LEN(TRIM(D20))&gt;0</formula>
    </cfRule>
  </conditionalFormatting>
  <conditionalFormatting sqref="F22">
    <cfRule type="containsErrors" dxfId="193" priority="47" stopIfTrue="1">
      <formula>ISERROR(F22)</formula>
    </cfRule>
    <cfRule type="notContainsBlanks" dxfId="192" priority="48">
      <formula>LEN(TRIM(F22))&gt;0</formula>
    </cfRule>
  </conditionalFormatting>
  <conditionalFormatting sqref="F15">
    <cfRule type="containsErrors" dxfId="191" priority="45" stopIfTrue="1">
      <formula>ISERROR(F15)</formula>
    </cfRule>
    <cfRule type="notContainsBlanks" dxfId="190" priority="46">
      <formula>LEN(TRIM(F15))&gt;0</formula>
    </cfRule>
  </conditionalFormatting>
  <conditionalFormatting sqref="F20">
    <cfRule type="containsErrors" dxfId="189" priority="43" stopIfTrue="1">
      <formula>ISERROR(F20)</formula>
    </cfRule>
    <cfRule type="notContainsBlanks" dxfId="188" priority="44">
      <formula>LEN(TRIM(F20))&gt;0</formula>
    </cfRule>
  </conditionalFormatting>
  <conditionalFormatting sqref="H22">
    <cfRule type="containsErrors" dxfId="187" priority="41" stopIfTrue="1">
      <formula>ISERROR(H22)</formula>
    </cfRule>
    <cfRule type="notContainsBlanks" dxfId="186" priority="42">
      <formula>LEN(TRIM(H22))&gt;0</formula>
    </cfRule>
  </conditionalFormatting>
  <conditionalFormatting sqref="H15">
    <cfRule type="containsErrors" dxfId="185" priority="39" stopIfTrue="1">
      <formula>ISERROR(H15)</formula>
    </cfRule>
    <cfRule type="notContainsBlanks" dxfId="184" priority="40">
      <formula>LEN(TRIM(H15))&gt;0</formula>
    </cfRule>
  </conditionalFormatting>
  <conditionalFormatting sqref="H20">
    <cfRule type="containsErrors" dxfId="183" priority="37" stopIfTrue="1">
      <formula>ISERROR(H20)</formula>
    </cfRule>
    <cfRule type="notContainsBlanks" dxfId="182" priority="38">
      <formula>LEN(TRIM(H20))&gt;0</formula>
    </cfRule>
  </conditionalFormatting>
  <conditionalFormatting sqref="J22">
    <cfRule type="containsErrors" dxfId="181" priority="35" stopIfTrue="1">
      <formula>ISERROR(J22)</formula>
    </cfRule>
    <cfRule type="notContainsBlanks" dxfId="180" priority="36">
      <formula>LEN(TRIM(J22))&gt;0</formula>
    </cfRule>
  </conditionalFormatting>
  <conditionalFormatting sqref="J15">
    <cfRule type="containsErrors" dxfId="179" priority="33" stopIfTrue="1">
      <formula>ISERROR(J15)</formula>
    </cfRule>
    <cfRule type="notContainsBlanks" dxfId="178" priority="34">
      <formula>LEN(TRIM(J15))&gt;0</formula>
    </cfRule>
  </conditionalFormatting>
  <conditionalFormatting sqref="J20">
    <cfRule type="containsErrors" dxfId="177" priority="31" stopIfTrue="1">
      <formula>ISERROR(J20)</formula>
    </cfRule>
    <cfRule type="notContainsBlanks" dxfId="176" priority="32">
      <formula>LEN(TRIM(J20))&gt;0</formula>
    </cfRule>
  </conditionalFormatting>
  <conditionalFormatting sqref="L22">
    <cfRule type="containsErrors" dxfId="175" priority="29" stopIfTrue="1">
      <formula>ISERROR(L22)</formula>
    </cfRule>
    <cfRule type="notContainsBlanks" dxfId="174" priority="30">
      <formula>LEN(TRIM(L22))&gt;0</formula>
    </cfRule>
  </conditionalFormatting>
  <conditionalFormatting sqref="L15">
    <cfRule type="containsErrors" dxfId="173" priority="27" stopIfTrue="1">
      <formula>ISERROR(L15)</formula>
    </cfRule>
    <cfRule type="notContainsBlanks" dxfId="172" priority="28">
      <formula>LEN(TRIM(L15))&gt;0</formula>
    </cfRule>
  </conditionalFormatting>
  <conditionalFormatting sqref="L20">
    <cfRule type="containsErrors" dxfId="171" priority="25" stopIfTrue="1">
      <formula>ISERROR(L20)</formula>
    </cfRule>
    <cfRule type="notContainsBlanks" dxfId="170" priority="26">
      <formula>LEN(TRIM(L20))&gt;0</formula>
    </cfRule>
  </conditionalFormatting>
  <conditionalFormatting sqref="N22">
    <cfRule type="containsErrors" dxfId="169" priority="23" stopIfTrue="1">
      <formula>ISERROR(N22)</formula>
    </cfRule>
    <cfRule type="notContainsBlanks" dxfId="168" priority="24">
      <formula>LEN(TRIM(N22))&gt;0</formula>
    </cfRule>
  </conditionalFormatting>
  <conditionalFormatting sqref="N15">
    <cfRule type="containsErrors" dxfId="167" priority="21" stopIfTrue="1">
      <formula>ISERROR(N15)</formula>
    </cfRule>
    <cfRule type="notContainsBlanks" dxfId="166" priority="22">
      <formula>LEN(TRIM(N15))&gt;0</formula>
    </cfRule>
  </conditionalFormatting>
  <conditionalFormatting sqref="N20">
    <cfRule type="containsErrors" dxfId="165" priority="19" stopIfTrue="1">
      <formula>ISERROR(N20)</formula>
    </cfRule>
    <cfRule type="notContainsBlanks" dxfId="164" priority="20">
      <formula>LEN(TRIM(N20))&gt;0</formula>
    </cfRule>
  </conditionalFormatting>
  <conditionalFormatting sqref="P22">
    <cfRule type="containsErrors" dxfId="163" priority="17" stopIfTrue="1">
      <formula>ISERROR(P22)</formula>
    </cfRule>
    <cfRule type="notContainsBlanks" dxfId="162" priority="18">
      <formula>LEN(TRIM(P22))&gt;0</formula>
    </cfRule>
  </conditionalFormatting>
  <conditionalFormatting sqref="P15">
    <cfRule type="containsErrors" dxfId="161" priority="15" stopIfTrue="1">
      <formula>ISERROR(P15)</formula>
    </cfRule>
    <cfRule type="notContainsBlanks" dxfId="160" priority="16">
      <formula>LEN(TRIM(P15))&gt;0</formula>
    </cfRule>
  </conditionalFormatting>
  <conditionalFormatting sqref="P20">
    <cfRule type="containsErrors" dxfId="159" priority="13" stopIfTrue="1">
      <formula>ISERROR(P20)</formula>
    </cfRule>
    <cfRule type="notContainsBlanks" dxfId="158" priority="14">
      <formula>LEN(TRIM(P20))&gt;0</formula>
    </cfRule>
  </conditionalFormatting>
  <conditionalFormatting sqref="R22">
    <cfRule type="containsErrors" dxfId="157" priority="11" stopIfTrue="1">
      <formula>ISERROR(R22)</formula>
    </cfRule>
    <cfRule type="notContainsBlanks" dxfId="156" priority="12">
      <formula>LEN(TRIM(R22))&gt;0</formula>
    </cfRule>
  </conditionalFormatting>
  <conditionalFormatting sqref="R15">
    <cfRule type="containsErrors" dxfId="155" priority="9" stopIfTrue="1">
      <formula>ISERROR(R15)</formula>
    </cfRule>
    <cfRule type="notContainsBlanks" dxfId="154" priority="10">
      <formula>LEN(TRIM(R15))&gt;0</formula>
    </cfRule>
  </conditionalFormatting>
  <conditionalFormatting sqref="R20">
    <cfRule type="containsErrors" dxfId="153" priority="7" stopIfTrue="1">
      <formula>ISERROR(R20)</formula>
    </cfRule>
    <cfRule type="notContainsBlanks" dxfId="152" priority="8">
      <formula>LEN(TRIM(R20))&gt;0</formula>
    </cfRule>
  </conditionalFormatting>
  <conditionalFormatting sqref="T22">
    <cfRule type="containsErrors" dxfId="151" priority="5" stopIfTrue="1">
      <formula>ISERROR(T22)</formula>
    </cfRule>
    <cfRule type="notContainsBlanks" dxfId="150" priority="6">
      <formula>LEN(TRIM(T22))&gt;0</formula>
    </cfRule>
  </conditionalFormatting>
  <conditionalFormatting sqref="T15">
    <cfRule type="containsErrors" dxfId="149" priority="3" stopIfTrue="1">
      <formula>ISERROR(T15)</formula>
    </cfRule>
    <cfRule type="notContainsBlanks" dxfId="148" priority="4">
      <formula>LEN(TRIM(T15))&gt;0</formula>
    </cfRule>
  </conditionalFormatting>
  <conditionalFormatting sqref="T20">
    <cfRule type="containsErrors" dxfId="147" priority="1" stopIfTrue="1">
      <formula>ISERROR(T20)</formula>
    </cfRule>
    <cfRule type="notContainsBlanks" dxfId="146" priority="2">
      <formula>LEN(TRIM(T20))&gt;0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2208-3822-4C43-8153-2A302CB0F72B}">
  <dimension ref="A1:T51"/>
  <sheetViews>
    <sheetView workbookViewId="0">
      <selection activeCell="G20" sqref="G20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649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1065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Amulets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Amulettes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850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1143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851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1144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110</v>
      </c>
      <c r="B8" s="16"/>
      <c r="C8" s="18"/>
      <c r="D8" s="16"/>
      <c r="E8" s="18"/>
      <c r="F8" s="16"/>
      <c r="G8" s="18" t="s">
        <v>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337</v>
      </c>
      <c r="B9" s="16"/>
      <c r="C9" s="18"/>
      <c r="D9" s="16"/>
      <c r="E9" s="18"/>
      <c r="F9" s="16"/>
      <c r="G9" s="18" t="s">
        <v>1145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111</v>
      </c>
      <c r="B11" s="16"/>
      <c r="C11" s="18"/>
      <c r="D11" s="16"/>
      <c r="E11" s="18"/>
      <c r="F11" s="16"/>
      <c r="G11" s="18" t="s">
        <v>958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852</v>
      </c>
      <c r="B13" s="16"/>
      <c r="C13" s="18"/>
      <c r="D13" s="16"/>
      <c r="E13" s="18"/>
      <c r="F13" s="16"/>
      <c r="G13" s="18" t="s">
        <v>1146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853</v>
      </c>
      <c r="B15" s="16"/>
      <c r="C15" s="18"/>
      <c r="D15" s="16"/>
      <c r="E15" s="18"/>
      <c r="F15" s="16"/>
      <c r="G15" s="18" t="s">
        <v>1147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854</v>
      </c>
      <c r="B16" s="16"/>
      <c r="C16" s="18"/>
      <c r="D16" s="16"/>
      <c r="E16" s="18"/>
      <c r="F16" s="16"/>
      <c r="G16" s="18" t="s">
        <v>1148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855</v>
      </c>
      <c r="B17" s="16"/>
      <c r="C17" s="18"/>
      <c r="D17" s="16"/>
      <c r="E17" s="18"/>
      <c r="F17" s="16"/>
      <c r="G17" s="18" t="s">
        <v>1149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856</v>
      </c>
      <c r="B18" s="16"/>
      <c r="C18" s="18"/>
      <c r="D18" s="16"/>
      <c r="E18" s="18"/>
      <c r="F18" s="16"/>
      <c r="G18" s="18" t="s">
        <v>1150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857</v>
      </c>
      <c r="B20" s="16" t="str">
        <f>A20</f>
        <v>Crusader Item</v>
      </c>
      <c r="C20" s="18"/>
      <c r="D20" s="16">
        <f>C20</f>
        <v>0</v>
      </c>
      <c r="E20" s="18"/>
      <c r="F20" s="16">
        <f>E20</f>
        <v>0</v>
      </c>
      <c r="G20" s="18" t="s">
        <v>1151</v>
      </c>
      <c r="H20" s="16" t="str">
        <f>G20</f>
        <v>Objet du Croisé</v>
      </c>
      <c r="I20" s="18"/>
      <c r="J20" s="16">
        <f>I20</f>
        <v>0</v>
      </c>
      <c r="K20" s="18"/>
      <c r="L20" s="16">
        <f>K20</f>
        <v>0</v>
      </c>
      <c r="M20" s="18"/>
      <c r="N20" s="16">
        <f>M20</f>
        <v>0</v>
      </c>
      <c r="O20" s="18"/>
      <c r="P20" s="16">
        <f>O20</f>
        <v>0</v>
      </c>
      <c r="Q20" s="18"/>
      <c r="R20" s="16">
        <f>Q20</f>
        <v>0</v>
      </c>
      <c r="S20" s="18"/>
      <c r="T20" s="16">
        <f>S20</f>
        <v>0</v>
      </c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45" priority="2" stopIfTrue="1">
      <formula>NOT(ISERROR(A3))</formula>
    </cfRule>
  </conditionalFormatting>
  <conditionalFormatting sqref="A3:T51">
    <cfRule type="containsErrors" dxfId="144" priority="1" stopIfTrue="1">
      <formula>ISERROR(A3)</formula>
    </cfRule>
    <cfRule type="notContainsBlanks" dxfId="143" priority="3">
      <formula>LEN(TRIM(A3))&gt;0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1B87-FC40-41D7-80B4-C4EB86573942}">
  <dimension ref="A1:T51"/>
  <sheetViews>
    <sheetView workbookViewId="0">
      <selection activeCell="G27" sqref="G27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444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1152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Boots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Bottes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826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1153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827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1154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828</v>
      </c>
      <c r="B8" s="16"/>
      <c r="C8" s="18"/>
      <c r="D8" s="16"/>
      <c r="E8" s="18"/>
      <c r="F8" s="16"/>
      <c r="G8" s="18" t="s">
        <v>1155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829</v>
      </c>
      <c r="B9" s="16"/>
      <c r="C9" s="18"/>
      <c r="D9" s="16"/>
      <c r="E9" s="18"/>
      <c r="F9" s="16"/>
      <c r="G9" s="18" t="s">
        <v>1156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110</v>
      </c>
      <c r="B11" s="16"/>
      <c r="C11" s="18"/>
      <c r="D11" s="16"/>
      <c r="E11" s="18"/>
      <c r="F11" s="16"/>
      <c r="G11" s="18" t="s">
        <v>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818</v>
      </c>
      <c r="B12" s="16"/>
      <c r="C12" s="18"/>
      <c r="D12" s="16"/>
      <c r="E12" s="18"/>
      <c r="F12" s="16"/>
      <c r="G12" s="18" t="s">
        <v>1157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830</v>
      </c>
      <c r="B13" s="16"/>
      <c r="C13" s="18"/>
      <c r="D13" s="16"/>
      <c r="E13" s="18"/>
      <c r="F13" s="16"/>
      <c r="G13" s="18" t="s">
        <v>830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831</v>
      </c>
      <c r="B14" s="16"/>
      <c r="C14" s="18"/>
      <c r="D14" s="16"/>
      <c r="E14" s="18"/>
      <c r="F14" s="16"/>
      <c r="G14" s="18" t="s">
        <v>831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832</v>
      </c>
      <c r="B16" s="16"/>
      <c r="C16" s="18"/>
      <c r="D16" s="16"/>
      <c r="E16" s="18"/>
      <c r="F16" s="16"/>
      <c r="G16" s="18" t="s">
        <v>1158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283</v>
      </c>
      <c r="B18" s="16"/>
      <c r="C18" s="18"/>
      <c r="D18" s="16"/>
      <c r="E18" s="18"/>
      <c r="F18" s="16"/>
      <c r="G18" s="18" t="s">
        <v>1027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833</v>
      </c>
      <c r="B20" s="16"/>
      <c r="C20" s="18"/>
      <c r="D20" s="16"/>
      <c r="E20" s="18"/>
      <c r="F20" s="16"/>
      <c r="G20" s="18" t="s">
        <v>1159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834</v>
      </c>
      <c r="B21" s="16"/>
      <c r="C21" s="18"/>
      <c r="D21" s="16"/>
      <c r="E21" s="18"/>
      <c r="F21" s="16"/>
      <c r="G21" s="18" t="s">
        <v>1160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835</v>
      </c>
      <c r="B22" s="16"/>
      <c r="C22" s="18"/>
      <c r="D22" s="16"/>
      <c r="E22" s="18"/>
      <c r="F22" s="16"/>
      <c r="G22" s="18" t="s">
        <v>1161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836</v>
      </c>
      <c r="B23" s="16"/>
      <c r="C23" s="18"/>
      <c r="D23" s="16"/>
      <c r="E23" s="18"/>
      <c r="F23" s="16"/>
      <c r="G23" s="18" t="s">
        <v>1162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 t="s">
        <v>837</v>
      </c>
      <c r="B24" s="16"/>
      <c r="C24" s="18"/>
      <c r="D24" s="16"/>
      <c r="E24" s="18"/>
      <c r="F24" s="16"/>
      <c r="G24" s="18" t="s">
        <v>1163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 t="s">
        <v>838</v>
      </c>
      <c r="B25" s="16"/>
      <c r="C25" s="18"/>
      <c r="D25" s="16"/>
      <c r="E25" s="18"/>
      <c r="F25" s="16"/>
      <c r="G25" s="18" t="s">
        <v>1164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 t="s">
        <v>4</v>
      </c>
      <c r="B26" s="16"/>
      <c r="C26" s="18"/>
      <c r="D26" s="16"/>
      <c r="E26" s="18"/>
      <c r="F26" s="16"/>
      <c r="G26" s="18" t="s">
        <v>4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 t="s">
        <v>839</v>
      </c>
      <c r="B27" s="16" t="str">
        <f>A27</f>
        <v>Elder Item</v>
      </c>
      <c r="C27" s="18"/>
      <c r="D27" s="16">
        <f>C27</f>
        <v>0</v>
      </c>
      <c r="E27" s="18"/>
      <c r="F27" s="16">
        <f>E27</f>
        <v>0</v>
      </c>
      <c r="G27" s="18" t="s">
        <v>1165</v>
      </c>
      <c r="H27" s="16" t="str">
        <f>G27</f>
        <v>Objet de l'Ancien</v>
      </c>
      <c r="I27" s="18"/>
      <c r="J27" s="16">
        <f>I27</f>
        <v>0</v>
      </c>
      <c r="K27" s="18"/>
      <c r="L27" s="16">
        <f>K27</f>
        <v>0</v>
      </c>
      <c r="M27" s="18"/>
      <c r="N27" s="16">
        <f>M27</f>
        <v>0</v>
      </c>
      <c r="O27" s="18"/>
      <c r="P27" s="16">
        <f>O27</f>
        <v>0</v>
      </c>
      <c r="Q27" s="18"/>
      <c r="R27" s="16">
        <f>Q27</f>
        <v>0</v>
      </c>
      <c r="S27" s="18"/>
      <c r="T27" s="16">
        <f>S27</f>
        <v>0</v>
      </c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42" priority="2" stopIfTrue="1">
      <formula>NOT(ISERROR(A3))</formula>
    </cfRule>
  </conditionalFormatting>
  <conditionalFormatting sqref="A3:T51">
    <cfRule type="containsErrors" dxfId="141" priority="1" stopIfTrue="1">
      <formula>ISERROR(A3)</formula>
    </cfRule>
    <cfRule type="notContainsBlanks" dxfId="140" priority="3">
      <formula>LEN(TRIM(A3))&gt;0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56AE8-C85D-43ED-8DF5-810C2338A350}">
  <dimension ref="A1:T51"/>
  <sheetViews>
    <sheetView workbookViewId="0">
      <selection activeCell="G3" sqref="G3:G2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444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1152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Boots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Bottes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815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1166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816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1167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817</v>
      </c>
      <c r="B8" s="16"/>
      <c r="C8" s="18"/>
      <c r="D8" s="16"/>
      <c r="E8" s="18"/>
      <c r="F8" s="16"/>
      <c r="G8" s="18" t="s">
        <v>1168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818</v>
      </c>
      <c r="B11" s="16"/>
      <c r="C11" s="18"/>
      <c r="D11" s="16"/>
      <c r="E11" s="18"/>
      <c r="F11" s="16"/>
      <c r="G11" s="18" t="s">
        <v>1157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819</v>
      </c>
      <c r="B12" s="16"/>
      <c r="C12" s="18"/>
      <c r="D12" s="16"/>
      <c r="E12" s="18"/>
      <c r="F12" s="16"/>
      <c r="G12" s="18" t="s">
        <v>819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820</v>
      </c>
      <c r="B14" s="16"/>
      <c r="C14" s="18"/>
      <c r="D14" s="16"/>
      <c r="E14" s="18"/>
      <c r="F14" s="16"/>
      <c r="G14" s="18" t="s">
        <v>1169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340</v>
      </c>
      <c r="B16" s="16"/>
      <c r="C16" s="18"/>
      <c r="D16" s="16"/>
      <c r="E16" s="18"/>
      <c r="F16" s="16"/>
      <c r="G16" s="18" t="s">
        <v>1170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821</v>
      </c>
      <c r="B18" s="16"/>
      <c r="C18" s="18"/>
      <c r="D18" s="16"/>
      <c r="E18" s="18"/>
      <c r="F18" s="16"/>
      <c r="G18" s="18" t="s">
        <v>1171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822</v>
      </c>
      <c r="B19" s="16"/>
      <c r="C19" s="18"/>
      <c r="D19" s="16"/>
      <c r="E19" s="18"/>
      <c r="F19" s="16"/>
      <c r="G19" s="18" t="s">
        <v>1172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823</v>
      </c>
      <c r="B20" s="16"/>
      <c r="C20" s="18"/>
      <c r="D20" s="16"/>
      <c r="E20" s="18"/>
      <c r="F20" s="16"/>
      <c r="G20" s="18" t="s">
        <v>1173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824</v>
      </c>
      <c r="B21" s="16"/>
      <c r="C21" s="18"/>
      <c r="D21" s="16"/>
      <c r="E21" s="18"/>
      <c r="F21" s="16"/>
      <c r="G21" s="18" t="s">
        <v>1174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825</v>
      </c>
      <c r="B23" s="16" t="str">
        <f>A23</f>
        <v>Hunter Item</v>
      </c>
      <c r="C23" s="18"/>
      <c r="D23" s="16">
        <f>C23</f>
        <v>0</v>
      </c>
      <c r="E23" s="18"/>
      <c r="F23" s="16">
        <f>E23</f>
        <v>0</v>
      </c>
      <c r="G23" s="18" t="s">
        <v>1175</v>
      </c>
      <c r="H23" s="16" t="str">
        <f>G23</f>
        <v>Objet du Chasseur</v>
      </c>
      <c r="I23" s="18"/>
      <c r="J23" s="16">
        <f>I23</f>
        <v>0</v>
      </c>
      <c r="K23" s="18"/>
      <c r="L23" s="16">
        <f>K23</f>
        <v>0</v>
      </c>
      <c r="M23" s="18"/>
      <c r="N23" s="16">
        <f>M23</f>
        <v>0</v>
      </c>
      <c r="O23" s="18"/>
      <c r="P23" s="16">
        <f>O23</f>
        <v>0</v>
      </c>
      <c r="Q23" s="18"/>
      <c r="R23" s="16">
        <f>Q23</f>
        <v>0</v>
      </c>
      <c r="S23" s="18"/>
      <c r="T23" s="16">
        <f>S23</f>
        <v>0</v>
      </c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39" priority="2" stopIfTrue="1">
      <formula>NOT(ISERROR(A3))</formula>
    </cfRule>
  </conditionalFormatting>
  <conditionalFormatting sqref="A3:T51">
    <cfRule type="containsErrors" dxfId="138" priority="1" stopIfTrue="1">
      <formula>ISERROR(A3)</formula>
    </cfRule>
    <cfRule type="notContainsBlanks" dxfId="137" priority="3">
      <formula>LEN(TRIM(A3))&gt;0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C00B-180E-4FDF-A3F0-E5BD086C8C39}">
  <dimension ref="A1:T51"/>
  <sheetViews>
    <sheetView workbookViewId="0">
      <selection activeCell="G3" sqref="G3:G2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542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1078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Rings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Bagues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840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1176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841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1177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110</v>
      </c>
      <c r="B8" s="16"/>
      <c r="C8" s="18"/>
      <c r="D8" s="16"/>
      <c r="E8" s="18"/>
      <c r="F8" s="16"/>
      <c r="G8" s="18" t="s">
        <v>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842</v>
      </c>
      <c r="B9" s="16"/>
      <c r="C9" s="18"/>
      <c r="D9" s="16"/>
      <c r="E9" s="18"/>
      <c r="F9" s="16"/>
      <c r="G9" s="18" t="s">
        <v>1178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117</v>
      </c>
      <c r="B11" s="16"/>
      <c r="C11" s="18"/>
      <c r="D11" s="16"/>
      <c r="E11" s="18"/>
      <c r="F11" s="16"/>
      <c r="G11" s="18" t="s">
        <v>1010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843</v>
      </c>
      <c r="B13" s="16"/>
      <c r="C13" s="18"/>
      <c r="D13" s="16"/>
      <c r="E13" s="18"/>
      <c r="F13" s="16"/>
      <c r="G13" s="18" t="s">
        <v>1179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844</v>
      </c>
      <c r="B15" s="16"/>
      <c r="C15" s="18"/>
      <c r="D15" s="16"/>
      <c r="E15" s="18"/>
      <c r="F15" s="16"/>
      <c r="G15" s="18" t="s">
        <v>1180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845</v>
      </c>
      <c r="B16" s="16"/>
      <c r="C16" s="18"/>
      <c r="D16" s="16"/>
      <c r="E16" s="18"/>
      <c r="F16" s="16"/>
      <c r="G16" s="18" t="s">
        <v>1181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846</v>
      </c>
      <c r="B17" s="16"/>
      <c r="C17" s="18"/>
      <c r="D17" s="16"/>
      <c r="E17" s="18"/>
      <c r="F17" s="16"/>
      <c r="G17" s="18" t="s">
        <v>1182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847</v>
      </c>
      <c r="B18" s="16"/>
      <c r="C18" s="18"/>
      <c r="D18" s="16"/>
      <c r="E18" s="18"/>
      <c r="F18" s="16"/>
      <c r="G18" s="18" t="s">
        <v>1183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848</v>
      </c>
      <c r="B19" s="16"/>
      <c r="C19" s="18"/>
      <c r="D19" s="16"/>
      <c r="E19" s="18"/>
      <c r="F19" s="16"/>
      <c r="G19" s="18" t="s">
        <v>1184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849</v>
      </c>
      <c r="B21" s="16" t="str">
        <f>A21</f>
        <v>Redeemer Item</v>
      </c>
      <c r="C21" s="18"/>
      <c r="D21" s="16">
        <f>C21</f>
        <v>0</v>
      </c>
      <c r="E21" s="18"/>
      <c r="F21" s="16">
        <f>E21</f>
        <v>0</v>
      </c>
      <c r="G21" s="18" t="s">
        <v>1185</v>
      </c>
      <c r="H21" s="16" t="str">
        <f>G21</f>
        <v>Objet de la Rédemptrice</v>
      </c>
      <c r="I21" s="18"/>
      <c r="J21" s="16">
        <f>I21</f>
        <v>0</v>
      </c>
      <c r="K21" s="18"/>
      <c r="L21" s="16">
        <f>K21</f>
        <v>0</v>
      </c>
      <c r="M21" s="18"/>
      <c r="N21" s="16">
        <f>M21</f>
        <v>0</v>
      </c>
      <c r="O21" s="18"/>
      <c r="P21" s="16">
        <f>O21</f>
        <v>0</v>
      </c>
      <c r="Q21" s="18"/>
      <c r="R21" s="16">
        <f>Q21</f>
        <v>0</v>
      </c>
      <c r="S21" s="18"/>
      <c r="T21" s="16">
        <f>S21</f>
        <v>0</v>
      </c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36" priority="2" stopIfTrue="1">
      <formula>NOT(ISERROR(A3))</formula>
    </cfRule>
  </conditionalFormatting>
  <conditionalFormatting sqref="A3:T51">
    <cfRule type="containsErrors" dxfId="135" priority="1" stopIfTrue="1">
      <formula>ISERROR(A3)</formula>
    </cfRule>
    <cfRule type="notContainsBlanks" dxfId="134" priority="3">
      <formula>LEN(TRIM(A3))&gt;0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D36D-5853-4903-8D62-2E5F6ACA9B44}">
  <dimension ref="A1:T51"/>
  <sheetViews>
    <sheetView workbookViewId="0">
      <selection activeCell="G3" sqref="G3:G2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484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1108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Shields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Boucliers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807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1186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808</v>
      </c>
      <c r="B7" s="16"/>
      <c r="C7" s="18"/>
      <c r="D7" s="16"/>
      <c r="E7" s="18"/>
      <c r="F7" s="16"/>
      <c r="G7" s="18" t="s">
        <v>1187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809</v>
      </c>
      <c r="B8" s="16"/>
      <c r="C8" s="18"/>
      <c r="D8" s="16"/>
      <c r="E8" s="18"/>
      <c r="F8" s="16"/>
      <c r="G8" s="18" t="s">
        <v>1188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810</v>
      </c>
      <c r="B9" s="16"/>
      <c r="C9" s="18"/>
      <c r="D9" s="16"/>
      <c r="E9" s="18"/>
      <c r="F9" s="16"/>
      <c r="G9" s="18" t="s">
        <v>1189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110</v>
      </c>
      <c r="B11" s="16"/>
      <c r="C11" s="18"/>
      <c r="D11" s="16"/>
      <c r="E11" s="18"/>
      <c r="F11" s="16"/>
      <c r="G11" s="18" t="s">
        <v>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811</v>
      </c>
      <c r="B12" s="16"/>
      <c r="C12" s="18"/>
      <c r="D12" s="16"/>
      <c r="E12" s="18"/>
      <c r="F12" s="16"/>
      <c r="G12" s="18" t="s">
        <v>1190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812</v>
      </c>
      <c r="B13" s="16"/>
      <c r="C13" s="18"/>
      <c r="D13" s="16"/>
      <c r="E13" s="18"/>
      <c r="F13" s="16"/>
      <c r="G13" s="18" t="s">
        <v>812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813</v>
      </c>
      <c r="B15" s="16"/>
      <c r="C15" s="18"/>
      <c r="D15" s="16"/>
      <c r="E15" s="18"/>
      <c r="F15" s="16"/>
      <c r="G15" s="18" t="s">
        <v>1191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117</v>
      </c>
      <c r="B17" s="16"/>
      <c r="C17" s="18"/>
      <c r="D17" s="16"/>
      <c r="E17" s="18"/>
      <c r="F17" s="16"/>
      <c r="G17" s="18" t="s">
        <v>1010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802</v>
      </c>
      <c r="B19" s="16"/>
      <c r="C19" s="18"/>
      <c r="D19" s="16"/>
      <c r="E19" s="18"/>
      <c r="F19" s="16"/>
      <c r="G19" s="18" t="s">
        <v>1192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75</v>
      </c>
      <c r="B21" s="16"/>
      <c r="C21" s="18"/>
      <c r="D21" s="16"/>
      <c r="E21" s="18"/>
      <c r="F21" s="16"/>
      <c r="G21" s="18" t="s">
        <v>1081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814</v>
      </c>
      <c r="B23" s="16" t="str">
        <f>A23</f>
        <v>Shaper Item</v>
      </c>
      <c r="C23" s="18"/>
      <c r="D23" s="16">
        <f>C23</f>
        <v>0</v>
      </c>
      <c r="E23" s="18"/>
      <c r="F23" s="16">
        <f>E23</f>
        <v>0</v>
      </c>
      <c r="G23" s="18" t="s">
        <v>1193</v>
      </c>
      <c r="H23" s="16" t="str">
        <f>G23</f>
        <v>Objet du Façonneur</v>
      </c>
      <c r="I23" s="18"/>
      <c r="J23" s="16">
        <f>I23</f>
        <v>0</v>
      </c>
      <c r="K23" s="18"/>
      <c r="L23" s="16">
        <f>K23</f>
        <v>0</v>
      </c>
      <c r="M23" s="18"/>
      <c r="N23" s="16">
        <f>M23</f>
        <v>0</v>
      </c>
      <c r="O23" s="18"/>
      <c r="P23" s="16">
        <f>O23</f>
        <v>0</v>
      </c>
      <c r="Q23" s="18"/>
      <c r="R23" s="16">
        <f>Q23</f>
        <v>0</v>
      </c>
      <c r="S23" s="18"/>
      <c r="T23" s="16">
        <f>S23</f>
        <v>0</v>
      </c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33" priority="2" stopIfTrue="1">
      <formula>NOT(ISERROR(A3))</formula>
    </cfRule>
  </conditionalFormatting>
  <conditionalFormatting sqref="A3:T51">
    <cfRule type="containsErrors" dxfId="132" priority="1" stopIfTrue="1">
      <formula>ISERROR(A3)</formula>
    </cfRule>
    <cfRule type="notContainsBlanks" dxfId="131" priority="3">
      <formula>LEN(TRIM(A3))&gt;0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BF69E-9F1D-44C3-AAF6-207473796E2F}">
  <dimension ref="A1:T51"/>
  <sheetViews>
    <sheetView workbookViewId="0">
      <selection activeCell="G3" sqref="G3:G2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6" t="s">
        <v>456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1094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499</v>
      </c>
      <c r="B4" s="16" t="str">
        <f>TRIM(_xlfn.TEXTAFTER(A3, ":"))</f>
        <v>Body Armours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977</v>
      </c>
      <c r="H4" s="16" t="str">
        <f>TRIM(_xlfn.TEXTAFTER(G3, ":"))</f>
        <v>Armures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796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1194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Magic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Magique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797</v>
      </c>
      <c r="B7" s="16"/>
      <c r="C7" s="18"/>
      <c r="D7" s="16"/>
      <c r="E7" s="18"/>
      <c r="F7" s="16"/>
      <c r="G7" s="18" t="s">
        <v>1195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798</v>
      </c>
      <c r="B8" s="16"/>
      <c r="C8" s="18"/>
      <c r="D8" s="16"/>
      <c r="E8" s="18"/>
      <c r="F8" s="16"/>
      <c r="G8" s="18" t="s">
        <v>1196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136</v>
      </c>
      <c r="B11" s="16"/>
      <c r="C11" s="18"/>
      <c r="D11" s="16"/>
      <c r="E11" s="18"/>
      <c r="F11" s="16"/>
      <c r="G11" s="18" t="s">
        <v>893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799</v>
      </c>
      <c r="B12" s="16"/>
      <c r="C12" s="18"/>
      <c r="D12" s="16"/>
      <c r="E12" s="18"/>
      <c r="F12" s="16"/>
      <c r="G12" s="18" t="s">
        <v>1197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800</v>
      </c>
      <c r="B14" s="16"/>
      <c r="C14" s="18"/>
      <c r="D14" s="16"/>
      <c r="E14" s="18"/>
      <c r="F14" s="16"/>
      <c r="G14" s="18" t="s">
        <v>1198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801</v>
      </c>
      <c r="B16" s="16"/>
      <c r="C16" s="18"/>
      <c r="D16" s="16"/>
      <c r="E16" s="18"/>
      <c r="F16" s="16"/>
      <c r="G16" s="18" t="s">
        <v>1199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802</v>
      </c>
      <c r="B18" s="16"/>
      <c r="C18" s="18"/>
      <c r="D18" s="16"/>
      <c r="E18" s="18"/>
      <c r="F18" s="16"/>
      <c r="G18" s="18" t="s">
        <v>1192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803</v>
      </c>
      <c r="B19" s="16"/>
      <c r="C19" s="18"/>
      <c r="D19" s="16"/>
      <c r="E19" s="18"/>
      <c r="F19" s="16"/>
      <c r="G19" s="18" t="s">
        <v>1200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804</v>
      </c>
      <c r="B21" s="16"/>
      <c r="C21" s="18"/>
      <c r="D21" s="16"/>
      <c r="E21" s="18"/>
      <c r="F21" s="16"/>
      <c r="G21" s="18" t="s">
        <v>1201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805</v>
      </c>
      <c r="B22" s="16"/>
      <c r="C22" s="18"/>
      <c r="D22" s="16"/>
      <c r="E22" s="18"/>
      <c r="F22" s="16"/>
      <c r="G22" s="18" t="s">
        <v>1202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 t="s">
        <v>806</v>
      </c>
      <c r="B24" s="16" t="str">
        <f>A24</f>
        <v>Warlord Item</v>
      </c>
      <c r="C24" s="18"/>
      <c r="D24" s="16">
        <f>C24</f>
        <v>0</v>
      </c>
      <c r="E24" s="18"/>
      <c r="F24" s="16">
        <f>E24</f>
        <v>0</v>
      </c>
      <c r="G24" s="18" t="s">
        <v>1203</v>
      </c>
      <c r="H24" s="16" t="str">
        <f>G24</f>
        <v>Objet du Seigneur de guerre</v>
      </c>
      <c r="I24" s="18"/>
      <c r="J24" s="16">
        <f>I24</f>
        <v>0</v>
      </c>
      <c r="K24" s="18"/>
      <c r="L24" s="16">
        <f>K24</f>
        <v>0</v>
      </c>
      <c r="M24" s="18"/>
      <c r="N24" s="16">
        <f>M24</f>
        <v>0</v>
      </c>
      <c r="O24" s="18"/>
      <c r="P24" s="16">
        <f>O24</f>
        <v>0</v>
      </c>
      <c r="Q24" s="18"/>
      <c r="R24" s="16">
        <f>Q24</f>
        <v>0</v>
      </c>
      <c r="S24" s="18"/>
      <c r="T24" s="16">
        <f>S24</f>
        <v>0</v>
      </c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29" priority="2" stopIfTrue="1">
      <formula>NOT(ISERROR(A3))</formula>
    </cfRule>
  </conditionalFormatting>
  <conditionalFormatting sqref="A3:T51">
    <cfRule type="containsErrors" dxfId="128" priority="1" stopIfTrue="1">
      <formula>ISERROR(A3)</formula>
    </cfRule>
    <cfRule type="notContainsBlanks" dxfId="127" priority="3">
      <formula>LEN(TRIM(A3))&gt;0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C3F6E-4E93-4BC2-BEA7-E4F6E512C902}">
  <dimension ref="A1:T51"/>
  <sheetViews>
    <sheetView workbookViewId="0">
      <selection activeCell="G3" sqref="G3:G21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858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1204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Abyss Jewels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Joyaux abyssaux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859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1205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860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1206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861</v>
      </c>
      <c r="B8" s="16"/>
      <c r="C8" s="18"/>
      <c r="D8" s="16"/>
      <c r="E8" s="18"/>
      <c r="F8" s="16"/>
      <c r="G8" s="18" t="s">
        <v>1207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475</v>
      </c>
      <c r="B11" s="16"/>
      <c r="C11" s="18"/>
      <c r="D11" s="16"/>
      <c r="E11" s="18"/>
      <c r="F11" s="16"/>
      <c r="G11" s="18" t="s">
        <v>1085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283</v>
      </c>
      <c r="B13" s="16"/>
      <c r="C13" s="18"/>
      <c r="D13" s="16"/>
      <c r="E13" s="18"/>
      <c r="F13" s="16"/>
      <c r="G13" s="18" t="s">
        <v>1027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862</v>
      </c>
      <c r="B15" s="16"/>
      <c r="C15" s="18"/>
      <c r="D15" s="16"/>
      <c r="E15" s="18"/>
      <c r="F15" s="16"/>
      <c r="G15" s="18" t="s">
        <v>1208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863</v>
      </c>
      <c r="B16" s="16"/>
      <c r="C16" s="18"/>
      <c r="D16" s="16"/>
      <c r="E16" s="18"/>
      <c r="F16" s="16"/>
      <c r="G16" s="18" t="s">
        <v>1209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864</v>
      </c>
      <c r="B17" s="16"/>
      <c r="C17" s="18"/>
      <c r="D17" s="16"/>
      <c r="E17" s="18"/>
      <c r="F17" s="16"/>
      <c r="G17" s="18" t="s">
        <v>1210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865</v>
      </c>
      <c r="B19" s="16"/>
      <c r="C19" s="18"/>
      <c r="D19" s="16"/>
      <c r="E19" s="18"/>
      <c r="F19" s="16"/>
      <c r="G19" s="18" t="s">
        <v>1211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866</v>
      </c>
      <c r="B21" s="16"/>
      <c r="C21" s="18"/>
      <c r="D21" s="16"/>
      <c r="E21" s="18"/>
      <c r="F21" s="16"/>
      <c r="G21" s="18" t="s">
        <v>1212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26" priority="2" stopIfTrue="1">
      <formula>NOT(ISERROR(A3))</formula>
    </cfRule>
  </conditionalFormatting>
  <conditionalFormatting sqref="A3:T51">
    <cfRule type="containsErrors" dxfId="125" priority="1" stopIfTrue="1">
      <formula>ISERROR(A3)</formula>
    </cfRule>
    <cfRule type="notContainsBlanks" dxfId="124" priority="3">
      <formula>LEN(TRIM(A3))&gt;0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1389D-15BE-4C4F-A5EC-901782E31E76}">
  <dimension ref="A1:T51"/>
  <sheetViews>
    <sheetView workbookViewId="0">
      <selection activeCell="G3" sqref="G3:G2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108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0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Belts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Ceintures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114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2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115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3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110</v>
      </c>
      <c r="B8" s="16"/>
      <c r="C8" s="18"/>
      <c r="D8" s="16"/>
      <c r="E8" s="18"/>
      <c r="F8" s="16"/>
      <c r="G8" s="18" t="s">
        <v>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116</v>
      </c>
      <c r="B9" s="16"/>
      <c r="C9" s="18"/>
      <c r="D9" s="16"/>
      <c r="E9" s="18"/>
      <c r="F9" s="16"/>
      <c r="G9" s="18" t="s">
        <v>1213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117</v>
      </c>
      <c r="B11" s="16"/>
      <c r="C11" s="18"/>
      <c r="D11" s="16"/>
      <c r="E11" s="18"/>
      <c r="F11" s="16"/>
      <c r="G11" s="18" t="s">
        <v>1010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118</v>
      </c>
      <c r="B13" s="16"/>
      <c r="C13" s="18"/>
      <c r="D13" s="16"/>
      <c r="E13" s="18"/>
      <c r="F13" s="16"/>
      <c r="G13" s="18" t="s">
        <v>1214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119</v>
      </c>
      <c r="B15" s="16"/>
      <c r="C15" s="18"/>
      <c r="D15" s="16"/>
      <c r="E15" s="18"/>
      <c r="F15" s="16"/>
      <c r="G15" s="18" t="s">
        <v>1215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120</v>
      </c>
      <c r="B16" s="16"/>
      <c r="C16" s="18"/>
      <c r="D16" s="16"/>
      <c r="E16" s="18"/>
      <c r="F16" s="16"/>
      <c r="G16" s="18" t="s">
        <v>1216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121</v>
      </c>
      <c r="B17" s="16"/>
      <c r="C17" s="18"/>
      <c r="D17" s="16"/>
      <c r="E17" s="18"/>
      <c r="F17" s="16"/>
      <c r="G17" s="18" t="s">
        <v>1217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122</v>
      </c>
      <c r="B18" s="16"/>
      <c r="C18" s="18"/>
      <c r="D18" s="16"/>
      <c r="E18" s="18"/>
      <c r="F18" s="16"/>
      <c r="G18" s="18" t="s">
        <v>8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123</v>
      </c>
      <c r="B19" s="16"/>
      <c r="C19" s="18"/>
      <c r="D19" s="16"/>
      <c r="E19" s="18"/>
      <c r="F19" s="16"/>
      <c r="G19" s="18" t="s">
        <v>1218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124</v>
      </c>
      <c r="B20" s="16"/>
      <c r="C20" s="18"/>
      <c r="D20" s="16"/>
      <c r="E20" s="18"/>
      <c r="F20" s="16"/>
      <c r="G20" s="18" t="s">
        <v>9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125</v>
      </c>
      <c r="B22" s="16"/>
      <c r="C22" s="18"/>
      <c r="D22" s="16"/>
      <c r="E22" s="18"/>
      <c r="F22" s="16"/>
      <c r="G22" s="18" t="s">
        <v>10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126</v>
      </c>
      <c r="B23" s="16"/>
      <c r="C23" s="18"/>
      <c r="D23" s="16"/>
      <c r="E23" s="18"/>
      <c r="F23" s="16"/>
      <c r="G23" s="18" t="s">
        <v>11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127</v>
      </c>
      <c r="B24" s="16"/>
      <c r="C24" s="18"/>
      <c r="D24" s="16"/>
      <c r="E24" s="18"/>
      <c r="F24" s="16"/>
      <c r="G24" s="18" t="s">
        <v>12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18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23" priority="1" stopIfTrue="1">
      <formula>NOT(ISERROR(A3))</formula>
    </cfRule>
  </conditionalFormatting>
  <conditionalFormatting sqref="A3:T51">
    <cfRule type="containsErrors" dxfId="122" priority="4" stopIfTrue="1">
      <formula>ISERROR(A3)</formula>
    </cfRule>
    <cfRule type="notContainsBlanks" dxfId="121" priority="5">
      <formula>LEN(TRIM(A3))&gt;0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D588-CF5E-478F-A02C-999B98814312}">
  <dimension ref="A1:T51"/>
  <sheetViews>
    <sheetView workbookViewId="0">
      <selection activeCell="G3" sqref="G3:G20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444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1152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Boots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Bottes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445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1219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446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1220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447</v>
      </c>
      <c r="B8" s="16"/>
      <c r="C8" s="18"/>
      <c r="D8" s="16"/>
      <c r="E8" s="18"/>
      <c r="F8" s="16"/>
      <c r="G8" s="18" t="s">
        <v>1221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448</v>
      </c>
      <c r="B10" s="16"/>
      <c r="C10" s="18"/>
      <c r="D10" s="16"/>
      <c r="E10" s="18"/>
      <c r="F10" s="16"/>
      <c r="G10" s="18" t="s">
        <v>1222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4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449</v>
      </c>
      <c r="B12" s="16"/>
      <c r="C12" s="18"/>
      <c r="D12" s="16"/>
      <c r="E12" s="18"/>
      <c r="F12" s="16"/>
      <c r="G12" s="18" t="s">
        <v>7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450</v>
      </c>
      <c r="B14" s="16"/>
      <c r="C14" s="18"/>
      <c r="D14" s="16"/>
      <c r="E14" s="18"/>
      <c r="F14" s="16"/>
      <c r="G14" s="18" t="s">
        <v>1223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451</v>
      </c>
      <c r="B15" s="16"/>
      <c r="C15" s="18"/>
      <c r="D15" s="16"/>
      <c r="E15" s="18"/>
      <c r="F15" s="16"/>
      <c r="G15" s="18" t="s">
        <v>1224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452</v>
      </c>
      <c r="B16" s="16"/>
      <c r="C16" s="18"/>
      <c r="D16" s="16"/>
      <c r="E16" s="18"/>
      <c r="F16" s="16"/>
      <c r="G16" s="18" t="s">
        <v>1225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453</v>
      </c>
      <c r="B17" s="16"/>
      <c r="C17" s="18"/>
      <c r="D17" s="16"/>
      <c r="E17" s="18"/>
      <c r="F17" s="16"/>
      <c r="G17" s="18" t="s">
        <v>1226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454</v>
      </c>
      <c r="B18" s="16"/>
      <c r="C18" s="18"/>
      <c r="D18" s="16"/>
      <c r="E18" s="18"/>
      <c r="F18" s="16"/>
      <c r="G18" s="18" t="s">
        <v>1227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455</v>
      </c>
      <c r="B20" s="16"/>
      <c r="C20" s="18"/>
      <c r="D20" s="16"/>
      <c r="E20" s="18"/>
      <c r="F20" s="16"/>
      <c r="G20" s="18" t="s">
        <v>1228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20" priority="2" stopIfTrue="1">
      <formula>NOT(ISERROR(A3))</formula>
    </cfRule>
  </conditionalFormatting>
  <conditionalFormatting sqref="A3:T51">
    <cfRule type="containsErrors" dxfId="119" priority="1" stopIfTrue="1">
      <formula>ISERROR(A3)</formula>
    </cfRule>
    <cfRule type="notContainsBlanks" dxfId="118" priority="3">
      <formula>LEN(TRIM(A3))&gt;0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4B4F7-74D6-4CEE-8EE5-8BE0F39F55D4}">
  <dimension ref="A1:T51"/>
  <sheetViews>
    <sheetView workbookViewId="0">
      <selection activeCell="G3" sqref="G3:G30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427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1229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Gloves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Gants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428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1230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429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1231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430</v>
      </c>
      <c r="B8" s="16"/>
      <c r="C8" s="18"/>
      <c r="D8" s="16"/>
      <c r="E8" s="18"/>
      <c r="F8" s="16"/>
      <c r="G8" s="18" t="s">
        <v>1232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431</v>
      </c>
      <c r="B9" s="16"/>
      <c r="C9" s="18"/>
      <c r="D9" s="16"/>
      <c r="E9" s="18"/>
      <c r="F9" s="16"/>
      <c r="G9" s="18" t="s">
        <v>1233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110</v>
      </c>
      <c r="B11" s="16"/>
      <c r="C11" s="18"/>
      <c r="D11" s="16"/>
      <c r="E11" s="18"/>
      <c r="F11" s="16"/>
      <c r="G11" s="18" t="s">
        <v>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432</v>
      </c>
      <c r="B12" s="16"/>
      <c r="C12" s="18"/>
      <c r="D12" s="16"/>
      <c r="E12" s="18"/>
      <c r="F12" s="16"/>
      <c r="G12" s="18" t="s">
        <v>1234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433</v>
      </c>
      <c r="B13" s="16"/>
      <c r="C13" s="18"/>
      <c r="D13" s="16"/>
      <c r="E13" s="18"/>
      <c r="F13" s="16"/>
      <c r="G13" s="18" t="s">
        <v>1235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434</v>
      </c>
      <c r="B14" s="16"/>
      <c r="C14" s="18"/>
      <c r="D14" s="16"/>
      <c r="E14" s="18"/>
      <c r="F14" s="16"/>
      <c r="G14" s="18" t="s">
        <v>434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435</v>
      </c>
      <c r="B16" s="16"/>
      <c r="C16" s="18"/>
      <c r="D16" s="16"/>
      <c r="E16" s="18"/>
      <c r="F16" s="16"/>
      <c r="G16" s="18" t="s">
        <v>1236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283</v>
      </c>
      <c r="B18" s="16"/>
      <c r="C18" s="18"/>
      <c r="D18" s="16"/>
      <c r="E18" s="18"/>
      <c r="F18" s="16"/>
      <c r="G18" s="18" t="s">
        <v>1027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436</v>
      </c>
      <c r="B20" s="16"/>
      <c r="C20" s="18"/>
      <c r="D20" s="16"/>
      <c r="E20" s="18"/>
      <c r="F20" s="16"/>
      <c r="G20" s="18" t="s">
        <v>1237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437</v>
      </c>
      <c r="B21" s="16"/>
      <c r="C21" s="18"/>
      <c r="D21" s="16"/>
      <c r="E21" s="18"/>
      <c r="F21" s="16"/>
      <c r="G21" s="18" t="s">
        <v>1238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438</v>
      </c>
      <c r="B22" s="16"/>
      <c r="C22" s="18"/>
      <c r="D22" s="16"/>
      <c r="E22" s="18"/>
      <c r="F22" s="16"/>
      <c r="G22" s="18" t="s">
        <v>1239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439</v>
      </c>
      <c r="B23" s="16"/>
      <c r="C23" s="18"/>
      <c r="D23" s="16"/>
      <c r="E23" s="18"/>
      <c r="F23" s="16"/>
      <c r="G23" s="18" t="s">
        <v>1240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440</v>
      </c>
      <c r="B24" s="16"/>
      <c r="C24" s="18"/>
      <c r="D24" s="16"/>
      <c r="E24" s="18"/>
      <c r="F24" s="16"/>
      <c r="G24" s="18" t="s">
        <v>1241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441</v>
      </c>
      <c r="B25" s="16"/>
      <c r="C25" s="18"/>
      <c r="D25" s="16"/>
      <c r="E25" s="18"/>
      <c r="F25" s="16"/>
      <c r="G25" s="18" t="s">
        <v>1242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442</v>
      </c>
      <c r="B26" s="16"/>
      <c r="C26" s="18"/>
      <c r="D26" s="16"/>
      <c r="E26" s="18"/>
      <c r="F26" s="16"/>
      <c r="G26" s="18" t="s">
        <v>1243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4</v>
      </c>
      <c r="B27" s="16"/>
      <c r="C27" s="18"/>
      <c r="D27" s="16"/>
      <c r="E27" s="18"/>
      <c r="F27" s="16"/>
      <c r="G27" s="18" t="s">
        <v>4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443</v>
      </c>
      <c r="B28" s="16"/>
      <c r="C28" s="18"/>
      <c r="D28" s="16"/>
      <c r="E28" s="18"/>
      <c r="F28" s="16"/>
      <c r="G28" s="18" t="s">
        <v>1244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e">
        <f>- Coralito, Brotherhood of Silence</f>
        <v>#NAME?</v>
      </c>
      <c r="B29" s="16"/>
      <c r="C29" s="18"/>
      <c r="D29" s="16"/>
      <c r="E29" s="18"/>
      <c r="F29" s="16"/>
      <c r="G29" s="18" t="s">
        <v>1245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 t="s">
        <v>1246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17" priority="2" stopIfTrue="1">
      <formula>NOT(ISERROR(A3))</formula>
    </cfRule>
  </conditionalFormatting>
  <conditionalFormatting sqref="A3:T51">
    <cfRule type="containsErrors" dxfId="116" priority="1" stopIfTrue="1">
      <formula>ISERROR(A3)</formula>
    </cfRule>
    <cfRule type="notContainsBlanks" dxfId="115" priority="3">
      <formula>LEN(TRIM(A3))&gt;0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4D70-D94B-4A7B-92B2-96076BBBDBA9}">
  <dimension ref="A1:T51"/>
  <sheetViews>
    <sheetView workbookViewId="0">
      <selection activeCell="G3" sqref="G3:G27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368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1247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Bows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Arcs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369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1248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370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1249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371</v>
      </c>
      <c r="B8" s="16"/>
      <c r="C8" s="18"/>
      <c r="D8" s="16"/>
      <c r="E8" s="18"/>
      <c r="F8" s="16"/>
      <c r="G8" s="18" t="s">
        <v>1250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372</v>
      </c>
      <c r="B9" s="16"/>
      <c r="C9" s="18"/>
      <c r="D9" s="16"/>
      <c r="E9" s="18"/>
      <c r="F9" s="16"/>
      <c r="G9" s="18" t="s">
        <v>1251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133</v>
      </c>
      <c r="B10" s="16"/>
      <c r="C10" s="18"/>
      <c r="D10" s="16"/>
      <c r="E10" s="18"/>
      <c r="F10" s="16"/>
      <c r="G10" s="18" t="s">
        <v>1252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373</v>
      </c>
      <c r="B11" s="16"/>
      <c r="C11" s="18"/>
      <c r="D11" s="16"/>
      <c r="E11" s="18"/>
      <c r="F11" s="16"/>
      <c r="G11" s="18" t="s">
        <v>1253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110</v>
      </c>
      <c r="B13" s="16"/>
      <c r="C13" s="18"/>
      <c r="D13" s="16"/>
      <c r="E13" s="18"/>
      <c r="F13" s="16"/>
      <c r="G13" s="18" t="s">
        <v>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374</v>
      </c>
      <c r="B14" s="16"/>
      <c r="C14" s="18"/>
      <c r="D14" s="16"/>
      <c r="E14" s="18"/>
      <c r="F14" s="16"/>
      <c r="G14" s="18" t="s">
        <v>1254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375</v>
      </c>
      <c r="B15" s="16"/>
      <c r="C15" s="18"/>
      <c r="D15" s="16"/>
      <c r="E15" s="18"/>
      <c r="F15" s="16"/>
      <c r="G15" s="18" t="s">
        <v>375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197</v>
      </c>
      <c r="B17" s="16"/>
      <c r="C17" s="18"/>
      <c r="D17" s="16"/>
      <c r="E17" s="18"/>
      <c r="F17" s="16"/>
      <c r="G17" s="18" t="s">
        <v>1255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240</v>
      </c>
      <c r="B19" s="16"/>
      <c r="C19" s="18"/>
      <c r="D19" s="16"/>
      <c r="E19" s="18"/>
      <c r="F19" s="16"/>
      <c r="G19" s="18" t="s">
        <v>1256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376</v>
      </c>
      <c r="B21" s="16"/>
      <c r="C21" s="18"/>
      <c r="D21" s="16"/>
      <c r="E21" s="18"/>
      <c r="F21" s="16"/>
      <c r="G21" s="18" t="s">
        <v>1257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377</v>
      </c>
      <c r="B22" s="16"/>
      <c r="C22" s="18"/>
      <c r="D22" s="16"/>
      <c r="E22" s="18"/>
      <c r="F22" s="16"/>
      <c r="G22" s="18" t="s">
        <v>1258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378</v>
      </c>
      <c r="B23" s="16"/>
      <c r="C23" s="18"/>
      <c r="D23" s="16"/>
      <c r="E23" s="18"/>
      <c r="F23" s="16"/>
      <c r="G23" s="18" t="s">
        <v>1259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379</v>
      </c>
      <c r="B25" s="16"/>
      <c r="C25" s="18"/>
      <c r="D25" s="16"/>
      <c r="E25" s="18"/>
      <c r="F25" s="16"/>
      <c r="G25" s="18" t="s">
        <v>1260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380</v>
      </c>
      <c r="B26" s="16"/>
      <c r="C26" s="18"/>
      <c r="D26" s="16"/>
      <c r="E26" s="18"/>
      <c r="F26" s="16"/>
      <c r="G26" s="18" t="s">
        <v>1261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381</v>
      </c>
      <c r="B27" s="16"/>
      <c r="C27" s="18"/>
      <c r="D27" s="16"/>
      <c r="E27" s="18"/>
      <c r="F27" s="16"/>
      <c r="G27" s="18" t="s">
        <v>1262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14" priority="2" stopIfTrue="1">
      <formula>NOT(ISERROR(A3))</formula>
    </cfRule>
  </conditionalFormatting>
  <conditionalFormatting sqref="A3:T51">
    <cfRule type="containsErrors" dxfId="113" priority="1" stopIfTrue="1">
      <formula>ISERROR(A3)</formula>
    </cfRule>
    <cfRule type="notContainsBlanks" dxfId="112" priority="3">
      <formula>LEN(TRIM(A3))&gt;0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9558-5FC9-4F68-9B80-FCD4E036ADFE}">
  <dimension ref="A1:T51"/>
  <sheetViews>
    <sheetView workbookViewId="0">
      <selection activeCell="G3" sqref="G3:G3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128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1263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Claws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Griffes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129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1264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130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1265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131</v>
      </c>
      <c r="B8" s="16"/>
      <c r="C8" s="18"/>
      <c r="D8" s="16"/>
      <c r="E8" s="18"/>
      <c r="F8" s="16"/>
      <c r="G8" s="18" t="s">
        <v>1266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132</v>
      </c>
      <c r="B9" s="16"/>
      <c r="C9" s="18"/>
      <c r="D9" s="16"/>
      <c r="E9" s="18"/>
      <c r="F9" s="16"/>
      <c r="G9" s="18" t="s">
        <v>1267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133</v>
      </c>
      <c r="B10" s="16"/>
      <c r="C10" s="18"/>
      <c r="D10" s="16"/>
      <c r="E10" s="18"/>
      <c r="F10" s="16"/>
      <c r="G10" s="18" t="s">
        <v>1252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134</v>
      </c>
      <c r="B11" s="16"/>
      <c r="C11" s="18"/>
      <c r="D11" s="16"/>
      <c r="E11" s="18"/>
      <c r="F11" s="16"/>
      <c r="G11" s="18" t="s">
        <v>1130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135</v>
      </c>
      <c r="B12" s="16"/>
      <c r="C12" s="18"/>
      <c r="D12" s="16"/>
      <c r="E12" s="18"/>
      <c r="F12" s="16"/>
      <c r="G12" s="18" t="s">
        <v>1268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136</v>
      </c>
      <c r="B15" s="16"/>
      <c r="C15" s="18"/>
      <c r="D15" s="16"/>
      <c r="E15" s="18"/>
      <c r="F15" s="16"/>
      <c r="G15" s="18" t="s">
        <v>893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137</v>
      </c>
      <c r="B16" s="16"/>
      <c r="C16" s="18"/>
      <c r="D16" s="16"/>
      <c r="E16" s="18"/>
      <c r="F16" s="16"/>
      <c r="G16" s="18" t="s">
        <v>137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138</v>
      </c>
      <c r="B17" s="16"/>
      <c r="C17" s="18"/>
      <c r="D17" s="16"/>
      <c r="E17" s="18"/>
      <c r="F17" s="16"/>
      <c r="G17" s="18" t="s">
        <v>138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139</v>
      </c>
      <c r="B19" s="16"/>
      <c r="C19" s="18"/>
      <c r="D19" s="16"/>
      <c r="E19" s="18"/>
      <c r="F19" s="16"/>
      <c r="G19" s="18" t="s">
        <v>1269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16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111</v>
      </c>
      <c r="B21" s="16"/>
      <c r="C21" s="18"/>
      <c r="D21" s="16"/>
      <c r="E21" s="18"/>
      <c r="F21" s="16"/>
      <c r="G21" s="18" t="s">
        <v>958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140</v>
      </c>
      <c r="B23" s="16"/>
      <c r="C23" s="18"/>
      <c r="D23" s="16"/>
      <c r="E23" s="18"/>
      <c r="F23" s="16"/>
      <c r="G23" s="18" t="s">
        <v>1270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141</v>
      </c>
      <c r="B25" s="16"/>
      <c r="C25" s="18"/>
      <c r="D25" s="16"/>
      <c r="E25" s="18"/>
      <c r="F25" s="16"/>
      <c r="G25" s="18" t="s">
        <v>1271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142</v>
      </c>
      <c r="B26" s="16"/>
      <c r="C26" s="18"/>
      <c r="D26" s="16"/>
      <c r="E26" s="18"/>
      <c r="F26" s="16"/>
      <c r="G26" s="18" t="s">
        <v>1272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143</v>
      </c>
      <c r="B27" s="16"/>
      <c r="C27" s="18"/>
      <c r="D27" s="16"/>
      <c r="E27" s="18"/>
      <c r="F27" s="16"/>
      <c r="G27" s="18" t="s">
        <v>1273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144</v>
      </c>
      <c r="B28" s="16"/>
      <c r="C28" s="18"/>
      <c r="D28" s="16"/>
      <c r="E28" s="18"/>
      <c r="F28" s="16"/>
      <c r="G28" s="18" t="s">
        <v>1274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145</v>
      </c>
      <c r="B29" s="16"/>
      <c r="C29" s="18"/>
      <c r="D29" s="16"/>
      <c r="E29" s="18"/>
      <c r="F29" s="16"/>
      <c r="G29" s="18" t="s">
        <v>1275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146</v>
      </c>
      <c r="B30" s="16"/>
      <c r="C30" s="18"/>
      <c r="D30" s="16"/>
      <c r="E30" s="18"/>
      <c r="F30" s="16"/>
      <c r="G30" s="18" t="s">
        <v>1276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4</v>
      </c>
      <c r="B31" s="16"/>
      <c r="C31" s="18"/>
      <c r="D31" s="16"/>
      <c r="E31" s="18"/>
      <c r="F31" s="16"/>
      <c r="G31" s="18" t="s">
        <v>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147</v>
      </c>
      <c r="B32" s="16"/>
      <c r="C32" s="18"/>
      <c r="D32" s="16"/>
      <c r="E32" s="18"/>
      <c r="F32" s="16"/>
      <c r="G32" s="18" t="s">
        <v>1277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148</v>
      </c>
      <c r="B33" s="16"/>
      <c r="C33" s="18"/>
      <c r="D33" s="16"/>
      <c r="E33" s="18"/>
      <c r="F33" s="16"/>
      <c r="G33" s="18" t="s">
        <v>1278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11" priority="2" stopIfTrue="1">
      <formula>NOT(ISERROR(A3))</formula>
    </cfRule>
  </conditionalFormatting>
  <conditionalFormatting sqref="A3:T51">
    <cfRule type="containsErrors" dxfId="110" priority="1" stopIfTrue="1">
      <formula>ISERROR(A3)</formula>
    </cfRule>
    <cfRule type="notContainsBlanks" dxfId="109" priority="3">
      <formula>LEN(TRIM(A3))&gt;0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3ADA-A964-437A-B9AA-1AAE4EDAE2DF}">
  <dimension ref="A1:T51"/>
  <sheetViews>
    <sheetView workbookViewId="0">
      <selection activeCell="G3" sqref="G3:G3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170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1279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Daggers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Dagues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171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1280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172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1281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173</v>
      </c>
      <c r="B8" s="16"/>
      <c r="C8" s="18"/>
      <c r="D8" s="16"/>
      <c r="E8" s="18"/>
      <c r="F8" s="16"/>
      <c r="G8" s="18" t="s">
        <v>1282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174</v>
      </c>
      <c r="B9" s="16"/>
      <c r="C9" s="18"/>
      <c r="D9" s="16"/>
      <c r="E9" s="18"/>
      <c r="F9" s="16"/>
      <c r="G9" s="18" t="s">
        <v>1283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175</v>
      </c>
      <c r="B10" s="16"/>
      <c r="C10" s="18"/>
      <c r="D10" s="16"/>
      <c r="E10" s="18"/>
      <c r="F10" s="16"/>
      <c r="G10" s="18" t="s">
        <v>1284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176</v>
      </c>
      <c r="B11" s="16"/>
      <c r="C11" s="18"/>
      <c r="D11" s="16"/>
      <c r="E11" s="18"/>
      <c r="F11" s="16"/>
      <c r="G11" s="18" t="s">
        <v>1285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156</v>
      </c>
      <c r="B12" s="16"/>
      <c r="C12" s="18"/>
      <c r="D12" s="16"/>
      <c r="E12" s="18"/>
      <c r="F12" s="16"/>
      <c r="G12" s="18" t="s">
        <v>1131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177</v>
      </c>
      <c r="B15" s="16"/>
      <c r="C15" s="18"/>
      <c r="D15" s="16"/>
      <c r="E15" s="18"/>
      <c r="F15" s="16"/>
      <c r="G15" s="18" t="s">
        <v>1286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178</v>
      </c>
      <c r="B16" s="16"/>
      <c r="C16" s="18"/>
      <c r="D16" s="16"/>
      <c r="E16" s="18"/>
      <c r="F16" s="16"/>
      <c r="G16" s="18" t="s">
        <v>178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179</v>
      </c>
      <c r="B18" s="16"/>
      <c r="C18" s="18"/>
      <c r="D18" s="16"/>
      <c r="E18" s="18"/>
      <c r="F18" s="16"/>
      <c r="G18" s="18" t="s">
        <v>1287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117</v>
      </c>
      <c r="B20" s="16"/>
      <c r="C20" s="18"/>
      <c r="D20" s="16"/>
      <c r="E20" s="18"/>
      <c r="F20" s="16"/>
      <c r="G20" s="18" t="s">
        <v>1010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161</v>
      </c>
      <c r="B22" s="16"/>
      <c r="C22" s="18"/>
      <c r="D22" s="16"/>
      <c r="E22" s="18"/>
      <c r="F22" s="16"/>
      <c r="G22" s="18" t="s">
        <v>1133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180</v>
      </c>
      <c r="B24" s="16"/>
      <c r="C24" s="18"/>
      <c r="D24" s="16"/>
      <c r="E24" s="18"/>
      <c r="F24" s="16"/>
      <c r="G24" s="18" t="s">
        <v>1288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181</v>
      </c>
      <c r="B25" s="16"/>
      <c r="C25" s="18"/>
      <c r="D25" s="16"/>
      <c r="E25" s="18"/>
      <c r="F25" s="16"/>
      <c r="G25" s="18" t="s">
        <v>1289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182</v>
      </c>
      <c r="B26" s="16"/>
      <c r="C26" s="18"/>
      <c r="D26" s="16"/>
      <c r="E26" s="18"/>
      <c r="F26" s="16"/>
      <c r="G26" s="18" t="s">
        <v>1290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183</v>
      </c>
      <c r="B27" s="16"/>
      <c r="C27" s="18"/>
      <c r="D27" s="16"/>
      <c r="E27" s="18"/>
      <c r="F27" s="16"/>
      <c r="G27" s="18" t="s">
        <v>1291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184</v>
      </c>
      <c r="B28" s="16"/>
      <c r="C28" s="18"/>
      <c r="D28" s="16"/>
      <c r="E28" s="18"/>
      <c r="F28" s="16"/>
      <c r="G28" s="18" t="s">
        <v>1292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185</v>
      </c>
      <c r="B29" s="16"/>
      <c r="C29" s="18"/>
      <c r="D29" s="16"/>
      <c r="E29" s="18"/>
      <c r="F29" s="16"/>
      <c r="G29" s="18" t="s">
        <v>1293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4</v>
      </c>
      <c r="B30" s="16"/>
      <c r="C30" s="18"/>
      <c r="D30" s="16"/>
      <c r="E30" s="18"/>
      <c r="F30" s="16"/>
      <c r="G30" s="18" t="s">
        <v>4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186</v>
      </c>
      <c r="B31" s="16"/>
      <c r="C31" s="18"/>
      <c r="D31" s="16"/>
      <c r="E31" s="18"/>
      <c r="F31" s="16"/>
      <c r="G31" s="18" t="s">
        <v>1294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187</v>
      </c>
      <c r="B32" s="16"/>
      <c r="C32" s="18"/>
      <c r="D32" s="16"/>
      <c r="E32" s="18"/>
      <c r="F32" s="16"/>
      <c r="G32" s="18" t="s">
        <v>1295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188</v>
      </c>
      <c r="B33" s="16"/>
      <c r="C33" s="18"/>
      <c r="D33" s="16"/>
      <c r="E33" s="18"/>
      <c r="F33" s="16"/>
      <c r="G33" s="18" t="s">
        <v>1296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 t="s">
        <v>189</v>
      </c>
      <c r="B34" s="16"/>
      <c r="C34" s="18"/>
      <c r="D34" s="16"/>
      <c r="E34" s="18"/>
      <c r="F34" s="16"/>
      <c r="G34" s="18" t="s">
        <v>1297</v>
      </c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08" priority="2" stopIfTrue="1">
      <formula>NOT(ISERROR(A3))</formula>
    </cfRule>
  </conditionalFormatting>
  <conditionalFormatting sqref="A3:T51">
    <cfRule type="containsErrors" dxfId="107" priority="1" stopIfTrue="1">
      <formula>ISERROR(A3)</formula>
    </cfRule>
    <cfRule type="notContainsBlanks" dxfId="106" priority="3">
      <formula>LEN(TRIM(A3))&gt;0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8B98B-E2A5-4F14-B4C7-67EBEFA30EDC}">
  <dimension ref="A1:T51"/>
  <sheetViews>
    <sheetView workbookViewId="0">
      <selection activeCell="G3" sqref="G3:G19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680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1298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Jewels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Joyaux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681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1299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682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1300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117</v>
      </c>
      <c r="B8" s="16"/>
      <c r="C8" s="18"/>
      <c r="D8" s="16"/>
      <c r="E8" s="18"/>
      <c r="F8" s="16"/>
      <c r="G8" s="18" t="s">
        <v>1010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683</v>
      </c>
      <c r="B10" s="16"/>
      <c r="C10" s="18"/>
      <c r="D10" s="16"/>
      <c r="E10" s="18"/>
      <c r="F10" s="16"/>
      <c r="G10" s="18" t="s">
        <v>1301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684</v>
      </c>
      <c r="B11" s="16"/>
      <c r="C11" s="18"/>
      <c r="D11" s="16"/>
      <c r="E11" s="18"/>
      <c r="F11" s="16"/>
      <c r="G11" s="18" t="s">
        <v>1302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685</v>
      </c>
      <c r="B12" s="16"/>
      <c r="C12" s="18"/>
      <c r="D12" s="16"/>
      <c r="E12" s="18"/>
      <c r="F12" s="16"/>
      <c r="G12" s="18" t="s">
        <v>1303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686</v>
      </c>
      <c r="B14" s="16"/>
      <c r="C14" s="18"/>
      <c r="D14" s="16"/>
      <c r="E14" s="18"/>
      <c r="F14" s="16"/>
      <c r="G14" s="18" t="s">
        <v>1304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e">
        <f>- Barkhul, the Butcher</f>
        <v>#NAME?</v>
      </c>
      <c r="B15" s="16"/>
      <c r="C15" s="18"/>
      <c r="D15" s="16"/>
      <c r="E15" s="18"/>
      <c r="F15" s="16"/>
      <c r="G15" s="18" t="s">
        <v>1305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1306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687</v>
      </c>
      <c r="B17" s="16"/>
      <c r="C17" s="18"/>
      <c r="D17" s="16"/>
      <c r="E17" s="18"/>
      <c r="F17" s="16"/>
      <c r="G17" s="18" t="e" cm="1">
        <f t="array" ref="G17">- Barkhul le boucher</f>
        <v>#NAME?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 t="s">
        <v>1307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05" priority="2" stopIfTrue="1">
      <formula>NOT(ISERROR(A3))</formula>
    </cfRule>
  </conditionalFormatting>
  <conditionalFormatting sqref="A3:T51">
    <cfRule type="containsErrors" dxfId="104" priority="1" stopIfTrue="1">
      <formula>ISERROR(A3)</formula>
    </cfRule>
    <cfRule type="notContainsBlanks" dxfId="103" priority="3">
      <formula>LEN(TRIM(A3))&gt;0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F809-AAF7-42C9-955D-949380B48221}">
  <dimension ref="A1:T51"/>
  <sheetViews>
    <sheetView workbookViewId="0">
      <selection activeCell="G3" sqref="G3:G2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413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1308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Quivers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Carquois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414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1309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415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1310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110</v>
      </c>
      <c r="B8" s="16"/>
      <c r="C8" s="18"/>
      <c r="D8" s="16"/>
      <c r="E8" s="18"/>
      <c r="F8" s="16"/>
      <c r="G8" s="18" t="s">
        <v>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416</v>
      </c>
      <c r="B9" s="16"/>
      <c r="C9" s="18"/>
      <c r="D9" s="16"/>
      <c r="E9" s="18"/>
      <c r="F9" s="16"/>
      <c r="G9" s="18" t="s">
        <v>1311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417</v>
      </c>
      <c r="B11" s="16"/>
      <c r="C11" s="18"/>
      <c r="D11" s="16"/>
      <c r="E11" s="18"/>
      <c r="F11" s="16"/>
      <c r="G11" s="18" t="s">
        <v>1312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418</v>
      </c>
      <c r="B13" s="16"/>
      <c r="C13" s="18"/>
      <c r="D13" s="16"/>
      <c r="E13" s="18"/>
      <c r="F13" s="16"/>
      <c r="G13" s="18" t="s">
        <v>1313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419</v>
      </c>
      <c r="B15" s="16"/>
      <c r="C15" s="18"/>
      <c r="D15" s="16"/>
      <c r="E15" s="18"/>
      <c r="F15" s="16"/>
      <c r="G15" s="18" t="s">
        <v>1314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420</v>
      </c>
      <c r="B16" s="16"/>
      <c r="C16" s="18"/>
      <c r="D16" s="16"/>
      <c r="E16" s="18"/>
      <c r="F16" s="16"/>
      <c r="G16" s="18" t="s">
        <v>1315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421</v>
      </c>
      <c r="B17" s="16"/>
      <c r="C17" s="18"/>
      <c r="D17" s="16"/>
      <c r="E17" s="18"/>
      <c r="F17" s="16"/>
      <c r="G17" s="18" t="s">
        <v>1316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422</v>
      </c>
      <c r="B18" s="16"/>
      <c r="C18" s="18"/>
      <c r="D18" s="16"/>
      <c r="E18" s="18"/>
      <c r="F18" s="16"/>
      <c r="G18" s="18" t="s">
        <v>1317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423</v>
      </c>
      <c r="B19" s="16"/>
      <c r="C19" s="18"/>
      <c r="D19" s="16"/>
      <c r="E19" s="18"/>
      <c r="F19" s="16"/>
      <c r="G19" s="18" t="s">
        <v>1318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424</v>
      </c>
      <c r="B20" s="16"/>
      <c r="C20" s="18"/>
      <c r="D20" s="16"/>
      <c r="E20" s="18"/>
      <c r="F20" s="16"/>
      <c r="G20" s="18" t="s">
        <v>1319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425</v>
      </c>
      <c r="B22" s="16"/>
      <c r="C22" s="18"/>
      <c r="D22" s="16"/>
      <c r="E22" s="18"/>
      <c r="F22" s="16"/>
      <c r="G22" s="18" t="s">
        <v>1320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22" t="s">
        <v>426</v>
      </c>
      <c r="B23" s="16"/>
      <c r="C23" s="18"/>
      <c r="D23" s="16"/>
      <c r="E23" s="18"/>
      <c r="F23" s="16"/>
      <c r="G23" s="18" t="e">
        <f>- Kiravi, Archer Vaal</f>
        <v>#NAME?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102" priority="2" stopIfTrue="1">
      <formula>NOT(ISERROR(A3))</formula>
    </cfRule>
  </conditionalFormatting>
  <conditionalFormatting sqref="A3:T51">
    <cfRule type="containsErrors" dxfId="101" priority="1" stopIfTrue="1">
      <formula>ISERROR(A3)</formula>
    </cfRule>
    <cfRule type="notContainsBlanks" dxfId="100" priority="3">
      <formula>LEN(TRIM(A3))&gt;0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A704-DA29-443A-8E29-3E0B204B077C}">
  <dimension ref="A1:T51"/>
  <sheetViews>
    <sheetView workbookViewId="0">
      <selection activeCell="G3" sqref="G3:G34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347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1321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Sceptres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Sceptres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348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1322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349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1323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350</v>
      </c>
      <c r="B8" s="16"/>
      <c r="C8" s="18"/>
      <c r="D8" s="16"/>
      <c r="E8" s="18"/>
      <c r="F8" s="16"/>
      <c r="G8" s="18" t="s">
        <v>350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351</v>
      </c>
      <c r="B9" s="16"/>
      <c r="C9" s="18"/>
      <c r="D9" s="16"/>
      <c r="E9" s="18"/>
      <c r="F9" s="16"/>
      <c r="G9" s="18" t="s">
        <v>1324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352</v>
      </c>
      <c r="B10" s="16"/>
      <c r="C10" s="18"/>
      <c r="D10" s="16"/>
      <c r="E10" s="18"/>
      <c r="F10" s="16"/>
      <c r="G10" s="18" t="s">
        <v>1325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353</v>
      </c>
      <c r="B11" s="16"/>
      <c r="C11" s="18"/>
      <c r="D11" s="16"/>
      <c r="E11" s="18"/>
      <c r="F11" s="16"/>
      <c r="G11" s="18" t="s">
        <v>1326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135</v>
      </c>
      <c r="B12" s="16"/>
      <c r="C12" s="18"/>
      <c r="D12" s="16"/>
      <c r="E12" s="18"/>
      <c r="F12" s="16"/>
      <c r="G12" s="18" t="s">
        <v>1268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354</v>
      </c>
      <c r="B15" s="16"/>
      <c r="C15" s="18"/>
      <c r="D15" s="16"/>
      <c r="E15" s="18"/>
      <c r="F15" s="16"/>
      <c r="G15" s="18" t="s">
        <v>1327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355</v>
      </c>
      <c r="B16" s="16"/>
      <c r="C16" s="18"/>
      <c r="D16" s="16"/>
      <c r="E16" s="18"/>
      <c r="F16" s="16"/>
      <c r="G16" s="18" t="s">
        <v>1328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356</v>
      </c>
      <c r="B17" s="16"/>
      <c r="C17" s="18"/>
      <c r="D17" s="16"/>
      <c r="E17" s="18"/>
      <c r="F17" s="16"/>
      <c r="G17" s="18" t="s">
        <v>356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357</v>
      </c>
      <c r="B19" s="16"/>
      <c r="C19" s="18"/>
      <c r="D19" s="16"/>
      <c r="E19" s="18"/>
      <c r="F19" s="16"/>
      <c r="G19" s="18" t="s">
        <v>1329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340</v>
      </c>
      <c r="B21" s="16"/>
      <c r="C21" s="18"/>
      <c r="D21" s="16"/>
      <c r="E21" s="18"/>
      <c r="F21" s="16"/>
      <c r="G21" s="18" t="s">
        <v>1170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358</v>
      </c>
      <c r="B23" s="16"/>
      <c r="C23" s="18"/>
      <c r="D23" s="16"/>
      <c r="E23" s="18"/>
      <c r="F23" s="16"/>
      <c r="G23" s="18" t="s">
        <v>1330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359</v>
      </c>
      <c r="B25" s="16"/>
      <c r="C25" s="18"/>
      <c r="D25" s="16"/>
      <c r="E25" s="18"/>
      <c r="F25" s="16"/>
      <c r="G25" s="18" t="s">
        <v>1331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360</v>
      </c>
      <c r="B26" s="16"/>
      <c r="C26" s="18"/>
      <c r="D26" s="16"/>
      <c r="E26" s="18"/>
      <c r="F26" s="16"/>
      <c r="G26" s="18" t="s">
        <v>1332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361</v>
      </c>
      <c r="B27" s="16"/>
      <c r="C27" s="18"/>
      <c r="D27" s="16"/>
      <c r="E27" s="18"/>
      <c r="F27" s="16"/>
      <c r="G27" s="18" t="s">
        <v>1333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362</v>
      </c>
      <c r="B28" s="16"/>
      <c r="C28" s="18"/>
      <c r="D28" s="16"/>
      <c r="E28" s="18"/>
      <c r="F28" s="16"/>
      <c r="G28" s="18" t="s">
        <v>1334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363</v>
      </c>
      <c r="B29" s="16"/>
      <c r="C29" s="18"/>
      <c r="D29" s="16"/>
      <c r="E29" s="18"/>
      <c r="F29" s="16"/>
      <c r="G29" s="18" t="s">
        <v>1335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364</v>
      </c>
      <c r="B30" s="16"/>
      <c r="C30" s="18"/>
      <c r="D30" s="16"/>
      <c r="E30" s="18"/>
      <c r="F30" s="16"/>
      <c r="G30" s="18" t="s">
        <v>1336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4</v>
      </c>
      <c r="B31" s="16"/>
      <c r="C31" s="18"/>
      <c r="D31" s="16"/>
      <c r="E31" s="18"/>
      <c r="F31" s="16"/>
      <c r="G31" s="18" t="s">
        <v>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365</v>
      </c>
      <c r="B32" s="16"/>
      <c r="C32" s="18"/>
      <c r="D32" s="16"/>
      <c r="E32" s="18"/>
      <c r="F32" s="16"/>
      <c r="G32" s="18" t="s">
        <v>1337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366</v>
      </c>
      <c r="B33" s="16"/>
      <c r="C33" s="18"/>
      <c r="D33" s="16"/>
      <c r="E33" s="18"/>
      <c r="F33" s="16"/>
      <c r="G33" s="18" t="s">
        <v>1338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 t="s">
        <v>367</v>
      </c>
      <c r="B34" s="16"/>
      <c r="C34" s="18"/>
      <c r="D34" s="16"/>
      <c r="E34" s="18"/>
      <c r="F34" s="16"/>
      <c r="G34" s="18" t="s">
        <v>1339</v>
      </c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99" priority="2" stopIfTrue="1">
      <formula>NOT(ISERROR(A3))</formula>
    </cfRule>
  </conditionalFormatting>
  <conditionalFormatting sqref="A3:T51">
    <cfRule type="containsErrors" dxfId="98" priority="1" stopIfTrue="1">
      <formula>ISERROR(A3)</formula>
    </cfRule>
    <cfRule type="notContainsBlanks" dxfId="97" priority="3">
      <formula>LEN(TRIM(A3))&gt;0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86EA-FEA4-4B2F-BF61-E21752DDDD62}">
  <dimension ref="A1:T51"/>
  <sheetViews>
    <sheetView workbookViewId="0">
      <selection activeCell="G3" sqref="G3:G26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382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1340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Staves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Bâtons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383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1341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384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1342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385</v>
      </c>
      <c r="B8" s="16"/>
      <c r="C8" s="18"/>
      <c r="D8" s="16"/>
      <c r="E8" s="18"/>
      <c r="F8" s="16"/>
      <c r="G8" s="18" t="s">
        <v>1343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386</v>
      </c>
      <c r="B9" s="16"/>
      <c r="C9" s="18"/>
      <c r="D9" s="16"/>
      <c r="E9" s="18"/>
      <c r="F9" s="16"/>
      <c r="G9" s="18" t="s">
        <v>1344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133</v>
      </c>
      <c r="B10" s="16"/>
      <c r="C10" s="18"/>
      <c r="D10" s="16"/>
      <c r="E10" s="18"/>
      <c r="F10" s="16"/>
      <c r="G10" s="18" t="s">
        <v>1252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300</v>
      </c>
      <c r="B11" s="16"/>
      <c r="C11" s="18"/>
      <c r="D11" s="16"/>
      <c r="E11" s="18"/>
      <c r="F11" s="16"/>
      <c r="G11" s="18" t="s">
        <v>1345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255</v>
      </c>
      <c r="B12" s="16"/>
      <c r="C12" s="18"/>
      <c r="D12" s="16"/>
      <c r="E12" s="18"/>
      <c r="F12" s="16"/>
      <c r="G12" s="18" t="s">
        <v>1346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387</v>
      </c>
      <c r="B14" s="16"/>
      <c r="C14" s="18"/>
      <c r="D14" s="16"/>
      <c r="E14" s="18"/>
      <c r="F14" s="16"/>
      <c r="G14" s="18" t="s">
        <v>1099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198</v>
      </c>
      <c r="B16" s="16"/>
      <c r="C16" s="18"/>
      <c r="D16" s="16"/>
      <c r="E16" s="18"/>
      <c r="F16" s="16"/>
      <c r="G16" s="18" t="s">
        <v>942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388</v>
      </c>
      <c r="B18" s="16"/>
      <c r="C18" s="18"/>
      <c r="D18" s="16"/>
      <c r="E18" s="18"/>
      <c r="F18" s="16"/>
      <c r="G18" s="18" t="s">
        <v>1347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389</v>
      </c>
      <c r="B20" s="16"/>
      <c r="C20" s="18"/>
      <c r="D20" s="16"/>
      <c r="E20" s="18"/>
      <c r="F20" s="16"/>
      <c r="G20" s="18" t="s">
        <v>1348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390</v>
      </c>
      <c r="B21" s="16"/>
      <c r="C21" s="18"/>
      <c r="D21" s="16"/>
      <c r="E21" s="18"/>
      <c r="F21" s="16"/>
      <c r="G21" s="18" t="s">
        <v>1349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391</v>
      </c>
      <c r="B22" s="16"/>
      <c r="C22" s="18"/>
      <c r="D22" s="16"/>
      <c r="E22" s="18"/>
      <c r="F22" s="16"/>
      <c r="G22" s="18" t="s">
        <v>1350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392</v>
      </c>
      <c r="B23" s="16"/>
      <c r="C23" s="18"/>
      <c r="D23" s="16"/>
      <c r="E23" s="18"/>
      <c r="F23" s="16"/>
      <c r="G23" s="18" t="s">
        <v>1351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393</v>
      </c>
      <c r="B25" s="16"/>
      <c r="C25" s="18"/>
      <c r="D25" s="16"/>
      <c r="E25" s="18"/>
      <c r="F25" s="16"/>
      <c r="G25" s="18" t="s">
        <v>1352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22" t="s">
        <v>394</v>
      </c>
      <c r="B26" s="16"/>
      <c r="C26" s="18"/>
      <c r="D26" s="16"/>
      <c r="E26" s="18"/>
      <c r="F26" s="16"/>
      <c r="G26" s="18" t="e" cm="1">
        <f t="array" ref="G26">- Vieux proverbe ézomyte</f>
        <v>#NAME?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96" priority="2" stopIfTrue="1">
      <formula>NOT(ISERROR(A3))</formula>
    </cfRule>
  </conditionalFormatting>
  <conditionalFormatting sqref="A3:T51">
    <cfRule type="containsErrors" dxfId="95" priority="1" stopIfTrue="1">
      <formula>ISERROR(A3)</formula>
    </cfRule>
    <cfRule type="notContainsBlanks" dxfId="94" priority="3">
      <formula>LEN(TRIM(A3))&gt;0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01BA-FAA7-4A69-971E-C57AEAF8E49D}">
  <dimension ref="A1:T51"/>
  <sheetViews>
    <sheetView workbookViewId="0">
      <selection activeCell="G3" sqref="G3:G28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190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1353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Wands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Baguettes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191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1354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192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1355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193</v>
      </c>
      <c r="B8" s="16"/>
      <c r="C8" s="18"/>
      <c r="D8" s="16"/>
      <c r="E8" s="18"/>
      <c r="F8" s="16"/>
      <c r="G8" s="18" t="s">
        <v>1356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194</v>
      </c>
      <c r="B9" s="16"/>
      <c r="C9" s="18"/>
      <c r="D9" s="16"/>
      <c r="E9" s="18"/>
      <c r="F9" s="16"/>
      <c r="G9" s="18" t="s">
        <v>1357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195</v>
      </c>
      <c r="B10" s="16"/>
      <c r="C10" s="18"/>
      <c r="D10" s="16"/>
      <c r="E10" s="18"/>
      <c r="F10" s="16"/>
      <c r="G10" s="18" t="s">
        <v>1358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196</v>
      </c>
      <c r="B11" s="16"/>
      <c r="C11" s="18"/>
      <c r="D11" s="16"/>
      <c r="E11" s="18"/>
      <c r="F11" s="16"/>
      <c r="G11" s="18" t="s">
        <v>1359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197</v>
      </c>
      <c r="B13" s="16"/>
      <c r="C13" s="18"/>
      <c r="D13" s="16"/>
      <c r="E13" s="18"/>
      <c r="F13" s="16"/>
      <c r="G13" s="18" t="s">
        <v>1255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198</v>
      </c>
      <c r="B15" s="16"/>
      <c r="C15" s="18"/>
      <c r="D15" s="16"/>
      <c r="E15" s="18"/>
      <c r="F15" s="16"/>
      <c r="G15" s="18" t="s">
        <v>942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199</v>
      </c>
      <c r="B17" s="16"/>
      <c r="C17" s="18"/>
      <c r="D17" s="16"/>
      <c r="E17" s="18"/>
      <c r="F17" s="16"/>
      <c r="G17" s="18" t="s">
        <v>1360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200</v>
      </c>
      <c r="B19" s="16"/>
      <c r="C19" s="18"/>
      <c r="D19" s="16"/>
      <c r="E19" s="18"/>
      <c r="F19" s="16"/>
      <c r="G19" s="18" t="s">
        <v>1361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201</v>
      </c>
      <c r="B20" s="16"/>
      <c r="C20" s="18"/>
      <c r="D20" s="16"/>
      <c r="E20" s="18"/>
      <c r="F20" s="16"/>
      <c r="G20" s="18" t="s">
        <v>1362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202</v>
      </c>
      <c r="B21" s="16"/>
      <c r="C21" s="18"/>
      <c r="D21" s="16"/>
      <c r="E21" s="18"/>
      <c r="F21" s="16"/>
      <c r="G21" s="18" t="s">
        <v>1363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203</v>
      </c>
      <c r="B22" s="16"/>
      <c r="C22" s="18"/>
      <c r="D22" s="16"/>
      <c r="E22" s="18"/>
      <c r="F22" s="16"/>
      <c r="G22" s="18" t="s">
        <v>1364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204</v>
      </c>
      <c r="B23" s="16"/>
      <c r="C23" s="18"/>
      <c r="D23" s="16"/>
      <c r="E23" s="18"/>
      <c r="F23" s="16"/>
      <c r="G23" s="18" t="s">
        <v>1365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205</v>
      </c>
      <c r="B24" s="16"/>
      <c r="C24" s="18"/>
      <c r="D24" s="16"/>
      <c r="E24" s="18"/>
      <c r="F24" s="16"/>
      <c r="G24" s="18" t="s">
        <v>1366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</v>
      </c>
      <c r="B25" s="16"/>
      <c r="C25" s="18"/>
      <c r="D25" s="16"/>
      <c r="E25" s="18"/>
      <c r="F25" s="16"/>
      <c r="G25" s="18" t="s">
        <v>4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206</v>
      </c>
      <c r="B26" s="16"/>
      <c r="C26" s="18"/>
      <c r="D26" s="16"/>
      <c r="E26" s="18"/>
      <c r="F26" s="16"/>
      <c r="G26" s="18" t="s">
        <v>1367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207</v>
      </c>
      <c r="B27" s="16"/>
      <c r="C27" s="18"/>
      <c r="D27" s="16"/>
      <c r="E27" s="18"/>
      <c r="F27" s="16"/>
      <c r="G27" s="18" t="s">
        <v>1368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208</v>
      </c>
      <c r="B28" s="16"/>
      <c r="C28" s="18"/>
      <c r="D28" s="16"/>
      <c r="E28" s="18"/>
      <c r="F28" s="16"/>
      <c r="G28" s="18" t="s">
        <v>1369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93" priority="2" stopIfTrue="1">
      <formula>NOT(ISERROR(A3))</formula>
    </cfRule>
  </conditionalFormatting>
  <conditionalFormatting sqref="A3:T51">
    <cfRule type="containsErrors" dxfId="92" priority="1" stopIfTrue="1">
      <formula>ISERROR(A3)</formula>
    </cfRule>
    <cfRule type="notContainsBlanks" dxfId="91" priority="3">
      <formula>LEN(TRIM(A3))&gt;0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A35A3-A6C6-4E43-9AE1-1C9C9418D84E}">
  <dimension ref="A1:T51"/>
  <sheetViews>
    <sheetView workbookViewId="0">
      <selection activeCell="G3" sqref="G3:G36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395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1370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Warstaves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Bâtons de guerre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396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1371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397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1372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398</v>
      </c>
      <c r="B8" s="16"/>
      <c r="C8" s="18"/>
      <c r="D8" s="16"/>
      <c r="E8" s="18"/>
      <c r="F8" s="16"/>
      <c r="G8" s="18" t="s">
        <v>1373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399</v>
      </c>
      <c r="B9" s="16"/>
      <c r="C9" s="18"/>
      <c r="D9" s="16"/>
      <c r="E9" s="18"/>
      <c r="F9" s="16"/>
      <c r="G9" s="18" t="s">
        <v>1374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400</v>
      </c>
      <c r="B10" s="16"/>
      <c r="C10" s="18"/>
      <c r="D10" s="16"/>
      <c r="E10" s="18"/>
      <c r="F10" s="16"/>
      <c r="G10" s="18" t="s">
        <v>1375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401</v>
      </c>
      <c r="B11" s="16"/>
      <c r="C11" s="18"/>
      <c r="D11" s="16"/>
      <c r="E11" s="18"/>
      <c r="F11" s="16"/>
      <c r="G11" s="18" t="s">
        <v>1376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300</v>
      </c>
      <c r="B12" s="16"/>
      <c r="C12" s="18"/>
      <c r="D12" s="16"/>
      <c r="E12" s="18"/>
      <c r="F12" s="16"/>
      <c r="G12" s="18" t="s">
        <v>1345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255</v>
      </c>
      <c r="B13" s="16"/>
      <c r="C13" s="18"/>
      <c r="D13" s="16"/>
      <c r="E13" s="18"/>
      <c r="F13" s="16"/>
      <c r="G13" s="18" t="s">
        <v>1346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110</v>
      </c>
      <c r="B15" s="16"/>
      <c r="C15" s="18"/>
      <c r="D15" s="16"/>
      <c r="E15" s="18"/>
      <c r="F15" s="16"/>
      <c r="G15" s="18" t="s">
        <v>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301</v>
      </c>
      <c r="B16" s="16"/>
      <c r="C16" s="18"/>
      <c r="D16" s="16"/>
      <c r="E16" s="18"/>
      <c r="F16" s="16"/>
      <c r="G16" s="18" t="s">
        <v>1377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402</v>
      </c>
      <c r="B17" s="16"/>
      <c r="C17" s="18"/>
      <c r="D17" s="16"/>
      <c r="E17" s="18"/>
      <c r="F17" s="16"/>
      <c r="G17" s="18" t="s">
        <v>1378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403</v>
      </c>
      <c r="B18" s="16"/>
      <c r="C18" s="18"/>
      <c r="D18" s="16"/>
      <c r="E18" s="18"/>
      <c r="F18" s="16"/>
      <c r="G18" s="18" t="s">
        <v>403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404</v>
      </c>
      <c r="B20" s="16"/>
      <c r="C20" s="18"/>
      <c r="D20" s="16"/>
      <c r="E20" s="18"/>
      <c r="F20" s="16"/>
      <c r="G20" s="18" t="s">
        <v>1086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117</v>
      </c>
      <c r="B22" s="16"/>
      <c r="C22" s="18"/>
      <c r="D22" s="16"/>
      <c r="E22" s="18"/>
      <c r="F22" s="16"/>
      <c r="G22" s="18" t="s">
        <v>1010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388</v>
      </c>
      <c r="B24" s="16"/>
      <c r="C24" s="18"/>
      <c r="D24" s="16"/>
      <c r="E24" s="18"/>
      <c r="F24" s="16"/>
      <c r="G24" s="18" t="s">
        <v>1347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4</v>
      </c>
      <c r="B25" s="16"/>
      <c r="C25" s="18"/>
      <c r="D25" s="16"/>
      <c r="E25" s="18"/>
      <c r="F25" s="16"/>
      <c r="G25" s="18" t="s">
        <v>4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405</v>
      </c>
      <c r="B26" s="16"/>
      <c r="C26" s="18"/>
      <c r="D26" s="16"/>
      <c r="E26" s="18"/>
      <c r="F26" s="16"/>
      <c r="G26" s="18" t="s">
        <v>1379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406</v>
      </c>
      <c r="B27" s="16"/>
      <c r="C27" s="18"/>
      <c r="D27" s="16"/>
      <c r="E27" s="18"/>
      <c r="F27" s="16"/>
      <c r="G27" s="18" t="s">
        <v>1380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407</v>
      </c>
      <c r="B28" s="16"/>
      <c r="C28" s="18"/>
      <c r="D28" s="16"/>
      <c r="E28" s="18"/>
      <c r="F28" s="16"/>
      <c r="G28" s="18" t="s">
        <v>1381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408</v>
      </c>
      <c r="B29" s="16"/>
      <c r="C29" s="18"/>
      <c r="D29" s="16"/>
      <c r="E29" s="18"/>
      <c r="F29" s="16"/>
      <c r="G29" s="18" t="s">
        <v>1382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409</v>
      </c>
      <c r="B30" s="16"/>
      <c r="C30" s="18"/>
      <c r="D30" s="16"/>
      <c r="E30" s="18"/>
      <c r="F30" s="16"/>
      <c r="G30" s="18" t="s">
        <v>1383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410</v>
      </c>
      <c r="B31" s="16"/>
      <c r="C31" s="18"/>
      <c r="D31" s="16"/>
      <c r="E31" s="18"/>
      <c r="F31" s="16"/>
      <c r="G31" s="18" t="s">
        <v>1384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4</v>
      </c>
      <c r="B32" s="16"/>
      <c r="C32" s="18"/>
      <c r="D32" s="16"/>
      <c r="E32" s="18"/>
      <c r="F32" s="16"/>
      <c r="G32" s="18" t="s">
        <v>4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411</v>
      </c>
      <c r="B33" s="16"/>
      <c r="C33" s="18"/>
      <c r="D33" s="16"/>
      <c r="E33" s="18"/>
      <c r="F33" s="16"/>
      <c r="G33" s="18" t="s">
        <v>1385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22" t="s">
        <v>412</v>
      </c>
      <c r="B34" s="16"/>
      <c r="C34" s="18"/>
      <c r="D34" s="16"/>
      <c r="E34" s="18"/>
      <c r="F34" s="16"/>
      <c r="G34" s="18" t="s">
        <v>1386</v>
      </c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 t="s">
        <v>1387</v>
      </c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 t="s">
        <v>1388</v>
      </c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90" priority="2" stopIfTrue="1">
      <formula>NOT(ISERROR(A3))</formula>
    </cfRule>
  </conditionalFormatting>
  <conditionalFormatting sqref="A3:T51">
    <cfRule type="containsErrors" dxfId="89" priority="1" stopIfTrue="1">
      <formula>ISERROR(A3)</formula>
    </cfRule>
    <cfRule type="notContainsBlanks" dxfId="88" priority="3">
      <formula>LEN(TRIM(A3))&gt;0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D342-BA74-4B48-8277-F7860BB2FCE9}">
  <dimension ref="A1:T51"/>
  <sheetViews>
    <sheetView workbookViewId="0">
      <selection activeCell="G3" sqref="G3:G3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209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1389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One Hand Swords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Épées à une main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210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210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211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1390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212</v>
      </c>
      <c r="B8" s="16"/>
      <c r="C8" s="18"/>
      <c r="D8" s="16"/>
      <c r="E8" s="18"/>
      <c r="F8" s="16"/>
      <c r="G8" s="18" t="s">
        <v>1391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213</v>
      </c>
      <c r="B9" s="16"/>
      <c r="C9" s="18"/>
      <c r="D9" s="16"/>
      <c r="E9" s="18"/>
      <c r="F9" s="16"/>
      <c r="G9" s="18" t="s">
        <v>1392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214</v>
      </c>
      <c r="B10" s="16"/>
      <c r="C10" s="18"/>
      <c r="D10" s="16"/>
      <c r="E10" s="18"/>
      <c r="F10" s="16"/>
      <c r="G10" s="18" t="s">
        <v>1393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215</v>
      </c>
      <c r="B11" s="16"/>
      <c r="C11" s="18"/>
      <c r="D11" s="16"/>
      <c r="E11" s="18"/>
      <c r="F11" s="16"/>
      <c r="G11" s="18" t="s">
        <v>1394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135</v>
      </c>
      <c r="B12" s="16"/>
      <c r="C12" s="18"/>
      <c r="D12" s="16"/>
      <c r="E12" s="18"/>
      <c r="F12" s="16"/>
      <c r="G12" s="18" t="s">
        <v>1268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216</v>
      </c>
      <c r="B15" s="16"/>
      <c r="C15" s="18"/>
      <c r="D15" s="16"/>
      <c r="E15" s="18"/>
      <c r="F15" s="16"/>
      <c r="G15" s="18" t="s">
        <v>1395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217</v>
      </c>
      <c r="B16" s="16"/>
      <c r="C16" s="18"/>
      <c r="D16" s="16"/>
      <c r="E16" s="18"/>
      <c r="F16" s="16"/>
      <c r="G16" s="18" t="s">
        <v>1396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218</v>
      </c>
      <c r="B17" s="16"/>
      <c r="C17" s="18"/>
      <c r="D17" s="16"/>
      <c r="E17" s="18"/>
      <c r="F17" s="16"/>
      <c r="G17" s="18" t="s">
        <v>218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219</v>
      </c>
      <c r="B19" s="16"/>
      <c r="C19" s="18"/>
      <c r="D19" s="16"/>
      <c r="E19" s="18"/>
      <c r="F19" s="16"/>
      <c r="G19" s="18" t="s">
        <v>1397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220</v>
      </c>
      <c r="B21" s="16"/>
      <c r="C21" s="18"/>
      <c r="D21" s="16"/>
      <c r="E21" s="18"/>
      <c r="F21" s="16"/>
      <c r="G21" s="18" t="s">
        <v>1398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221</v>
      </c>
      <c r="B23" s="16"/>
      <c r="C23" s="18"/>
      <c r="D23" s="16"/>
      <c r="E23" s="18"/>
      <c r="F23" s="16"/>
      <c r="G23" s="18" t="s">
        <v>1399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222</v>
      </c>
      <c r="B25" s="16"/>
      <c r="C25" s="18"/>
      <c r="D25" s="16"/>
      <c r="E25" s="18"/>
      <c r="F25" s="16"/>
      <c r="G25" s="18" t="s">
        <v>1400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223</v>
      </c>
      <c r="B26" s="16"/>
      <c r="C26" s="18"/>
      <c r="D26" s="16"/>
      <c r="E26" s="18"/>
      <c r="F26" s="16"/>
      <c r="G26" s="18" t="s">
        <v>1401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224</v>
      </c>
      <c r="B27" s="16"/>
      <c r="C27" s="18"/>
      <c r="D27" s="16"/>
      <c r="E27" s="18"/>
      <c r="F27" s="16"/>
      <c r="G27" s="18" t="s">
        <v>1402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225</v>
      </c>
      <c r="B28" s="16"/>
      <c r="C28" s="18"/>
      <c r="D28" s="16"/>
      <c r="E28" s="18"/>
      <c r="F28" s="16"/>
      <c r="G28" s="18" t="s">
        <v>1403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226</v>
      </c>
      <c r="B29" s="16"/>
      <c r="C29" s="18"/>
      <c r="D29" s="16"/>
      <c r="E29" s="18"/>
      <c r="F29" s="16"/>
      <c r="G29" s="18" t="s">
        <v>1404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227</v>
      </c>
      <c r="B30" s="16"/>
      <c r="C30" s="18"/>
      <c r="D30" s="16"/>
      <c r="E30" s="18"/>
      <c r="F30" s="16"/>
      <c r="G30" s="18" t="s">
        <v>1405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228</v>
      </c>
      <c r="B31" s="16"/>
      <c r="C31" s="18"/>
      <c r="D31" s="16"/>
      <c r="E31" s="18"/>
      <c r="F31" s="16"/>
      <c r="G31" s="18" t="s">
        <v>1406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4</v>
      </c>
      <c r="B32" s="16"/>
      <c r="C32" s="18"/>
      <c r="D32" s="16"/>
      <c r="E32" s="18"/>
      <c r="F32" s="16"/>
      <c r="G32" s="18" t="s">
        <v>4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229</v>
      </c>
      <c r="B33" s="16"/>
      <c r="C33" s="18"/>
      <c r="D33" s="16"/>
      <c r="E33" s="18"/>
      <c r="F33" s="16"/>
      <c r="G33" s="18" t="s">
        <v>1407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87" priority="2" stopIfTrue="1">
      <formula>NOT(ISERROR(A3))</formula>
    </cfRule>
  </conditionalFormatting>
  <conditionalFormatting sqref="A3:T51">
    <cfRule type="containsErrors" dxfId="86" priority="1" stopIfTrue="1">
      <formula>ISERROR(A3)</formula>
    </cfRule>
    <cfRule type="notContainsBlanks" dxfId="85" priority="3">
      <formula>LEN(TRIM(A3))&gt;0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369E7-2C80-4677-9428-606612272D56}">
  <dimension ref="A1:T51"/>
  <sheetViews>
    <sheetView workbookViewId="0">
      <selection activeCell="G3" sqref="G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230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1408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Thrusting One Hand Swords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Épées d'estoc à une main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231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231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232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1409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212</v>
      </c>
      <c r="B8" s="16"/>
      <c r="C8" s="18"/>
      <c r="D8" s="16"/>
      <c r="E8" s="18"/>
      <c r="F8" s="16"/>
      <c r="G8" s="18" t="s">
        <v>1391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233</v>
      </c>
      <c r="B9" s="16"/>
      <c r="C9" s="18"/>
      <c r="D9" s="16"/>
      <c r="E9" s="18"/>
      <c r="F9" s="16"/>
      <c r="G9" s="18" t="s">
        <v>1410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234</v>
      </c>
      <c r="B10" s="16"/>
      <c r="C10" s="18"/>
      <c r="D10" s="16"/>
      <c r="E10" s="18"/>
      <c r="F10" s="16"/>
      <c r="G10" s="18" t="s">
        <v>1411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235</v>
      </c>
      <c r="B11" s="16"/>
      <c r="C11" s="18"/>
      <c r="D11" s="16"/>
      <c r="E11" s="18"/>
      <c r="F11" s="16"/>
      <c r="G11" s="18" t="s">
        <v>1412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236</v>
      </c>
      <c r="B12" s="16"/>
      <c r="C12" s="18"/>
      <c r="D12" s="16"/>
      <c r="E12" s="18"/>
      <c r="F12" s="16"/>
      <c r="G12" s="18" t="s">
        <v>1413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237</v>
      </c>
      <c r="B15" s="16"/>
      <c r="C15" s="18"/>
      <c r="D15" s="16"/>
      <c r="E15" s="18"/>
      <c r="F15" s="16"/>
      <c r="G15" s="18" t="s">
        <v>1414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238</v>
      </c>
      <c r="B16" s="16"/>
      <c r="C16" s="18"/>
      <c r="D16" s="16"/>
      <c r="E16" s="18"/>
      <c r="F16" s="16"/>
      <c r="G16" s="18" t="s">
        <v>238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239</v>
      </c>
      <c r="B18" s="16"/>
      <c r="C18" s="18"/>
      <c r="D18" s="16"/>
      <c r="E18" s="18"/>
      <c r="F18" s="16"/>
      <c r="G18" s="18" t="s">
        <v>1415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240</v>
      </c>
      <c r="B20" s="16"/>
      <c r="C20" s="18"/>
      <c r="D20" s="16"/>
      <c r="E20" s="18"/>
      <c r="F20" s="16"/>
      <c r="G20" s="18" t="s">
        <v>1256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241</v>
      </c>
      <c r="B22" s="16"/>
      <c r="C22" s="18"/>
      <c r="D22" s="16"/>
      <c r="E22" s="18"/>
      <c r="F22" s="16"/>
      <c r="G22" s="18" t="s">
        <v>1416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242</v>
      </c>
      <c r="B24" s="16"/>
      <c r="C24" s="18"/>
      <c r="D24" s="16"/>
      <c r="E24" s="18"/>
      <c r="F24" s="16"/>
      <c r="G24" s="18" t="s">
        <v>1417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243</v>
      </c>
      <c r="B25" s="16"/>
      <c r="C25" s="18"/>
      <c r="D25" s="16"/>
      <c r="E25" s="18"/>
      <c r="F25" s="16"/>
      <c r="G25" s="18" t="s">
        <v>1418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244</v>
      </c>
      <c r="B26" s="16"/>
      <c r="C26" s="18"/>
      <c r="D26" s="16"/>
      <c r="E26" s="18"/>
      <c r="F26" s="16"/>
      <c r="G26" s="18" t="s">
        <v>1419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245</v>
      </c>
      <c r="B27" s="16"/>
      <c r="C27" s="18"/>
      <c r="D27" s="16"/>
      <c r="E27" s="18"/>
      <c r="F27" s="16"/>
      <c r="G27" s="18" t="s">
        <v>1420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4</v>
      </c>
      <c r="B28" s="16"/>
      <c r="C28" s="18"/>
      <c r="D28" s="16"/>
      <c r="E28" s="18"/>
      <c r="F28" s="16"/>
      <c r="G28" s="18" t="s">
        <v>4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246</v>
      </c>
      <c r="B29" s="16"/>
      <c r="C29" s="18"/>
      <c r="D29" s="16"/>
      <c r="E29" s="18"/>
      <c r="F29" s="16"/>
      <c r="G29" s="18" t="s">
        <v>1421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247</v>
      </c>
      <c r="B30" s="16"/>
      <c r="C30" s="18"/>
      <c r="D30" s="16"/>
      <c r="E30" s="18"/>
      <c r="F30" s="16"/>
      <c r="G30" s="18" t="s">
        <v>1422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248</v>
      </c>
      <c r="B31" s="16"/>
      <c r="C31" s="18"/>
      <c r="D31" s="16"/>
      <c r="E31" s="18"/>
      <c r="F31" s="16"/>
      <c r="G31" s="18" t="s">
        <v>1423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84" priority="2" stopIfTrue="1">
      <formula>NOT(ISERROR(A3))</formula>
    </cfRule>
  </conditionalFormatting>
  <conditionalFormatting sqref="A3:T51">
    <cfRule type="containsErrors" dxfId="83" priority="1" stopIfTrue="1">
      <formula>ISERROR(A3)</formula>
    </cfRule>
    <cfRule type="notContainsBlanks" dxfId="82" priority="3">
      <formula>LEN(TRIM(A3))&gt;0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0D54-A4F5-4C99-9558-0E3B9BEA808C}">
  <dimension ref="A1:T51"/>
  <sheetViews>
    <sheetView workbookViewId="0">
      <selection activeCell="G3" sqref="G3:G35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249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1424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Two Hand Swords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Épées à deux mains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250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250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251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1425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252</v>
      </c>
      <c r="B8" s="16"/>
      <c r="C8" s="18"/>
      <c r="D8" s="16"/>
      <c r="E8" s="18"/>
      <c r="F8" s="16"/>
      <c r="G8" s="18" t="s">
        <v>1426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253</v>
      </c>
      <c r="B9" s="16"/>
      <c r="C9" s="18"/>
      <c r="D9" s="16"/>
      <c r="E9" s="18"/>
      <c r="F9" s="16"/>
      <c r="G9" s="18" t="s">
        <v>1427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254</v>
      </c>
      <c r="B10" s="16"/>
      <c r="C10" s="18"/>
      <c r="D10" s="16"/>
      <c r="E10" s="18"/>
      <c r="F10" s="16"/>
      <c r="G10" s="18" t="s">
        <v>1428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134</v>
      </c>
      <c r="B11" s="16"/>
      <c r="C11" s="18"/>
      <c r="D11" s="16"/>
      <c r="E11" s="18"/>
      <c r="F11" s="16"/>
      <c r="G11" s="18" t="s">
        <v>1130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255</v>
      </c>
      <c r="B12" s="16"/>
      <c r="C12" s="18"/>
      <c r="D12" s="16"/>
      <c r="E12" s="18"/>
      <c r="F12" s="16"/>
      <c r="G12" s="18" t="s">
        <v>1346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256</v>
      </c>
      <c r="B15" s="16"/>
      <c r="C15" s="18"/>
      <c r="D15" s="16"/>
      <c r="E15" s="18"/>
      <c r="F15" s="16"/>
      <c r="G15" s="18" t="s">
        <v>1429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257</v>
      </c>
      <c r="B16" s="16"/>
      <c r="C16" s="18"/>
      <c r="D16" s="16"/>
      <c r="E16" s="18"/>
      <c r="F16" s="16"/>
      <c r="G16" s="18" t="s">
        <v>1430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258</v>
      </c>
      <c r="B17" s="16"/>
      <c r="C17" s="18"/>
      <c r="D17" s="16"/>
      <c r="E17" s="18"/>
      <c r="F17" s="16"/>
      <c r="G17" s="18" t="s">
        <v>258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259</v>
      </c>
      <c r="B19" s="16"/>
      <c r="C19" s="18"/>
      <c r="D19" s="16"/>
      <c r="E19" s="18"/>
      <c r="F19" s="16"/>
      <c r="G19" s="18" t="s">
        <v>1431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260</v>
      </c>
      <c r="B21" s="16"/>
      <c r="C21" s="18"/>
      <c r="D21" s="16"/>
      <c r="E21" s="18"/>
      <c r="F21" s="16"/>
      <c r="G21" s="18" t="s">
        <v>1048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261</v>
      </c>
      <c r="B23" s="16"/>
      <c r="C23" s="18"/>
      <c r="D23" s="16"/>
      <c r="E23" s="18"/>
      <c r="F23" s="16"/>
      <c r="G23" s="18" t="s">
        <v>1432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262</v>
      </c>
      <c r="B25" s="16"/>
      <c r="C25" s="18"/>
      <c r="D25" s="16"/>
      <c r="E25" s="18"/>
      <c r="F25" s="16"/>
      <c r="G25" s="18" t="s">
        <v>1433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263</v>
      </c>
      <c r="B26" s="16"/>
      <c r="C26" s="18"/>
      <c r="D26" s="16"/>
      <c r="E26" s="18"/>
      <c r="F26" s="16"/>
      <c r="G26" s="18" t="s">
        <v>1434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264</v>
      </c>
      <c r="B27" s="16"/>
      <c r="C27" s="18"/>
      <c r="D27" s="16"/>
      <c r="E27" s="18"/>
      <c r="F27" s="16"/>
      <c r="G27" s="18" t="s">
        <v>1435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265</v>
      </c>
      <c r="B28" s="16"/>
      <c r="C28" s="18"/>
      <c r="D28" s="16"/>
      <c r="E28" s="18"/>
      <c r="F28" s="16"/>
      <c r="G28" s="18" t="s">
        <v>1436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266</v>
      </c>
      <c r="B29" s="16"/>
      <c r="C29" s="18"/>
      <c r="D29" s="16"/>
      <c r="E29" s="18"/>
      <c r="F29" s="16"/>
      <c r="G29" s="18" t="s">
        <v>1116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267</v>
      </c>
      <c r="B30" s="16"/>
      <c r="C30" s="18"/>
      <c r="D30" s="16"/>
      <c r="E30" s="18"/>
      <c r="F30" s="16"/>
      <c r="G30" s="18" t="s">
        <v>1437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4</v>
      </c>
      <c r="B31" s="16"/>
      <c r="C31" s="18"/>
      <c r="D31" s="16"/>
      <c r="E31" s="18"/>
      <c r="F31" s="16"/>
      <c r="G31" s="18" t="s">
        <v>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268</v>
      </c>
      <c r="B32" s="16"/>
      <c r="C32" s="18"/>
      <c r="D32" s="16"/>
      <c r="E32" s="18"/>
      <c r="F32" s="16"/>
      <c r="G32" s="18" t="s">
        <v>1438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269</v>
      </c>
      <c r="B33" s="16"/>
      <c r="C33" s="18"/>
      <c r="D33" s="16"/>
      <c r="E33" s="18"/>
      <c r="F33" s="16"/>
      <c r="G33" s="18" t="s">
        <v>1439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 t="s">
        <v>270</v>
      </c>
      <c r="B34" s="16"/>
      <c r="C34" s="18"/>
      <c r="D34" s="16"/>
      <c r="E34" s="18"/>
      <c r="F34" s="16"/>
      <c r="G34" s="18" t="s">
        <v>1440</v>
      </c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 t="s">
        <v>271</v>
      </c>
      <c r="B35" s="16"/>
      <c r="C35" s="18"/>
      <c r="D35" s="16"/>
      <c r="E35" s="18"/>
      <c r="F35" s="16"/>
      <c r="G35" s="18" t="s">
        <v>1441</v>
      </c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81" priority="2" stopIfTrue="1">
      <formula>NOT(ISERROR(A3))</formula>
    </cfRule>
  </conditionalFormatting>
  <conditionalFormatting sqref="A3:T51">
    <cfRule type="containsErrors" dxfId="80" priority="1" stopIfTrue="1">
      <formula>ISERROR(A3)</formula>
    </cfRule>
    <cfRule type="notContainsBlanks" dxfId="79" priority="3">
      <formula>LEN(TRIM(A3))&gt;0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E900-CB5F-4FC1-8EAC-8448C686491F}">
  <dimension ref="A1:T51"/>
  <sheetViews>
    <sheetView workbookViewId="0">
      <selection activeCell="G3" sqref="G3:G35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272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1442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One Hand Axes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Haches à une main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273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273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274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1443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275</v>
      </c>
      <c r="B8" s="16"/>
      <c r="C8" s="18"/>
      <c r="D8" s="16"/>
      <c r="E8" s="18"/>
      <c r="F8" s="16"/>
      <c r="G8" s="18" t="s">
        <v>1444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276</v>
      </c>
      <c r="B9" s="16"/>
      <c r="C9" s="18"/>
      <c r="D9" s="16"/>
      <c r="E9" s="18"/>
      <c r="F9" s="16"/>
      <c r="G9" s="18" t="s">
        <v>1445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277</v>
      </c>
      <c r="B10" s="16"/>
      <c r="C10" s="18"/>
      <c r="D10" s="16"/>
      <c r="E10" s="18"/>
      <c r="F10" s="16"/>
      <c r="G10" s="18" t="s">
        <v>1446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214</v>
      </c>
      <c r="B11" s="16"/>
      <c r="C11" s="18"/>
      <c r="D11" s="16"/>
      <c r="E11" s="18"/>
      <c r="F11" s="16"/>
      <c r="G11" s="18" t="s">
        <v>1393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278</v>
      </c>
      <c r="B12" s="16"/>
      <c r="C12" s="18"/>
      <c r="D12" s="16"/>
      <c r="E12" s="18"/>
      <c r="F12" s="16"/>
      <c r="G12" s="18" t="s">
        <v>1447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135</v>
      </c>
      <c r="B13" s="16"/>
      <c r="C13" s="18"/>
      <c r="D13" s="16"/>
      <c r="E13" s="18"/>
      <c r="F13" s="16"/>
      <c r="G13" s="18" t="s">
        <v>1268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110</v>
      </c>
      <c r="B15" s="16"/>
      <c r="C15" s="18"/>
      <c r="D15" s="16"/>
      <c r="E15" s="18"/>
      <c r="F15" s="16"/>
      <c r="G15" s="18" t="s">
        <v>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279</v>
      </c>
      <c r="B16" s="16"/>
      <c r="C16" s="18"/>
      <c r="D16" s="16"/>
      <c r="E16" s="18"/>
      <c r="F16" s="16"/>
      <c r="G16" s="18" t="s">
        <v>1448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280</v>
      </c>
      <c r="B17" s="16"/>
      <c r="C17" s="18"/>
      <c r="D17" s="16"/>
      <c r="E17" s="18"/>
      <c r="F17" s="16"/>
      <c r="G17" s="18" t="s">
        <v>1449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281</v>
      </c>
      <c r="B18" s="16"/>
      <c r="C18" s="18"/>
      <c r="D18" s="16"/>
      <c r="E18" s="18"/>
      <c r="F18" s="16"/>
      <c r="G18" s="18" t="s">
        <v>281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282</v>
      </c>
      <c r="B20" s="16"/>
      <c r="C20" s="18"/>
      <c r="D20" s="16"/>
      <c r="E20" s="18"/>
      <c r="F20" s="16"/>
      <c r="G20" s="18" t="s">
        <v>1450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283</v>
      </c>
      <c r="B22" s="16"/>
      <c r="C22" s="18"/>
      <c r="D22" s="16"/>
      <c r="E22" s="18"/>
      <c r="F22" s="16"/>
      <c r="G22" s="18" t="s">
        <v>1027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284</v>
      </c>
      <c r="B24" s="16"/>
      <c r="C24" s="18"/>
      <c r="D24" s="16"/>
      <c r="E24" s="18"/>
      <c r="F24" s="16"/>
      <c r="G24" s="18" t="s">
        <v>1451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285</v>
      </c>
      <c r="B25" s="16"/>
      <c r="C25" s="18"/>
      <c r="D25" s="16"/>
      <c r="E25" s="18"/>
      <c r="F25" s="16"/>
      <c r="G25" s="18" t="s">
        <v>1452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286</v>
      </c>
      <c r="B26" s="16"/>
      <c r="C26" s="18"/>
      <c r="D26" s="16"/>
      <c r="E26" s="18"/>
      <c r="F26" s="16"/>
      <c r="G26" s="18" t="s">
        <v>1453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287</v>
      </c>
      <c r="B27" s="16"/>
      <c r="C27" s="18"/>
      <c r="D27" s="16"/>
      <c r="E27" s="18"/>
      <c r="F27" s="16"/>
      <c r="G27" s="18" t="s">
        <v>1454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288</v>
      </c>
      <c r="B28" s="16"/>
      <c r="C28" s="18"/>
      <c r="D28" s="16"/>
      <c r="E28" s="18"/>
      <c r="F28" s="16"/>
      <c r="G28" s="18" t="s">
        <v>1455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289</v>
      </c>
      <c r="B29" s="16"/>
      <c r="C29" s="18"/>
      <c r="D29" s="16"/>
      <c r="E29" s="18"/>
      <c r="F29" s="16"/>
      <c r="G29" s="18" t="s">
        <v>1456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4</v>
      </c>
      <c r="B30" s="16"/>
      <c r="C30" s="18"/>
      <c r="D30" s="16"/>
      <c r="E30" s="18"/>
      <c r="F30" s="16"/>
      <c r="G30" s="18" t="s">
        <v>4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290</v>
      </c>
      <c r="B31" s="16"/>
      <c r="C31" s="18"/>
      <c r="D31" s="16"/>
      <c r="E31" s="18"/>
      <c r="F31" s="16"/>
      <c r="G31" s="18" t="s">
        <v>1457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291</v>
      </c>
      <c r="B32" s="16"/>
      <c r="C32" s="18"/>
      <c r="D32" s="16"/>
      <c r="E32" s="18"/>
      <c r="F32" s="16"/>
      <c r="G32" s="18" t="s">
        <v>1458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292</v>
      </c>
      <c r="B33" s="16"/>
      <c r="C33" s="18"/>
      <c r="D33" s="16"/>
      <c r="E33" s="18"/>
      <c r="F33" s="16"/>
      <c r="G33" s="18" t="s">
        <v>1459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 t="s">
        <v>293</v>
      </c>
      <c r="B34" s="16"/>
      <c r="C34" s="18"/>
      <c r="D34" s="16"/>
      <c r="E34" s="18"/>
      <c r="F34" s="16"/>
      <c r="G34" s="18" t="s">
        <v>1460</v>
      </c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 t="s">
        <v>294</v>
      </c>
      <c r="B35" s="16"/>
      <c r="C35" s="18"/>
      <c r="D35" s="16"/>
      <c r="E35" s="18"/>
      <c r="F35" s="16"/>
      <c r="G35" s="18" t="s">
        <v>1461</v>
      </c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78" priority="2" stopIfTrue="1">
      <formula>NOT(ISERROR(A3))</formula>
    </cfRule>
  </conditionalFormatting>
  <conditionalFormatting sqref="A3:T51">
    <cfRule type="containsErrors" dxfId="77" priority="1" stopIfTrue="1">
      <formula>ISERROR(A3)</formula>
    </cfRule>
    <cfRule type="notContainsBlanks" dxfId="76" priority="3">
      <formula>LEN(TRIM(A3))&gt;0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4AFE7-BFC4-4905-BE80-DE4EB4567521}">
  <dimension ref="A1:T51"/>
  <sheetViews>
    <sheetView workbookViewId="0">
      <selection activeCell="G3" sqref="G3:G30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295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1462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Two Hand Axes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Haches à deux mains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296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1463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297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1464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298</v>
      </c>
      <c r="B8" s="16"/>
      <c r="C8" s="18"/>
      <c r="D8" s="16"/>
      <c r="E8" s="18"/>
      <c r="F8" s="16"/>
      <c r="G8" s="18" t="s">
        <v>1465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299</v>
      </c>
      <c r="B9" s="16"/>
      <c r="C9" s="18"/>
      <c r="D9" s="16"/>
      <c r="E9" s="18"/>
      <c r="F9" s="16"/>
      <c r="G9" s="18" t="s">
        <v>1466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214</v>
      </c>
      <c r="B10" s="16"/>
      <c r="C10" s="18"/>
      <c r="D10" s="16"/>
      <c r="E10" s="18"/>
      <c r="F10" s="16"/>
      <c r="G10" s="18" t="s">
        <v>1393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300</v>
      </c>
      <c r="B11" s="16"/>
      <c r="C11" s="18"/>
      <c r="D11" s="16"/>
      <c r="E11" s="18"/>
      <c r="F11" s="16"/>
      <c r="G11" s="18" t="s">
        <v>1345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255</v>
      </c>
      <c r="B12" s="16"/>
      <c r="C12" s="18"/>
      <c r="D12" s="16"/>
      <c r="E12" s="18"/>
      <c r="F12" s="16"/>
      <c r="G12" s="18" t="s">
        <v>1346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301</v>
      </c>
      <c r="B15" s="16"/>
      <c r="C15" s="18"/>
      <c r="D15" s="16"/>
      <c r="E15" s="18"/>
      <c r="F15" s="16"/>
      <c r="G15" s="18" t="s">
        <v>1377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302</v>
      </c>
      <c r="B16" s="16"/>
      <c r="C16" s="18"/>
      <c r="D16" s="16"/>
      <c r="E16" s="18"/>
      <c r="F16" s="16"/>
      <c r="G16" s="18" t="s">
        <v>1467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303</v>
      </c>
      <c r="B17" s="16"/>
      <c r="C17" s="18"/>
      <c r="D17" s="16"/>
      <c r="E17" s="18"/>
      <c r="F17" s="16"/>
      <c r="G17" s="18" t="s">
        <v>303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259</v>
      </c>
      <c r="B19" s="16"/>
      <c r="C19" s="18"/>
      <c r="D19" s="16"/>
      <c r="E19" s="18"/>
      <c r="F19" s="16"/>
      <c r="G19" s="18" t="s">
        <v>1431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198</v>
      </c>
      <c r="B21" s="16"/>
      <c r="C21" s="18"/>
      <c r="D21" s="16"/>
      <c r="E21" s="18"/>
      <c r="F21" s="16"/>
      <c r="G21" s="18" t="s">
        <v>942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304</v>
      </c>
      <c r="B23" s="16"/>
      <c r="C23" s="18"/>
      <c r="D23" s="16"/>
      <c r="E23" s="18"/>
      <c r="F23" s="16"/>
      <c r="G23" s="18" t="s">
        <v>1468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305</v>
      </c>
      <c r="B24" s="16"/>
      <c r="C24" s="18"/>
      <c r="D24" s="16"/>
      <c r="E24" s="18"/>
      <c r="F24" s="16"/>
      <c r="G24" s="18" t="s">
        <v>1469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306</v>
      </c>
      <c r="B25" s="16"/>
      <c r="C25" s="18"/>
      <c r="D25" s="16"/>
      <c r="E25" s="18"/>
      <c r="F25" s="16"/>
      <c r="G25" s="18" t="s">
        <v>1470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307</v>
      </c>
      <c r="B26" s="16"/>
      <c r="C26" s="18"/>
      <c r="D26" s="16"/>
      <c r="E26" s="18"/>
      <c r="F26" s="16"/>
      <c r="G26" s="18" t="s">
        <v>1471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308</v>
      </c>
      <c r="B27" s="16"/>
      <c r="C27" s="18"/>
      <c r="D27" s="16"/>
      <c r="E27" s="18"/>
      <c r="F27" s="16"/>
      <c r="G27" s="18" t="s">
        <v>1472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4</v>
      </c>
      <c r="B28" s="16"/>
      <c r="C28" s="18"/>
      <c r="D28" s="16"/>
      <c r="E28" s="18"/>
      <c r="F28" s="16"/>
      <c r="G28" s="18" t="s">
        <v>4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309</v>
      </c>
      <c r="B29" s="16"/>
      <c r="C29" s="18"/>
      <c r="D29" s="16"/>
      <c r="E29" s="18"/>
      <c r="F29" s="16"/>
      <c r="G29" s="18" t="s">
        <v>1473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310</v>
      </c>
      <c r="B30" s="16"/>
      <c r="C30" s="18"/>
      <c r="D30" s="16"/>
      <c r="E30" s="18"/>
      <c r="F30" s="16"/>
      <c r="G30" s="18" t="s">
        <v>1474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75" priority="2" stopIfTrue="1">
      <formula>NOT(ISERROR(A3))</formula>
    </cfRule>
  </conditionalFormatting>
  <conditionalFormatting sqref="A3:T51">
    <cfRule type="containsErrors" dxfId="74" priority="1" stopIfTrue="1">
      <formula>ISERROR(A3)</formula>
    </cfRule>
    <cfRule type="notContainsBlanks" dxfId="73" priority="3">
      <formula>LEN(TRIM(A3))&gt;0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A5-A798-4A8A-ADB5-2E40A061BDCC}">
  <dimension ref="A1:T51"/>
  <sheetViews>
    <sheetView workbookViewId="0">
      <selection activeCell="G3" sqref="G3:G33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311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1475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One Hand Maces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Masses à une main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312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1476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313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1477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314</v>
      </c>
      <c r="B8" s="16"/>
      <c r="C8" s="18"/>
      <c r="D8" s="16"/>
      <c r="E8" s="18"/>
      <c r="F8" s="16"/>
      <c r="G8" s="18" t="s">
        <v>1478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315</v>
      </c>
      <c r="B9" s="16"/>
      <c r="C9" s="18"/>
      <c r="D9" s="16"/>
      <c r="E9" s="18"/>
      <c r="F9" s="16"/>
      <c r="G9" s="18" t="s">
        <v>1479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316</v>
      </c>
      <c r="B10" s="16"/>
      <c r="C10" s="18"/>
      <c r="D10" s="16"/>
      <c r="E10" s="18"/>
      <c r="F10" s="16"/>
      <c r="G10" s="18" t="s">
        <v>1480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214</v>
      </c>
      <c r="B11" s="16"/>
      <c r="C11" s="18"/>
      <c r="D11" s="16"/>
      <c r="E11" s="18"/>
      <c r="F11" s="16"/>
      <c r="G11" s="18" t="s">
        <v>1393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317</v>
      </c>
      <c r="B12" s="16"/>
      <c r="C12" s="18"/>
      <c r="D12" s="16"/>
      <c r="E12" s="18"/>
      <c r="F12" s="16"/>
      <c r="G12" s="18" t="s">
        <v>1481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135</v>
      </c>
      <c r="B13" s="16"/>
      <c r="C13" s="18"/>
      <c r="D13" s="16"/>
      <c r="E13" s="18"/>
      <c r="F13" s="16"/>
      <c r="G13" s="18" t="s">
        <v>1268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110</v>
      </c>
      <c r="B15" s="16"/>
      <c r="C15" s="18"/>
      <c r="D15" s="16"/>
      <c r="E15" s="18"/>
      <c r="F15" s="16"/>
      <c r="G15" s="18" t="s">
        <v>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318</v>
      </c>
      <c r="B16" s="16"/>
      <c r="C16" s="18"/>
      <c r="D16" s="16"/>
      <c r="E16" s="18"/>
      <c r="F16" s="16"/>
      <c r="G16" s="18" t="s">
        <v>1039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319</v>
      </c>
      <c r="B17" s="16"/>
      <c r="C17" s="18"/>
      <c r="D17" s="16"/>
      <c r="E17" s="18"/>
      <c r="F17" s="16"/>
      <c r="G17" s="18" t="s">
        <v>1482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320</v>
      </c>
      <c r="B19" s="16"/>
      <c r="C19" s="18"/>
      <c r="D19" s="16"/>
      <c r="E19" s="18"/>
      <c r="F19" s="16"/>
      <c r="G19" s="18" t="s">
        <v>1113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4</v>
      </c>
      <c r="B20" s="16"/>
      <c r="C20" s="18"/>
      <c r="D20" s="16"/>
      <c r="E20" s="18"/>
      <c r="F20" s="16"/>
      <c r="G20" s="18" t="s">
        <v>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321</v>
      </c>
      <c r="B21" s="16"/>
      <c r="C21" s="18"/>
      <c r="D21" s="16"/>
      <c r="E21" s="18"/>
      <c r="F21" s="16"/>
      <c r="G21" s="18" t="s">
        <v>1040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322</v>
      </c>
      <c r="B23" s="16"/>
      <c r="C23" s="18"/>
      <c r="D23" s="16"/>
      <c r="E23" s="18"/>
      <c r="F23" s="16"/>
      <c r="G23" s="18" t="s">
        <v>1483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4</v>
      </c>
      <c r="B24" s="16"/>
      <c r="C24" s="18"/>
      <c r="D24" s="16"/>
      <c r="E24" s="18"/>
      <c r="F24" s="16"/>
      <c r="G24" s="18" t="s">
        <v>4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323</v>
      </c>
      <c r="B25" s="16"/>
      <c r="C25" s="18"/>
      <c r="D25" s="16"/>
      <c r="E25" s="18"/>
      <c r="F25" s="16"/>
      <c r="G25" s="18" t="s">
        <v>1484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324</v>
      </c>
      <c r="B26" s="16"/>
      <c r="C26" s="18"/>
      <c r="D26" s="16"/>
      <c r="E26" s="18"/>
      <c r="F26" s="16"/>
      <c r="G26" s="18" t="s">
        <v>1485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325</v>
      </c>
      <c r="B27" s="16"/>
      <c r="C27" s="18"/>
      <c r="D27" s="16"/>
      <c r="E27" s="18"/>
      <c r="F27" s="16"/>
      <c r="G27" s="18" t="s">
        <v>1486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326</v>
      </c>
      <c r="B28" s="16"/>
      <c r="C28" s="18"/>
      <c r="D28" s="16"/>
      <c r="E28" s="18"/>
      <c r="F28" s="16"/>
      <c r="G28" s="18" t="s">
        <v>1487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327</v>
      </c>
      <c r="B29" s="16"/>
      <c r="C29" s="18"/>
      <c r="D29" s="16"/>
      <c r="E29" s="18"/>
      <c r="F29" s="16"/>
      <c r="G29" s="18" t="s">
        <v>1488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328</v>
      </c>
      <c r="B30" s="16"/>
      <c r="C30" s="18"/>
      <c r="D30" s="16"/>
      <c r="E30" s="18"/>
      <c r="F30" s="16"/>
      <c r="G30" s="18" t="s">
        <v>1489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 t="s">
        <v>4</v>
      </c>
      <c r="B31" s="16"/>
      <c r="C31" s="18"/>
      <c r="D31" s="16"/>
      <c r="E31" s="18"/>
      <c r="F31" s="16"/>
      <c r="G31" s="18" t="s">
        <v>4</v>
      </c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 t="s">
        <v>329</v>
      </c>
      <c r="B32" s="16"/>
      <c r="C32" s="18"/>
      <c r="D32" s="16"/>
      <c r="E32" s="18"/>
      <c r="F32" s="16"/>
      <c r="G32" s="18" t="s">
        <v>1490</v>
      </c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 t="s">
        <v>330</v>
      </c>
      <c r="B33" s="16"/>
      <c r="C33" s="18"/>
      <c r="D33" s="16"/>
      <c r="E33" s="18"/>
      <c r="F33" s="16"/>
      <c r="G33" s="18" t="s">
        <v>1491</v>
      </c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72" priority="2" stopIfTrue="1">
      <formula>NOT(ISERROR(A3))</formula>
    </cfRule>
  </conditionalFormatting>
  <conditionalFormatting sqref="A3:T51">
    <cfRule type="containsErrors" dxfId="71" priority="1" stopIfTrue="1">
      <formula>ISERROR(A3)</formula>
    </cfRule>
    <cfRule type="notContainsBlanks" dxfId="70" priority="3">
      <formula>LEN(TRIM(A3))&gt;0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E522-9CFC-4DB1-A288-B5565EE6757E}">
  <dimension ref="A1:T51"/>
  <sheetViews>
    <sheetView workbookViewId="0">
      <selection activeCell="G3" sqref="G3:G30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331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1492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Two Hand Maces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Masses à deux mains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332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1493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333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1494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334</v>
      </c>
      <c r="B8" s="16"/>
      <c r="C8" s="18"/>
      <c r="D8" s="16"/>
      <c r="E8" s="18"/>
      <c r="F8" s="16"/>
      <c r="G8" s="18" t="s">
        <v>1495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335</v>
      </c>
      <c r="B9" s="16"/>
      <c r="C9" s="18"/>
      <c r="D9" s="16"/>
      <c r="E9" s="18"/>
      <c r="F9" s="16"/>
      <c r="G9" s="18" t="s">
        <v>1496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214</v>
      </c>
      <c r="B10" s="16"/>
      <c r="C10" s="18"/>
      <c r="D10" s="16"/>
      <c r="E10" s="18"/>
      <c r="F10" s="16"/>
      <c r="G10" s="18" t="s">
        <v>1393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336</v>
      </c>
      <c r="B11" s="16"/>
      <c r="C11" s="18"/>
      <c r="D11" s="16"/>
      <c r="E11" s="18"/>
      <c r="F11" s="16"/>
      <c r="G11" s="18" t="s">
        <v>1497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255</v>
      </c>
      <c r="B12" s="16"/>
      <c r="C12" s="18"/>
      <c r="D12" s="16"/>
      <c r="E12" s="18"/>
      <c r="F12" s="16"/>
      <c r="G12" s="18" t="s">
        <v>1346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110</v>
      </c>
      <c r="B14" s="16"/>
      <c r="C14" s="18"/>
      <c r="D14" s="16"/>
      <c r="E14" s="18"/>
      <c r="F14" s="16"/>
      <c r="G14" s="18" t="s">
        <v>5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337</v>
      </c>
      <c r="B15" s="16"/>
      <c r="C15" s="18"/>
      <c r="D15" s="16"/>
      <c r="E15" s="18"/>
      <c r="F15" s="16"/>
      <c r="G15" s="18" t="s">
        <v>1145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338</v>
      </c>
      <c r="B16" s="16"/>
      <c r="C16" s="18"/>
      <c r="D16" s="16"/>
      <c r="E16" s="18"/>
      <c r="F16" s="16"/>
      <c r="G16" s="18" t="s">
        <v>1498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339</v>
      </c>
      <c r="B18" s="16"/>
      <c r="C18" s="18"/>
      <c r="D18" s="16"/>
      <c r="E18" s="18"/>
      <c r="F18" s="16"/>
      <c r="G18" s="18" t="s">
        <v>1499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340</v>
      </c>
      <c r="B20" s="16"/>
      <c r="C20" s="18"/>
      <c r="D20" s="16"/>
      <c r="E20" s="18"/>
      <c r="F20" s="16"/>
      <c r="G20" s="18" t="s">
        <v>1170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341</v>
      </c>
      <c r="B22" s="16"/>
      <c r="C22" s="18"/>
      <c r="D22" s="16"/>
      <c r="E22" s="18"/>
      <c r="F22" s="16"/>
      <c r="G22" s="18" t="s">
        <v>1500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 t="s">
        <v>342</v>
      </c>
      <c r="B24" s="16"/>
      <c r="C24" s="18"/>
      <c r="D24" s="16"/>
      <c r="E24" s="18"/>
      <c r="F24" s="16"/>
      <c r="G24" s="18" t="s">
        <v>1501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 t="s">
        <v>343</v>
      </c>
      <c r="B25" s="16"/>
      <c r="C25" s="18"/>
      <c r="D25" s="16"/>
      <c r="E25" s="18"/>
      <c r="F25" s="16"/>
      <c r="G25" s="18" t="s">
        <v>1502</v>
      </c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 t="s">
        <v>344</v>
      </c>
      <c r="B26" s="16"/>
      <c r="C26" s="18"/>
      <c r="D26" s="16"/>
      <c r="E26" s="18"/>
      <c r="F26" s="16"/>
      <c r="G26" s="18" t="s">
        <v>1503</v>
      </c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 t="s">
        <v>345</v>
      </c>
      <c r="B27" s="16"/>
      <c r="C27" s="18"/>
      <c r="D27" s="16"/>
      <c r="E27" s="18"/>
      <c r="F27" s="16"/>
      <c r="G27" s="18" t="s">
        <v>1504</v>
      </c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 t="s">
        <v>112</v>
      </c>
      <c r="B28" s="16"/>
      <c r="C28" s="18"/>
      <c r="D28" s="16"/>
      <c r="E28" s="18"/>
      <c r="F28" s="16"/>
      <c r="G28" s="18" t="s">
        <v>1505</v>
      </c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 t="s">
        <v>4</v>
      </c>
      <c r="B29" s="16"/>
      <c r="C29" s="18"/>
      <c r="D29" s="16"/>
      <c r="E29" s="18"/>
      <c r="F29" s="16"/>
      <c r="G29" s="18" t="s">
        <v>4</v>
      </c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 t="s">
        <v>346</v>
      </c>
      <c r="B30" s="16"/>
      <c r="C30" s="18"/>
      <c r="D30" s="16"/>
      <c r="E30" s="18"/>
      <c r="F30" s="16"/>
      <c r="G30" s="18" t="s">
        <v>1506</v>
      </c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69" priority="2" stopIfTrue="1">
      <formula>NOT(ISERROR(A3))</formula>
    </cfRule>
  </conditionalFormatting>
  <conditionalFormatting sqref="A3:T51">
    <cfRule type="containsErrors" dxfId="68" priority="1" stopIfTrue="1">
      <formula>ISERROR(A3)</formula>
    </cfRule>
    <cfRule type="notContainsBlanks" dxfId="67" priority="3">
      <formula>LEN(TRIM(A3))&gt;0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DCA0C-F3E8-4052-861D-F1E2ED598701}">
  <dimension ref="A1:T51"/>
  <sheetViews>
    <sheetView workbookViewId="0">
      <selection activeCell="G3" sqref="G3:G22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9" t="s">
        <v>113</v>
      </c>
    </row>
    <row r="3" spans="1:20" ht="15.95" customHeight="1" x14ac:dyDescent="0.25">
      <c r="A3" s="17" t="s">
        <v>512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1507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16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Heist Brooches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Broches de Malfaiteur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16" t="e">
        <f>TRIM(_xlfn.TEXTAFTER(S3, ":"))</f>
        <v>#N/A</v>
      </c>
    </row>
    <row r="5" spans="1:20" ht="15.95" customHeight="1" x14ac:dyDescent="0.25">
      <c r="A5" s="18" t="s">
        <v>514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1508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16" t="e">
        <f>TRIM(_xlfn.TEXTBEFORE(S4, ":"))</f>
        <v>#N/A</v>
      </c>
    </row>
    <row r="6" spans="1:20" ht="15.95" customHeight="1" x14ac:dyDescent="0.25">
      <c r="A6" s="18" t="s">
        <v>515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1509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16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16"/>
    </row>
    <row r="8" spans="1:20" ht="15.95" customHeight="1" x14ac:dyDescent="0.25">
      <c r="A8" s="18" t="s">
        <v>516</v>
      </c>
      <c r="B8" s="16"/>
      <c r="C8" s="18"/>
      <c r="D8" s="16"/>
      <c r="E8" s="18"/>
      <c r="F8" s="16"/>
      <c r="G8" s="18" t="s">
        <v>1510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16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16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16"/>
    </row>
    <row r="11" spans="1:20" ht="15.95" customHeight="1" x14ac:dyDescent="0.25">
      <c r="A11" s="18" t="s">
        <v>517</v>
      </c>
      <c r="B11" s="16"/>
      <c r="C11" s="18"/>
      <c r="D11" s="16"/>
      <c r="E11" s="18"/>
      <c r="F11" s="16"/>
      <c r="G11" s="18" t="s">
        <v>1511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16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1"/>
    </row>
    <row r="13" spans="1:20" ht="15.95" customHeight="1" x14ac:dyDescent="0.25">
      <c r="A13" s="18" t="s">
        <v>462</v>
      </c>
      <c r="B13" s="16"/>
      <c r="C13" s="18"/>
      <c r="D13" s="16"/>
      <c r="E13" s="18"/>
      <c r="F13" s="16"/>
      <c r="G13" s="18" t="s">
        <v>996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1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1"/>
    </row>
    <row r="15" spans="1:20" ht="15.95" customHeight="1" x14ac:dyDescent="0.25">
      <c r="A15" s="18" t="s">
        <v>518</v>
      </c>
      <c r="B15" s="16"/>
      <c r="C15" s="18"/>
      <c r="D15" s="16"/>
      <c r="E15" s="18"/>
      <c r="F15" s="16"/>
      <c r="G15" s="18" t="s">
        <v>1512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1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1"/>
    </row>
    <row r="17" spans="1:20" ht="15.95" customHeight="1" x14ac:dyDescent="0.25">
      <c r="A17" s="18" t="s">
        <v>519</v>
      </c>
      <c r="B17" s="16"/>
      <c r="C17" s="18"/>
      <c r="D17" s="16"/>
      <c r="E17" s="18"/>
      <c r="F17" s="16"/>
      <c r="G17" s="18" t="s">
        <v>1513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1"/>
    </row>
    <row r="18" spans="1:20" ht="15.95" customHeight="1" x14ac:dyDescent="0.25">
      <c r="A18" s="18" t="s">
        <v>520</v>
      </c>
      <c r="B18" s="16"/>
      <c r="C18" s="18"/>
      <c r="D18" s="16"/>
      <c r="E18" s="18"/>
      <c r="F18" s="16"/>
      <c r="G18" s="18" t="s">
        <v>1514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1"/>
    </row>
    <row r="19" spans="1:20" ht="15.95" customHeight="1" x14ac:dyDescent="0.25">
      <c r="A19" s="18" t="s">
        <v>521</v>
      </c>
      <c r="B19" s="16"/>
      <c r="C19" s="18"/>
      <c r="D19" s="16"/>
      <c r="E19" s="18"/>
      <c r="F19" s="16"/>
      <c r="G19" s="18" t="s">
        <v>1515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1"/>
    </row>
    <row r="20" spans="1:20" ht="15.95" customHeight="1" x14ac:dyDescent="0.25">
      <c r="A20" s="18" t="s">
        <v>522</v>
      </c>
      <c r="B20" s="16"/>
      <c r="C20" s="18"/>
      <c r="D20" s="16"/>
      <c r="E20" s="18"/>
      <c r="F20" s="16"/>
      <c r="G20" s="18" t="s">
        <v>1516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1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1"/>
    </row>
    <row r="22" spans="1:20" ht="15.95" customHeight="1" x14ac:dyDescent="0.25">
      <c r="A22" s="18" t="s">
        <v>523</v>
      </c>
      <c r="B22" s="16"/>
      <c r="C22" s="18"/>
      <c r="D22" s="16"/>
      <c r="E22" s="18"/>
      <c r="F22" s="16"/>
      <c r="G22" s="18" t="s">
        <v>1517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1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1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1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1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1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1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1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1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1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1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1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1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1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1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1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1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66" priority="2" stopIfTrue="1">
      <formula>NOT(ISERROR(A3))</formula>
    </cfRule>
  </conditionalFormatting>
  <conditionalFormatting sqref="A3:T51">
    <cfRule type="containsErrors" dxfId="65" priority="1" stopIfTrue="1">
      <formula>ISERROR(A3)</formula>
    </cfRule>
    <cfRule type="notContainsBlanks" dxfId="64" priority="3">
      <formula>LEN(TRIM(A3))&gt;0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4B7B-F715-4189-99F6-6BA1E4728FF8}">
  <dimension ref="A1:T51"/>
  <sheetViews>
    <sheetView workbookViewId="0">
      <selection activeCell="G3" sqref="G3:G22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755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1518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Heist Cloaks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Capes de Malfaiteur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756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1519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757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1520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516</v>
      </c>
      <c r="B8" s="16"/>
      <c r="C8" s="18"/>
      <c r="D8" s="16"/>
      <c r="E8" s="18"/>
      <c r="F8" s="16"/>
      <c r="G8" s="18" t="s">
        <v>1510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758</v>
      </c>
      <c r="B11" s="16"/>
      <c r="C11" s="18"/>
      <c r="D11" s="16"/>
      <c r="E11" s="18"/>
      <c r="F11" s="16"/>
      <c r="G11" s="18" t="s">
        <v>1521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117</v>
      </c>
      <c r="B13" s="16"/>
      <c r="C13" s="18"/>
      <c r="D13" s="16"/>
      <c r="E13" s="18"/>
      <c r="F13" s="16"/>
      <c r="G13" s="18" t="s">
        <v>1010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759</v>
      </c>
      <c r="B15" s="16"/>
      <c r="C15" s="18"/>
      <c r="D15" s="16"/>
      <c r="E15" s="18"/>
      <c r="F15" s="16"/>
      <c r="G15" s="18" t="s">
        <v>1522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760</v>
      </c>
      <c r="B17" s="16"/>
      <c r="C17" s="18"/>
      <c r="D17" s="16"/>
      <c r="E17" s="18"/>
      <c r="F17" s="16"/>
      <c r="G17" s="18" t="s">
        <v>1523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761</v>
      </c>
      <c r="B18" s="16"/>
      <c r="C18" s="18"/>
      <c r="D18" s="16"/>
      <c r="E18" s="18"/>
      <c r="F18" s="16"/>
      <c r="G18" s="18" t="s">
        <v>1524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762</v>
      </c>
      <c r="B19" s="16"/>
      <c r="C19" s="18"/>
      <c r="D19" s="16"/>
      <c r="E19" s="18"/>
      <c r="F19" s="16"/>
      <c r="G19" s="18" t="s">
        <v>1525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521</v>
      </c>
      <c r="B20" s="16"/>
      <c r="C20" s="18"/>
      <c r="D20" s="16"/>
      <c r="E20" s="18"/>
      <c r="F20" s="16"/>
      <c r="G20" s="18" t="s">
        <v>1515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523</v>
      </c>
      <c r="B22" s="16"/>
      <c r="C22" s="18"/>
      <c r="D22" s="16"/>
      <c r="E22" s="18"/>
      <c r="F22" s="16"/>
      <c r="G22" s="18" t="s">
        <v>1517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63" priority="2" stopIfTrue="1">
      <formula>NOT(ISERROR(A3))</formula>
    </cfRule>
  </conditionalFormatting>
  <conditionalFormatting sqref="A3:T51">
    <cfRule type="containsErrors" dxfId="62" priority="1" stopIfTrue="1">
      <formula>ISERROR(A3)</formula>
    </cfRule>
    <cfRule type="notContainsBlanks" dxfId="61" priority="3">
      <formula>LEN(TRIM(A3))&gt;0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D5752-9BDF-4410-A589-2D38AC2070B0}">
  <dimension ref="A1:T51"/>
  <sheetViews>
    <sheetView workbookViewId="0">
      <selection activeCell="G5" sqref="G5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9" t="s">
        <v>746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1526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Heist Gear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Équipements de Malfaiteur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747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1527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748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1528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516</v>
      </c>
      <c r="B8" s="16"/>
      <c r="C8" s="18"/>
      <c r="D8" s="16"/>
      <c r="E8" s="18"/>
      <c r="F8" s="16"/>
      <c r="G8" s="18" t="s">
        <v>1510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4</v>
      </c>
      <c r="B9" s="16"/>
      <c r="C9" s="18"/>
      <c r="D9" s="16"/>
      <c r="E9" s="18"/>
      <c r="F9" s="16"/>
      <c r="G9" s="18" t="s">
        <v>4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110</v>
      </c>
      <c r="B10" s="16"/>
      <c r="C10" s="18"/>
      <c r="D10" s="16"/>
      <c r="E10" s="18"/>
      <c r="F10" s="16"/>
      <c r="G10" s="18" t="s">
        <v>5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517</v>
      </c>
      <c r="B11" s="16"/>
      <c r="C11" s="18"/>
      <c r="D11" s="16"/>
      <c r="E11" s="18"/>
      <c r="F11" s="16"/>
      <c r="G11" s="18" t="s">
        <v>1511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749</v>
      </c>
      <c r="B13" s="16"/>
      <c r="C13" s="18"/>
      <c r="D13" s="16"/>
      <c r="E13" s="18"/>
      <c r="F13" s="16"/>
      <c r="G13" s="18" t="s">
        <v>1529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4</v>
      </c>
      <c r="B14" s="16"/>
      <c r="C14" s="18"/>
      <c r="D14" s="16"/>
      <c r="E14" s="18"/>
      <c r="F14" s="16"/>
      <c r="G14" s="18" t="s">
        <v>4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750</v>
      </c>
      <c r="B15" s="16"/>
      <c r="C15" s="18"/>
      <c r="D15" s="16"/>
      <c r="E15" s="18"/>
      <c r="F15" s="16"/>
      <c r="G15" s="18" t="s">
        <v>1530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751</v>
      </c>
      <c r="B17" s="16"/>
      <c r="C17" s="18"/>
      <c r="D17" s="16"/>
      <c r="E17" s="18"/>
      <c r="F17" s="16"/>
      <c r="G17" s="18" t="s">
        <v>1531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752</v>
      </c>
      <c r="B18" s="16"/>
      <c r="C18" s="18"/>
      <c r="D18" s="16"/>
      <c r="E18" s="18"/>
      <c r="F18" s="16"/>
      <c r="G18" s="18" t="s">
        <v>1532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753</v>
      </c>
      <c r="B19" s="16"/>
      <c r="C19" s="18"/>
      <c r="D19" s="16"/>
      <c r="E19" s="18"/>
      <c r="F19" s="16"/>
      <c r="G19" s="18" t="s">
        <v>1533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754</v>
      </c>
      <c r="B20" s="16"/>
      <c r="C20" s="18"/>
      <c r="D20" s="16"/>
      <c r="E20" s="18"/>
      <c r="F20" s="16"/>
      <c r="G20" s="18" t="s">
        <v>1534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4</v>
      </c>
      <c r="B21" s="16"/>
      <c r="C21" s="18"/>
      <c r="D21" s="16"/>
      <c r="E21" s="18"/>
      <c r="F21" s="16"/>
      <c r="G21" s="18" t="s">
        <v>4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523</v>
      </c>
      <c r="B22" s="16"/>
      <c r="C22" s="18"/>
      <c r="D22" s="16"/>
      <c r="E22" s="18"/>
      <c r="F22" s="16"/>
      <c r="G22" s="18" t="s">
        <v>1517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4:A51 E3:E51 G3:G51 I3:I51 K3:K51 M3:M51 O3:O51 Q3:Q51 S3:S51 C3:C51">
    <cfRule type="notContainsErrors" dxfId="60" priority="6" stopIfTrue="1">
      <formula>NOT(ISERROR(A3))</formula>
    </cfRule>
  </conditionalFormatting>
  <conditionalFormatting sqref="A4:T51 B3:T3">
    <cfRule type="containsErrors" dxfId="59" priority="5" stopIfTrue="1">
      <formula>ISERROR(A3)</formula>
    </cfRule>
    <cfRule type="notContainsBlanks" dxfId="58" priority="7">
      <formula>LEN(TRIM(A3))&gt;0</formula>
    </cfRule>
  </conditionalFormatting>
  <conditionalFormatting sqref="A3">
    <cfRule type="cellIs" dxfId="57" priority="1" stopIfTrue="1" operator="equal">
      <formula>"-"</formula>
    </cfRule>
    <cfRule type="cellIs" dxfId="56" priority="2" operator="between">
      <formula>"(Lowest value)"</formula>
      <formula>0</formula>
    </cfRule>
    <cfRule type="containsBlanks" dxfId="55" priority="3">
      <formula>LEN(TRIM(A3))=0</formula>
    </cfRule>
    <cfRule type="notContainsBlanks" dxfId="54" priority="4">
      <formula>LEN(TRIM(A3))&gt;0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40A4-D626-4980-BC46-26DE539F9637}">
  <dimension ref="A1:T51"/>
  <sheetViews>
    <sheetView workbookViewId="0">
      <selection activeCell="G3" sqref="G3:G12"/>
    </sheetView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763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1535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582</v>
      </c>
      <c r="B4" s="16" t="str">
        <f>TRIM(_xlfn.TEXTAFTER(A3, ":"))</f>
        <v>Heist Targets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877</v>
      </c>
      <c r="H4" s="16" t="str">
        <f>TRIM(_xlfn.TEXTAFTER(G3, ":"))</f>
        <v>Objectifs de Casse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764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1536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4</v>
      </c>
      <c r="B6" s="16" t="str">
        <f>TRIM(_xlfn.TEXTAFTER(A4,":"))</f>
        <v>Currency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4</v>
      </c>
      <c r="H6" s="16" t="str">
        <f>TRIM(_xlfn.TEXTAFTER(G4,":"))</f>
        <v>Objet monétaire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765</v>
      </c>
      <c r="B7" s="16"/>
      <c r="C7" s="18"/>
      <c r="D7" s="16"/>
      <c r="E7" s="18"/>
      <c r="F7" s="16"/>
      <c r="G7" s="18" t="s">
        <v>1537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4</v>
      </c>
      <c r="B8" s="16"/>
      <c r="C8" s="18"/>
      <c r="D8" s="16"/>
      <c r="E8" s="18"/>
      <c r="F8" s="16"/>
      <c r="G8" s="18" t="s">
        <v>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766</v>
      </c>
      <c r="B9" s="16"/>
      <c r="C9" s="18"/>
      <c r="D9" s="16"/>
      <c r="E9" s="18"/>
      <c r="F9" s="16"/>
      <c r="G9" s="18" t="s">
        <v>1538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1539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767</v>
      </c>
      <c r="B11" s="16"/>
      <c r="C11" s="18"/>
      <c r="D11" s="16"/>
      <c r="E11" s="18"/>
      <c r="F11" s="16"/>
      <c r="G11" s="18" t="s">
        <v>4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/>
      <c r="B12" s="16"/>
      <c r="C12" s="18"/>
      <c r="D12" s="16"/>
      <c r="E12" s="18"/>
      <c r="F12" s="16"/>
      <c r="G12" s="18" t="s">
        <v>1540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/>
      <c r="B13" s="16"/>
      <c r="C13" s="18"/>
      <c r="D13" s="16"/>
      <c r="E13" s="18"/>
      <c r="F13" s="16"/>
      <c r="G13" s="18"/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/>
      <c r="B14" s="16"/>
      <c r="C14" s="18"/>
      <c r="D14" s="16"/>
      <c r="E14" s="18"/>
      <c r="F14" s="16"/>
      <c r="G14" s="18"/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/>
      <c r="B15" s="16"/>
      <c r="C15" s="18"/>
      <c r="D15" s="16"/>
      <c r="E15" s="18"/>
      <c r="F15" s="16"/>
      <c r="G15" s="18"/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/>
      <c r="B16" s="16"/>
      <c r="C16" s="18"/>
      <c r="D16" s="16"/>
      <c r="E16" s="18"/>
      <c r="F16" s="16"/>
      <c r="G16" s="18"/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/>
      <c r="B17" s="16"/>
      <c r="C17" s="18"/>
      <c r="D17" s="16"/>
      <c r="E17" s="18"/>
      <c r="F17" s="16"/>
      <c r="G17" s="18"/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/>
      <c r="B18" s="16"/>
      <c r="C18" s="18"/>
      <c r="D18" s="16"/>
      <c r="E18" s="18"/>
      <c r="F18" s="16"/>
      <c r="G18" s="18"/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/>
      <c r="B19" s="16"/>
      <c r="C19" s="18"/>
      <c r="D19" s="16"/>
      <c r="E19" s="18"/>
      <c r="F19" s="16"/>
      <c r="G19" s="18"/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3" priority="2" stopIfTrue="1">
      <formula>NOT(ISERROR(A3))</formula>
    </cfRule>
  </conditionalFormatting>
  <conditionalFormatting sqref="A3:T51">
    <cfRule type="containsErrors" dxfId="52" priority="1" stopIfTrue="1">
      <formula>ISERROR(A3)</formula>
    </cfRule>
    <cfRule type="notContainsBlanks" dxfId="51" priority="3">
      <formula>LEN(TRIM(A3))&gt;0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D5C10-7ED1-438B-9BEB-F6BF5201A658}">
  <dimension ref="A1:T51"/>
  <sheetViews>
    <sheetView workbookViewId="0"/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734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1541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Heist Tools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Outils de Malfaiteur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735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1542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736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1543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737</v>
      </c>
      <c r="B8" s="16"/>
      <c r="C8" s="18"/>
      <c r="D8" s="16"/>
      <c r="E8" s="18"/>
      <c r="F8" s="16"/>
      <c r="G8" s="18" t="s">
        <v>1544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738</v>
      </c>
      <c r="B9" s="16"/>
      <c r="C9" s="18"/>
      <c r="D9" s="16"/>
      <c r="E9" s="18"/>
      <c r="F9" s="16"/>
      <c r="G9" s="18" t="s">
        <v>1545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739</v>
      </c>
      <c r="B10" s="16"/>
      <c r="C10" s="18"/>
      <c r="D10" s="16"/>
      <c r="E10" s="18"/>
      <c r="F10" s="16"/>
      <c r="G10" s="18" t="s">
        <v>1546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740</v>
      </c>
      <c r="B11" s="16"/>
      <c r="C11" s="18"/>
      <c r="D11" s="16"/>
      <c r="E11" s="18"/>
      <c r="F11" s="16"/>
      <c r="G11" s="18" t="s">
        <v>1547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110</v>
      </c>
      <c r="B13" s="16"/>
      <c r="C13" s="18"/>
      <c r="D13" s="16"/>
      <c r="E13" s="18"/>
      <c r="F13" s="16"/>
      <c r="G13" s="18" t="s">
        <v>5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741</v>
      </c>
      <c r="B14" s="16"/>
      <c r="C14" s="18"/>
      <c r="D14" s="16"/>
      <c r="E14" s="18"/>
      <c r="F14" s="16"/>
      <c r="G14" s="18" t="s">
        <v>1548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653</v>
      </c>
      <c r="B16" s="16"/>
      <c r="C16" s="18"/>
      <c r="D16" s="16"/>
      <c r="E16" s="18"/>
      <c r="F16" s="16"/>
      <c r="G16" s="18" t="s">
        <v>1069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742</v>
      </c>
      <c r="B18" s="16"/>
      <c r="C18" s="18"/>
      <c r="D18" s="16"/>
      <c r="E18" s="18"/>
      <c r="F18" s="16"/>
      <c r="G18" s="18" t="s">
        <v>1549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4</v>
      </c>
      <c r="B19" s="16"/>
      <c r="C19" s="18"/>
      <c r="D19" s="16"/>
      <c r="E19" s="18"/>
      <c r="F19" s="16"/>
      <c r="G19" s="18" t="s">
        <v>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743</v>
      </c>
      <c r="B20" s="16"/>
      <c r="C20" s="18"/>
      <c r="D20" s="16"/>
      <c r="E20" s="18"/>
      <c r="F20" s="16"/>
      <c r="G20" s="18" t="s">
        <v>1550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744</v>
      </c>
      <c r="B21" s="16"/>
      <c r="C21" s="18"/>
      <c r="D21" s="16"/>
      <c r="E21" s="18"/>
      <c r="F21" s="16"/>
      <c r="G21" s="18" t="s">
        <v>1551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745</v>
      </c>
      <c r="B22" s="16"/>
      <c r="C22" s="18"/>
      <c r="D22" s="16"/>
      <c r="E22" s="18"/>
      <c r="F22" s="16"/>
      <c r="G22" s="18" t="s">
        <v>1552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4</v>
      </c>
      <c r="B23" s="16"/>
      <c r="C23" s="18"/>
      <c r="D23" s="16"/>
      <c r="E23" s="18"/>
      <c r="F23" s="16"/>
      <c r="G23" s="18" t="s">
        <v>4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 t="s">
        <v>523</v>
      </c>
      <c r="B24" s="16"/>
      <c r="C24" s="18"/>
      <c r="D24" s="16"/>
      <c r="E24" s="18"/>
      <c r="F24" s="16"/>
      <c r="G24" s="18" t="s">
        <v>1517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50" priority="2" stopIfTrue="1">
      <formula>NOT(ISERROR(A3))</formula>
    </cfRule>
  </conditionalFormatting>
  <conditionalFormatting sqref="A3:T51">
    <cfRule type="containsErrors" dxfId="49" priority="1" stopIfTrue="1">
      <formula>ISERROR(A3)</formula>
    </cfRule>
    <cfRule type="notContainsBlanks" dxfId="48" priority="3">
      <formula>LEN(TRIM(A3))&gt;0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2AE1B-028B-4D4F-8710-90FA31D93BD4}">
  <dimension ref="A1:T51"/>
  <sheetViews>
    <sheetView workbookViewId="0"/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1555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1574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513</v>
      </c>
      <c r="B4" s="16" t="str">
        <f>TRIM(_xlfn.TEXTAFTER(A3, ":"))</f>
        <v>Trinkets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1142</v>
      </c>
      <c r="H4" s="16" t="str">
        <f>TRIM(_xlfn.TEXTAFTER(G3, ":"))</f>
        <v>Babioles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1556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1575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1557</v>
      </c>
      <c r="B6" s="16" t="str">
        <f>TRIM(_xlfn.TEXTAFTER(A4,":"))</f>
        <v>Rare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1576</v>
      </c>
      <c r="H6" s="16" t="str">
        <f>TRIM(_xlfn.TEXTAFTER(G4,":"))</f>
        <v>Rare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110</v>
      </c>
      <c r="B8" s="16"/>
      <c r="C8" s="18"/>
      <c r="D8" s="16"/>
      <c r="E8" s="18"/>
      <c r="F8" s="16"/>
      <c r="G8" s="18" t="s">
        <v>5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1558</v>
      </c>
      <c r="B9" s="16"/>
      <c r="C9" s="18"/>
      <c r="D9" s="16"/>
      <c r="E9" s="18"/>
      <c r="F9" s="16"/>
      <c r="G9" s="18" t="s">
        <v>1577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4</v>
      </c>
      <c r="B10" s="16"/>
      <c r="C10" s="18"/>
      <c r="D10" s="16"/>
      <c r="E10" s="18"/>
      <c r="F10" s="16"/>
      <c r="G10" s="18" t="s">
        <v>4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117</v>
      </c>
      <c r="B11" s="16"/>
      <c r="C11" s="18"/>
      <c r="D11" s="16"/>
      <c r="E11" s="18"/>
      <c r="F11" s="16"/>
      <c r="G11" s="18" t="s">
        <v>1010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4</v>
      </c>
      <c r="B12" s="16"/>
      <c r="C12" s="18"/>
      <c r="D12" s="16"/>
      <c r="E12" s="18"/>
      <c r="F12" s="16"/>
      <c r="G12" s="18" t="s">
        <v>4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1559</v>
      </c>
      <c r="B13" s="16"/>
      <c r="C13" s="18"/>
      <c r="D13" s="16"/>
      <c r="E13" s="18"/>
      <c r="F13" s="16"/>
      <c r="G13" s="18" t="s">
        <v>1578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1560</v>
      </c>
      <c r="B14" s="16"/>
      <c r="C14" s="18"/>
      <c r="D14" s="16"/>
      <c r="E14" s="18"/>
      <c r="F14" s="16"/>
      <c r="G14" s="18" t="s">
        <v>1579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1561</v>
      </c>
      <c r="B15" s="16"/>
      <c r="C15" s="18"/>
      <c r="D15" s="16"/>
      <c r="E15" s="18"/>
      <c r="F15" s="16"/>
      <c r="G15" s="18" t="s">
        <v>1580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4</v>
      </c>
      <c r="B16" s="16"/>
      <c r="C16" s="18"/>
      <c r="D16" s="16"/>
      <c r="E16" s="18"/>
      <c r="F16" s="16"/>
      <c r="G16" s="18" t="s">
        <v>4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1562</v>
      </c>
      <c r="B17" s="16"/>
      <c r="C17" s="18"/>
      <c r="D17" s="16"/>
      <c r="E17" s="18"/>
      <c r="F17" s="16"/>
      <c r="G17" s="18" t="s">
        <v>1581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4</v>
      </c>
      <c r="B18" s="16"/>
      <c r="C18" s="18"/>
      <c r="D18" s="16"/>
      <c r="E18" s="18"/>
      <c r="F18" s="16"/>
      <c r="G18" s="18" t="s">
        <v>4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78</v>
      </c>
      <c r="B19" s="16"/>
      <c r="C19" s="18"/>
      <c r="D19" s="16"/>
      <c r="E19" s="18"/>
      <c r="F19" s="16"/>
      <c r="G19" s="18" t="s">
        <v>914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/>
      <c r="B20" s="16"/>
      <c r="C20" s="18"/>
      <c r="D20" s="16"/>
      <c r="E20" s="18"/>
      <c r="F20" s="16"/>
      <c r="G20" s="18"/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/>
      <c r="B21" s="16"/>
      <c r="C21" s="18"/>
      <c r="D21" s="16"/>
      <c r="E21" s="18"/>
      <c r="F21" s="16"/>
      <c r="G21" s="18"/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/>
      <c r="B22" s="16"/>
      <c r="C22" s="18"/>
      <c r="D22" s="16"/>
      <c r="E22" s="18"/>
      <c r="F22" s="16"/>
      <c r="G22" s="18"/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/>
      <c r="B23" s="16"/>
      <c r="C23" s="18"/>
      <c r="D23" s="16"/>
      <c r="E23" s="18"/>
      <c r="F23" s="16"/>
      <c r="G23" s="18"/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/>
      <c r="B24" s="16"/>
      <c r="C24" s="18"/>
      <c r="D24" s="16"/>
      <c r="E24" s="18"/>
      <c r="F24" s="16"/>
      <c r="G24" s="18"/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7" priority="2" stopIfTrue="1">
      <formula>NOT(ISERROR(A3))</formula>
    </cfRule>
  </conditionalFormatting>
  <conditionalFormatting sqref="A3:T51">
    <cfRule type="containsErrors" dxfId="46" priority="1" stopIfTrue="1">
      <formula>ISERROR(A3)</formula>
    </cfRule>
    <cfRule type="notContainsBlanks" dxfId="45" priority="3">
      <formula>LEN(TRIM(A3))&gt;0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C110F-F721-45E9-A782-BA4C0EECAE1C}">
  <dimension ref="A1:T51"/>
  <sheetViews>
    <sheetView workbookViewId="0"/>
  </sheetViews>
  <sheetFormatPr defaultRowHeight="15" x14ac:dyDescent="0.25"/>
  <cols>
    <col min="1" max="1" width="44.7109375" customWidth="1"/>
    <col min="2" max="2" width="13.85546875" customWidth="1"/>
  </cols>
  <sheetData>
    <row r="1" spans="1:20" x14ac:dyDescent="0.25">
      <c r="A1" s="24" t="str">
        <f>HYPERLINK("#Sheets!A1","Back to sheets")</f>
        <v>Back to sheets</v>
      </c>
    </row>
    <row r="2" spans="1:20" ht="15.95" customHeight="1" x14ac:dyDescent="0.25">
      <c r="A2" s="8" t="s">
        <v>20</v>
      </c>
      <c r="B2" s="9" t="s">
        <v>113</v>
      </c>
      <c r="C2" s="8" t="s">
        <v>30</v>
      </c>
      <c r="D2" s="9" t="s">
        <v>113</v>
      </c>
      <c r="E2" s="8" t="s">
        <v>32</v>
      </c>
      <c r="F2" s="9" t="s">
        <v>113</v>
      </c>
      <c r="G2" s="8" t="s">
        <v>33</v>
      </c>
      <c r="H2" s="9" t="s">
        <v>113</v>
      </c>
      <c r="I2" s="8" t="s">
        <v>34</v>
      </c>
      <c r="J2" s="9" t="s">
        <v>113</v>
      </c>
      <c r="K2" s="8" t="s">
        <v>35</v>
      </c>
      <c r="L2" s="9" t="s">
        <v>113</v>
      </c>
      <c r="M2" s="8" t="s">
        <v>36</v>
      </c>
      <c r="N2" s="9" t="s">
        <v>113</v>
      </c>
      <c r="O2" s="8" t="s">
        <v>37</v>
      </c>
      <c r="P2" s="9" t="s">
        <v>113</v>
      </c>
      <c r="Q2" s="8" t="s">
        <v>38</v>
      </c>
      <c r="R2" s="9" t="s">
        <v>113</v>
      </c>
      <c r="S2" s="8" t="s">
        <v>39</v>
      </c>
      <c r="T2" s="8" t="s">
        <v>113</v>
      </c>
    </row>
    <row r="3" spans="1:20" ht="15.95" customHeight="1" x14ac:dyDescent="0.25">
      <c r="A3" s="17" t="s">
        <v>1563</v>
      </c>
      <c r="B3" s="16" t="str">
        <f>TRIM(_xlfn.TEXTBEFORE(A3, ":"))</f>
        <v>Item Class</v>
      </c>
      <c r="C3" s="17"/>
      <c r="D3" s="16" t="e">
        <f>TRIM(_xlfn.TEXTBEFORE(C3, ":"))</f>
        <v>#N/A</v>
      </c>
      <c r="E3" s="17"/>
      <c r="F3" s="16" t="e">
        <f>TRIM(_xlfn.TEXTBEFORE(E3, ":"))</f>
        <v>#N/A</v>
      </c>
      <c r="G3" s="17" t="s">
        <v>1582</v>
      </c>
      <c r="H3" s="16" t="str">
        <f>TRIM(_xlfn.TEXTBEFORE(G3, ":"))</f>
        <v>Classe d'objet</v>
      </c>
      <c r="I3" s="17"/>
      <c r="J3" s="16" t="e">
        <f>TRIM(_xlfn.TEXTBEFORE(I3, ":"))</f>
        <v>#N/A</v>
      </c>
      <c r="K3" s="17"/>
      <c r="L3" s="16" t="e">
        <f>TRIM(_xlfn.TEXTBEFORE(K3, ":"))</f>
        <v>#N/A</v>
      </c>
      <c r="M3" s="17"/>
      <c r="N3" s="16" t="e">
        <f>TRIM(_xlfn.TEXTBEFORE(M3, ":"))</f>
        <v>#N/A</v>
      </c>
      <c r="O3" s="17"/>
      <c r="P3" s="16" t="e">
        <f>TRIM(_xlfn.TEXTBEFORE(O3, ":"))</f>
        <v>#N/A</v>
      </c>
      <c r="Q3" s="17"/>
      <c r="R3" s="16" t="e">
        <f>TRIM(_xlfn.TEXTBEFORE(Q3, ":"))</f>
        <v>#N/A</v>
      </c>
      <c r="S3" s="17"/>
      <c r="T3" s="20" t="e">
        <f>TRIM(_xlfn.TEXTBEFORE(S3, ":"))</f>
        <v>#N/A</v>
      </c>
    </row>
    <row r="4" spans="1:20" ht="15.95" customHeight="1" x14ac:dyDescent="0.25">
      <c r="A4" s="18" t="s">
        <v>109</v>
      </c>
      <c r="B4" s="16" t="str">
        <f>TRIM(_xlfn.TEXTAFTER(A3, ":"))</f>
        <v>Fishing Rods</v>
      </c>
      <c r="C4" s="18"/>
      <c r="D4" s="16" t="e">
        <f>TRIM(_xlfn.TEXTAFTER(C3, ":"))</f>
        <v>#N/A</v>
      </c>
      <c r="E4" s="18"/>
      <c r="F4" s="16" t="e">
        <f>TRIM(_xlfn.TEXTAFTER(E3, ":"))</f>
        <v>#N/A</v>
      </c>
      <c r="G4" s="18" t="s">
        <v>1</v>
      </c>
      <c r="H4" s="16" t="str">
        <f>TRIM(_xlfn.TEXTAFTER(G3, ":"))</f>
        <v>Cannes à pêche</v>
      </c>
      <c r="I4" s="18"/>
      <c r="J4" s="16" t="e">
        <f>TRIM(_xlfn.TEXTAFTER(I3, ":"))</f>
        <v>#N/A</v>
      </c>
      <c r="K4" s="18"/>
      <c r="L4" s="16" t="e">
        <f>TRIM(_xlfn.TEXTAFTER(K3, ":"))</f>
        <v>#N/A</v>
      </c>
      <c r="M4" s="18"/>
      <c r="N4" s="16" t="e">
        <f>TRIM(_xlfn.TEXTAFTER(M3, ":"))</f>
        <v>#N/A</v>
      </c>
      <c r="O4" s="18"/>
      <c r="P4" s="16" t="e">
        <f>TRIM(_xlfn.TEXTAFTER(O3, ":"))</f>
        <v>#N/A</v>
      </c>
      <c r="Q4" s="18"/>
      <c r="R4" s="16" t="e">
        <f>TRIM(_xlfn.TEXTAFTER(Q3, ":"))</f>
        <v>#N/A</v>
      </c>
      <c r="S4" s="18"/>
      <c r="T4" s="20" t="e">
        <f>TRIM(_xlfn.TEXTAFTER(S3, ":"))</f>
        <v>#N/A</v>
      </c>
    </row>
    <row r="5" spans="1:20" ht="15.95" customHeight="1" x14ac:dyDescent="0.25">
      <c r="A5" s="18" t="s">
        <v>1564</v>
      </c>
      <c r="B5" s="16" t="str">
        <f>TRIM(_xlfn.TEXTBEFORE(A4, ":"))</f>
        <v>Rarity</v>
      </c>
      <c r="C5" s="18"/>
      <c r="D5" s="16" t="e">
        <f>TRIM(_xlfn.TEXTBEFORE(C4, ":"))</f>
        <v>#N/A</v>
      </c>
      <c r="E5" s="18"/>
      <c r="F5" s="16" t="e">
        <f>TRIM(_xlfn.TEXTBEFORE(E4, ":"))</f>
        <v>#N/A</v>
      </c>
      <c r="G5" s="18" t="s">
        <v>1583</v>
      </c>
      <c r="H5" s="16" t="str">
        <f>TRIM(_xlfn.TEXTBEFORE(G4, ":"))</f>
        <v>Rareté</v>
      </c>
      <c r="I5" s="18"/>
      <c r="J5" s="16" t="e">
        <f>TRIM(_xlfn.TEXTBEFORE(I4, ":"))</f>
        <v>#N/A</v>
      </c>
      <c r="K5" s="18"/>
      <c r="L5" s="16" t="e">
        <f>TRIM(_xlfn.TEXTBEFORE(K4, ":"))</f>
        <v>#N/A</v>
      </c>
      <c r="M5" s="18"/>
      <c r="N5" s="16" t="e">
        <f>TRIM(_xlfn.TEXTBEFORE(M4, ":"))</f>
        <v>#N/A</v>
      </c>
      <c r="O5" s="18"/>
      <c r="P5" s="16" t="e">
        <f>TRIM(_xlfn.TEXTBEFORE(O4, ":"))</f>
        <v>#N/A</v>
      </c>
      <c r="Q5" s="18"/>
      <c r="R5" s="16" t="e">
        <f>TRIM(_xlfn.TEXTBEFORE(Q4, ":"))</f>
        <v>#N/A</v>
      </c>
      <c r="S5" s="18"/>
      <c r="T5" s="20" t="e">
        <f>TRIM(_xlfn.TEXTBEFORE(S4, ":"))</f>
        <v>#N/A</v>
      </c>
    </row>
    <row r="6" spans="1:20" ht="15.95" customHeight="1" x14ac:dyDescent="0.25">
      <c r="A6" s="18" t="s">
        <v>1565</v>
      </c>
      <c r="B6" s="16" t="str">
        <f>TRIM(_xlfn.TEXTAFTER(A4,":"))</f>
        <v>Unique</v>
      </c>
      <c r="C6" s="18"/>
      <c r="D6" s="16" t="e">
        <f>TRIM(_xlfn.TEXTAFTER(C4,":"))</f>
        <v>#N/A</v>
      </c>
      <c r="E6" s="18"/>
      <c r="F6" s="16" t="e">
        <f>TRIM(_xlfn.TEXTAFTER(E4,":"))</f>
        <v>#N/A</v>
      </c>
      <c r="G6" s="18" t="s">
        <v>1584</v>
      </c>
      <c r="H6" s="16" t="str">
        <f>TRIM(_xlfn.TEXTAFTER(G4,":"))</f>
        <v>Unique</v>
      </c>
      <c r="I6" s="18"/>
      <c r="J6" s="16" t="e">
        <f>TRIM(_xlfn.TEXTAFTER(I4,":"))</f>
        <v>#N/A</v>
      </c>
      <c r="K6" s="18"/>
      <c r="L6" s="16" t="e">
        <f>TRIM(_xlfn.TEXTAFTER(K4,":"))</f>
        <v>#N/A</v>
      </c>
      <c r="M6" s="18"/>
      <c r="N6" s="16" t="e">
        <f>TRIM(_xlfn.TEXTAFTER(M4,":"))</f>
        <v>#N/A</v>
      </c>
      <c r="O6" s="18"/>
      <c r="P6" s="16" t="e">
        <f>TRIM(_xlfn.TEXTAFTER(O4,":"))</f>
        <v>#N/A</v>
      </c>
      <c r="Q6" s="18"/>
      <c r="R6" s="16" t="e">
        <f>TRIM(_xlfn.TEXTAFTER(Q4,":"))</f>
        <v>#N/A</v>
      </c>
      <c r="S6" s="18"/>
      <c r="T6" s="20" t="e">
        <f>TRIM(_xlfn.TEXTAFTER(S4,":"))</f>
        <v>#N/A</v>
      </c>
    </row>
    <row r="7" spans="1:20" ht="15.95" customHeight="1" x14ac:dyDescent="0.25">
      <c r="A7" s="18" t="s">
        <v>4</v>
      </c>
      <c r="B7" s="16"/>
      <c r="C7" s="18"/>
      <c r="D7" s="16"/>
      <c r="E7" s="18"/>
      <c r="F7" s="16"/>
      <c r="G7" s="18" t="s">
        <v>4</v>
      </c>
      <c r="H7" s="16"/>
      <c r="I7" s="18"/>
      <c r="J7" s="16"/>
      <c r="K7" s="18"/>
      <c r="L7" s="16"/>
      <c r="M7" s="18"/>
      <c r="N7" s="16"/>
      <c r="O7" s="18"/>
      <c r="P7" s="16"/>
      <c r="Q7" s="18"/>
      <c r="R7" s="16"/>
      <c r="S7" s="18"/>
      <c r="T7" s="20"/>
    </row>
    <row r="8" spans="1:20" ht="15.95" customHeight="1" x14ac:dyDescent="0.25">
      <c r="A8" s="18" t="s">
        <v>1565</v>
      </c>
      <c r="B8" s="16"/>
      <c r="C8" s="18"/>
      <c r="D8" s="16"/>
      <c r="E8" s="18"/>
      <c r="F8" s="16"/>
      <c r="G8" s="18" t="s">
        <v>1584</v>
      </c>
      <c r="H8" s="16"/>
      <c r="I8" s="18"/>
      <c r="J8" s="16"/>
      <c r="K8" s="18"/>
      <c r="L8" s="16"/>
      <c r="M8" s="18"/>
      <c r="N8" s="16"/>
      <c r="O8" s="18"/>
      <c r="P8" s="16"/>
      <c r="Q8" s="18"/>
      <c r="R8" s="16"/>
      <c r="S8" s="18"/>
      <c r="T8" s="20"/>
    </row>
    <row r="9" spans="1:20" ht="15.95" customHeight="1" x14ac:dyDescent="0.25">
      <c r="A9" s="18" t="s">
        <v>1566</v>
      </c>
      <c r="B9" s="16"/>
      <c r="C9" s="18"/>
      <c r="D9" s="16"/>
      <c r="E9" s="18"/>
      <c r="F9" s="16"/>
      <c r="G9" s="18" t="s">
        <v>1585</v>
      </c>
      <c r="H9" s="16"/>
      <c r="I9" s="18"/>
      <c r="J9" s="16"/>
      <c r="K9" s="18"/>
      <c r="L9" s="16"/>
      <c r="M9" s="18"/>
      <c r="N9" s="16"/>
      <c r="O9" s="18"/>
      <c r="P9" s="16"/>
      <c r="Q9" s="18"/>
      <c r="R9" s="16"/>
      <c r="S9" s="18"/>
      <c r="T9" s="20"/>
    </row>
    <row r="10" spans="1:20" ht="15.95" customHeight="1" x14ac:dyDescent="0.25">
      <c r="A10" s="18" t="s">
        <v>214</v>
      </c>
      <c r="B10" s="16"/>
      <c r="C10" s="18"/>
      <c r="D10" s="16"/>
      <c r="E10" s="18"/>
      <c r="F10" s="16"/>
      <c r="G10" s="18" t="s">
        <v>1393</v>
      </c>
      <c r="H10" s="16"/>
      <c r="I10" s="18"/>
      <c r="J10" s="16"/>
      <c r="K10" s="18"/>
      <c r="L10" s="16"/>
      <c r="M10" s="18"/>
      <c r="N10" s="16"/>
      <c r="O10" s="18"/>
      <c r="P10" s="16"/>
      <c r="Q10" s="18"/>
      <c r="R10" s="16"/>
      <c r="S10" s="18"/>
      <c r="T10" s="20"/>
    </row>
    <row r="11" spans="1:20" ht="15.95" customHeight="1" x14ac:dyDescent="0.25">
      <c r="A11" s="18" t="s">
        <v>1567</v>
      </c>
      <c r="B11" s="16"/>
      <c r="C11" s="18"/>
      <c r="D11" s="16"/>
      <c r="E11" s="18"/>
      <c r="F11" s="16"/>
      <c r="G11" s="18" t="s">
        <v>1586</v>
      </c>
      <c r="H11" s="16"/>
      <c r="I11" s="18"/>
      <c r="J11" s="16"/>
      <c r="K11" s="18"/>
      <c r="L11" s="16"/>
      <c r="M11" s="18"/>
      <c r="N11" s="16"/>
      <c r="O11" s="18"/>
      <c r="P11" s="16"/>
      <c r="Q11" s="18"/>
      <c r="R11" s="16"/>
      <c r="S11" s="18"/>
      <c r="T11" s="20"/>
    </row>
    <row r="12" spans="1:20" ht="15.95" customHeight="1" x14ac:dyDescent="0.25">
      <c r="A12" s="18" t="s">
        <v>255</v>
      </c>
      <c r="B12" s="16"/>
      <c r="C12" s="18"/>
      <c r="D12" s="16"/>
      <c r="E12" s="18"/>
      <c r="F12" s="16"/>
      <c r="G12" s="18" t="s">
        <v>1346</v>
      </c>
      <c r="H12" s="16"/>
      <c r="I12" s="18"/>
      <c r="J12" s="16"/>
      <c r="K12" s="18"/>
      <c r="L12" s="16"/>
      <c r="M12" s="18"/>
      <c r="N12" s="16"/>
      <c r="O12" s="18"/>
      <c r="P12" s="16"/>
      <c r="Q12" s="18"/>
      <c r="R12" s="16"/>
      <c r="S12" s="18"/>
      <c r="T12" s="20"/>
    </row>
    <row r="13" spans="1:20" ht="15.95" customHeight="1" x14ac:dyDescent="0.25">
      <c r="A13" s="18" t="s">
        <v>4</v>
      </c>
      <c r="B13" s="16"/>
      <c r="C13" s="18"/>
      <c r="D13" s="16"/>
      <c r="E13" s="18"/>
      <c r="F13" s="16"/>
      <c r="G13" s="18" t="s">
        <v>4</v>
      </c>
      <c r="H13" s="16"/>
      <c r="I13" s="18"/>
      <c r="J13" s="16"/>
      <c r="K13" s="18"/>
      <c r="L13" s="16"/>
      <c r="M13" s="18"/>
      <c r="N13" s="16"/>
      <c r="O13" s="18"/>
      <c r="P13" s="16"/>
      <c r="Q13" s="18"/>
      <c r="R13" s="16"/>
      <c r="S13" s="18"/>
      <c r="T13" s="20"/>
    </row>
    <row r="14" spans="1:20" ht="15.95" customHeight="1" x14ac:dyDescent="0.25">
      <c r="A14" s="18" t="s">
        <v>160</v>
      </c>
      <c r="B14" s="16"/>
      <c r="C14" s="18"/>
      <c r="D14" s="16"/>
      <c r="E14" s="18"/>
      <c r="F14" s="16"/>
      <c r="G14" s="18" t="s">
        <v>1132</v>
      </c>
      <c r="H14" s="16"/>
      <c r="I14" s="18"/>
      <c r="J14" s="16"/>
      <c r="K14" s="18"/>
      <c r="L14" s="16"/>
      <c r="M14" s="18"/>
      <c r="N14" s="16"/>
      <c r="O14" s="18"/>
      <c r="P14" s="16"/>
      <c r="Q14" s="18"/>
      <c r="R14" s="16"/>
      <c r="S14" s="18"/>
      <c r="T14" s="20"/>
    </row>
    <row r="15" spans="1:20" ht="15.95" customHeight="1" x14ac:dyDescent="0.25">
      <c r="A15" s="18" t="s">
        <v>4</v>
      </c>
      <c r="B15" s="16"/>
      <c r="C15" s="18"/>
      <c r="D15" s="16"/>
      <c r="E15" s="18"/>
      <c r="F15" s="16"/>
      <c r="G15" s="18" t="s">
        <v>4</v>
      </c>
      <c r="H15" s="16"/>
      <c r="I15" s="18"/>
      <c r="J15" s="16"/>
      <c r="K15" s="18"/>
      <c r="L15" s="16"/>
      <c r="M15" s="18"/>
      <c r="N15" s="16"/>
      <c r="O15" s="18"/>
      <c r="P15" s="16"/>
      <c r="Q15" s="18"/>
      <c r="R15" s="16"/>
      <c r="S15" s="18"/>
      <c r="T15" s="20"/>
    </row>
    <row r="16" spans="1:20" ht="15.95" customHeight="1" x14ac:dyDescent="0.25">
      <c r="A16" s="18" t="s">
        <v>321</v>
      </c>
      <c r="B16" s="16"/>
      <c r="C16" s="18"/>
      <c r="D16" s="16"/>
      <c r="E16" s="18"/>
      <c r="F16" s="16"/>
      <c r="G16" s="18" t="s">
        <v>1040</v>
      </c>
      <c r="H16" s="16"/>
      <c r="I16" s="18"/>
      <c r="J16" s="16"/>
      <c r="K16" s="18"/>
      <c r="L16" s="16"/>
      <c r="M16" s="18"/>
      <c r="N16" s="16"/>
      <c r="O16" s="18"/>
      <c r="P16" s="16"/>
      <c r="Q16" s="18"/>
      <c r="R16" s="16"/>
      <c r="S16" s="18"/>
      <c r="T16" s="20"/>
    </row>
    <row r="17" spans="1:20" ht="15.95" customHeight="1" x14ac:dyDescent="0.25">
      <c r="A17" s="18" t="s">
        <v>4</v>
      </c>
      <c r="B17" s="16"/>
      <c r="C17" s="18"/>
      <c r="D17" s="16"/>
      <c r="E17" s="18"/>
      <c r="F17" s="16"/>
      <c r="G17" s="18" t="s">
        <v>4</v>
      </c>
      <c r="H17" s="16"/>
      <c r="I17" s="18"/>
      <c r="J17" s="16"/>
      <c r="K17" s="18"/>
      <c r="L17" s="16"/>
      <c r="M17" s="18"/>
      <c r="N17" s="16"/>
      <c r="O17" s="18"/>
      <c r="P17" s="16"/>
      <c r="Q17" s="18"/>
      <c r="R17" s="16"/>
      <c r="S17" s="18"/>
      <c r="T17" s="20"/>
    </row>
    <row r="18" spans="1:20" ht="15.95" customHeight="1" x14ac:dyDescent="0.25">
      <c r="A18" s="18" t="s">
        <v>1568</v>
      </c>
      <c r="B18" s="16"/>
      <c r="C18" s="18"/>
      <c r="D18" s="16"/>
      <c r="E18" s="18"/>
      <c r="F18" s="16"/>
      <c r="G18" s="18" t="s">
        <v>1587</v>
      </c>
      <c r="H18" s="16"/>
      <c r="I18" s="18"/>
      <c r="J18" s="16"/>
      <c r="K18" s="18"/>
      <c r="L18" s="16"/>
      <c r="M18" s="18"/>
      <c r="N18" s="16"/>
      <c r="O18" s="18"/>
      <c r="P18" s="16"/>
      <c r="Q18" s="18"/>
      <c r="R18" s="16"/>
      <c r="S18" s="18"/>
      <c r="T18" s="20"/>
    </row>
    <row r="19" spans="1:20" ht="15.95" customHeight="1" x14ac:dyDescent="0.25">
      <c r="A19" s="18" t="s">
        <v>1569</v>
      </c>
      <c r="B19" s="16"/>
      <c r="C19" s="18"/>
      <c r="D19" s="16"/>
      <c r="E19" s="18"/>
      <c r="F19" s="16"/>
      <c r="G19" s="18" t="s">
        <v>1588</v>
      </c>
      <c r="H19" s="16"/>
      <c r="I19" s="18"/>
      <c r="J19" s="16"/>
      <c r="K19" s="18"/>
      <c r="L19" s="16"/>
      <c r="M19" s="18"/>
      <c r="N19" s="16"/>
      <c r="O19" s="18"/>
      <c r="P19" s="16"/>
      <c r="Q19" s="18"/>
      <c r="R19" s="16"/>
      <c r="S19" s="18"/>
      <c r="T19" s="20"/>
    </row>
    <row r="20" spans="1:20" ht="15.95" customHeight="1" x14ac:dyDescent="0.25">
      <c r="A20" s="18" t="s">
        <v>1570</v>
      </c>
      <c r="B20" s="16"/>
      <c r="C20" s="18"/>
      <c r="D20" s="16"/>
      <c r="E20" s="18"/>
      <c r="F20" s="16"/>
      <c r="G20" s="18" t="s">
        <v>1589</v>
      </c>
      <c r="H20" s="16"/>
      <c r="I20" s="18"/>
      <c r="J20" s="16"/>
      <c r="K20" s="18"/>
      <c r="L20" s="16"/>
      <c r="M20" s="18"/>
      <c r="N20" s="16"/>
      <c r="O20" s="18"/>
      <c r="P20" s="16"/>
      <c r="Q20" s="18"/>
      <c r="R20" s="16"/>
      <c r="S20" s="18"/>
      <c r="T20" s="20"/>
    </row>
    <row r="21" spans="1:20" ht="15.95" customHeight="1" x14ac:dyDescent="0.25">
      <c r="A21" s="18" t="s">
        <v>1571</v>
      </c>
      <c r="B21" s="16"/>
      <c r="C21" s="18"/>
      <c r="D21" s="16"/>
      <c r="E21" s="18"/>
      <c r="F21" s="16"/>
      <c r="G21" s="18" t="s">
        <v>1590</v>
      </c>
      <c r="H21" s="16"/>
      <c r="I21" s="18"/>
      <c r="J21" s="16"/>
      <c r="K21" s="18"/>
      <c r="L21" s="16"/>
      <c r="M21" s="18"/>
      <c r="N21" s="16"/>
      <c r="O21" s="18"/>
      <c r="P21" s="16"/>
      <c r="Q21" s="18"/>
      <c r="R21" s="16"/>
      <c r="S21" s="18"/>
      <c r="T21" s="20"/>
    </row>
    <row r="22" spans="1:20" ht="15.95" customHeight="1" x14ac:dyDescent="0.25">
      <c r="A22" s="18" t="s">
        <v>4</v>
      </c>
      <c r="B22" s="16"/>
      <c r="C22" s="18"/>
      <c r="D22" s="16"/>
      <c r="E22" s="18"/>
      <c r="F22" s="16"/>
      <c r="G22" s="18" t="s">
        <v>4</v>
      </c>
      <c r="H22" s="16"/>
      <c r="I22" s="18"/>
      <c r="J22" s="16"/>
      <c r="K22" s="18"/>
      <c r="L22" s="16"/>
      <c r="M22" s="18"/>
      <c r="N22" s="16"/>
      <c r="O22" s="18"/>
      <c r="P22" s="16"/>
      <c r="Q22" s="18"/>
      <c r="R22" s="16"/>
      <c r="S22" s="18"/>
      <c r="T22" s="20"/>
    </row>
    <row r="23" spans="1:20" ht="15.95" customHeight="1" x14ac:dyDescent="0.25">
      <c r="A23" s="18" t="s">
        <v>1572</v>
      </c>
      <c r="B23" s="16"/>
      <c r="C23" s="18"/>
      <c r="D23" s="16"/>
      <c r="E23" s="18"/>
      <c r="F23" s="16"/>
      <c r="G23" s="18" t="s">
        <v>1591</v>
      </c>
      <c r="H23" s="16"/>
      <c r="I23" s="18"/>
      <c r="J23" s="16"/>
      <c r="K23" s="18"/>
      <c r="L23" s="16"/>
      <c r="M23" s="18"/>
      <c r="N23" s="16"/>
      <c r="O23" s="18"/>
      <c r="P23" s="16"/>
      <c r="Q23" s="18"/>
      <c r="R23" s="16"/>
      <c r="S23" s="18"/>
      <c r="T23" s="20"/>
    </row>
    <row r="24" spans="1:20" ht="15.95" customHeight="1" x14ac:dyDescent="0.25">
      <c r="A24" s="18" t="s">
        <v>1573</v>
      </c>
      <c r="B24" s="16"/>
      <c r="C24" s="18"/>
      <c r="D24" s="16"/>
      <c r="E24" s="18"/>
      <c r="F24" s="16"/>
      <c r="G24" s="18" t="s">
        <v>1592</v>
      </c>
      <c r="H24" s="16"/>
      <c r="I24" s="18"/>
      <c r="J24" s="16"/>
      <c r="K24" s="18"/>
      <c r="L24" s="16"/>
      <c r="M24" s="18"/>
      <c r="N24" s="16"/>
      <c r="O24" s="18"/>
      <c r="P24" s="16"/>
      <c r="Q24" s="18"/>
      <c r="R24" s="16"/>
      <c r="S24" s="18"/>
      <c r="T24" s="20"/>
    </row>
    <row r="25" spans="1:20" ht="15.95" customHeight="1" x14ac:dyDescent="0.25">
      <c r="A25" s="18"/>
      <c r="B25" s="16"/>
      <c r="C25" s="18"/>
      <c r="D25" s="16"/>
      <c r="E25" s="18"/>
      <c r="F25" s="16"/>
      <c r="G25" s="18"/>
      <c r="H25" s="16"/>
      <c r="I25" s="18"/>
      <c r="J25" s="16"/>
      <c r="K25" s="18"/>
      <c r="L25" s="16"/>
      <c r="M25" s="18"/>
      <c r="N25" s="16"/>
      <c r="O25" s="18"/>
      <c r="P25" s="16"/>
      <c r="Q25" s="18"/>
      <c r="R25" s="16"/>
      <c r="S25" s="18"/>
      <c r="T25" s="20"/>
    </row>
    <row r="26" spans="1:20" ht="15.95" customHeight="1" x14ac:dyDescent="0.25">
      <c r="A26" s="18"/>
      <c r="B26" s="16"/>
      <c r="C26" s="18"/>
      <c r="D26" s="16"/>
      <c r="E26" s="18"/>
      <c r="F26" s="16"/>
      <c r="G26" s="18"/>
      <c r="H26" s="16"/>
      <c r="I26" s="18"/>
      <c r="J26" s="16"/>
      <c r="K26" s="18"/>
      <c r="L26" s="16"/>
      <c r="M26" s="18"/>
      <c r="N26" s="16"/>
      <c r="O26" s="18"/>
      <c r="P26" s="16"/>
      <c r="Q26" s="18"/>
      <c r="R26" s="16"/>
      <c r="S26" s="18"/>
      <c r="T26" s="20"/>
    </row>
    <row r="27" spans="1:20" ht="15.95" customHeight="1" x14ac:dyDescent="0.25">
      <c r="A27" s="18"/>
      <c r="B27" s="16"/>
      <c r="C27" s="18"/>
      <c r="D27" s="16"/>
      <c r="E27" s="18"/>
      <c r="F27" s="16"/>
      <c r="G27" s="18"/>
      <c r="H27" s="16"/>
      <c r="I27" s="18"/>
      <c r="J27" s="16"/>
      <c r="K27" s="18"/>
      <c r="L27" s="16"/>
      <c r="M27" s="18"/>
      <c r="N27" s="16"/>
      <c r="O27" s="18"/>
      <c r="P27" s="16"/>
      <c r="Q27" s="18"/>
      <c r="R27" s="16"/>
      <c r="S27" s="18"/>
      <c r="T27" s="20"/>
    </row>
    <row r="28" spans="1:20" ht="15.95" customHeight="1" x14ac:dyDescent="0.25">
      <c r="A28" s="18"/>
      <c r="B28" s="16"/>
      <c r="C28" s="18"/>
      <c r="D28" s="16"/>
      <c r="E28" s="18"/>
      <c r="F28" s="16"/>
      <c r="G28" s="18"/>
      <c r="H28" s="16"/>
      <c r="I28" s="18"/>
      <c r="J28" s="16"/>
      <c r="K28" s="18"/>
      <c r="L28" s="16"/>
      <c r="M28" s="18"/>
      <c r="N28" s="16"/>
      <c r="O28" s="18"/>
      <c r="P28" s="16"/>
      <c r="Q28" s="18"/>
      <c r="R28" s="16"/>
      <c r="S28" s="18"/>
      <c r="T28" s="20"/>
    </row>
    <row r="29" spans="1:20" ht="15.95" customHeight="1" x14ac:dyDescent="0.25">
      <c r="A29" s="18"/>
      <c r="B29" s="16"/>
      <c r="C29" s="18"/>
      <c r="D29" s="16"/>
      <c r="E29" s="18"/>
      <c r="F29" s="16"/>
      <c r="G29" s="18"/>
      <c r="H29" s="16"/>
      <c r="I29" s="18"/>
      <c r="J29" s="16"/>
      <c r="K29" s="18"/>
      <c r="L29" s="16"/>
      <c r="M29" s="18"/>
      <c r="N29" s="16"/>
      <c r="O29" s="18"/>
      <c r="P29" s="16"/>
      <c r="Q29" s="18"/>
      <c r="R29" s="16"/>
      <c r="S29" s="18"/>
      <c r="T29" s="20"/>
    </row>
    <row r="30" spans="1:20" ht="15.95" customHeight="1" x14ac:dyDescent="0.25">
      <c r="A30" s="18"/>
      <c r="B30" s="16"/>
      <c r="C30" s="18"/>
      <c r="D30" s="16"/>
      <c r="E30" s="18"/>
      <c r="F30" s="16"/>
      <c r="G30" s="18"/>
      <c r="H30" s="16"/>
      <c r="I30" s="18"/>
      <c r="J30" s="16"/>
      <c r="K30" s="18"/>
      <c r="L30" s="16"/>
      <c r="M30" s="18"/>
      <c r="N30" s="16"/>
      <c r="O30" s="18"/>
      <c r="P30" s="16"/>
      <c r="Q30" s="18"/>
      <c r="R30" s="16"/>
      <c r="S30" s="18"/>
      <c r="T30" s="20"/>
    </row>
    <row r="31" spans="1:20" ht="15.95" customHeight="1" x14ac:dyDescent="0.25">
      <c r="A31" s="18"/>
      <c r="B31" s="16"/>
      <c r="C31" s="18"/>
      <c r="D31" s="16"/>
      <c r="E31" s="18"/>
      <c r="F31" s="16"/>
      <c r="G31" s="18"/>
      <c r="H31" s="16"/>
      <c r="I31" s="18"/>
      <c r="J31" s="16"/>
      <c r="K31" s="18"/>
      <c r="L31" s="16"/>
      <c r="M31" s="18"/>
      <c r="N31" s="16"/>
      <c r="O31" s="18"/>
      <c r="P31" s="16"/>
      <c r="Q31" s="18"/>
      <c r="R31" s="16"/>
      <c r="S31" s="18"/>
      <c r="T31" s="20"/>
    </row>
    <row r="32" spans="1:20" ht="15.95" customHeight="1" x14ac:dyDescent="0.25">
      <c r="A32" s="18"/>
      <c r="B32" s="16"/>
      <c r="C32" s="18"/>
      <c r="D32" s="16"/>
      <c r="E32" s="18"/>
      <c r="F32" s="16"/>
      <c r="G32" s="18"/>
      <c r="H32" s="16"/>
      <c r="I32" s="18"/>
      <c r="J32" s="16"/>
      <c r="K32" s="18"/>
      <c r="L32" s="16"/>
      <c r="M32" s="18"/>
      <c r="N32" s="16"/>
      <c r="O32" s="18"/>
      <c r="P32" s="16"/>
      <c r="Q32" s="18"/>
      <c r="R32" s="16"/>
      <c r="S32" s="18"/>
      <c r="T32" s="20"/>
    </row>
    <row r="33" spans="1:20" ht="15.95" customHeight="1" x14ac:dyDescent="0.25">
      <c r="A33" s="22"/>
      <c r="B33" s="16"/>
      <c r="C33" s="18"/>
      <c r="D33" s="16"/>
      <c r="E33" s="18"/>
      <c r="F33" s="16"/>
      <c r="G33" s="18"/>
      <c r="H33" s="16"/>
      <c r="I33" s="18"/>
      <c r="J33" s="16"/>
      <c r="K33" s="18"/>
      <c r="L33" s="16"/>
      <c r="M33" s="18"/>
      <c r="N33" s="16"/>
      <c r="O33" s="18"/>
      <c r="P33" s="16"/>
      <c r="Q33" s="18"/>
      <c r="R33" s="16"/>
      <c r="S33" s="18"/>
      <c r="T33" s="20"/>
    </row>
    <row r="34" spans="1:20" ht="15.95" customHeight="1" x14ac:dyDescent="0.25">
      <c r="A34" s="18"/>
      <c r="B34" s="16"/>
      <c r="C34" s="18"/>
      <c r="D34" s="16"/>
      <c r="E34" s="18"/>
      <c r="F34" s="16"/>
      <c r="G34" s="18"/>
      <c r="H34" s="16"/>
      <c r="I34" s="18"/>
      <c r="J34" s="16"/>
      <c r="K34" s="18"/>
      <c r="L34" s="16"/>
      <c r="M34" s="18"/>
      <c r="N34" s="16"/>
      <c r="O34" s="18"/>
      <c r="P34" s="16"/>
      <c r="Q34" s="18"/>
      <c r="R34" s="16"/>
      <c r="S34" s="18"/>
      <c r="T34" s="20"/>
    </row>
    <row r="35" spans="1:20" ht="15.95" customHeight="1" x14ac:dyDescent="0.25">
      <c r="A35" s="18"/>
      <c r="B35" s="16"/>
      <c r="C35" s="18"/>
      <c r="D35" s="16"/>
      <c r="E35" s="18"/>
      <c r="F35" s="16"/>
      <c r="G35" s="18"/>
      <c r="H35" s="16"/>
      <c r="I35" s="18"/>
      <c r="J35" s="16"/>
      <c r="K35" s="18"/>
      <c r="L35" s="16"/>
      <c r="M35" s="18"/>
      <c r="N35" s="16"/>
      <c r="O35" s="18"/>
      <c r="P35" s="16"/>
      <c r="Q35" s="18"/>
      <c r="R35" s="16"/>
      <c r="S35" s="18"/>
      <c r="T35" s="20"/>
    </row>
    <row r="36" spans="1:20" ht="15.95" customHeight="1" x14ac:dyDescent="0.25">
      <c r="A36" s="18"/>
      <c r="B36" s="16"/>
      <c r="C36" s="18"/>
      <c r="D36" s="16"/>
      <c r="E36" s="18"/>
      <c r="F36" s="16"/>
      <c r="G36" s="18"/>
      <c r="H36" s="16"/>
      <c r="I36" s="18"/>
      <c r="J36" s="16"/>
      <c r="K36" s="18"/>
      <c r="L36" s="16"/>
      <c r="M36" s="18"/>
      <c r="N36" s="16"/>
      <c r="O36" s="18"/>
      <c r="P36" s="16"/>
      <c r="Q36" s="18"/>
      <c r="R36" s="16"/>
      <c r="S36" s="18"/>
      <c r="T36" s="20"/>
    </row>
    <row r="37" spans="1:20" ht="15.95" customHeight="1" x14ac:dyDescent="0.25">
      <c r="A37" s="18"/>
      <c r="B37" s="16"/>
      <c r="C37" s="18"/>
      <c r="D37" s="16"/>
      <c r="E37" s="18"/>
      <c r="F37" s="16"/>
      <c r="G37" s="18"/>
      <c r="H37" s="16"/>
      <c r="I37" s="18"/>
      <c r="J37" s="16"/>
      <c r="K37" s="18"/>
      <c r="L37" s="16"/>
      <c r="M37" s="18"/>
      <c r="N37" s="16"/>
      <c r="O37" s="18"/>
      <c r="P37" s="16"/>
      <c r="Q37" s="18"/>
      <c r="R37" s="16"/>
      <c r="S37" s="18"/>
      <c r="T37" s="20"/>
    </row>
    <row r="38" spans="1:20" ht="15.95" customHeight="1" x14ac:dyDescent="0.25">
      <c r="A38" s="18"/>
      <c r="B38" s="16"/>
      <c r="C38" s="18"/>
      <c r="D38" s="16"/>
      <c r="E38" s="18"/>
      <c r="F38" s="16"/>
      <c r="G38" s="18"/>
      <c r="H38" s="16"/>
      <c r="I38" s="18"/>
      <c r="J38" s="16"/>
      <c r="K38" s="18"/>
      <c r="L38" s="16"/>
      <c r="M38" s="18"/>
      <c r="N38" s="16"/>
      <c r="O38" s="18"/>
      <c r="P38" s="16"/>
      <c r="Q38" s="18"/>
      <c r="R38" s="16"/>
      <c r="S38" s="18"/>
      <c r="T38" s="21"/>
    </row>
    <row r="39" spans="1:20" ht="15.95" customHeight="1" x14ac:dyDescent="0.25">
      <c r="A39" s="18"/>
      <c r="B39" s="16"/>
      <c r="C39" s="18"/>
      <c r="D39" s="16"/>
      <c r="E39" s="18"/>
      <c r="F39" s="16"/>
      <c r="G39" s="18"/>
      <c r="H39" s="16"/>
      <c r="I39" s="18"/>
      <c r="J39" s="16"/>
      <c r="K39" s="18"/>
      <c r="L39" s="16"/>
      <c r="M39" s="18"/>
      <c r="N39" s="16"/>
      <c r="O39" s="18"/>
      <c r="P39" s="16"/>
      <c r="Q39" s="18"/>
      <c r="R39" s="16"/>
      <c r="S39" s="18"/>
      <c r="T39" s="21"/>
    </row>
    <row r="40" spans="1:20" ht="15.95" customHeight="1" x14ac:dyDescent="0.25">
      <c r="A40" s="18"/>
      <c r="B40" s="16"/>
      <c r="C40" s="18"/>
      <c r="D40" s="16"/>
      <c r="E40" s="18"/>
      <c r="F40" s="16"/>
      <c r="G40" s="18"/>
      <c r="H40" s="16"/>
      <c r="I40" s="18"/>
      <c r="J40" s="16"/>
      <c r="K40" s="18"/>
      <c r="L40" s="16"/>
      <c r="M40" s="18"/>
      <c r="N40" s="16"/>
      <c r="O40" s="18"/>
      <c r="P40" s="16"/>
      <c r="Q40" s="18"/>
      <c r="R40" s="16"/>
      <c r="S40" s="18"/>
      <c r="T40" s="21"/>
    </row>
    <row r="41" spans="1:20" ht="15.95" customHeight="1" x14ac:dyDescent="0.25">
      <c r="A41" s="18"/>
      <c r="B41" s="16"/>
      <c r="C41" s="18"/>
      <c r="D41" s="16"/>
      <c r="E41" s="18"/>
      <c r="F41" s="16"/>
      <c r="G41" s="18"/>
      <c r="H41" s="16"/>
      <c r="I41" s="18"/>
      <c r="J41" s="16"/>
      <c r="K41" s="18"/>
      <c r="L41" s="16"/>
      <c r="M41" s="18"/>
      <c r="N41" s="16"/>
      <c r="O41" s="18"/>
      <c r="P41" s="16"/>
      <c r="Q41" s="18"/>
      <c r="R41" s="16"/>
      <c r="S41" s="18"/>
      <c r="T41" s="21"/>
    </row>
    <row r="42" spans="1:20" x14ac:dyDescent="0.25">
      <c r="A42" s="5"/>
      <c r="B42" s="4"/>
      <c r="C42" s="5"/>
      <c r="D42" s="4"/>
      <c r="E42" s="5"/>
      <c r="F42" s="4"/>
      <c r="G42" s="5"/>
      <c r="H42" s="4"/>
      <c r="I42" s="5"/>
      <c r="J42" s="4"/>
      <c r="K42" s="5"/>
      <c r="L42" s="4"/>
      <c r="M42" s="5"/>
      <c r="N42" s="4"/>
      <c r="O42" s="5"/>
      <c r="P42" s="4"/>
      <c r="Q42" s="5"/>
      <c r="R42" s="4"/>
      <c r="S42" s="5"/>
      <c r="T42" s="2"/>
    </row>
    <row r="43" spans="1:20" x14ac:dyDescent="0.25">
      <c r="A43" s="5"/>
      <c r="B43" s="4"/>
      <c r="C43" s="5"/>
      <c r="D43" s="4"/>
      <c r="E43" s="5"/>
      <c r="F43" s="4"/>
      <c r="G43" s="5"/>
      <c r="H43" s="4"/>
      <c r="I43" s="5"/>
      <c r="J43" s="4"/>
      <c r="K43" s="5"/>
      <c r="L43" s="4"/>
      <c r="M43" s="5"/>
      <c r="N43" s="4"/>
      <c r="O43" s="5"/>
      <c r="P43" s="4"/>
      <c r="Q43" s="5"/>
      <c r="R43" s="4"/>
      <c r="S43" s="5"/>
      <c r="T43" s="2"/>
    </row>
    <row r="44" spans="1:20" x14ac:dyDescent="0.25">
      <c r="A44" s="5"/>
      <c r="B44" s="4"/>
      <c r="C44" s="5"/>
      <c r="D44" s="4"/>
      <c r="E44" s="5"/>
      <c r="F44" s="4"/>
      <c r="G44" s="5"/>
      <c r="H44" s="4"/>
      <c r="I44" s="5"/>
      <c r="J44" s="4"/>
      <c r="K44" s="5"/>
      <c r="L44" s="4"/>
      <c r="M44" s="5"/>
      <c r="N44" s="4"/>
      <c r="O44" s="5"/>
      <c r="P44" s="4"/>
      <c r="Q44" s="5"/>
      <c r="R44" s="4"/>
      <c r="S44" s="5"/>
      <c r="T44" s="2"/>
    </row>
    <row r="45" spans="1:20" x14ac:dyDescent="0.25">
      <c r="A45" s="5"/>
      <c r="B45" s="4"/>
      <c r="C45" s="5"/>
      <c r="D45" s="4"/>
      <c r="E45" s="5"/>
      <c r="F45" s="4"/>
      <c r="G45" s="5"/>
      <c r="H45" s="4"/>
      <c r="I45" s="5"/>
      <c r="J45" s="4"/>
      <c r="K45" s="5"/>
      <c r="L45" s="4"/>
      <c r="M45" s="5"/>
      <c r="N45" s="4"/>
      <c r="O45" s="5"/>
      <c r="P45" s="4"/>
      <c r="Q45" s="5"/>
      <c r="R45" s="4"/>
      <c r="S45" s="5"/>
      <c r="T45" s="2"/>
    </row>
    <row r="46" spans="1:20" x14ac:dyDescent="0.25">
      <c r="A46" s="5"/>
      <c r="B46" s="4"/>
      <c r="C46" s="5"/>
      <c r="D46" s="4"/>
      <c r="E46" s="5"/>
      <c r="F46" s="4"/>
      <c r="G46" s="5"/>
      <c r="H46" s="4"/>
      <c r="I46" s="5"/>
      <c r="J46" s="4"/>
      <c r="K46" s="5"/>
      <c r="L46" s="4"/>
      <c r="M46" s="5"/>
      <c r="N46" s="4"/>
      <c r="O46" s="5"/>
      <c r="P46" s="4"/>
      <c r="Q46" s="5"/>
      <c r="R46" s="4"/>
      <c r="S46" s="5"/>
      <c r="T46" s="2"/>
    </row>
    <row r="47" spans="1:20" x14ac:dyDescent="0.25">
      <c r="A47" s="5"/>
      <c r="B47" s="4"/>
      <c r="C47" s="5"/>
      <c r="D47" s="4"/>
      <c r="E47" s="5"/>
      <c r="F47" s="4"/>
      <c r="G47" s="5"/>
      <c r="H47" s="4"/>
      <c r="I47" s="5"/>
      <c r="J47" s="4"/>
      <c r="K47" s="5"/>
      <c r="L47" s="4"/>
      <c r="M47" s="5"/>
      <c r="N47" s="4"/>
      <c r="O47" s="5"/>
      <c r="P47" s="4"/>
      <c r="Q47" s="5"/>
      <c r="R47" s="4"/>
      <c r="S47" s="5"/>
      <c r="T47" s="2"/>
    </row>
    <row r="48" spans="1:20" x14ac:dyDescent="0.25">
      <c r="A48" s="5"/>
      <c r="B48" s="4"/>
      <c r="C48" s="5"/>
      <c r="D48" s="4"/>
      <c r="E48" s="5"/>
      <c r="F48" s="4"/>
      <c r="G48" s="5"/>
      <c r="H48" s="4"/>
      <c r="I48" s="5"/>
      <c r="J48" s="4"/>
      <c r="K48" s="5"/>
      <c r="L48" s="4"/>
      <c r="M48" s="5"/>
      <c r="N48" s="4"/>
      <c r="O48" s="5"/>
      <c r="P48" s="4"/>
      <c r="Q48" s="5"/>
      <c r="R48" s="4"/>
      <c r="S48" s="5"/>
      <c r="T48" s="2"/>
    </row>
    <row r="49" spans="1:20" x14ac:dyDescent="0.25">
      <c r="A49" s="5"/>
      <c r="B49" s="4"/>
      <c r="C49" s="5"/>
      <c r="D49" s="4"/>
      <c r="E49" s="5"/>
      <c r="F49" s="4"/>
      <c r="G49" s="5"/>
      <c r="H49" s="4"/>
      <c r="I49" s="5"/>
      <c r="J49" s="4"/>
      <c r="K49" s="5"/>
      <c r="L49" s="4"/>
      <c r="M49" s="5"/>
      <c r="N49" s="4"/>
      <c r="O49" s="5"/>
      <c r="P49" s="4"/>
      <c r="Q49" s="5"/>
      <c r="R49" s="4"/>
      <c r="S49" s="5"/>
      <c r="T49" s="2"/>
    </row>
    <row r="50" spans="1:20" x14ac:dyDescent="0.25">
      <c r="A50" s="5"/>
      <c r="B50" s="4"/>
      <c r="C50" s="5"/>
      <c r="D50" s="4"/>
      <c r="E50" s="5"/>
      <c r="F50" s="4"/>
      <c r="G50" s="5"/>
      <c r="H50" s="4"/>
      <c r="I50" s="5"/>
      <c r="J50" s="4"/>
      <c r="K50" s="5"/>
      <c r="L50" s="4"/>
      <c r="M50" s="5"/>
      <c r="N50" s="4"/>
      <c r="O50" s="5"/>
      <c r="P50" s="4"/>
      <c r="Q50" s="5"/>
      <c r="R50" s="4"/>
      <c r="S50" s="5"/>
      <c r="T50" s="2"/>
    </row>
    <row r="51" spans="1:20" x14ac:dyDescent="0.25">
      <c r="A51" s="3"/>
      <c r="B51" s="4"/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2"/>
    </row>
  </sheetData>
  <conditionalFormatting sqref="A3:A51 E3:E51 G3:G51 I3:I51 K3:K51 M3:M51 O3:O51 Q3:Q51 S3:S51 C3:C51">
    <cfRule type="notContainsErrors" dxfId="44" priority="2" stopIfTrue="1">
      <formula>NOT(ISERROR(A3))</formula>
    </cfRule>
  </conditionalFormatting>
  <conditionalFormatting sqref="A3:T51">
    <cfRule type="containsErrors" dxfId="43" priority="1" stopIfTrue="1">
      <formula>ISERROR(A3)</formula>
    </cfRule>
    <cfRule type="notContainsBlanks" dxfId="42" priority="3">
      <formula>LEN(TRIM(A3))&gt;0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</vt:i4>
      </vt:variant>
    </vt:vector>
  </HeadingPairs>
  <TitlesOfParts>
    <vt:vector size="63" baseType="lpstr">
      <vt:lpstr>Sheets</vt:lpstr>
      <vt:lpstr>Result</vt:lpstr>
      <vt:lpstr>Empty</vt:lpstr>
      <vt:lpstr>Anomalous Gem</vt:lpstr>
      <vt:lpstr>Divergent Support Gem</vt:lpstr>
      <vt:lpstr>Phantasmal Gem</vt:lpstr>
      <vt:lpstr>Chaos Orb</vt:lpstr>
      <vt:lpstr>Resonator</vt:lpstr>
      <vt:lpstr>Card</vt:lpstr>
      <vt:lpstr>Metamorph Sample</vt:lpstr>
      <vt:lpstr>Blighted Map</vt:lpstr>
      <vt:lpstr>Blight-ravaged Map</vt:lpstr>
      <vt:lpstr>Blueprint</vt:lpstr>
      <vt:lpstr>Contract</vt:lpstr>
      <vt:lpstr>Logbook</vt:lpstr>
      <vt:lpstr>Map</vt:lpstr>
      <vt:lpstr>Map Fragment</vt:lpstr>
      <vt:lpstr>Memory</vt:lpstr>
      <vt:lpstr>Misc Map Item</vt:lpstr>
      <vt:lpstr>Tome</vt:lpstr>
      <vt:lpstr>Hybrid Flask</vt:lpstr>
      <vt:lpstr>Mana Flask</vt:lpstr>
      <vt:lpstr>Life Flask</vt:lpstr>
      <vt:lpstr>Magic Utility Flask</vt:lpstr>
      <vt:lpstr>Foiled Amulet</vt:lpstr>
      <vt:lpstr>Unidentified ring</vt:lpstr>
      <vt:lpstr>Abyssus</vt:lpstr>
      <vt:lpstr>Carcass Jack</vt:lpstr>
      <vt:lpstr>Mistwall</vt:lpstr>
      <vt:lpstr>White Wind</vt:lpstr>
      <vt:lpstr>Crusader</vt:lpstr>
      <vt:lpstr>Elder</vt:lpstr>
      <vt:lpstr>Hunter</vt:lpstr>
      <vt:lpstr>Redeemer</vt:lpstr>
      <vt:lpstr>Shaper</vt:lpstr>
      <vt:lpstr>Warlord</vt:lpstr>
      <vt:lpstr>Abyssal Jewel</vt:lpstr>
      <vt:lpstr>Belt</vt:lpstr>
      <vt:lpstr>Boots</vt:lpstr>
      <vt:lpstr>Gloves</vt:lpstr>
      <vt:lpstr>Bow</vt:lpstr>
      <vt:lpstr>Claw</vt:lpstr>
      <vt:lpstr>Dagger</vt:lpstr>
      <vt:lpstr>Jewel</vt:lpstr>
      <vt:lpstr>Quiver</vt:lpstr>
      <vt:lpstr>Sceptre</vt:lpstr>
      <vt:lpstr>Staff</vt:lpstr>
      <vt:lpstr>Wand</vt:lpstr>
      <vt:lpstr>Warstaff</vt:lpstr>
      <vt:lpstr>1H Sword</vt:lpstr>
      <vt:lpstr>1H Thrusting Sword</vt:lpstr>
      <vt:lpstr>2H Sword</vt:lpstr>
      <vt:lpstr>1H Axe</vt:lpstr>
      <vt:lpstr>2H Axe</vt:lpstr>
      <vt:lpstr>1H Mace</vt:lpstr>
      <vt:lpstr>2H Mace</vt:lpstr>
      <vt:lpstr>Heist Brooch</vt:lpstr>
      <vt:lpstr>Heist Cloak</vt:lpstr>
      <vt:lpstr>Heist Gear</vt:lpstr>
      <vt:lpstr>Heist Target</vt:lpstr>
      <vt:lpstr>Heist Tool</vt:lpstr>
      <vt:lpstr>Heist Trinket</vt:lpstr>
      <vt:lpstr>Fishing Rod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Yanic Lemire</dc:creator>
  <cp:lastModifiedBy>Yanic Lemire</cp:lastModifiedBy>
  <dcterms:created xsi:type="dcterms:W3CDTF">2023-11-12T18:14:56Z</dcterms:created>
  <dcterms:modified xsi:type="dcterms:W3CDTF">2023-11-13T03:33:43Z</dcterms:modified>
</cp:coreProperties>
</file>