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409DB8C6-D5B0-425F-A594-ADE8ABB26ED5}"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30" l="1"/>
  <c r="E34" i="20" a="1"/>
  <c r="E34" i="20"/>
  <c r="E26" i="19" a="1"/>
  <c r="E26" i="19"/>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57" i="2"/>
  <c r="R56" i="2"/>
  <c r="R55" i="2"/>
  <c r="R54" i="2"/>
  <c r="R53" i="2"/>
  <c r="R52" i="2"/>
  <c r="R50" i="2"/>
  <c r="R49" i="2"/>
  <c r="R48" i="2"/>
  <c r="R47" i="2"/>
  <c r="R46" i="2"/>
  <c r="R45" i="2"/>
  <c r="R43" i="2"/>
  <c r="R42" i="2"/>
  <c r="R41" i="2"/>
  <c r="R40" i="2"/>
  <c r="R39" i="2"/>
  <c r="R38" i="2"/>
  <c r="R37" i="2"/>
  <c r="R36" i="2"/>
  <c r="R35" i="2"/>
  <c r="R34" i="2"/>
  <c r="R33" i="2"/>
  <c r="R32" i="2"/>
  <c r="R31" i="2"/>
  <c r="R30" i="2"/>
  <c r="R29" i="2"/>
  <c r="R28" i="2"/>
  <c r="R27" i="2"/>
  <c r="R26" i="2"/>
  <c r="R25" i="2"/>
  <c r="R24" i="2"/>
  <c r="R23" i="2"/>
  <c r="R22" i="2"/>
  <c r="R20" i="2"/>
  <c r="R19" i="2"/>
  <c r="R18" i="2"/>
  <c r="R17" i="2"/>
  <c r="R16" i="2"/>
  <c r="R15" i="2"/>
  <c r="R14" i="2"/>
  <c r="R12" i="2"/>
  <c r="R11" i="2"/>
  <c r="R10" i="2"/>
  <c r="R9" i="2"/>
  <c r="R7" i="2"/>
  <c r="R5" i="2"/>
  <c r="R4"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57" i="2"/>
  <c r="P56" i="2"/>
  <c r="P55" i="2"/>
  <c r="P54" i="2"/>
  <c r="P53" i="2"/>
  <c r="P52" i="2"/>
  <c r="P50" i="2"/>
  <c r="P49" i="2"/>
  <c r="P48" i="2"/>
  <c r="P47" i="2"/>
  <c r="P46" i="2"/>
  <c r="P45" i="2"/>
  <c r="P43" i="2"/>
  <c r="P42" i="2"/>
  <c r="P41" i="2"/>
  <c r="P40" i="2"/>
  <c r="P39" i="2"/>
  <c r="P38" i="2"/>
  <c r="P37" i="2"/>
  <c r="P36" i="2"/>
  <c r="P35" i="2"/>
  <c r="P34" i="2"/>
  <c r="P33" i="2"/>
  <c r="P32" i="2"/>
  <c r="P31" i="2"/>
  <c r="P30" i="2"/>
  <c r="P29" i="2"/>
  <c r="P28" i="2"/>
  <c r="P27" i="2"/>
  <c r="P26" i="2"/>
  <c r="P25" i="2"/>
  <c r="P24" i="2"/>
  <c r="P23" i="2"/>
  <c r="P22" i="2"/>
  <c r="P20" i="2"/>
  <c r="P19" i="2"/>
  <c r="P18" i="2"/>
  <c r="P17" i="2"/>
  <c r="P16" i="2"/>
  <c r="P15" i="2"/>
  <c r="P14" i="2"/>
  <c r="P12" i="2"/>
  <c r="P11" i="2"/>
  <c r="P10" i="2"/>
  <c r="P9" i="2"/>
  <c r="P7" i="2"/>
  <c r="P5" i="2"/>
  <c r="P4"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57" i="2"/>
  <c r="N56" i="2"/>
  <c r="N55" i="2"/>
  <c r="N54" i="2"/>
  <c r="N53" i="2"/>
  <c r="N52" i="2"/>
  <c r="N50" i="2"/>
  <c r="N49" i="2"/>
  <c r="N48" i="2"/>
  <c r="N47" i="2"/>
  <c r="N46" i="2"/>
  <c r="N45" i="2"/>
  <c r="N43" i="2"/>
  <c r="N42" i="2"/>
  <c r="N41" i="2"/>
  <c r="N40" i="2"/>
  <c r="N39" i="2"/>
  <c r="N38" i="2"/>
  <c r="N37" i="2"/>
  <c r="N36" i="2"/>
  <c r="N35" i="2"/>
  <c r="N34" i="2"/>
  <c r="N33" i="2"/>
  <c r="N32" i="2"/>
  <c r="N31" i="2"/>
  <c r="N30" i="2"/>
  <c r="N29" i="2"/>
  <c r="N28" i="2"/>
  <c r="N27" i="2"/>
  <c r="N26" i="2"/>
  <c r="N25" i="2"/>
  <c r="N24" i="2"/>
  <c r="N23" i="2"/>
  <c r="N22" i="2"/>
  <c r="N20" i="2"/>
  <c r="N19" i="2"/>
  <c r="N18" i="2"/>
  <c r="N17" i="2"/>
  <c r="N16" i="2"/>
  <c r="N15" i="2"/>
  <c r="N14" i="2"/>
  <c r="N12" i="2"/>
  <c r="N11" i="2"/>
  <c r="N10" i="2"/>
  <c r="N9" i="2"/>
  <c r="N7" i="2"/>
  <c r="N5" i="2"/>
  <c r="N4"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57" i="2"/>
  <c r="L56" i="2"/>
  <c r="L55" i="2"/>
  <c r="L54" i="2"/>
  <c r="L53" i="2"/>
  <c r="L52" i="2"/>
  <c r="L50" i="2"/>
  <c r="L49" i="2"/>
  <c r="L48" i="2"/>
  <c r="L47" i="2"/>
  <c r="L46" i="2"/>
  <c r="L45" i="2"/>
  <c r="L43" i="2"/>
  <c r="L42" i="2"/>
  <c r="L41" i="2"/>
  <c r="L40" i="2"/>
  <c r="L39" i="2"/>
  <c r="L38" i="2"/>
  <c r="L37" i="2"/>
  <c r="L36" i="2"/>
  <c r="L35" i="2"/>
  <c r="L34" i="2"/>
  <c r="L33" i="2"/>
  <c r="L32" i="2"/>
  <c r="L31" i="2"/>
  <c r="L30" i="2"/>
  <c r="L29" i="2"/>
  <c r="L28" i="2"/>
  <c r="L27" i="2"/>
  <c r="L26" i="2"/>
  <c r="L25" i="2"/>
  <c r="L24" i="2"/>
  <c r="L23" i="2"/>
  <c r="L22" i="2"/>
  <c r="L20" i="2"/>
  <c r="L19" i="2"/>
  <c r="L18" i="2"/>
  <c r="L17" i="2"/>
  <c r="L16" i="2"/>
  <c r="L15" i="2"/>
  <c r="L14" i="2"/>
  <c r="L12" i="2"/>
  <c r="L11" i="2"/>
  <c r="L10" i="2"/>
  <c r="L9" i="2"/>
  <c r="L7" i="2"/>
  <c r="L5" i="2"/>
  <c r="L4" i="2"/>
  <c r="J112" i="2"/>
  <c r="J110" i="2"/>
  <c r="J107" i="2"/>
  <c r="J103" i="2"/>
  <c r="J91" i="2"/>
  <c r="J55" i="2"/>
  <c r="J33" i="2"/>
  <c r="J19"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57" i="2"/>
  <c r="Q56" i="2"/>
  <c r="Q55" i="2"/>
  <c r="Q54" i="2"/>
  <c r="Q53" i="2"/>
  <c r="Q52" i="2"/>
  <c r="Q50" i="2"/>
  <c r="Q49" i="2"/>
  <c r="Q48" i="2"/>
  <c r="Q47" i="2"/>
  <c r="Q46" i="2"/>
  <c r="Q45" i="2"/>
  <c r="Q43" i="2"/>
  <c r="Q42" i="2"/>
  <c r="Q41" i="2"/>
  <c r="Q40" i="2"/>
  <c r="Q39" i="2"/>
  <c r="Q38" i="2"/>
  <c r="Q37" i="2"/>
  <c r="Q36" i="2"/>
  <c r="Q35" i="2"/>
  <c r="Q34" i="2"/>
  <c r="Q33" i="2"/>
  <c r="Q32" i="2"/>
  <c r="Q31" i="2"/>
  <c r="Q30" i="2"/>
  <c r="Q29" i="2"/>
  <c r="Q28" i="2"/>
  <c r="Q27" i="2"/>
  <c r="Q26" i="2"/>
  <c r="Q25" i="2"/>
  <c r="Q24" i="2"/>
  <c r="Q23" i="2"/>
  <c r="Q22" i="2"/>
  <c r="Q20" i="2"/>
  <c r="Q19" i="2"/>
  <c r="Q18" i="2"/>
  <c r="Q17" i="2"/>
  <c r="Q16" i="2"/>
  <c r="Q15" i="2"/>
  <c r="Q14"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57" i="2"/>
  <c r="O56" i="2"/>
  <c r="O55" i="2"/>
  <c r="O54" i="2"/>
  <c r="O53" i="2"/>
  <c r="O52" i="2"/>
  <c r="O50" i="2"/>
  <c r="O49" i="2"/>
  <c r="O48" i="2"/>
  <c r="O47" i="2"/>
  <c r="O46" i="2"/>
  <c r="O45" i="2"/>
  <c r="O43" i="2"/>
  <c r="O42" i="2"/>
  <c r="O41" i="2"/>
  <c r="O40" i="2"/>
  <c r="O39" i="2"/>
  <c r="O38" i="2"/>
  <c r="O37" i="2"/>
  <c r="O36" i="2"/>
  <c r="O35" i="2"/>
  <c r="O34" i="2"/>
  <c r="O33" i="2"/>
  <c r="O32" i="2"/>
  <c r="O31" i="2"/>
  <c r="O30" i="2"/>
  <c r="O29" i="2"/>
  <c r="O28" i="2"/>
  <c r="O27" i="2"/>
  <c r="O26" i="2"/>
  <c r="O25" i="2"/>
  <c r="O24" i="2"/>
  <c r="O23" i="2"/>
  <c r="O22" i="2"/>
  <c r="O20" i="2"/>
  <c r="O19" i="2"/>
  <c r="O18" i="2"/>
  <c r="O17" i="2"/>
  <c r="O16" i="2"/>
  <c r="O15" i="2"/>
  <c r="O14"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57" i="2"/>
  <c r="M56" i="2"/>
  <c r="M55" i="2"/>
  <c r="M54" i="2"/>
  <c r="M53" i="2"/>
  <c r="M52" i="2"/>
  <c r="M50" i="2"/>
  <c r="M49" i="2"/>
  <c r="M48" i="2"/>
  <c r="M47" i="2"/>
  <c r="M46" i="2"/>
  <c r="M45" i="2"/>
  <c r="M43" i="2"/>
  <c r="M42" i="2"/>
  <c r="M41" i="2"/>
  <c r="M40" i="2"/>
  <c r="M39" i="2"/>
  <c r="M38" i="2"/>
  <c r="M37" i="2"/>
  <c r="M36" i="2"/>
  <c r="M35" i="2"/>
  <c r="M34" i="2"/>
  <c r="M33" i="2"/>
  <c r="M32" i="2"/>
  <c r="M31" i="2"/>
  <c r="M30" i="2"/>
  <c r="M29" i="2"/>
  <c r="M28" i="2"/>
  <c r="M27" i="2"/>
  <c r="M26" i="2"/>
  <c r="M25" i="2"/>
  <c r="M24" i="2"/>
  <c r="M23" i="2"/>
  <c r="M22" i="2"/>
  <c r="M20" i="2"/>
  <c r="M19" i="2"/>
  <c r="M18" i="2"/>
  <c r="M17" i="2"/>
  <c r="M16" i="2"/>
  <c r="M15" i="2"/>
  <c r="M14"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57" i="2"/>
  <c r="K56" i="2"/>
  <c r="K55" i="2"/>
  <c r="K54" i="2"/>
  <c r="K53" i="2"/>
  <c r="K52" i="2"/>
  <c r="K50" i="2"/>
  <c r="K49" i="2"/>
  <c r="K48" i="2"/>
  <c r="K47" i="2"/>
  <c r="K46" i="2"/>
  <c r="K45" i="2"/>
  <c r="K43" i="2"/>
  <c r="K42" i="2"/>
  <c r="K41" i="2"/>
  <c r="K40" i="2"/>
  <c r="K39" i="2"/>
  <c r="K38" i="2"/>
  <c r="K37" i="2"/>
  <c r="K36" i="2"/>
  <c r="K35" i="2"/>
  <c r="K34" i="2"/>
  <c r="K33" i="2"/>
  <c r="K32" i="2"/>
  <c r="K31" i="2"/>
  <c r="K30" i="2"/>
  <c r="K29" i="2"/>
  <c r="K28" i="2"/>
  <c r="K27" i="2"/>
  <c r="K26" i="2"/>
  <c r="K25" i="2"/>
  <c r="K24" i="2"/>
  <c r="K23" i="2"/>
  <c r="K22" i="2"/>
  <c r="K20" i="2"/>
  <c r="K19" i="2"/>
  <c r="K18" i="2"/>
  <c r="K17" i="2"/>
  <c r="K16" i="2"/>
  <c r="K15" i="2"/>
  <c r="K14" i="2"/>
  <c r="I112" i="2"/>
  <c r="I110" i="2"/>
  <c r="I107" i="2"/>
  <c r="I105" i="2"/>
  <c r="J105" i="2" s="1"/>
  <c r="I103" i="2"/>
  <c r="I102" i="2"/>
  <c r="J102" i="2" s="1"/>
  <c r="I101" i="2"/>
  <c r="J101" i="2" s="1"/>
  <c r="I99" i="2"/>
  <c r="J99" i="2" s="1"/>
  <c r="I98" i="2"/>
  <c r="J98" i="2" s="1"/>
  <c r="I91" i="2"/>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I52" i="2"/>
  <c r="J52" i="2" s="1"/>
  <c r="I50" i="2"/>
  <c r="J50" i="2" s="1"/>
  <c r="I49" i="2"/>
  <c r="J49" i="2" s="1"/>
  <c r="I38" i="2"/>
  <c r="J38" i="2" s="1"/>
  <c r="I35" i="2"/>
  <c r="J35" i="2" s="1"/>
  <c r="I34" i="2"/>
  <c r="J34" i="2" s="1"/>
  <c r="I33" i="2"/>
  <c r="I32" i="2"/>
  <c r="J32" i="2" s="1"/>
  <c r="I30" i="2"/>
  <c r="J30" i="2" s="1"/>
  <c r="I28" i="2"/>
  <c r="J28" i="2" s="1"/>
  <c r="I27" i="2"/>
  <c r="J27" i="2" s="1"/>
  <c r="I25" i="2"/>
  <c r="J25" i="2" s="1"/>
  <c r="I19" i="2"/>
  <c r="I17" i="2"/>
  <c r="J17" i="2" s="1"/>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N4" i="65"/>
  <c r="L4" i="65"/>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P4" i="63"/>
  <c r="N4" i="63"/>
  <c r="L4" i="63"/>
  <c r="J4" i="63"/>
  <c r="I108" i="2" s="1"/>
  <c r="J108" i="2" s="1"/>
  <c r="H4" i="63"/>
  <c r="F4" i="63"/>
  <c r="D4" i="63"/>
  <c r="B4" i="63"/>
  <c r="T3" i="63"/>
  <c r="R3" i="63"/>
  <c r="P3" i="63"/>
  <c r="N3" i="63"/>
  <c r="L3" i="63"/>
  <c r="J3" i="63"/>
  <c r="H3" i="63"/>
  <c r="F3" i="63"/>
  <c r="D3" i="63"/>
  <c r="B3" i="63"/>
  <c r="A1" i="63"/>
  <c r="T20" i="57"/>
  <c r="R20" i="57"/>
  <c r="P20" i="57"/>
  <c r="N20" i="57"/>
  <c r="L20" i="57"/>
  <c r="J20" i="57"/>
  <c r="I54" i="2" s="1"/>
  <c r="J54" i="2" s="1"/>
  <c r="H20" i="57"/>
  <c r="F20" i="57"/>
  <c r="D20" i="57"/>
  <c r="C54" i="2" s="1"/>
  <c r="D54" i="2" s="1"/>
  <c r="B20" i="57"/>
  <c r="T21" i="58"/>
  <c r="R21" i="58"/>
  <c r="P21" i="58"/>
  <c r="N21" i="58"/>
  <c r="L21" i="58"/>
  <c r="J21" i="58"/>
  <c r="I56" i="2" s="1"/>
  <c r="J56" i="2" s="1"/>
  <c r="H21" i="58"/>
  <c r="F21" i="58"/>
  <c r="E56" i="2" s="1"/>
  <c r="F56" i="2" s="1"/>
  <c r="D21" i="58"/>
  <c r="C56" i="2" s="1"/>
  <c r="D56" i="2" s="1"/>
  <c r="B21" i="58"/>
  <c r="T27" i="60"/>
  <c r="R27" i="60"/>
  <c r="P27" i="60"/>
  <c r="N27" i="60"/>
  <c r="L27" i="60"/>
  <c r="J27" i="60"/>
  <c r="I53" i="2" s="1"/>
  <c r="J53" i="2" s="1"/>
  <c r="H27" i="60"/>
  <c r="F27" i="60"/>
  <c r="E53" i="2" s="1"/>
  <c r="F53" i="2" s="1"/>
  <c r="D27" i="60"/>
  <c r="C53" i="2" s="1"/>
  <c r="D53" i="2" s="1"/>
  <c r="B27" i="60"/>
  <c r="T23" i="62"/>
  <c r="R23" i="62"/>
  <c r="P23" i="62"/>
  <c r="N23" i="62"/>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N24" i="59"/>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P4" i="56"/>
  <c r="N4" i="56"/>
  <c r="L4" i="56"/>
  <c r="J4" i="56"/>
  <c r="I111" i="2" s="1"/>
  <c r="J111" i="2" s="1"/>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P4" i="55"/>
  <c r="N4" i="55"/>
  <c r="L4" i="55"/>
  <c r="J4" i="55"/>
  <c r="I106" i="2" s="1"/>
  <c r="J106" i="2" s="1"/>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P4" i="54"/>
  <c r="N4" i="54"/>
  <c r="L4" i="54"/>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P4" i="49"/>
  <c r="N4" i="49"/>
  <c r="L4" i="49"/>
  <c r="J4" i="49"/>
  <c r="I87" i="2" s="1"/>
  <c r="J87" i="2" s="1"/>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3" i="2"/>
  <c r="T8" i="43"/>
  <c r="R8" i="43"/>
  <c r="P8" i="43"/>
  <c r="N8" i="43"/>
  <c r="L8" i="43"/>
  <c r="J8" i="43"/>
  <c r="I23" i="2" s="1"/>
  <c r="J23" i="2" s="1"/>
  <c r="H8" i="43"/>
  <c r="F8" i="43"/>
  <c r="E23" i="2" s="1"/>
  <c r="F23" i="2" s="1"/>
  <c r="D8" i="43"/>
  <c r="C23" i="2" s="1"/>
  <c r="D23" i="2" s="1"/>
  <c r="B8" i="43"/>
  <c r="T10" i="29"/>
  <c r="R10" i="29"/>
  <c r="P10" i="29"/>
  <c r="N10" i="29"/>
  <c r="L10" i="29"/>
  <c r="I46" i="2"/>
  <c r="J46" i="2" s="1"/>
  <c r="E46" i="2"/>
  <c r="F46" i="2" s="1"/>
  <c r="D10" i="29"/>
  <c r="A46" i="2"/>
  <c r="T10" i="34"/>
  <c r="T9" i="34"/>
  <c r="T8" i="34"/>
  <c r="R10" i="34"/>
  <c r="R9" i="34"/>
  <c r="R8" i="34"/>
  <c r="P10" i="34"/>
  <c r="P9" i="34"/>
  <c r="P8" i="34"/>
  <c r="N10" i="34"/>
  <c r="N9" i="34"/>
  <c r="N8" i="34"/>
  <c r="L10" i="34"/>
  <c r="L9" i="34"/>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P7" i="43"/>
  <c r="N7" i="43"/>
  <c r="L7" i="43"/>
  <c r="I45" i="2"/>
  <c r="J45" i="2" s="1"/>
  <c r="C45" i="2"/>
  <c r="D45" i="2" s="1"/>
  <c r="B7" i="43"/>
  <c r="A45" i="2" s="1"/>
  <c r="A47" i="2"/>
  <c r="T7" i="47"/>
  <c r="R7" i="47"/>
  <c r="P7" i="47"/>
  <c r="N7" i="47"/>
  <c r="L7" i="47"/>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N4" i="46"/>
  <c r="L4" i="46"/>
  <c r="J4" i="46"/>
  <c r="I64" i="2" s="1"/>
  <c r="J64" i="2" s="1"/>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L4" i="42"/>
  <c r="J4" i="42"/>
  <c r="I68" i="2" s="1"/>
  <c r="J68" i="2" s="1"/>
  <c r="H4" i="42"/>
  <c r="F4" i="42"/>
  <c r="D4" i="42"/>
  <c r="B4" i="42"/>
  <c r="T3" i="42"/>
  <c r="R3" i="42"/>
  <c r="P3" i="42"/>
  <c r="N3" i="42"/>
  <c r="L3" i="42"/>
  <c r="J3" i="42"/>
  <c r="H3" i="42"/>
  <c r="F3" i="42"/>
  <c r="D3" i="42"/>
  <c r="B3" i="42"/>
  <c r="A1" i="42"/>
  <c r="A50" i="2"/>
  <c r="T7" i="30"/>
  <c r="R7" i="30"/>
  <c r="P7" i="30"/>
  <c r="N7" i="30"/>
  <c r="L7" i="30"/>
  <c r="E50" i="2"/>
  <c r="F50" i="2" s="1"/>
  <c r="B7" i="30"/>
  <c r="T27" i="41"/>
  <c r="R27" i="41"/>
  <c r="P27" i="41"/>
  <c r="N27" i="41"/>
  <c r="L27" i="41"/>
  <c r="J27" i="41"/>
  <c r="I26" i="2" s="1"/>
  <c r="J26" i="2" s="1"/>
  <c r="H27" i="41"/>
  <c r="F27" i="41"/>
  <c r="E26" i="2" s="1"/>
  <c r="F26" i="2" s="1"/>
  <c r="D27" i="41"/>
  <c r="C26" i="2" s="1"/>
  <c r="D26" i="2" s="1"/>
  <c r="B27" i="41"/>
  <c r="A26" i="2" s="1"/>
  <c r="B26" i="2" s="1"/>
  <c r="A29" i="2"/>
  <c r="B29" i="2" s="1"/>
  <c r="T28" i="30"/>
  <c r="R28" i="30"/>
  <c r="P28" i="30"/>
  <c r="N28" i="30"/>
  <c r="L28" i="30"/>
  <c r="J28" i="30"/>
  <c r="I29" i="2" s="1"/>
  <c r="J29" i="2" s="1"/>
  <c r="H28" i="30"/>
  <c r="F28" i="30"/>
  <c r="D28" i="30"/>
  <c r="C29" i="2" s="1"/>
  <c r="D29" i="2" s="1"/>
  <c r="B28" i="30"/>
  <c r="A48" i="2"/>
  <c r="T7" i="41"/>
  <c r="R7" i="41"/>
  <c r="P7" i="41"/>
  <c r="N7" i="41"/>
  <c r="L7" i="4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P4" i="38"/>
  <c r="N4" i="38"/>
  <c r="L4" i="38"/>
  <c r="J4" i="38"/>
  <c r="I65" i="2" s="1"/>
  <c r="J65" i="2" s="1"/>
  <c r="H4" i="38"/>
  <c r="F4" i="38"/>
  <c r="E65" i="2" s="1"/>
  <c r="F65" i="2" s="1"/>
  <c r="D4" i="38"/>
  <c r="C65" i="2" s="1"/>
  <c r="D65" i="2" s="1"/>
  <c r="B4" i="38"/>
  <c r="T3" i="38"/>
  <c r="R3" i="38"/>
  <c r="P3" i="38"/>
  <c r="N3" i="38"/>
  <c r="L3" i="38"/>
  <c r="J3" i="38"/>
  <c r="H3" i="38"/>
  <c r="F3" i="38"/>
  <c r="D3" i="38"/>
  <c r="B3" i="38"/>
  <c r="A49" i="2"/>
  <c r="T7" i="15"/>
  <c r="R7" i="15"/>
  <c r="P7" i="15"/>
  <c r="N7" i="15"/>
  <c r="L7" i="15"/>
  <c r="B7" i="15"/>
  <c r="T10" i="15"/>
  <c r="R10" i="15"/>
  <c r="P10" i="15"/>
  <c r="N10" i="15"/>
  <c r="L10" i="15"/>
  <c r="J10" i="15"/>
  <c r="I24" i="2" s="1"/>
  <c r="J24" i="2" s="1"/>
  <c r="H10" i="15"/>
  <c r="F10" i="15"/>
  <c r="E24" i="2" s="1"/>
  <c r="F24" i="2" s="1"/>
  <c r="D10" i="15"/>
  <c r="C24" i="2" s="1"/>
  <c r="D24" i="2" s="1"/>
  <c r="B10" i="15"/>
  <c r="A24" i="2" s="1"/>
  <c r="B24" i="2" s="1"/>
  <c r="B10" i="29"/>
  <c r="A43" i="2"/>
  <c r="B43" i="2" s="1"/>
  <c r="A110" i="2"/>
  <c r="A17" i="2"/>
  <c r="B17" i="2" s="1"/>
  <c r="T8" i="30"/>
  <c r="R8" i="30"/>
  <c r="P8" i="30"/>
  <c r="N8" i="30"/>
  <c r="L8" i="30"/>
  <c r="H8" i="30"/>
  <c r="D8" i="30"/>
  <c r="C25" i="2" s="1"/>
  <c r="D25" i="2" s="1"/>
  <c r="T7" i="36"/>
  <c r="R7" i="36"/>
  <c r="P7" i="36"/>
  <c r="N7" i="36"/>
  <c r="L7" i="36"/>
  <c r="J7" i="36"/>
  <c r="I43" i="2" s="1"/>
  <c r="J43" i="2" s="1"/>
  <c r="H7" i="36"/>
  <c r="F7" i="36"/>
  <c r="D7" i="36"/>
  <c r="B7" i="36"/>
  <c r="T6" i="36"/>
  <c r="R6" i="36"/>
  <c r="P6" i="36"/>
  <c r="N6" i="36"/>
  <c r="L6" i="36"/>
  <c r="J6" i="36"/>
  <c r="H6" i="36"/>
  <c r="F6" i="36"/>
  <c r="D6" i="36"/>
  <c r="C17" i="2" s="1"/>
  <c r="D17" i="2" s="1"/>
  <c r="B6" i="36"/>
  <c r="T5" i="36"/>
  <c r="R5" i="36"/>
  <c r="P5" i="36"/>
  <c r="N5" i="36"/>
  <c r="L5" i="36"/>
  <c r="J5" i="36"/>
  <c r="H5" i="36"/>
  <c r="F5" i="36"/>
  <c r="D5" i="36"/>
  <c r="B5" i="36"/>
  <c r="T4" i="36"/>
  <c r="R4" i="36"/>
  <c r="P4" i="36"/>
  <c r="N4" i="36"/>
  <c r="L4" i="36"/>
  <c r="J4" i="36"/>
  <c r="H4" i="36"/>
  <c r="F4" i="36"/>
  <c r="E110" i="2" s="1"/>
  <c r="F110" i="2" s="1"/>
  <c r="D4" i="36"/>
  <c r="B4" i="36"/>
  <c r="T3" i="36"/>
  <c r="R3" i="36"/>
  <c r="P3" i="36"/>
  <c r="N3" i="36"/>
  <c r="L3" i="36"/>
  <c r="J3" i="36"/>
  <c r="H3" i="36"/>
  <c r="F3" i="36"/>
  <c r="D3" i="36"/>
  <c r="B3" i="36"/>
  <c r="A63" i="2"/>
  <c r="T6" i="35"/>
  <c r="R6" i="35"/>
  <c r="P6" i="35"/>
  <c r="N6" i="35"/>
  <c r="L6" i="35"/>
  <c r="J6" i="35"/>
  <c r="I18" i="2" s="1"/>
  <c r="J18" i="2" s="1"/>
  <c r="H6" i="35"/>
  <c r="F6" i="35"/>
  <c r="D6" i="35"/>
  <c r="B6" i="35"/>
  <c r="A18" i="2" s="1"/>
  <c r="B18" i="2" s="1"/>
  <c r="T5" i="35"/>
  <c r="R5" i="35"/>
  <c r="P5" i="35"/>
  <c r="N5" i="35"/>
  <c r="L5" i="35"/>
  <c r="J5" i="35"/>
  <c r="H5" i="35"/>
  <c r="F5" i="35"/>
  <c r="D5" i="35"/>
  <c r="B5" i="35"/>
  <c r="T4" i="35"/>
  <c r="R4" i="35"/>
  <c r="P4" i="35"/>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P4" i="34"/>
  <c r="N4" i="34"/>
  <c r="L4" i="34"/>
  <c r="J4" i="34"/>
  <c r="I83" i="2" s="1"/>
  <c r="J83" i="2" s="1"/>
  <c r="H4" i="34"/>
  <c r="F4" i="34"/>
  <c r="E83" i="2" s="1"/>
  <c r="F83" i="2" s="1"/>
  <c r="D4" i="34"/>
  <c r="C83" i="2" s="1"/>
  <c r="D83" i="2" s="1"/>
  <c r="B4" i="34"/>
  <c r="A83" i="2" s="1"/>
  <c r="T3" i="34"/>
  <c r="R3" i="34"/>
  <c r="P3" i="34"/>
  <c r="N3" i="34"/>
  <c r="L3" i="34"/>
  <c r="J3" i="34"/>
  <c r="H3" i="34"/>
  <c r="F3" i="34"/>
  <c r="D3" i="34"/>
  <c r="B3" i="34"/>
  <c r="T11" i="33"/>
  <c r="R11" i="33"/>
  <c r="P11" i="33"/>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N4" i="33"/>
  <c r="L4" i="33"/>
  <c r="J4" i="33"/>
  <c r="I69" i="2" s="1"/>
  <c r="J69" i="2" s="1"/>
  <c r="H4" i="33"/>
  <c r="F4" i="33"/>
  <c r="D4" i="33"/>
  <c r="C69" i="2" s="1"/>
  <c r="D69" i="2" s="1"/>
  <c r="B4" i="33"/>
  <c r="A69" i="2" s="1"/>
  <c r="T3" i="33"/>
  <c r="R3" i="33"/>
  <c r="P3" i="33"/>
  <c r="N3" i="33"/>
  <c r="L3" i="33"/>
  <c r="J3" i="33"/>
  <c r="H3" i="33"/>
  <c r="F3" i="33"/>
  <c r="D3" i="33"/>
  <c r="B3" i="33"/>
  <c r="A20" i="2"/>
  <c r="B20" i="2" s="1"/>
  <c r="A62" i="2"/>
  <c r="T6" i="32"/>
  <c r="R6" i="32"/>
  <c r="P6" i="32"/>
  <c r="N6" i="32"/>
  <c r="L6" i="32"/>
  <c r="J6" i="32"/>
  <c r="I20" i="2" s="1"/>
  <c r="J20" i="2" s="1"/>
  <c r="H6" i="32"/>
  <c r="F6" i="32"/>
  <c r="D6" i="32"/>
  <c r="C20" i="2" s="1"/>
  <c r="D20" i="2" s="1"/>
  <c r="B6" i="32"/>
  <c r="T5" i="32"/>
  <c r="R5" i="32"/>
  <c r="P5" i="32"/>
  <c r="N5" i="32"/>
  <c r="L5" i="32"/>
  <c r="J5" i="32"/>
  <c r="H5" i="32"/>
  <c r="F5" i="32"/>
  <c r="D5" i="32"/>
  <c r="B5" i="32"/>
  <c r="T4" i="32"/>
  <c r="R4" i="32"/>
  <c r="P4" i="32"/>
  <c r="N4" i="32"/>
  <c r="L4" i="32"/>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P6" i="30"/>
  <c r="N6" i="30"/>
  <c r="L6" i="30"/>
  <c r="J6" i="30"/>
  <c r="H6" i="30"/>
  <c r="F6" i="30"/>
  <c r="E19" i="2" s="1"/>
  <c r="F19" i="2" s="1"/>
  <c r="D6" i="30"/>
  <c r="C19" i="2" s="1"/>
  <c r="D19" i="2" s="1"/>
  <c r="B6" i="30"/>
  <c r="A19" i="2" s="1"/>
  <c r="B19" i="2" s="1"/>
  <c r="T5" i="30"/>
  <c r="R5" i="30"/>
  <c r="P5" i="30"/>
  <c r="N5" i="30"/>
  <c r="L5" i="30"/>
  <c r="J5" i="30"/>
  <c r="H5" i="30"/>
  <c r="F5" i="30"/>
  <c r="D5" i="30"/>
  <c r="B5" i="30"/>
  <c r="T4" i="30"/>
  <c r="R4" i="30"/>
  <c r="P4" i="30"/>
  <c r="N4" i="30"/>
  <c r="L4" i="30"/>
  <c r="J4" i="30"/>
  <c r="I81" i="2" s="1"/>
  <c r="J81" i="2" s="1"/>
  <c r="H4" i="30"/>
  <c r="F4" i="30"/>
  <c r="E81" i="2" s="1"/>
  <c r="F81" i="2" s="1"/>
  <c r="D4" i="30"/>
  <c r="B4" i="30"/>
  <c r="A81" i="2" s="1"/>
  <c r="T3" i="30"/>
  <c r="R3" i="30"/>
  <c r="P3" i="30"/>
  <c r="N3" i="30"/>
  <c r="L3" i="30"/>
  <c r="J3" i="30"/>
  <c r="H3" i="30"/>
  <c r="F3" i="30"/>
  <c r="D3" i="30"/>
  <c r="B3" i="30"/>
  <c r="T7" i="29"/>
  <c r="R7" i="29"/>
  <c r="P7" i="29"/>
  <c r="N7" i="29"/>
  <c r="L7" i="29"/>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N6" i="28"/>
  <c r="L6" i="28"/>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L6" i="27"/>
  <c r="J6" i="27"/>
  <c r="I16" i="2" s="1"/>
  <c r="J16" i="2" s="1"/>
  <c r="H6" i="27"/>
  <c r="F6" i="27"/>
  <c r="E16" i="2" s="1"/>
  <c r="F16" i="2" s="1"/>
  <c r="D6" i="27"/>
  <c r="B6" i="27"/>
  <c r="A16" i="2" s="1"/>
  <c r="B16" i="2" s="1"/>
  <c r="T5" i="27"/>
  <c r="R5" i="27"/>
  <c r="P5" i="27"/>
  <c r="N5" i="27"/>
  <c r="L5" i="27"/>
  <c r="J5" i="27"/>
  <c r="H5" i="27"/>
  <c r="F5" i="27"/>
  <c r="D5" i="27"/>
  <c r="B5" i="27"/>
  <c r="T4" i="27"/>
  <c r="R4" i="27"/>
  <c r="P4" i="27"/>
  <c r="N4" i="27"/>
  <c r="L4" i="27"/>
  <c r="J4" i="27"/>
  <c r="H4" i="27"/>
  <c r="F4" i="27"/>
  <c r="E80" i="2" s="1"/>
  <c r="F80" i="2" s="1"/>
  <c r="D4" i="27"/>
  <c r="B4" i="27"/>
  <c r="A80" i="2" s="1"/>
  <c r="T3" i="27"/>
  <c r="R3" i="27"/>
  <c r="P3" i="27"/>
  <c r="N3" i="27"/>
  <c r="L3" i="27"/>
  <c r="J3" i="27"/>
  <c r="H3" i="27"/>
  <c r="F3" i="27"/>
  <c r="D3" i="27"/>
  <c r="B3" i="27"/>
  <c r="A75" i="2"/>
  <c r="T8" i="26"/>
  <c r="R8" i="26"/>
  <c r="P8" i="26"/>
  <c r="N8" i="26"/>
  <c r="L8" i="26"/>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E75" i="2" s="1"/>
  <c r="F75" i="2" s="1"/>
  <c r="D4" i="26"/>
  <c r="B4" i="26"/>
  <c r="T3" i="26"/>
  <c r="R3" i="26"/>
  <c r="P3" i="26"/>
  <c r="N3" i="26"/>
  <c r="L3" i="26"/>
  <c r="J3" i="26"/>
  <c r="H3" i="26"/>
  <c r="F3" i="26"/>
  <c r="D3" i="26"/>
  <c r="B3" i="26"/>
  <c r="A33" i="2"/>
  <c r="B33" i="2" s="1"/>
  <c r="A74" i="2"/>
  <c r="T9" i="24"/>
  <c r="T8" i="24"/>
  <c r="R9" i="24"/>
  <c r="R8" i="24"/>
  <c r="P9" i="24"/>
  <c r="P8" i="24"/>
  <c r="N9" i="24"/>
  <c r="N8" i="24"/>
  <c r="L9" i="24"/>
  <c r="L8" i="24"/>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P4" i="24"/>
  <c r="N4" i="24"/>
  <c r="L4" i="24"/>
  <c r="J4" i="24"/>
  <c r="I73" i="2" s="1"/>
  <c r="J73" i="2" s="1"/>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P4" i="23"/>
  <c r="N4" i="23"/>
  <c r="L4" i="23"/>
  <c r="J4" i="23"/>
  <c r="I72" i="2" s="1"/>
  <c r="J72" i="2" s="1"/>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P4" i="21"/>
  <c r="N4" i="21"/>
  <c r="L4" i="21"/>
  <c r="J4" i="21"/>
  <c r="I76" i="2" s="1"/>
  <c r="J76" i="2" s="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P4" i="19"/>
  <c r="N4" i="19"/>
  <c r="L4" i="19"/>
  <c r="J4" i="19"/>
  <c r="I96" i="2" s="1"/>
  <c r="J96" i="2" s="1"/>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N4" i="18"/>
  <c r="L4" i="18"/>
  <c r="J4" i="18"/>
  <c r="I95" i="2" s="1"/>
  <c r="J95" i="2" s="1"/>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P4" i="17"/>
  <c r="N4" i="17"/>
  <c r="L4" i="17"/>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R20" i="5"/>
  <c r="R15" i="5"/>
  <c r="P22" i="5"/>
  <c r="P20" i="5"/>
  <c r="P15" i="5"/>
  <c r="N22" i="5"/>
  <c r="N20" i="5"/>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R11" i="5"/>
  <c r="R10" i="5"/>
  <c r="R9" i="5"/>
  <c r="R6" i="5"/>
  <c r="R5" i="5"/>
  <c r="R4" i="5"/>
  <c r="R3" i="5"/>
  <c r="P12" i="5"/>
  <c r="P11" i="5"/>
  <c r="P10" i="5"/>
  <c r="P9" i="5"/>
  <c r="P6" i="5"/>
  <c r="P5" i="5"/>
  <c r="P4" i="5"/>
  <c r="P3" i="5"/>
  <c r="N12" i="5"/>
  <c r="N11" i="5"/>
  <c r="N10" i="5"/>
  <c r="N9" i="5"/>
  <c r="N6" i="5"/>
  <c r="N5" i="5"/>
  <c r="N4" i="5"/>
  <c r="N3" i="5"/>
  <c r="L12" i="5"/>
  <c r="L11" i="5"/>
  <c r="L10" i="5"/>
  <c r="L9" i="5"/>
  <c r="L6" i="5"/>
  <c r="L5" i="5"/>
  <c r="L4" i="5"/>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J4" i="15"/>
  <c r="I82" i="2" s="1"/>
  <c r="J82" i="2" s="1"/>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P4" i="11"/>
  <c r="N4" i="11"/>
  <c r="L4" i="11"/>
  <c r="J4" i="11"/>
  <c r="I93" i="2" s="1"/>
  <c r="J93" i="2" s="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P4" i="10"/>
  <c r="N4" i="10"/>
  <c r="L4" i="10"/>
  <c r="J4" i="10"/>
  <c r="I97" i="2" s="1"/>
  <c r="J97" i="2" s="1"/>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P4" i="9"/>
  <c r="N4" i="9"/>
  <c r="L4" i="9"/>
  <c r="J4" i="9"/>
  <c r="I92" i="2" s="1"/>
  <c r="J92" i="2" s="1"/>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P4" i="7"/>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P4" i="6"/>
  <c r="N4" i="6"/>
  <c r="L4" i="6"/>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P4" i="4"/>
  <c r="N4" i="4"/>
  <c r="L4" i="4"/>
  <c r="J4" i="4"/>
  <c r="I88" i="2" s="1"/>
  <c r="J88" i="2" s="1"/>
  <c r="H4" i="4"/>
  <c r="F4" i="4"/>
  <c r="E88" i="2" s="1"/>
  <c r="F88" i="2" s="1"/>
  <c r="D4" i="4"/>
  <c r="C88" i="2" s="1"/>
  <c r="D88" i="2" s="1"/>
  <c r="T3" i="4"/>
  <c r="R3" i="4"/>
  <c r="P3" i="4"/>
  <c r="N3" i="4"/>
  <c r="L3" i="4"/>
  <c r="J3" i="4"/>
  <c r="H3" i="4"/>
  <c r="F3" i="4"/>
  <c r="D3" i="4"/>
  <c r="T6" i="1"/>
  <c r="T5" i="1"/>
  <c r="T4" i="1"/>
  <c r="T3" i="1"/>
  <c r="R6" i="1"/>
  <c r="R5" i="1"/>
  <c r="R4" i="1"/>
  <c r="R3" i="1"/>
  <c r="P6" i="1"/>
  <c r="P5" i="1"/>
  <c r="P4" i="1"/>
  <c r="P3" i="1"/>
  <c r="N6" i="1"/>
  <c r="N5" i="1"/>
  <c r="N4" i="1"/>
  <c r="N3" i="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<sst xmlns="http://schemas.openxmlformats.org/spreadsheetml/2006/main" count="8003" uniqueCount="3783">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</sst>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732">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rgb="FFFFCCCC"/>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activeCell="C3" sqref="C3"/>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27" t="s">
        <v>1593</v>
      </c>
      <c r="B1" s="27"/>
      <c r="C1" s="27"/>
      <c r="E1" s="27" t="s">
        <v>1595</v>
      </c>
      <c r="F1" s="27"/>
      <c r="G1" s="27"/>
      <c r="I1" s="27" t="s">
        <v>1598</v>
      </c>
      <c r="J1" s="27"/>
      <c r="K1" s="27"/>
      <c r="M1" s="27" t="s">
        <v>101</v>
      </c>
      <c r="N1" s="27"/>
      <c r="O1" s="27"/>
    </row>
    <row r="2" spans="1:15" ht="21" customHeight="1" x14ac:dyDescent="0.25">
      <c r="A2" s="25">
        <v>1</v>
      </c>
      <c r="B2" s="28" t="str" cm="1">
        <f t="array" ref="B2">INDEX(LISTSHEETS,A2)</f>
        <v>Sheets</v>
      </c>
      <c r="C2" s="29" t="str">
        <f t="shared" ref="C2:C71" si="0">HYPERLINK(_xlfn.CONCAT("#'", B2, "'!A1"), "Go to Sheet")</f>
        <v>Go to Sheet</v>
      </c>
      <c r="E2" s="25">
        <v>21</v>
      </c>
      <c r="F2" s="28" t="str" cm="1">
        <f t="array" ref="F2">INDEX(LISTSHEETS,E2)</f>
        <v>Hybrid Flask</v>
      </c>
      <c r="G2" s="29" t="str">
        <f>HYPERLINK(_xlfn.CONCAT("#'", F2, "'!A1"), "Go to Sheet")</f>
        <v>Go to Sheet</v>
      </c>
      <c r="I2" s="25">
        <v>37</v>
      </c>
      <c r="J2" s="28" t="str" cm="1">
        <f t="array" ref="J2">INDEX(LISTSHEETS,I2)</f>
        <v>Abyssal Jewel</v>
      </c>
      <c r="K2" s="29" t="str">
        <f>HYPERLINK(_xlfn.CONCAT("#'", J2, "'!A1"), "Go to Sheet")</f>
        <v>Go to Sheet</v>
      </c>
      <c r="M2" s="25">
        <v>57</v>
      </c>
      <c r="N2" s="28" t="str" cm="1">
        <f t="array" ref="N2">INDEX(LISTSHEETS,M2)</f>
        <v>Heist Brooch</v>
      </c>
      <c r="O2" s="29" t="str">
        <f>HYPERLINK(_xlfn.CONCAT("#'", N2, "'!A1"), "Go to Sheet")</f>
        <v>Go to Sheet</v>
      </c>
    </row>
    <row r="3" spans="1:15" ht="21" customHeight="1" x14ac:dyDescent="0.25">
      <c r="A3" s="25">
        <v>2</v>
      </c>
      <c r="B3" s="28" t="str" cm="1">
        <f t="array" ref="B3">INDEX(LISTSHEETS,A3)</f>
        <v>Result</v>
      </c>
      <c r="C3" s="29" t="str">
        <f t="shared" si="0"/>
        <v>Go to Sheet</v>
      </c>
      <c r="E3" s="25">
        <v>22</v>
      </c>
      <c r="F3" s="28" t="str" cm="1">
        <f t="array" ref="F3">INDEX(LISTSHEETS,E3)</f>
        <v>Mana Flask</v>
      </c>
      <c r="G3" s="29" t="str">
        <f>HYPERLINK(_xlfn.CONCAT("#'", F3, "'!A1"), "Go to Sheet")</f>
        <v>Go to Sheet</v>
      </c>
      <c r="I3" s="25">
        <v>38</v>
      </c>
      <c r="J3" s="28" t="str" cm="1">
        <f t="array" ref="J3">INDEX(LISTSHEETS,I3)</f>
        <v>Belt</v>
      </c>
      <c r="K3" s="29" t="str">
        <f>HYPERLINK(_xlfn.CONCAT("#'", J3, "'!A1"), "Go to Sheet")</f>
        <v>Go to Sheet</v>
      </c>
      <c r="M3" s="25">
        <v>58</v>
      </c>
      <c r="N3" s="28" t="str" cm="1">
        <f t="array" ref="N3">INDEX(LISTSHEETS,M3)</f>
        <v>Heist Cloak</v>
      </c>
      <c r="O3" s="29" t="str">
        <f>HYPERLINK(_xlfn.CONCAT("#'", N3, "'!A1"), "Go to Sheet")</f>
        <v>Go to Sheet</v>
      </c>
    </row>
    <row r="4" spans="1:15" ht="21" customHeight="1" x14ac:dyDescent="0.25">
      <c r="A4" s="25">
        <v>3</v>
      </c>
      <c r="B4" s="28" t="str" cm="1">
        <f t="array" ref="B4">INDEX(LISTSHEETS,A4)</f>
        <v>Empty</v>
      </c>
      <c r="C4" s="29" t="str">
        <f t="shared" si="0"/>
        <v>Go to Sheet</v>
      </c>
      <c r="E4" s="25">
        <v>23</v>
      </c>
      <c r="F4" s="28" t="str" cm="1">
        <f t="array" ref="F4">INDEX(LISTSHEETS,E4)</f>
        <v>Life Flask</v>
      </c>
      <c r="G4" s="29" t="str">
        <f>HYPERLINK(_xlfn.CONCAT("#'", F4, "'!A1"), "Go to Sheet")</f>
        <v>Go to Sheet</v>
      </c>
      <c r="I4" s="25">
        <v>39</v>
      </c>
      <c r="J4" s="28" t="str" cm="1">
        <f t="array" ref="J4">INDEX(LISTSHEETS,I4)</f>
        <v>Boots</v>
      </c>
      <c r="K4" s="29" t="str">
        <f>HYPERLINK(_xlfn.CONCAT("#'", J4, "'!A1"), "Go to Sheet")</f>
        <v>Go to Sheet</v>
      </c>
      <c r="M4" s="25">
        <v>59</v>
      </c>
      <c r="N4" s="28" t="str" cm="1">
        <f t="array" ref="N4">INDEX(LISTSHEETS,M4)</f>
        <v>Heist Gear</v>
      </c>
      <c r="O4" s="29" t="str">
        <f>HYPERLINK(_xlfn.CONCAT("#'", N4, "'!A1"), "Go to Sheet")</f>
        <v>Go to Sheet</v>
      </c>
    </row>
    <row r="5" spans="1:15" ht="21" customHeight="1" x14ac:dyDescent="0.25">
      <c r="A5"/>
      <c r="B5"/>
      <c r="C5"/>
      <c r="E5" s="25">
        <v>24</v>
      </c>
      <c r="F5" s="28" t="str" cm="1">
        <f t="array" ref="F5">INDEX(LISTSHEETS,E5)</f>
        <v>Magic Utility Flask</v>
      </c>
      <c r="G5" s="29" t="str">
        <f>HYPERLINK(_xlfn.CONCAT("#'", F5, "'!A1"), "Go to Sheet")</f>
        <v>Go to Sheet</v>
      </c>
      <c r="I5" s="25">
        <v>40</v>
      </c>
      <c r="J5" s="28" t="str" cm="1">
        <f t="array" ref="J5">INDEX(LISTSHEETS,I5)</f>
        <v>Gloves</v>
      </c>
      <c r="K5" s="29" t="str">
        <f>HYPERLINK(_xlfn.CONCAT("#'", J5, "'!A1"), "Go to Sheet")</f>
        <v>Go to Sheet</v>
      </c>
      <c r="M5" s="25">
        <v>60</v>
      </c>
      <c r="N5" s="28" t="str" cm="1">
        <f t="array" ref="N5">INDEX(LISTSHEETS,M5)</f>
        <v>Heist Target</v>
      </c>
      <c r="O5" s="29" t="str">
        <f>HYPERLINK(_xlfn.CONCAT("#'", N5, "'!A1"), "Go to Sheet")</f>
        <v>Go to Sheet</v>
      </c>
    </row>
    <row r="6" spans="1:15" ht="21" customHeight="1" x14ac:dyDescent="0.25">
      <c r="A6" s="31" t="s">
        <v>1594</v>
      </c>
      <c r="B6" s="32"/>
      <c r="C6" s="33"/>
      <c r="I6" s="25">
        <v>41</v>
      </c>
      <c r="J6" s="28" t="str" cm="1">
        <f t="array" ref="J6">INDEX(LISTSHEETS,I6)</f>
        <v>Bow</v>
      </c>
      <c r="K6" s="29" t="str">
        <f>HYPERLINK(_xlfn.CONCAT("#'", J6, "'!A1"), "Go to Sheet")</f>
        <v>Go to Sheet</v>
      </c>
      <c r="M6" s="25">
        <v>61</v>
      </c>
      <c r="N6" s="28" t="str" cm="1">
        <f t="array" ref="N6">INDEX(LISTSHEETS,M6)</f>
        <v>Heist Tool</v>
      </c>
      <c r="O6" s="29" t="str">
        <f>HYPERLINK(_xlfn.CONCAT("#'", N6, "'!A1"), "Go to Sheet")</f>
        <v>Go to Sheet</v>
      </c>
    </row>
    <row r="7" spans="1:15" ht="21" customHeight="1" x14ac:dyDescent="0.25">
      <c r="A7" s="25">
        <v>4</v>
      </c>
      <c r="B7" s="28" t="str" cm="1">
        <f t="array" ref="B7">INDEX(LISTSHEETS,A7)</f>
        <v>Anomalous Gem</v>
      </c>
      <c r="C7" s="29" t="str">
        <f>HYPERLINK(_xlfn.CONCAT("#'", B7, "'!A1"), "Go to Sheet")</f>
        <v>Go to Sheet</v>
      </c>
      <c r="E7" s="27" t="s">
        <v>1596</v>
      </c>
      <c r="F7" s="27"/>
      <c r="G7" s="27"/>
      <c r="I7" s="25">
        <v>42</v>
      </c>
      <c r="J7" s="28" t="str" cm="1">
        <f t="array" ref="J7">INDEX(LISTSHEETS,I7)</f>
        <v>Claw</v>
      </c>
      <c r="K7" s="29" t="str">
        <f>HYPERLINK(_xlfn.CONCAT("#'", J7, "'!A1"), "Go to Sheet")</f>
        <v>Go to Sheet</v>
      </c>
      <c r="M7" s="25">
        <v>62</v>
      </c>
      <c r="N7" s="28" t="str" cm="1">
        <f t="array" ref="N7">INDEX(LISTSHEETS,M7)</f>
        <v>Heist Trinket</v>
      </c>
      <c r="O7" s="29" t="str">
        <f>HYPERLINK(_xlfn.CONCAT("#'", N7, "'!A1"), "Go to Sheet")</f>
        <v>Go to Sheet</v>
      </c>
    </row>
    <row r="8" spans="1:15" ht="21" customHeight="1" x14ac:dyDescent="0.25">
      <c r="A8" s="25">
        <v>5</v>
      </c>
      <c r="B8" s="28" t="str" cm="1">
        <f t="array" ref="B8">INDEX(LISTSHEETS,A8)</f>
        <v>Divergent Support Gem</v>
      </c>
      <c r="C8" s="29" t="str">
        <f>HYPERLINK(_xlfn.CONCAT("#'", B8, "'!A1"), "Go to Sheet")</f>
        <v>Go to Sheet</v>
      </c>
      <c r="E8" s="25">
        <v>25</v>
      </c>
      <c r="F8" s="28" t="str" cm="1">
        <f t="array" ref="F8">INDEX(LISTSHEETS,E8)</f>
        <v>Foiled Amulet</v>
      </c>
      <c r="G8" s="29" t="str">
        <f>HYPERLINK(_xlfn.CONCAT("#'", F8, "'!A1"), "Go to Sheet")</f>
        <v>Go to Sheet</v>
      </c>
      <c r="I8" s="25">
        <v>43</v>
      </c>
      <c r="J8" s="28" t="str" cm="1">
        <f t="array" ref="J8">INDEX(LISTSHEETS,I8)</f>
        <v>Dagger</v>
      </c>
      <c r="K8" s="29" t="str">
        <f>HYPERLINK(_xlfn.CONCAT("#'", J8, "'!A1"), "Go to Sheet")</f>
        <v>Go to Sheet</v>
      </c>
    </row>
    <row r="9" spans="1:15" ht="21" customHeight="1" x14ac:dyDescent="0.25">
      <c r="A9" s="25">
        <v>6</v>
      </c>
      <c r="B9" s="28" t="str" cm="1">
        <f t="array" ref="B9">INDEX(LISTSHEETS,A9)</f>
        <v>Phantasmal Gem</v>
      </c>
      <c r="C9" s="29" t="str">
        <f>HYPERLINK(_xlfn.CONCAT("#'", B9, "'!A1"), "Go to Sheet")</f>
        <v>Go to Sheet</v>
      </c>
      <c r="E9" s="25">
        <v>26</v>
      </c>
      <c r="F9" s="28" t="str" cm="1">
        <f t="array" ref="F9">INDEX(LISTSHEETS,E9)</f>
        <v>Unidentified ring</v>
      </c>
      <c r="G9" s="29" t="str">
        <f>HYPERLINK(_xlfn.CONCAT("#'", F9, "'!A1"), "Go to Sheet")</f>
        <v>Go to Sheet</v>
      </c>
      <c r="I9" s="25">
        <v>44</v>
      </c>
      <c r="J9" s="28" t="str" cm="1">
        <f t="array" ref="J9">INDEX(LISTSHEETS,I9)</f>
        <v>Jewel</v>
      </c>
      <c r="K9" s="29" t="str">
        <f>HYPERLINK(_xlfn.CONCAT("#'", J9, "'!A1"), "Go to Sheet")</f>
        <v>Go to Sheet</v>
      </c>
      <c r="M9" s="27" t="s">
        <v>1599</v>
      </c>
      <c r="N9" s="27"/>
      <c r="O9" s="27"/>
    </row>
    <row r="10" spans="1:15" ht="21" customHeight="1" x14ac:dyDescent="0.25">
      <c r="E10" s="25">
        <v>27</v>
      </c>
      <c r="F10" s="28" t="str" cm="1">
        <f t="array" ref="F10">INDEX(LISTSHEETS,E10)</f>
        <v>Abyssus</v>
      </c>
      <c r="G10" s="29" t="str">
        <f>HYPERLINK(_xlfn.CONCAT("#'", F10, "'!A1"), "Go to Sheet")</f>
        <v>Go to Sheet</v>
      </c>
      <c r="I10" s="25">
        <v>45</v>
      </c>
      <c r="J10" s="28" t="str" cm="1">
        <f t="array" ref="J10">INDEX(LISTSHEETS,I10)</f>
        <v>Quiver</v>
      </c>
      <c r="K10" s="29" t="str">
        <f>HYPERLINK(_xlfn.CONCAT("#'", J10, "'!A1"), "Go to Sheet")</f>
        <v>Go to Sheet</v>
      </c>
      <c r="M10" s="25">
        <v>63</v>
      </c>
      <c r="N10" s="28" t="str" cm="1">
        <f t="array" ref="N10">INDEX(LISTSHEETS,M10)</f>
        <v>Fishing Rod</v>
      </c>
      <c r="O10" s="29" t="str">
        <f>HYPERLINK(_xlfn.CONCAT("#'", N10, "'!A1"), "Go to Sheet")</f>
        <v>Go to Sheet</v>
      </c>
    </row>
    <row r="11" spans="1:15" ht="21" customHeight="1" x14ac:dyDescent="0.25">
      <c r="A11" s="31" t="s">
        <v>769</v>
      </c>
      <c r="B11" s="32"/>
      <c r="C11" s="33"/>
      <c r="E11" s="25">
        <v>28</v>
      </c>
      <c r="F11" s="28" t="str" cm="1">
        <f t="array" ref="F11">INDEX(LISTSHEETS,E11)</f>
        <v>Carcass Jack</v>
      </c>
      <c r="G11" s="29" t="str">
        <f>HYPERLINK(_xlfn.CONCAT("#'", F11, "'!A1"), "Go to Sheet")</f>
        <v>Go to Sheet</v>
      </c>
      <c r="I11" s="25">
        <v>46</v>
      </c>
      <c r="J11" s="28" t="str" cm="1">
        <f t="array" ref="J11">INDEX(LISTSHEETS,I11)</f>
        <v>Sceptre</v>
      </c>
      <c r="K11" s="29" t="str">
        <f>HYPERLINK(_xlfn.CONCAT("#'", J11, "'!A1"), "Go to Sheet")</f>
        <v>Go to Sheet</v>
      </c>
    </row>
    <row r="12" spans="1:15" ht="21" customHeight="1" x14ac:dyDescent="0.25">
      <c r="A12" s="25">
        <v>7</v>
      </c>
      <c r="B12" s="28" t="str" cm="1">
        <f t="array" ref="B12">INDEX(LISTSHEETS,A12)</f>
        <v>Chaos Orb</v>
      </c>
      <c r="C12" s="29" t="str">
        <f>HYPERLINK(_xlfn.CONCAT("#'", B12, "'!A1"), "Go to Sheet")</f>
        <v>Go to Sheet</v>
      </c>
      <c r="E12" s="25">
        <v>29</v>
      </c>
      <c r="F12" s="28" t="str" cm="1">
        <f t="array" ref="F12">INDEX(LISTSHEETS,E12)</f>
        <v>Mistwall</v>
      </c>
      <c r="G12" s="29" t="str">
        <f>HYPERLINK(_xlfn.CONCAT("#'", F12, "'!A1"), "Go to Sheet")</f>
        <v>Go to Sheet</v>
      </c>
      <c r="I12" s="25">
        <v>47</v>
      </c>
      <c r="J12" s="28" t="str" cm="1">
        <f t="array" ref="J12">INDEX(LISTSHEETS,I12)</f>
        <v>Staff</v>
      </c>
      <c r="K12" s="29" t="str">
        <f>HYPERLINK(_xlfn.CONCAT("#'", J12, "'!A1"), "Go to Sheet")</f>
        <v>Go to Sheet</v>
      </c>
    </row>
    <row r="13" spans="1:15" ht="21" customHeight="1" x14ac:dyDescent="0.25">
      <c r="A13" s="25">
        <v>8</v>
      </c>
      <c r="B13" s="28" t="str" cm="1">
        <f t="array" ref="B13">INDEX(LISTSHEETS,A13)</f>
        <v>Resonator</v>
      </c>
      <c r="C13" s="29" t="str">
        <f>HYPERLINK(_xlfn.CONCAT("#'", B13, "'!A1"), "Go to Sheet")</f>
        <v>Go to Sheet</v>
      </c>
      <c r="E13" s="25">
        <v>30</v>
      </c>
      <c r="F13" s="28" t="str" cm="1">
        <f t="array" ref="F13">INDEX(LISTSHEETS,E13)</f>
        <v>White Wind</v>
      </c>
      <c r="G13" s="29" t="str">
        <f>HYPERLINK(_xlfn.CONCAT("#'", F13, "'!A1"), "Go to Sheet")</f>
        <v>Go to Sheet</v>
      </c>
      <c r="I13" s="25">
        <v>48</v>
      </c>
      <c r="J13" s="28" t="str" cm="1">
        <f t="array" ref="J13">INDEX(LISTSHEETS,I13)</f>
        <v>Wand</v>
      </c>
      <c r="K13" s="29" t="str">
        <f>HYPERLINK(_xlfn.CONCAT("#'", J13, "'!A1"), "Go to Sheet")</f>
        <v>Go to Sheet</v>
      </c>
    </row>
    <row r="14" spans="1:15" ht="21" customHeight="1" x14ac:dyDescent="0.25">
      <c r="A14" s="25">
        <v>9</v>
      </c>
      <c r="B14" s="28" t="str" cm="1">
        <f t="array" ref="B14">INDEX(LISTSHEETS,A14)</f>
        <v>Card</v>
      </c>
      <c r="C14" s="29" t="str">
        <f>HYPERLINK(_xlfn.CONCAT("#'", B14, "'!A1"), "Go to Sheet")</f>
        <v>Go to Sheet</v>
      </c>
      <c r="I14" s="25">
        <v>49</v>
      </c>
      <c r="J14" s="28" t="str" cm="1">
        <f t="array" ref="J14">INDEX(LISTSHEETS,I14)</f>
        <v>Warstaff</v>
      </c>
      <c r="K14" s="29" t="str">
        <f>HYPERLINK(_xlfn.CONCAT("#'", J14, "'!A1"), "Go to Sheet")</f>
        <v>Go to Sheet</v>
      </c>
    </row>
    <row r="15" spans="1:15" ht="21" customHeight="1" x14ac:dyDescent="0.25">
      <c r="A15" s="25">
        <v>10</v>
      </c>
      <c r="B15" s="28" t="str" cm="1">
        <f t="array" ref="B15">INDEX(LISTSHEETS,A15)</f>
        <v>Metamorph Sample</v>
      </c>
      <c r="C15" s="29" t="str">
        <f>HYPERLINK(_xlfn.CONCAT("#'", B15, "'!A1"), "Go to Sheet")</f>
        <v>Go to Sheet</v>
      </c>
      <c r="D15" s="30"/>
      <c r="E15" s="27" t="s">
        <v>1597</v>
      </c>
      <c r="F15" s="27"/>
      <c r="G15" s="27"/>
      <c r="I15" s="25">
        <v>50</v>
      </c>
      <c r="J15" s="28" t="str" cm="1">
        <f t="array" ref="J15">INDEX(LISTSHEETS,I15)</f>
        <v>1H Sword</v>
      </c>
      <c r="K15" s="29" t="str">
        <f>HYPERLINK(_xlfn.CONCAT("#'", J15, "'!A1"), "Go to Sheet")</f>
        <v>Go to Sheet</v>
      </c>
    </row>
    <row r="16" spans="1:15" ht="21" customHeight="1" x14ac:dyDescent="0.25">
      <c r="E16" s="25">
        <v>31</v>
      </c>
      <c r="F16" s="28" t="str" cm="1">
        <f t="array" ref="F16">INDEX(LISTSHEETS,E16)</f>
        <v>Crusader</v>
      </c>
      <c r="G16" s="29" t="str">
        <f>HYPERLINK(_xlfn.CONCAT("#'", F16, "'!A1"), "Go to Sheet")</f>
        <v>Go to Sheet</v>
      </c>
      <c r="I16" s="25">
        <v>51</v>
      </c>
      <c r="J16" s="28" t="str" cm="1">
        <f t="array" ref="J16">INDEX(LISTSHEETS,I16)</f>
        <v>1H Thrusting Sword</v>
      </c>
      <c r="K16" s="29" t="str">
        <f>HYPERLINK(_xlfn.CONCAT("#'", J16, "'!A1"), "Go to Sheet")</f>
        <v>Go to Sheet</v>
      </c>
    </row>
    <row r="17" spans="1:11" ht="21" customHeight="1" x14ac:dyDescent="0.25">
      <c r="A17" s="31" t="s">
        <v>780</v>
      </c>
      <c r="B17" s="32"/>
      <c r="C17" s="33"/>
      <c r="E17" s="25">
        <v>32</v>
      </c>
      <c r="F17" s="28" t="str" cm="1">
        <f t="array" ref="F17">INDEX(LISTSHEETS,E17)</f>
        <v>Elder</v>
      </c>
      <c r="G17" s="29" t="str">
        <f>HYPERLINK(_xlfn.CONCAT("#'", F17, "'!A1"), "Go to Sheet")</f>
        <v>Go to Sheet</v>
      </c>
      <c r="I17" s="25">
        <v>52</v>
      </c>
      <c r="J17" s="28" t="str" cm="1">
        <f t="array" ref="J17">INDEX(LISTSHEETS,I17)</f>
        <v>2H Sword</v>
      </c>
      <c r="K17" s="29" t="str">
        <f>HYPERLINK(_xlfn.CONCAT("#'", J17, "'!A1"), "Go to Sheet")</f>
        <v>Go to Sheet</v>
      </c>
    </row>
    <row r="18" spans="1:11" ht="21" customHeight="1" x14ac:dyDescent="0.25">
      <c r="A18" s="25">
        <v>11</v>
      </c>
      <c r="B18" s="28" t="str" cm="1">
        <f t="array" ref="B18">INDEX(LISTSHEETS,A18)</f>
        <v>Blighted Map</v>
      </c>
      <c r="C18" s="29" t="str">
        <f>HYPERLINK(_xlfn.CONCAT("#'", B18, "'!A1"), "Go to Sheet")</f>
        <v>Go to Sheet</v>
      </c>
      <c r="E18" s="25">
        <v>33</v>
      </c>
      <c r="F18" s="28" t="str" cm="1">
        <f t="array" ref="F18">INDEX(LISTSHEETS,E18)</f>
        <v>Hunter</v>
      </c>
      <c r="G18" s="29" t="str">
        <f>HYPERLINK(_xlfn.CONCAT("#'", F18, "'!A1"), "Go to Sheet")</f>
        <v>Go to Sheet</v>
      </c>
      <c r="I18" s="25">
        <v>53</v>
      </c>
      <c r="J18" s="28" t="str" cm="1">
        <f t="array" ref="J18">INDEX(LISTSHEETS,I18)</f>
        <v>1H Axe</v>
      </c>
      <c r="K18" s="29" t="str">
        <f>HYPERLINK(_xlfn.CONCAT("#'", J18, "'!A1"), "Go to Sheet")</f>
        <v>Go to Sheet</v>
      </c>
    </row>
    <row r="19" spans="1:11" ht="21" customHeight="1" x14ac:dyDescent="0.25">
      <c r="A19" s="25">
        <v>12</v>
      </c>
      <c r="B19" s="28" t="str" cm="1">
        <f t="array" ref="B19">INDEX(LISTSHEETS,A19)</f>
        <v>Blight-ravaged Map</v>
      </c>
      <c r="C19" s="29" t="str">
        <f>HYPERLINK(_xlfn.CONCAT("#'", B19, "'!A1"), "Go to Sheet")</f>
        <v>Go to Sheet</v>
      </c>
      <c r="E19" s="25">
        <v>34</v>
      </c>
      <c r="F19" s="28" t="str" cm="1">
        <f t="array" ref="F19">INDEX(LISTSHEETS,E19)</f>
        <v>Redeemer</v>
      </c>
      <c r="G19" s="29" t="str">
        <f>HYPERLINK(_xlfn.CONCAT("#'", F19, "'!A1"), "Go to Sheet")</f>
        <v>Go to Sheet</v>
      </c>
      <c r="I19" s="25">
        <v>54</v>
      </c>
      <c r="J19" s="28" t="str" cm="1">
        <f t="array" ref="J19">INDEX(LISTSHEETS,I19)</f>
        <v>2H Axe</v>
      </c>
      <c r="K19" s="29" t="str">
        <f>HYPERLINK(_xlfn.CONCAT("#'", J19, "'!A1"), "Go to Sheet")</f>
        <v>Go to Sheet</v>
      </c>
    </row>
    <row r="20" spans="1:11" ht="21" customHeight="1" x14ac:dyDescent="0.25">
      <c r="A20" s="25">
        <v>13</v>
      </c>
      <c r="B20" s="28" t="str" cm="1">
        <f t="array" ref="B20">INDEX(LISTSHEETS,A20)</f>
        <v>Blueprint</v>
      </c>
      <c r="C20" s="29" t="str">
        <f>HYPERLINK(_xlfn.CONCAT("#'", B20, "'!A1"), "Go to Sheet")</f>
        <v>Go to Sheet</v>
      </c>
      <c r="E20" s="25">
        <v>35</v>
      </c>
      <c r="F20" s="28" t="str" cm="1">
        <f t="array" ref="F20">INDEX(LISTSHEETS,E20)</f>
        <v>Shaper</v>
      </c>
      <c r="G20" s="29" t="str">
        <f>HYPERLINK(_xlfn.CONCAT("#'", F20, "'!A1"), "Go to Sheet")</f>
        <v>Go to Sheet</v>
      </c>
      <c r="I20" s="25">
        <v>55</v>
      </c>
      <c r="J20" s="28" t="str" cm="1">
        <f t="array" ref="J20">INDEX(LISTSHEETS,I20)</f>
        <v>1H Mace</v>
      </c>
      <c r="K20" s="29" t="str">
        <f>HYPERLINK(_xlfn.CONCAT("#'", J20, "'!A1"), "Go to Sheet")</f>
        <v>Go to Sheet</v>
      </c>
    </row>
    <row r="21" spans="1:11" ht="21" customHeight="1" x14ac:dyDescent="0.25">
      <c r="A21" s="25">
        <v>14</v>
      </c>
      <c r="B21" s="28" t="str" cm="1">
        <f t="array" ref="B21">INDEX(LISTSHEETS,A21)</f>
        <v>Contract</v>
      </c>
      <c r="C21" s="29" t="str">
        <f>HYPERLINK(_xlfn.CONCAT("#'", B21, "'!A1"), "Go to Sheet")</f>
        <v>Go to Sheet</v>
      </c>
      <c r="E21" s="25">
        <v>36</v>
      </c>
      <c r="F21" s="28" t="str" cm="1">
        <f t="array" ref="F21">INDEX(LISTSHEETS,E21)</f>
        <v>Warlord</v>
      </c>
      <c r="G21" s="29" t="str">
        <f>HYPERLINK(_xlfn.CONCAT("#'", F21, "'!A1"), "Go to Sheet")</f>
        <v>Go to Sheet</v>
      </c>
      <c r="I21" s="25">
        <v>56</v>
      </c>
      <c r="J21" s="28" t="str" cm="1">
        <f t="array" ref="J21">INDEX(LISTSHEETS,I21)</f>
        <v>2H Mace</v>
      </c>
      <c r="K21" s="29" t="str">
        <f>HYPERLINK(_xlfn.CONCAT("#'", J21, "'!A1"), "Go to Sheet")</f>
        <v>Go to Sheet</v>
      </c>
    </row>
    <row r="22" spans="1:11" ht="21" customHeight="1" x14ac:dyDescent="0.25">
      <c r="A22" s="25">
        <v>15</v>
      </c>
      <c r="B22" s="28" t="str" cm="1">
        <f t="array" ref="B22">INDEX(LISTSHEETS,A22)</f>
        <v>Logbook</v>
      </c>
      <c r="C22" s="29" t="str">
        <f>HYPERLINK(_xlfn.CONCAT("#'", B22, "'!A1"), "Go to Sheet")</f>
        <v>Go to Sheet</v>
      </c>
    </row>
    <row r="23" spans="1:11" ht="21" customHeight="1" x14ac:dyDescent="0.25">
      <c r="A23" s="25">
        <v>16</v>
      </c>
      <c r="B23" s="28" t="str" cm="1">
        <f t="array" ref="B23">INDEX(LISTSHEETS,A23)</f>
        <v>Map</v>
      </c>
      <c r="C23" s="29" t="str">
        <f>HYPERLINK(_xlfn.CONCAT("#'", B23, "'!A1"), "Go to Sheet")</f>
        <v>Go to Sheet</v>
      </c>
    </row>
    <row r="24" spans="1:11" ht="21" customHeight="1" x14ac:dyDescent="0.25">
      <c r="A24" s="25">
        <v>17</v>
      </c>
      <c r="B24" s="28" t="str" cm="1">
        <f t="array" ref="B24">INDEX(LISTSHEETS,A24)</f>
        <v>Map Fragment</v>
      </c>
      <c r="C24" s="29" t="str">
        <f>HYPERLINK(_xlfn.CONCAT("#'", B24, "'!A1"), "Go to Sheet")</f>
        <v>Go to Sheet</v>
      </c>
    </row>
    <row r="25" spans="1:11" ht="21" customHeight="1" x14ac:dyDescent="0.25">
      <c r="A25" s="25">
        <v>18</v>
      </c>
      <c r="B25" s="28" t="str" cm="1">
        <f t="array" ref="B25">INDEX(LISTSHEETS,A25)</f>
        <v>Memory</v>
      </c>
      <c r="C25" s="29" t="str">
        <f>HYPERLINK(_xlfn.CONCAT("#'", B25, "'!A1"), "Go to Sheet")</f>
        <v>Go to Sheet</v>
      </c>
    </row>
    <row r="26" spans="1:11" ht="21" customHeight="1" x14ac:dyDescent="0.25">
      <c r="A26" s="25">
        <v>19</v>
      </c>
      <c r="B26" s="28" t="str" cm="1">
        <f t="array" ref="B26">INDEX(LISTSHEETS,A26)</f>
        <v>Misc Map Item</v>
      </c>
      <c r="C26" s="29" t="str">
        <f>HYPERLINK(_xlfn.CONCAT("#'", B26, "'!A1"), "Go to Sheet")</f>
        <v>Go to Sheet</v>
      </c>
    </row>
    <row r="27" spans="1:11" ht="21" customHeight="1" x14ac:dyDescent="0.25">
      <c r="A27" s="25">
        <v>20</v>
      </c>
      <c r="B27" s="28" t="str" cm="1">
        <f t="array" ref="B27">INDEX(LISTSHEETS,A27)</f>
        <v>Tome</v>
      </c>
      <c r="C27" s="29" t="str">
        <f>HYPERLINK(_xlfn.CONCAT("#'", B27, "'!A1"), "Go to Sheet")</f>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topLeftCell="A67" workbookViewId="0">
      <selection activeCell="J83" sqref="J83"/>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e">
        <f>Belt!L6</f>
        <v>#N/A</v>
      </c>
      <c r="L14" s="11" t="e">
        <f>_xlfn.CONCAT("        public string RarityUnique =&gt; """, K14, """;")</f>
        <v>#N/A</v>
      </c>
      <c r="M14" s="13" t="e">
        <f>Belt!N6</f>
        <v>#N/A</v>
      </c>
      <c r="N14" s="11" t="e">
        <f>_xlfn.CONCAT("        public string RarityUnique =&gt; """, M14, """;")</f>
        <v>#N/A</v>
      </c>
      <c r="O14" s="13" t="e">
        <f>Belt!P6</f>
        <v>#N/A</v>
      </c>
      <c r="P14" s="11" t="e">
        <f>_xlfn.CONCAT("        public string RarityUnique =&gt; """, O14, """;")</f>
        <v>#N/A</v>
      </c>
      <c r="Q14" s="13" t="e">
        <f>Belt!R6</f>
        <v>#N/A</v>
      </c>
      <c r="R14" s="11" t="e">
        <f>_xlfn.CONCAT("        public string RarityUnique =&gt; """, Q14, """;")</f>
        <v>#N/A</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e">
        <f>'Heist Brooch'!L6</f>
        <v>#N/A</v>
      </c>
      <c r="L15" s="11" t="e">
        <f>_xlfn.CONCAT("        public string RarityRare =&gt; """, K15, """;")</f>
        <v>#N/A</v>
      </c>
      <c r="M15" s="13" t="e">
        <f>'Heist Brooch'!N6</f>
        <v>#N/A</v>
      </c>
      <c r="N15" s="11" t="e">
        <f>_xlfn.CONCAT("        public string RarityRare =&gt; """, M15, """;")</f>
        <v>#N/A</v>
      </c>
      <c r="O15" s="13" t="e">
        <f>'Heist Brooch'!P6</f>
        <v>#N/A</v>
      </c>
      <c r="P15" s="11" t="e">
        <f>_xlfn.CONCAT("        public string RarityRare =&gt; """, O15, """;")</f>
        <v>#N/A</v>
      </c>
      <c r="Q15" s="13" t="e">
        <f>'Heist Brooch'!R6</f>
        <v>#N/A</v>
      </c>
      <c r="R15" s="11" t="e">
        <f>_xlfn.CONCAT("        public string RarityRare =&gt; """, Q15, """;")</f>
        <v>#N/A</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e">
        <f>'Magic Utility Flask'!L6</f>
        <v>#N/A</v>
      </c>
      <c r="L16" s="11" t="e">
        <f>_xlfn.CONCAT("        public string RarityMagic =&gt; """, K16, """;")</f>
        <v>#N/A</v>
      </c>
      <c r="M16" s="13" t="e">
        <f>'Magic Utility Flask'!N6</f>
        <v>#N/A</v>
      </c>
      <c r="N16" s="11" t="e">
        <f>_xlfn.CONCAT("        public string RarityMagic =&gt; """, M16, """;")</f>
        <v>#N/A</v>
      </c>
      <c r="O16" s="13" t="e">
        <f>'Magic Utility Flask'!P6</f>
        <v>#N/A</v>
      </c>
      <c r="P16" s="11" t="e">
        <f>_xlfn.CONCAT("        public string RarityMagic =&gt; """, O16, """;")</f>
        <v>#N/A</v>
      </c>
      <c r="Q16" s="13" t="e">
        <f>'Magic Utility Flask'!R6</f>
        <v>#N/A</v>
      </c>
      <c r="R16" s="11" t="e">
        <f>_xlfn.CONCAT("        public string RarityMagic =&gt; """, Q16, """;")</f>
        <v>#N/A</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e">
        <f>Logbook!L6</f>
        <v>#N/A</v>
      </c>
      <c r="L17" s="11" t="e">
        <f>_xlfn.CONCAT("        public string RarityNormal =&gt; """, K17, """;")</f>
        <v>#N/A</v>
      </c>
      <c r="M17" s="13" t="e">
        <f>Logbook!N6</f>
        <v>#N/A</v>
      </c>
      <c r="N17" s="11" t="e">
        <f>_xlfn.CONCAT("        public string RarityNormal =&gt; """, M17, """;")</f>
        <v>#N/A</v>
      </c>
      <c r="O17" s="13" t="e">
        <f>Logbook!P6</f>
        <v>#N/A</v>
      </c>
      <c r="P17" s="11" t="e">
        <f>_xlfn.CONCAT("        public string RarityNormal =&gt; """, O17, """;")</f>
        <v>#N/A</v>
      </c>
      <c r="Q17" s="13" t="e">
        <f>Logbook!R6</f>
        <v>#N/A</v>
      </c>
      <c r="R17" s="11" t="e">
        <f>_xlfn.CONCAT("        public string RarityNormal =&gt; """, Q17, """;")</f>
        <v>#N/A</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e">
        <f>'Chaos Orb'!L6</f>
        <v>#N/A</v>
      </c>
      <c r="L18" s="11" t="e">
        <f>_xlfn.CONCAT("        public string RarityCurrency =&gt; """, K18, """;")</f>
        <v>#N/A</v>
      </c>
      <c r="M18" s="13" t="e">
        <f>'Chaos Orb'!N6</f>
        <v>#N/A</v>
      </c>
      <c r="N18" s="11" t="e">
        <f>_xlfn.CONCAT("        public string RarityCurrency =&gt; """, M18, """;")</f>
        <v>#N/A</v>
      </c>
      <c r="O18" s="13" t="e">
        <f>'Chaos Orb'!P6</f>
        <v>#N/A</v>
      </c>
      <c r="P18" s="11" t="e">
        <f>_xlfn.CONCAT("        public string RarityCurrency =&gt; """, O18, """;")</f>
        <v>#N/A</v>
      </c>
      <c r="Q18" s="13" t="e">
        <f>'Chaos Orb'!R6</f>
        <v>#N/A</v>
      </c>
      <c r="R18" s="11" t="e">
        <f>_xlfn.CONCAT("        public string RarityCurrency =&gt; """, Q18, """;")</f>
        <v>#N/A</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e">
        <f>'Phantasmal Gem'!L6</f>
        <v>#N/A</v>
      </c>
      <c r="L19" s="11" t="e">
        <f>_xlfn.CONCAT("        public string RarityGem =&gt; """, K19, """;")</f>
        <v>#N/A</v>
      </c>
      <c r="M19" s="13" t="e">
        <f>'Phantasmal Gem'!N6</f>
        <v>#N/A</v>
      </c>
      <c r="N19" s="11" t="e">
        <f>_xlfn.CONCAT("        public string RarityGem =&gt; """, M19, """;")</f>
        <v>#N/A</v>
      </c>
      <c r="O19" s="13" t="e">
        <f>'Phantasmal Gem'!P6</f>
        <v>#N/A</v>
      </c>
      <c r="P19" s="11" t="e">
        <f>_xlfn.CONCAT("        public string RarityGem =&gt; """, O19, """;")</f>
        <v>#N/A</v>
      </c>
      <c r="Q19" s="13" t="e">
        <f>'Phantasmal Gem'!R6</f>
        <v>#N/A</v>
      </c>
      <c r="R19" s="11" t="e">
        <f>_xlfn.CONCAT("        public string RarityGem =&gt; """, Q19, """;")</f>
        <v>#N/A</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e">
        <f>Card!L6</f>
        <v>#N/A</v>
      </c>
      <c r="L20" s="11" t="e">
        <f>_xlfn.CONCAT("        public string RarityDivinationCard =&gt; """, K20, """;")</f>
        <v>#N/A</v>
      </c>
      <c r="M20" s="13" t="e">
        <f>Card!N6</f>
        <v>#N/A</v>
      </c>
      <c r="N20" s="11" t="e">
        <f>_xlfn.CONCAT("        public string RarityDivinationCard =&gt; """, M20, """;")</f>
        <v>#N/A</v>
      </c>
      <c r="O20" s="13" t="e">
        <f>Card!P6</f>
        <v>#N/A</v>
      </c>
      <c r="P20" s="11" t="e">
        <f>_xlfn.CONCAT("        public string RarityDivinationCard =&gt; """, O20, """;")</f>
        <v>#N/A</v>
      </c>
      <c r="Q20" s="13" t="e">
        <f>Card!R6</f>
        <v>#N/A</v>
      </c>
      <c r="R20" s="11" t="e">
        <f>_xlfn.CONCAT("        public string RarityDivinationCard =&gt; """, Q20, """;")</f>
        <v>#N/A</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f>'Unidentified ring'!L11</f>
        <v>0</v>
      </c>
      <c r="L22" s="11" t="str">
        <f>_xlfn.CONCAT("        public string DescriptionUnidentified =&gt; """, K22, """;")</f>
        <v xml:space="preserve">        public string DescriptionUnidentified =&gt; "0";</v>
      </c>
      <c r="M22" s="13">
        <f>'Unidentified ring'!N11</f>
        <v>0</v>
      </c>
      <c r="N22" s="11" t="str">
        <f>_xlfn.CONCAT("        public string DescriptionUnidentified =&gt; """, M22, """;")</f>
        <v xml:space="preserve">        public string DescriptionUnidentified =&gt; "0";</v>
      </c>
      <c r="O22" s="13">
        <f>'Unidentified ring'!P11</f>
        <v>0</v>
      </c>
      <c r="P22" s="11" t="str">
        <f>_xlfn.CONCAT("        public string DescriptionUnidentified =&gt; """, O22, """;")</f>
        <v xml:space="preserve">        public string DescriptionUnidentified =&gt; "0";</v>
      </c>
      <c r="Q22" s="13">
        <f>'Unidentified ring'!R11</f>
        <v>0</v>
      </c>
      <c r="R22" s="11" t="str">
        <f>_xlfn.CONCAT("        public string DescriptionUnidentified =&gt; """, Q22, """;")</f>
        <v xml:space="preserve">        public string DescriptionUnidentified =&gt; "0";</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e">
        <f>'Life Flask'!L8</f>
        <v>#N/A</v>
      </c>
      <c r="L23" s="11" t="e">
        <f>_xlfn.CONCAT("        public string DescriptionQuality =&gt; """, K23, """;")</f>
        <v>#N/A</v>
      </c>
      <c r="M23" s="13" t="e">
        <f>'Life Flask'!N8</f>
        <v>#N/A</v>
      </c>
      <c r="N23" s="11" t="e">
        <f>_xlfn.CONCAT("        public string DescriptionQuality =&gt; """, M23, """;")</f>
        <v>#N/A</v>
      </c>
      <c r="O23" s="13" t="e">
        <f>'Life Flask'!P8</f>
        <v>#N/A</v>
      </c>
      <c r="P23" s="11" t="e">
        <f>_xlfn.CONCAT("        public string DescriptionQuality =&gt; """, O23, """;")</f>
        <v>#N/A</v>
      </c>
      <c r="Q23" s="13" t="e">
        <f>'Life Flask'!R8</f>
        <v>#N/A</v>
      </c>
      <c r="R23" s="11" t="e">
        <f>_xlfn.CONCAT("        public string DescriptionQuality =&gt; """, Q23, """;")</f>
        <v>#N/A</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f>'Divergent Support Gem'!L10</f>
        <v>0</v>
      </c>
      <c r="L24" s="11" t="str">
        <f>_xlfn.CONCAT("        public string DescriptionAlternateQuality =&gt; """, K24, """;")</f>
        <v xml:space="preserve">        public string DescriptionAlternateQuality =&gt; "0";</v>
      </c>
      <c r="M24" s="13">
        <f>'Divergent Support Gem'!N10</f>
        <v>0</v>
      </c>
      <c r="N24" s="11" t="str">
        <f>_xlfn.CONCAT("        public string DescriptionAlternateQuality =&gt; """, M24, """;")</f>
        <v xml:space="preserve">        public string DescriptionAlternateQuality =&gt; "0";</v>
      </c>
      <c r="O24" s="13">
        <f>'Divergent Support Gem'!P10</f>
        <v>0</v>
      </c>
      <c r="P24" s="11" t="str">
        <f>_xlfn.CONCAT("        public string DescriptionAlternateQuality =&gt; """, O24, """;")</f>
        <v xml:space="preserve">        public string DescriptionAlternateQuality =&gt; "0";</v>
      </c>
      <c r="Q24" s="13">
        <f>'Divergent Support Gem'!R10</f>
        <v>0</v>
      </c>
      <c r="R24" s="11" t="str">
        <f>_xlfn.CONCAT("        public string DescriptionAlternateQuality =&gt; """, Q24, """;")</f>
        <v xml:space="preserve">        public string DescriptionAlternateQuality =&gt; "0";</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e">
        <f>'Phantasmal Gem'!L8</f>
        <v>#N/A</v>
      </c>
      <c r="L25" s="11" t="e">
        <f>_xlfn.CONCAT("        public string DescriptionLevel =&gt; """, K25, """;")</f>
        <v>#N/A</v>
      </c>
      <c r="M25" s="13" t="e">
        <f>'Phantasmal Gem'!N8</f>
        <v>#N/A</v>
      </c>
      <c r="N25" s="11" t="e">
        <f>_xlfn.CONCAT("        public string DescriptionLevel =&gt; """, M25, """;")</f>
        <v>#N/A</v>
      </c>
      <c r="O25" s="13" t="e">
        <f>'Phantasmal Gem'!P8</f>
        <v>#N/A</v>
      </c>
      <c r="P25" s="11" t="e">
        <f>_xlfn.CONCAT("        public string DescriptionLevel =&gt; """, O25, """;")</f>
        <v>#N/A</v>
      </c>
      <c r="Q25" s="13" t="e">
        <f>'Phantasmal Gem'!R8</f>
        <v>#N/A</v>
      </c>
      <c r="R25" s="11" t="e">
        <f>_xlfn.CONCAT("        public string DescriptionLevel =&gt; """, Q25, """;")</f>
        <v>#N/A</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f>'Anomalous Gem'!L27</f>
        <v>0</v>
      </c>
      <c r="L26" s="11" t="str">
        <f>_xlfn.CONCAT("        public string DescriptionCorrupted =&gt; """, K26, """;")</f>
        <v xml:space="preserve">        public string DescriptionCorrupted =&gt; "0";</v>
      </c>
      <c r="M26" s="13">
        <f>'Anomalous Gem'!N27</f>
        <v>0</v>
      </c>
      <c r="N26" s="11" t="str">
        <f>_xlfn.CONCAT("        public string DescriptionCorrupted =&gt; """, M26, """;")</f>
        <v xml:space="preserve">        public string DescriptionCorrupted =&gt; "0";</v>
      </c>
      <c r="O26" s="13">
        <f>'Anomalous Gem'!P27</f>
        <v>0</v>
      </c>
      <c r="P26" s="11" t="str">
        <f>_xlfn.CONCAT("        public string DescriptionCorrupted =&gt; """, O26, """;")</f>
        <v xml:space="preserve">        public string DescriptionCorrupted =&gt; "0";</v>
      </c>
      <c r="Q26" s="13">
        <f>'Anomalous Gem'!R27</f>
        <v>0</v>
      </c>
      <c r="R26" s="11" t="str">
        <f>_xlfn.CONCAT("        public string DescriptionCorrupted =&gt; """, Q26, """;")</f>
        <v xml:space="preserve">        public string DescriptionCorrupted =&gt; "0";</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e">
        <f>'White Wind'!L20</f>
        <v>#N/A</v>
      </c>
      <c r="L27" s="11" t="e">
        <f>_xlfn.CONCAT("        public string DescriptionSockets =&gt; """, K27, """;")</f>
        <v>#N/A</v>
      </c>
      <c r="M27" s="13" t="e">
        <f>'White Wind'!N20</f>
        <v>#N/A</v>
      </c>
      <c r="N27" s="11" t="e">
        <f>_xlfn.CONCAT("        public string DescriptionSockets =&gt; """, M27, """;")</f>
        <v>#N/A</v>
      </c>
      <c r="O27" s="13" t="e">
        <f>'White Wind'!P20</f>
        <v>#N/A</v>
      </c>
      <c r="P27" s="11" t="e">
        <f>_xlfn.CONCAT("        public string DescriptionSockets =&gt; """, O27, """;")</f>
        <v>#N/A</v>
      </c>
      <c r="Q27" s="13" t="e">
        <f>'White Wind'!R20</f>
        <v>#N/A</v>
      </c>
      <c r="R27" s="11" t="e">
        <f>_xlfn.CONCAT("        public string DescriptionSockets =&gt; """, Q27, """;")</f>
        <v>#N/A</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e">
        <f>'White Wind'!L22</f>
        <v>#N/A</v>
      </c>
      <c r="L28" s="11" t="e">
        <f>_xlfn.CONCAT("        public string DescriptionItemLevel =&gt; """, K28, """;")</f>
        <v>#N/A</v>
      </c>
      <c r="M28" s="13" t="e">
        <f>'White Wind'!N22</f>
        <v>#N/A</v>
      </c>
      <c r="N28" s="11" t="e">
        <f>_xlfn.CONCAT("        public string DescriptionItemLevel =&gt; """, M28, """;")</f>
        <v>#N/A</v>
      </c>
      <c r="O28" s="13" t="e">
        <f>'White Wind'!P22</f>
        <v>#N/A</v>
      </c>
      <c r="P28" s="11" t="e">
        <f>_xlfn.CONCAT("        public string DescriptionItemLevel =&gt; """, O28, """;")</f>
        <v>#N/A</v>
      </c>
      <c r="Q28" s="13" t="e">
        <f>'White Wind'!R22</f>
        <v>#N/A</v>
      </c>
      <c r="R28" s="11" t="e">
        <f>_xlfn.CONCAT("        public string DescriptionItemLevel =&gt; """, Q28, """;")</f>
        <v>#N/A</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e">
        <f>'Phantasmal Gem'!L28</f>
        <v>#N/A</v>
      </c>
      <c r="L29" s="11" t="e">
        <f>_xlfn.CONCAT("        public string DescriptionExperience =&gt; """, K29, """;")</f>
        <v>#N/A</v>
      </c>
      <c r="M29" s="13" t="e">
        <f>'Phantasmal Gem'!N28</f>
        <v>#N/A</v>
      </c>
      <c r="N29" s="11" t="e">
        <f>_xlfn.CONCAT("        public string DescriptionExperience =&gt; """, M29, """;")</f>
        <v>#N/A</v>
      </c>
      <c r="O29" s="13" t="e">
        <f>'Phantasmal Gem'!P28</f>
        <v>#N/A</v>
      </c>
      <c r="P29" s="11" t="e">
        <f>_xlfn.CONCAT("        public string DescriptionExperience =&gt; """, O29, """;")</f>
        <v>#N/A</v>
      </c>
      <c r="Q29" s="13" t="e">
        <f>'Phantasmal Gem'!R28</f>
        <v>#N/A</v>
      </c>
      <c r="R29" s="11" t="e">
        <f>_xlfn.CONCAT("        public string DescriptionExperience =&gt; """, Q29, """;")</f>
        <v>#N/A</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e">
        <f>'White Wind'!L9</f>
        <v>#N/A</v>
      </c>
      <c r="L30" s="11" t="e">
        <f>_xlfn.CONCAT("        public string DescriptionPhysicalDamage =&gt; """, K30, """;")</f>
        <v>#N/A</v>
      </c>
      <c r="M30" s="13" t="e">
        <f>'White Wind'!N9</f>
        <v>#N/A</v>
      </c>
      <c r="N30" s="11" t="e">
        <f>_xlfn.CONCAT("        public string DescriptionPhysicalDamage =&gt; """, M30, """;")</f>
        <v>#N/A</v>
      </c>
      <c r="O30" s="13" t="e">
        <f>'White Wind'!P9</f>
        <v>#N/A</v>
      </c>
      <c r="P30" s="11" t="e">
        <f>_xlfn.CONCAT("        public string DescriptionPhysicalDamage =&gt; """, O30, """;")</f>
        <v>#N/A</v>
      </c>
      <c r="Q30" s="13" t="e">
        <f>'White Wind'!R9</f>
        <v>#N/A</v>
      </c>
      <c r="R30" s="11" t="e">
        <f>_xlfn.CONCAT("        public string DescriptionPhysicalDamage =&gt; """, Q30, """;")</f>
        <v>#N/A</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e">
        <f>'White Wind'!L10</f>
        <v>#N/A</v>
      </c>
      <c r="L31" s="11" t="e">
        <f>_xlfn.CONCAT("        public string DescriptionElementalDamage =&gt; """, K31, """;")</f>
        <v>#N/A</v>
      </c>
      <c r="M31" s="13" t="e">
        <f>'White Wind'!N10</f>
        <v>#N/A</v>
      </c>
      <c r="N31" s="11" t="e">
        <f>_xlfn.CONCAT("        public string DescriptionElementalDamage =&gt; """, M31, """;")</f>
        <v>#N/A</v>
      </c>
      <c r="O31" s="13" t="e">
        <f>'White Wind'!P10</f>
        <v>#N/A</v>
      </c>
      <c r="P31" s="11" t="e">
        <f>_xlfn.CONCAT("        public string DescriptionElementalDamage =&gt; """, O31, """;")</f>
        <v>#N/A</v>
      </c>
      <c r="Q31" s="13" t="e">
        <f>'White Wind'!R10</f>
        <v>#N/A</v>
      </c>
      <c r="R31" s="11" t="e">
        <f>_xlfn.CONCAT("        public string DescriptionElementalDamage =&gt; """, Q31, """;")</f>
        <v>#N/A</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e">
        <f>'Carcass Jack'!L9</f>
        <v>#N/A</v>
      </c>
      <c r="L32" s="11" t="e">
        <f>_xlfn.CONCAT("        public string DescriptionEnergyShield =&gt; """, K32, """;")</f>
        <v>#N/A</v>
      </c>
      <c r="M32" s="13" t="e">
        <f>'Carcass Jack'!N9</f>
        <v>#N/A</v>
      </c>
      <c r="N32" s="11" t="e">
        <f>_xlfn.CONCAT("        public string DescriptionEnergyShield =&gt; """, M32, """;")</f>
        <v>#N/A</v>
      </c>
      <c r="O32" s="13" t="e">
        <f>'Carcass Jack'!P9</f>
        <v>#N/A</v>
      </c>
      <c r="P32" s="11" t="e">
        <f>_xlfn.CONCAT("        public string DescriptionEnergyShield =&gt; """, O32, """;")</f>
        <v>#N/A</v>
      </c>
      <c r="Q32" s="13" t="e">
        <f>'Carcass Jack'!R9</f>
        <v>#N/A</v>
      </c>
      <c r="R32" s="11" t="e">
        <f>_xlfn.CONCAT("        public string DescriptionEnergyShield =&gt; """, Q32, """;")</f>
        <v>#N/A</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e">
        <f>Abyssus!L8</f>
        <v>#N/A</v>
      </c>
      <c r="L33" s="11" t="e">
        <f>_xlfn.CONCAT("        public string DescriptionArmour =&gt; """, K33, """;")</f>
        <v>#N/A</v>
      </c>
      <c r="M33" s="13" t="e">
        <f>Abyssus!N8</f>
        <v>#N/A</v>
      </c>
      <c r="N33" s="11" t="e">
        <f>_xlfn.CONCAT("        public string DescriptionArmour =&gt; """, M33, """;")</f>
        <v>#N/A</v>
      </c>
      <c r="O33" s="13" t="e">
        <f>Abyssus!P8</f>
        <v>#N/A</v>
      </c>
      <c r="P33" s="11" t="e">
        <f>_xlfn.CONCAT("        public string DescriptionArmour =&gt; """, O33, """;")</f>
        <v>#N/A</v>
      </c>
      <c r="Q33" s="13" t="e">
        <f>Abyssus!R8</f>
        <v>#N/A</v>
      </c>
      <c r="R33" s="11" t="e">
        <f>_xlfn.CONCAT("        public string DescriptionArmour =&gt; """, Q33, """;")</f>
        <v>#N/A</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e">
        <f>'Carcass Jack'!L8</f>
        <v>#N/A</v>
      </c>
      <c r="L34" s="11" t="e">
        <f>_xlfn.CONCAT("        public string DescriptionEvasion =&gt; """, K34, """;")</f>
        <v>#N/A</v>
      </c>
      <c r="M34" s="13" t="e">
        <f>'Carcass Jack'!N8</f>
        <v>#N/A</v>
      </c>
      <c r="N34" s="11" t="e">
        <f>_xlfn.CONCAT("        public string DescriptionEvasion =&gt; """, M34, """;")</f>
        <v>#N/A</v>
      </c>
      <c r="O34" s="13" t="e">
        <f>'Carcass Jack'!P8</f>
        <v>#N/A</v>
      </c>
      <c r="P34" s="11" t="e">
        <f>_xlfn.CONCAT("        public string DescriptionEvasion =&gt; """, O34, """;")</f>
        <v>#N/A</v>
      </c>
      <c r="Q34" s="13" t="e">
        <f>'Carcass Jack'!R8</f>
        <v>#N/A</v>
      </c>
      <c r="R34" s="11" t="e">
        <f>_xlfn.CONCAT("        public string DescriptionEvasion =&gt; """, Q34, """;")</f>
        <v>#N/A</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e">
        <f>Mistwall!L8</f>
        <v>#N/A</v>
      </c>
      <c r="L35" s="11" t="e">
        <f>_xlfn.CONCAT("        public string DescriptionChanceToBlock =&gt; """, K35, """;")</f>
        <v>#N/A</v>
      </c>
      <c r="M35" s="13" t="e">
        <f>Mistwall!N8</f>
        <v>#N/A</v>
      </c>
      <c r="N35" s="11" t="e">
        <f>_xlfn.CONCAT("        public string DescriptionChanceToBlock =&gt; """, M35, """;")</f>
        <v>#N/A</v>
      </c>
      <c r="O35" s="13" t="e">
        <f>Mistwall!P8</f>
        <v>#N/A</v>
      </c>
      <c r="P35" s="11" t="e">
        <f>_xlfn.CONCAT("        public string DescriptionChanceToBlock =&gt; """, O35, """;")</f>
        <v>#N/A</v>
      </c>
      <c r="Q35" s="13" t="e">
        <f>Mistwall!R8</f>
        <v>#N/A</v>
      </c>
      <c r="R35" s="11" t="e">
        <f>_xlfn.CONCAT("        public string DescriptionChanceToBlock =&gt; """, Q35, """;")</f>
        <v>#N/A</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e">
        <f>'White Wind'!L12</f>
        <v>#N/A</v>
      </c>
      <c r="L36" s="11" t="e">
        <f>_xlfn.CONCAT("        public string DescriptionAttacksPerSecond =&gt; """, K36, """;")</f>
        <v>#N/A</v>
      </c>
      <c r="M36" s="13" t="e">
        <f>'White Wind'!N12</f>
        <v>#N/A</v>
      </c>
      <c r="N36" s="11" t="e">
        <f>_xlfn.CONCAT("        public string DescriptionAttacksPerSecond =&gt; """, M36, """;")</f>
        <v>#N/A</v>
      </c>
      <c r="O36" s="13" t="e">
        <f>'White Wind'!P12</f>
        <v>#N/A</v>
      </c>
      <c r="P36" s="11" t="e">
        <f>_xlfn.CONCAT("        public string DescriptionAttacksPerSecond =&gt; """, O36, """;")</f>
        <v>#N/A</v>
      </c>
      <c r="Q36" s="13" t="e">
        <f>'White Wind'!R12</f>
        <v>#N/A</v>
      </c>
      <c r="R36" s="11" t="e">
        <f>_xlfn.CONCAT("        public string DescriptionAttacksPerSecond =&gt; """, Q36, """;")</f>
        <v>#N/A</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e">
        <f>'White Wind'!L11</f>
        <v>#N/A</v>
      </c>
      <c r="L37" s="11" t="e">
        <f>_xlfn.CONCAT("        public string DescriptionCriticalStrikeChance =&gt; """, K37, """;")</f>
        <v>#N/A</v>
      </c>
      <c r="M37" s="13" t="e">
        <f>'White Wind'!N11</f>
        <v>#N/A</v>
      </c>
      <c r="N37" s="11" t="e">
        <f>_xlfn.CONCAT("        public string DescriptionCriticalStrikeChance =&gt; """, M37, """;")</f>
        <v>#N/A</v>
      </c>
      <c r="O37" s="13" t="e">
        <f>'White Wind'!P11</f>
        <v>#N/A</v>
      </c>
      <c r="P37" s="11" t="e">
        <f>_xlfn.CONCAT("        public string DescriptionCriticalStrikeChance =&gt; """, O37, """;")</f>
        <v>#N/A</v>
      </c>
      <c r="Q37" s="13" t="e">
        <f>'White Wind'!R11</f>
        <v>#N/A</v>
      </c>
      <c r="R37" s="11" t="e">
        <f>_xlfn.CONCAT("        public string DescriptionCriticalStrikeChance =&gt; """, Q37, """;")</f>
        <v>#N/A</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e">
        <f>'Blighted Map'!L7</f>
        <v>#N/A</v>
      </c>
      <c r="L38" s="11" t="e">
        <f>_xlfn.CONCAT("        public string DescriptionMapTier =&gt; """, K38, """;")</f>
        <v>#N/A</v>
      </c>
      <c r="M38" s="13" t="e">
        <f>'Blighted Map'!N7</f>
        <v>#N/A</v>
      </c>
      <c r="N38" s="11" t="e">
        <f>_xlfn.CONCAT("        public string DescriptionMapTier =&gt; """, M38, """;")</f>
        <v>#N/A</v>
      </c>
      <c r="O38" s="13" t="e">
        <f>'Blighted Map'!P7</f>
        <v>#N/A</v>
      </c>
      <c r="P38" s="11" t="e">
        <f>_xlfn.CONCAT("        public string DescriptionMapTier =&gt; """, O38, """;")</f>
        <v>#N/A</v>
      </c>
      <c r="Q38" s="13" t="e">
        <f>'Blighted Map'!R7</f>
        <v>#N/A</v>
      </c>
      <c r="R38" s="11" t="e">
        <f>_xlfn.CONCAT("        public string DescriptionMapTier =&gt; """, Q38, """;")</f>
        <v>#N/A</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e">
        <f>Map!L8</f>
        <v>#N/A</v>
      </c>
      <c r="L39" s="11" t="e">
        <f>_xlfn.CONCAT("        public string DescriptionItemQuantity =&gt; """, K39, """;")</f>
        <v>#N/A</v>
      </c>
      <c r="M39" s="13" t="e">
        <f>Map!N8</f>
        <v>#N/A</v>
      </c>
      <c r="N39" s="11" t="e">
        <f>_xlfn.CONCAT("        public string DescriptionItemQuantity =&gt; """, M39, """;")</f>
        <v>#N/A</v>
      </c>
      <c r="O39" s="13" t="e">
        <f>Map!P8</f>
        <v>#N/A</v>
      </c>
      <c r="P39" s="11" t="e">
        <f>_xlfn.CONCAT("        public string DescriptionItemQuantity =&gt; """, O39, """;")</f>
        <v>#N/A</v>
      </c>
      <c r="Q39" s="13" t="e">
        <f>Map!R8</f>
        <v>#N/A</v>
      </c>
      <c r="R39" s="11" t="e">
        <f>_xlfn.CONCAT("        public string DescriptionItemQuantity =&gt; """, Q39, """;")</f>
        <v>#N/A</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e">
        <f>Map!L9</f>
        <v>#N/A</v>
      </c>
      <c r="L40" s="11" t="e">
        <f>_xlfn.CONCAT("        public string DescriptionItemRarity =&gt; """, K40, """;")</f>
        <v>#N/A</v>
      </c>
      <c r="M40" s="13" t="e">
        <f>Map!N9</f>
        <v>#N/A</v>
      </c>
      <c r="N40" s="11" t="e">
        <f>_xlfn.CONCAT("        public string DescriptionItemRarity =&gt; """, M40, """;")</f>
        <v>#N/A</v>
      </c>
      <c r="O40" s="13" t="e">
        <f>Map!P9</f>
        <v>#N/A</v>
      </c>
      <c r="P40" s="11" t="e">
        <f>_xlfn.CONCAT("        public string DescriptionItemRarity =&gt; """, O40, """;")</f>
        <v>#N/A</v>
      </c>
      <c r="Q40" s="13" t="e">
        <f>Map!R9</f>
        <v>#N/A</v>
      </c>
      <c r="R40" s="11" t="e">
        <f>_xlfn.CONCAT("        public string DescriptionItemRarity =&gt; """, Q40, """;")</f>
        <v>#N/A</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e">
        <f>Map!L10</f>
        <v>#N/A</v>
      </c>
      <c r="L41" s="11" t="e">
        <f>_xlfn.CONCAT("        public string DescriptionMonsterPackSize =&gt; """, K41, """;")</f>
        <v>#N/A</v>
      </c>
      <c r="M41" s="13" t="e">
        <f>Map!N10</f>
        <v>#N/A</v>
      </c>
      <c r="N41" s="11" t="e">
        <f>_xlfn.CONCAT("        public string DescriptionMonsterPackSize =&gt; """, M41, """;")</f>
        <v>#N/A</v>
      </c>
      <c r="O41" s="13" t="e">
        <f>Map!P10</f>
        <v>#N/A</v>
      </c>
      <c r="P41" s="11" t="e">
        <f>_xlfn.CONCAT("        public string DescriptionMonsterPackSize =&gt; """, O41, """;")</f>
        <v>#N/A</v>
      </c>
      <c r="Q41" s="13" t="e">
        <f>Map!R10</f>
        <v>#N/A</v>
      </c>
      <c r="R41" s="11" t="e">
        <f>_xlfn.CONCAT("        public string DescriptionMonsterPackSize =&gt; """, Q41, """;")</f>
        <v>#N/A</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e">
        <f>'White Wind'!L15</f>
        <v>#N/A</v>
      </c>
      <c r="L42" s="11" t="e">
        <f>_xlfn.CONCAT("        public string DescriptionRequirements =&gt; """, K42, """;")</f>
        <v>#N/A</v>
      </c>
      <c r="M42" s="13" t="e">
        <f>'White Wind'!N15</f>
        <v>#N/A</v>
      </c>
      <c r="N42" s="11" t="e">
        <f>_xlfn.CONCAT("        public string DescriptionRequirements =&gt; """, M42, """;")</f>
        <v>#N/A</v>
      </c>
      <c r="O42" s="13" t="e">
        <f>'White Wind'!P15</f>
        <v>#N/A</v>
      </c>
      <c r="P42" s="11" t="e">
        <f>_xlfn.CONCAT("        public string DescriptionRequirements =&gt; """, O42, """;")</f>
        <v>#N/A</v>
      </c>
      <c r="Q42" s="13" t="e">
        <f>'White Wind'!R15</f>
        <v>#N/A</v>
      </c>
      <c r="R42" s="11" t="e">
        <f>_xlfn.CONCAT("        public string DescriptionRequirements =&gt; """, Q42, """;")</f>
        <v>#N/A</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e">
        <f>Logbook!L7</f>
        <v>#N/A</v>
      </c>
      <c r="L43" s="11" t="e">
        <f>_xlfn.CONCAT("        public string DescriptionAreaLevel =&gt; """, K43, """;")</f>
        <v>#N/A</v>
      </c>
      <c r="M43" s="13" t="e">
        <f>Logbook!N7</f>
        <v>#N/A</v>
      </c>
      <c r="N43" s="11" t="e">
        <f>_xlfn.CONCAT("        public string DescriptionAreaLevel =&gt; """, M43, """;")</f>
        <v>#N/A</v>
      </c>
      <c r="O43" s="13" t="e">
        <f>Logbook!P7</f>
        <v>#N/A</v>
      </c>
      <c r="P43" s="11" t="e">
        <f>_xlfn.CONCAT("        public string DescriptionAreaLevel =&gt; """, O43, """;")</f>
        <v>#N/A</v>
      </c>
      <c r="Q43" s="13" t="e">
        <f>Logbook!R7</f>
        <v>#N/A</v>
      </c>
      <c r="R43" s="11" t="e">
        <f>_xlfn.CONCAT("        public string DescriptionAreaLevel =&gt; """, Q43, """;")</f>
        <v>#N/A</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e">
        <f>'Life Flask'!L7</f>
        <v>#N/A</v>
      </c>
      <c r="L45" s="11" t="e">
        <f>_xlfn.CONCAT("        public string AffixSuperior =&gt; """, K45, """;")</f>
        <v>#N/A</v>
      </c>
      <c r="M45" s="13" t="e">
        <f>'Life Flask'!N7</f>
        <v>#N/A</v>
      </c>
      <c r="N45" s="11" t="e">
        <f>_xlfn.CONCAT("        public string AffixSuperior =&gt; """, M45, """;")</f>
        <v>#N/A</v>
      </c>
      <c r="O45" s="13" t="e">
        <f>'Life Flask'!P7</f>
        <v>#N/A</v>
      </c>
      <c r="P45" s="11" t="e">
        <f>_xlfn.CONCAT("        public string AffixSuperior =&gt; """, O45, """;")</f>
        <v>#N/A</v>
      </c>
      <c r="Q45" s="13" t="e">
        <f>'Life Flask'!R7</f>
        <v>#N/A</v>
      </c>
      <c r="R45" s="11" t="e">
        <f>_xlfn.CONCAT("        public string AffixSuperior =&gt; """, Q45, """;")</f>
        <v>#N/A</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e">
        <f>'Blighted Map'!L10</f>
        <v>#N/A</v>
      </c>
      <c r="L46" s="11" t="e">
        <f>_xlfn.CONCAT("        public string AffixBlighted =&gt; """, K46, """;")</f>
        <v>#N/A</v>
      </c>
      <c r="M46" s="13" t="e">
        <f>'Blighted Map'!N10</f>
        <v>#N/A</v>
      </c>
      <c r="N46" s="11" t="e">
        <f>_xlfn.CONCAT("        public string AffixBlighted =&gt; """, M46, """;")</f>
        <v>#N/A</v>
      </c>
      <c r="O46" s="13" t="e">
        <f>'Blighted Map'!P10</f>
        <v>#N/A</v>
      </c>
      <c r="P46" s="11" t="e">
        <f>_xlfn.CONCAT("        public string AffixBlighted =&gt; """, O46, """;")</f>
        <v>#N/A</v>
      </c>
      <c r="Q46" s="13" t="e">
        <f>'Blighted Map'!R10</f>
        <v>#N/A</v>
      </c>
      <c r="R46" s="11" t="e">
        <f>_xlfn.CONCAT("        public string AffixBlighted =&gt; """, Q46, """;")</f>
        <v>#N/A</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e">
        <f>'Blight-ravaged Map'!L7</f>
        <v>#N/A</v>
      </c>
      <c r="L47" s="11" t="e">
        <f>_xlfn.CONCAT("        public string AffixBlightRavaged =&gt; """, K47, """;")</f>
        <v>#N/A</v>
      </c>
      <c r="M47" s="13" t="e">
        <f>'Blight-ravaged Map'!N7</f>
        <v>#N/A</v>
      </c>
      <c r="N47" s="11" t="e">
        <f>_xlfn.CONCAT("        public string AffixBlightRavaged =&gt; """, M47, """;")</f>
        <v>#N/A</v>
      </c>
      <c r="O47" s="13" t="e">
        <f>'Blight-ravaged Map'!P7</f>
        <v>#N/A</v>
      </c>
      <c r="P47" s="11" t="e">
        <f>_xlfn.CONCAT("        public string AffixBlightRavaged =&gt; """, O47, """;")</f>
        <v>#N/A</v>
      </c>
      <c r="Q47" s="13" t="e">
        <f>'Blight-ravaged Map'!R7</f>
        <v>#N/A</v>
      </c>
      <c r="R47" s="11" t="e">
        <f>_xlfn.CONCAT("        public string AffixBlightRavaged =&gt; """, Q47, """;")</f>
        <v>#N/A</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e">
        <f>'Anomalous Gem'!L7</f>
        <v>#N/A</v>
      </c>
      <c r="L48" s="11" t="e">
        <f>_xlfn.CONCAT("        public string AffixAnomalous =&gt; """, K48, """;")</f>
        <v>#N/A</v>
      </c>
      <c r="M48" s="13" t="e">
        <f>'Anomalous Gem'!N7</f>
        <v>#N/A</v>
      </c>
      <c r="N48" s="11" t="e">
        <f>_xlfn.CONCAT("        public string AffixAnomalous =&gt; """, M48, """;")</f>
        <v>#N/A</v>
      </c>
      <c r="O48" s="13" t="e">
        <f>'Anomalous Gem'!P7</f>
        <v>#N/A</v>
      </c>
      <c r="P48" s="11" t="e">
        <f>_xlfn.CONCAT("        public string AffixAnomalous =&gt; """, O48, """;")</f>
        <v>#N/A</v>
      </c>
      <c r="Q48" s="13" t="e">
        <f>'Anomalous Gem'!R7</f>
        <v>#N/A</v>
      </c>
      <c r="R48" s="11" t="e">
        <f>_xlfn.CONCAT("        public string AffixAnomalous =&gt; """, Q48, """;")</f>
        <v>#N/A</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e">
        <f>'Divergent Support Gem'!L7</f>
        <v>#N/A</v>
      </c>
      <c r="L49" s="11" t="e">
        <f>_xlfn.CONCAT("        public string AffixDivergent =&gt; """, K49, """;")</f>
        <v>#N/A</v>
      </c>
      <c r="M49" s="13" t="e">
        <f>'Divergent Support Gem'!N7</f>
        <v>#N/A</v>
      </c>
      <c r="N49" s="11" t="e">
        <f>_xlfn.CONCAT("        public string AffixDivergent =&gt; """, M49, """;")</f>
        <v>#N/A</v>
      </c>
      <c r="O49" s="13" t="e">
        <f>'Divergent Support Gem'!P7</f>
        <v>#N/A</v>
      </c>
      <c r="P49" s="11" t="e">
        <f>_xlfn.CONCAT("        public string AffixDivergent =&gt; """, O49, """;")</f>
        <v>#N/A</v>
      </c>
      <c r="Q49" s="13" t="e">
        <f>'Divergent Support Gem'!R7</f>
        <v>#N/A</v>
      </c>
      <c r="R49" s="11" t="e">
        <f>_xlfn.CONCAT("        public string AffixDivergent =&gt; """, Q49, """;")</f>
        <v>#N/A</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e">
        <f>'Phantasmal Gem'!L7</f>
        <v>#N/A</v>
      </c>
      <c r="L50" s="11" t="e">
        <f>_xlfn.CONCAT("        public string AffixPhantasmal =&gt; """, K50, """;")</f>
        <v>#N/A</v>
      </c>
      <c r="M50" s="13" t="e">
        <f>'Phantasmal Gem'!N7</f>
        <v>#N/A</v>
      </c>
      <c r="N50" s="11" t="e">
        <f>_xlfn.CONCAT("        public string AffixPhantasmal =&gt; """, M50, """;")</f>
        <v>#N/A</v>
      </c>
      <c r="O50" s="13" t="e">
        <f>'Phantasmal Gem'!P7</f>
        <v>#N/A</v>
      </c>
      <c r="P50" s="11" t="e">
        <f>_xlfn.CONCAT("        public string AffixPhantasmal =&gt; """, O50, """;")</f>
        <v>#N/A</v>
      </c>
      <c r="Q50" s="13" t="e">
        <f>'Phantasmal Gem'!R7</f>
        <v>#N/A</v>
      </c>
      <c r="R50" s="11" t="e">
        <f>_xlfn.CONCAT("        public string AffixPhantasmal =&gt; """, Q50, """;")</f>
        <v>#N/A</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f>Shaper!L23</f>
        <v>0</v>
      </c>
      <c r="L52" s="11" t="str">
        <f>_xlfn.CONCAT("        public string InfluenceShaper =&gt; """, K52, """;")</f>
        <v xml:space="preserve">        public string InfluenceShaper =&gt; "0";</v>
      </c>
      <c r="M52" s="13">
        <f>Shaper!N23</f>
        <v>0</v>
      </c>
      <c r="N52" s="11" t="str">
        <f>_xlfn.CONCAT("        public string InfluenceShaper =&gt; """, M52, """;")</f>
        <v xml:space="preserve">        public string InfluenceShaper =&gt; "0";</v>
      </c>
      <c r="O52" s="13">
        <f>Shaper!P23</f>
        <v>0</v>
      </c>
      <c r="P52" s="11" t="str">
        <f>_xlfn.CONCAT("        public string InfluenceShaper =&gt; """, O52, """;")</f>
        <v xml:space="preserve">        public string InfluenceShaper =&gt; "0";</v>
      </c>
      <c r="Q52" s="13">
        <f>Shaper!R23</f>
        <v>0</v>
      </c>
      <c r="R52" s="11" t="str">
        <f>_xlfn.CONCAT("        public string InfluenceShaper =&gt; """, Q52, """;")</f>
        <v xml:space="preserve">        public string InfluenceShaper =&gt; "0";</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f>Elder!L27</f>
        <v>0</v>
      </c>
      <c r="L53" s="11" t="str">
        <f>_xlfn.CONCAT("        public string InfluenceElder =&gt; """, K53, """;")</f>
        <v xml:space="preserve">        public string InfluenceElder =&gt; "0";</v>
      </c>
      <c r="M53" s="13">
        <f>Elder!N27</f>
        <v>0</v>
      </c>
      <c r="N53" s="11" t="str">
        <f>_xlfn.CONCAT("        public string InfluenceElder =&gt; """, M53, """;")</f>
        <v xml:space="preserve">        public string InfluenceElder =&gt; "0";</v>
      </c>
      <c r="O53" s="13">
        <f>Elder!P27</f>
        <v>0</v>
      </c>
      <c r="P53" s="11" t="str">
        <f>_xlfn.CONCAT("        public string InfluenceElder =&gt; """, O53, """;")</f>
        <v xml:space="preserve">        public string InfluenceElder =&gt; "0";</v>
      </c>
      <c r="Q53" s="13">
        <f>Elder!R27</f>
        <v>0</v>
      </c>
      <c r="R53" s="11" t="str">
        <f>_xlfn.CONCAT("        public string InfluenceElder =&gt; """, Q53, """;")</f>
        <v xml:space="preserve">        public string InfluenceElder =&gt; "0";</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f>Crusader!L20</f>
        <v>0</v>
      </c>
      <c r="L54" s="11" t="str">
        <f>_xlfn.CONCAT("        public string InfluenceCrusader =&gt; """, K54, """;")</f>
        <v xml:space="preserve">        public string InfluenceCrusader =&gt; "0";</v>
      </c>
      <c r="M54" s="13">
        <f>Crusader!N20</f>
        <v>0</v>
      </c>
      <c r="N54" s="11" t="str">
        <f>_xlfn.CONCAT("        public string InfluenceCrusader =&gt; """, M54, """;")</f>
        <v xml:space="preserve">        public string InfluenceCrusader =&gt; "0";</v>
      </c>
      <c r="O54" s="13">
        <f>Crusader!P20</f>
        <v>0</v>
      </c>
      <c r="P54" s="11" t="str">
        <f>_xlfn.CONCAT("        public string InfluenceCrusader =&gt; """, O54, """;")</f>
        <v xml:space="preserve">        public string InfluenceCrusader =&gt; "0";</v>
      </c>
      <c r="Q54" s="13">
        <f>Crusader!R20</f>
        <v>0</v>
      </c>
      <c r="R54" s="11" t="str">
        <f>_xlfn.CONCAT("        public string InfluenceCrusader =&gt; """, Q54, """;")</f>
        <v xml:space="preserve">        public string InfluenceCrusader =&gt; "0";</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f>Hunter!L23</f>
        <v>0</v>
      </c>
      <c r="L55" s="11" t="str">
        <f>_xlfn.CONCAT("        public string InfluenceHunter =&gt; """, K55, """;")</f>
        <v xml:space="preserve">        public string InfluenceHunter =&gt; "0";</v>
      </c>
      <c r="M55" s="13">
        <f>Hunter!N23</f>
        <v>0</v>
      </c>
      <c r="N55" s="11" t="str">
        <f>_xlfn.CONCAT("        public string InfluenceHunter =&gt; """, M55, """;")</f>
        <v xml:space="preserve">        public string InfluenceHunter =&gt; "0";</v>
      </c>
      <c r="O55" s="13">
        <f>Hunter!P23</f>
        <v>0</v>
      </c>
      <c r="P55" s="11" t="str">
        <f>_xlfn.CONCAT("        public string InfluenceHunter =&gt; """, O55, """;")</f>
        <v xml:space="preserve">        public string InfluenceHunter =&gt; "0";</v>
      </c>
      <c r="Q55" s="13">
        <f>Hunter!R23</f>
        <v>0</v>
      </c>
      <c r="R55" s="11" t="str">
        <f>_xlfn.CONCAT("        public string InfluenceHunter =&gt; """, Q55, """;")</f>
        <v xml:space="preserve">        public string InfluenceHunter =&gt; "0";</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f>Redeemer!L21</f>
        <v>0</v>
      </c>
      <c r="L56" s="11" t="str">
        <f>_xlfn.CONCAT("        public string InfluenceRedeemer =&gt; """, K56, """;")</f>
        <v xml:space="preserve">        public string InfluenceRedeemer =&gt; "0";</v>
      </c>
      <c r="M56" s="13">
        <f>Redeemer!N21</f>
        <v>0</v>
      </c>
      <c r="N56" s="11" t="str">
        <f>_xlfn.CONCAT("        public string InfluenceRedeemer =&gt; """, M56, """;")</f>
        <v xml:space="preserve">        public string InfluenceRedeemer =&gt; "0";</v>
      </c>
      <c r="O56" s="13">
        <f>Redeemer!P21</f>
        <v>0</v>
      </c>
      <c r="P56" s="11" t="str">
        <f>_xlfn.CONCAT("        public string InfluenceRedeemer =&gt; """, O56, """;")</f>
        <v xml:space="preserve">        public string InfluenceRedeemer =&gt; "0";</v>
      </c>
      <c r="Q56" s="13">
        <f>Redeemer!R21</f>
        <v>0</v>
      </c>
      <c r="R56" s="11" t="str">
        <f>_xlfn.CONCAT("        public string InfluenceRedeemer =&gt; """, Q56, """;")</f>
        <v xml:space="preserve">        public string InfluenceRedeemer =&gt; "0";</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f>Warlord!L24</f>
        <v>0</v>
      </c>
      <c r="L57" s="11" t="str">
        <f>_xlfn.CONCAT("        public string InfluenceWarlord =&gt; """, K57, """;")</f>
        <v xml:space="preserve">        public string InfluenceWarlord =&gt; "0";</v>
      </c>
      <c r="M57" s="13">
        <f>Warlord!N24</f>
        <v>0</v>
      </c>
      <c r="N57" s="11" t="str">
        <f>_xlfn.CONCAT("        public string InfluenceWarlord =&gt; """, M57, """;")</f>
        <v xml:space="preserve">        public string InfluenceWarlord =&gt; "0";</v>
      </c>
      <c r="O57" s="13">
        <f>Warlord!P24</f>
        <v>0</v>
      </c>
      <c r="P57" s="11" t="str">
        <f>_xlfn.CONCAT("        public string InfluenceWarlord =&gt; """, O57, """;")</f>
        <v xml:space="preserve">        public string InfluenceWarlord =&gt; "0";</v>
      </c>
      <c r="Q57" s="13">
        <f>Warlord!R24</f>
        <v>0</v>
      </c>
      <c r="R57" s="11" t="str">
        <f>_xlfn.CONCAT("        public string InfluenceWarlord =&gt; """, Q57, """;")</f>
        <v xml:space="preserve">        public string InfluenceWarlord =&gt; "0";</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e">
        <f>Belt!L3</f>
        <v>#N/A</v>
      </c>
      <c r="L61" s="11" t="e">
        <f>_xlfn.CONCAT("            Prefix = """, K61, """,")</f>
        <v>#N/A</v>
      </c>
      <c r="M61" s="19" t="e">
        <f>Belt!N3</f>
        <v>#N/A</v>
      </c>
      <c r="N61" s="11" t="e">
        <f>_xlfn.CONCAT("            Prefix = """, M61, """,")</f>
        <v>#N/A</v>
      </c>
      <c r="O61" s="19" t="e">
        <f>Belt!P3</f>
        <v>#N/A</v>
      </c>
      <c r="P61" s="11" t="e">
        <f>_xlfn.CONCAT("            Prefix = """, O61, """,")</f>
        <v>#N/A</v>
      </c>
      <c r="Q61" s="19" t="e">
        <f>Belt!R3</f>
        <v>#N/A</v>
      </c>
      <c r="R61" s="11" t="e">
        <f>_xlfn.CONCAT("            Prefix = """, Q61, """,")</f>
        <v>#N/A</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e">
        <f>Card!L4</f>
        <v>#N/A</v>
      </c>
      <c r="L62" s="11" t="e">
        <f>_xlfn.CONCAT("            DivinationCard = """, K62, """,")</f>
        <v>#N/A</v>
      </c>
      <c r="M62" s="19" t="e">
        <f>Card!N4</f>
        <v>#N/A</v>
      </c>
      <c r="N62" s="11" t="e">
        <f>_xlfn.CONCAT("            DivinationCard = """, M62, """,")</f>
        <v>#N/A</v>
      </c>
      <c r="O62" s="19" t="e">
        <f>Card!P4</f>
        <v>#N/A</v>
      </c>
      <c r="P62" s="11" t="e">
        <f>_xlfn.CONCAT("            DivinationCard = """, O62, """,")</f>
        <v>#N/A</v>
      </c>
      <c r="Q62" s="19" t="e">
        <f>Card!R4</f>
        <v>#N/A</v>
      </c>
      <c r="R62" s="11" t="e">
        <f>_xlfn.CONCAT("            DivinationCard = """, Q62, """,")</f>
        <v>#N/A</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e">
        <f>'Chaos Orb'!L4</f>
        <v>#N/A</v>
      </c>
      <c r="L63" s="11" t="e">
        <f>_xlfn.CONCAT("            StackableCurrency = """, K63, """,")</f>
        <v>#N/A</v>
      </c>
      <c r="M63" s="19" t="e">
        <f>'Chaos Orb'!N4</f>
        <v>#N/A</v>
      </c>
      <c r="N63" s="11" t="e">
        <f>_xlfn.CONCAT("            StackableCurrency = """, M63, """,")</f>
        <v>#N/A</v>
      </c>
      <c r="O63" s="19" t="e">
        <f>'Chaos Orb'!P4</f>
        <v>#N/A</v>
      </c>
      <c r="P63" s="11" t="e">
        <f>_xlfn.CONCAT("            StackableCurrency = """, O63, """,")</f>
        <v>#N/A</v>
      </c>
      <c r="Q63" s="19" t="e">
        <f>'Chaos Orb'!R4</f>
        <v>#N/A</v>
      </c>
      <c r="R63" s="11" t="e">
        <f>_xlfn.CONCAT("            StackableCurrency = """, Q63, """,")</f>
        <v>#N/A</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e">
        <f>Jewel!L4</f>
        <v>#N/A</v>
      </c>
      <c r="L64" s="11" t="e">
        <f>_xlfn.CONCAT("            Jewel = """, K64, """,")</f>
        <v>#N/A</v>
      </c>
      <c r="M64" s="19" t="e">
        <f>Jewel!N4</f>
        <v>#N/A</v>
      </c>
      <c r="N64" s="11" t="e">
        <f>_xlfn.CONCAT("            Jewel = """, M64, """,")</f>
        <v>#N/A</v>
      </c>
      <c r="O64" s="19" t="e">
        <f>Jewel!P4</f>
        <v>#N/A</v>
      </c>
      <c r="P64" s="11" t="e">
        <f>_xlfn.CONCAT("            Jewel = """, O64, """,")</f>
        <v>#N/A</v>
      </c>
      <c r="Q64" s="19" t="e">
        <f>Jewel!R4</f>
        <v>#N/A</v>
      </c>
      <c r="R64" s="11" t="e">
        <f>_xlfn.CONCAT("            Jewel = """, Q64, """,")</f>
        <v>#N/A</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e">
        <f>Resonator!L4</f>
        <v>#N/A</v>
      </c>
      <c r="L65" s="11" t="e">
        <f>_xlfn.CONCAT("            DelveStackableSocketableCurrency = """, K65, """,")</f>
        <v>#N/A</v>
      </c>
      <c r="M65" s="19" t="e">
        <f>Resonator!N4</f>
        <v>#N/A</v>
      </c>
      <c r="N65" s="11" t="e">
        <f>_xlfn.CONCAT("            DelveStackableSocketableCurrency = """, M65, """,")</f>
        <v>#N/A</v>
      </c>
      <c r="O65" s="19" t="e">
        <f>Resonator!P4</f>
        <v>#N/A</v>
      </c>
      <c r="P65" s="11" t="e">
        <f>_xlfn.CONCAT("            DelveStackableSocketableCurrency = """, O65, """,")</f>
        <v>#N/A</v>
      </c>
      <c r="Q65" s="19" t="e">
        <f>Resonator!R4</f>
        <v>#N/A</v>
      </c>
      <c r="R65" s="11" t="e">
        <f>_xlfn.CONCAT("            DelveStackableSocketableCurrency = """, Q65, """,")</f>
        <v>#N/A</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e">
        <f>'Metamorph Sample'!L4</f>
        <v>#N/A</v>
      </c>
      <c r="L66" s="11" t="e">
        <f>_xlfn.CONCAT("            MetamorphSample = """, K66, """,")</f>
        <v>#N/A</v>
      </c>
      <c r="M66" s="19" t="e">
        <f>'Metamorph Sample'!N4</f>
        <v>#N/A</v>
      </c>
      <c r="N66" s="11" t="e">
        <f>_xlfn.CONCAT("            MetamorphSample = """, M66, """,")</f>
        <v>#N/A</v>
      </c>
      <c r="O66" s="19" t="e">
        <f>'Metamorph Sample'!P4</f>
        <v>#N/A</v>
      </c>
      <c r="P66" s="11" t="e">
        <f>_xlfn.CONCAT("            MetamorphSample = """, O66, """,")</f>
        <v>#N/A</v>
      </c>
      <c r="Q66" s="19" t="e">
        <f>'Metamorph Sample'!R4</f>
        <v>#N/A</v>
      </c>
      <c r="R66" s="11" t="e">
        <f>_xlfn.CONCAT("            MetamorphSample = """, Q66, """,")</f>
        <v>#N/A</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e">
        <f>'Heist Tool'!L4</f>
        <v>#N/A</v>
      </c>
      <c r="L67" s="11" t="e">
        <f>_xlfn.CONCAT("            HeistTool = """, K67, """,")</f>
        <v>#N/A</v>
      </c>
      <c r="M67" s="19" t="e">
        <f>'Heist Tool'!N4</f>
        <v>#N/A</v>
      </c>
      <c r="N67" s="11" t="e">
        <f>_xlfn.CONCAT("            HeistTool = """, M67, """,")</f>
        <v>#N/A</v>
      </c>
      <c r="O67" s="19" t="e">
        <f>'Heist Tool'!P4</f>
        <v>#N/A</v>
      </c>
      <c r="P67" s="11" t="e">
        <f>_xlfn.CONCAT("            HeistTool = """, O67, """,")</f>
        <v>#N/A</v>
      </c>
      <c r="Q67" s="19" t="e">
        <f>'Heist Tool'!R4</f>
        <v>#N/A</v>
      </c>
      <c r="R67" s="11" t="e">
        <f>_xlfn.CONCAT("            HeistTool = """, Q67, """,")</f>
        <v>#N/A</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e">
        <f>'Foiled Amulet'!L4</f>
        <v>#N/A</v>
      </c>
      <c r="L68" s="11" t="e">
        <f>_xlfn.CONCAT("            Amulet = """, K68, """,")</f>
        <v>#N/A</v>
      </c>
      <c r="M68" s="19" t="e">
        <f>'Foiled Amulet'!N4</f>
        <v>#N/A</v>
      </c>
      <c r="N68" s="11" t="e">
        <f>_xlfn.CONCAT("            Amulet = """, M68, """,")</f>
        <v>#N/A</v>
      </c>
      <c r="O68" s="19" t="e">
        <f>'Foiled Amulet'!P4</f>
        <v>#N/A</v>
      </c>
      <c r="P68" s="11" t="e">
        <f>_xlfn.CONCAT("            Amulet = """, O68, """,")</f>
        <v>#N/A</v>
      </c>
      <c r="Q68" s="19" t="e">
        <f>'Foiled Amulet'!R4</f>
        <v>#N/A</v>
      </c>
      <c r="R68" s="11" t="e">
        <f>_xlfn.CONCAT("            Amulet = """, Q68, """,")</f>
        <v>#N/A</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e">
        <f>'Unidentified ring'!L4</f>
        <v>#N/A</v>
      </c>
      <c r="L69" s="11" t="e">
        <f>_xlfn.CONCAT("            Ring = """, K69, """,")</f>
        <v>#N/A</v>
      </c>
      <c r="M69" s="19" t="e">
        <f>'Unidentified ring'!N4</f>
        <v>#N/A</v>
      </c>
      <c r="N69" s="11" t="e">
        <f>_xlfn.CONCAT("            Ring = """, M69, """,")</f>
        <v>#N/A</v>
      </c>
      <c r="O69" s="19" t="e">
        <f>'Unidentified ring'!P4</f>
        <v>#N/A</v>
      </c>
      <c r="P69" s="11" t="e">
        <f>_xlfn.CONCAT("            Ring = """, O69, """,")</f>
        <v>#N/A</v>
      </c>
      <c r="Q69" s="19" t="e">
        <f>'Unidentified ring'!R4</f>
        <v>#N/A</v>
      </c>
      <c r="R69" s="11" t="e">
        <f>_xlfn.CONCAT("            Ring = """, Q69, """,")</f>
        <v>#N/A</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e">
        <f>Belt!L4</f>
        <v>#N/A</v>
      </c>
      <c r="L70" s="11" t="e">
        <f>_xlfn.CONCAT("            Belt = """, K70, """,")</f>
        <v>#N/A</v>
      </c>
      <c r="M70" s="19" t="e">
        <f>Belt!N4</f>
        <v>#N/A</v>
      </c>
      <c r="N70" s="11" t="e">
        <f>_xlfn.CONCAT("            Belt = """, M70, """,")</f>
        <v>#N/A</v>
      </c>
      <c r="O70" s="19" t="e">
        <f>Belt!P4</f>
        <v>#N/A</v>
      </c>
      <c r="P70" s="11" t="e">
        <f>_xlfn.CONCAT("            Belt = """, O70, """,")</f>
        <v>#N/A</v>
      </c>
      <c r="Q70" s="19" t="e">
        <f>Belt!R4</f>
        <v>#N/A</v>
      </c>
      <c r="R70" s="11" t="e">
        <f>_xlfn.CONCAT("            Belt = """, Q70, """,")</f>
        <v>#N/A</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e">
        <f>Gloves!L4</f>
        <v>#N/A</v>
      </c>
      <c r="L71" s="11" t="e">
        <f>_xlfn.CONCAT("            Gloves = """, K71, """,")</f>
        <v>#N/A</v>
      </c>
      <c r="M71" s="19" t="e">
        <f>Gloves!N4</f>
        <v>#N/A</v>
      </c>
      <c r="N71" s="11" t="e">
        <f>_xlfn.CONCAT("            Gloves = """, M71, """,")</f>
        <v>#N/A</v>
      </c>
      <c r="O71" s="19" t="e">
        <f>Gloves!P4</f>
        <v>#N/A</v>
      </c>
      <c r="P71" s="11" t="e">
        <f>_xlfn.CONCAT("            Gloves = """, O71, """,")</f>
        <v>#N/A</v>
      </c>
      <c r="Q71" s="19" t="e">
        <f>Gloves!R4</f>
        <v>#N/A</v>
      </c>
      <c r="R71" s="11" t="e">
        <f>_xlfn.CONCAT("            Gloves = """, Q71, """,")</f>
        <v>#N/A</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e">
        <f>Boots!L4</f>
        <v>#N/A</v>
      </c>
      <c r="L72" s="11" t="e">
        <f>_xlfn.CONCAT("            Boots = """, K72, """,")</f>
        <v>#N/A</v>
      </c>
      <c r="M72" s="19" t="e">
        <f>Boots!N4</f>
        <v>#N/A</v>
      </c>
      <c r="N72" s="11" t="e">
        <f>_xlfn.CONCAT("            Boots = """, M72, """,")</f>
        <v>#N/A</v>
      </c>
      <c r="O72" s="19" t="e">
        <f>Boots!P4</f>
        <v>#N/A</v>
      </c>
      <c r="P72" s="11" t="e">
        <f>_xlfn.CONCAT("            Boots = """, O72, """,")</f>
        <v>#N/A</v>
      </c>
      <c r="Q72" s="19" t="e">
        <f>Boots!R4</f>
        <v>#N/A</v>
      </c>
      <c r="R72" s="11" t="e">
        <f>_xlfn.CONCAT("            Boots = """, Q72, """,")</f>
        <v>#N/A</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e">
        <f>'Carcass Jack'!L4</f>
        <v>#N/A</v>
      </c>
      <c r="L73" s="11" t="e">
        <f>_xlfn.CONCAT("            BodyArmours = """, K73, """,")</f>
        <v>#N/A</v>
      </c>
      <c r="M73" s="19" t="e">
        <f>'Carcass Jack'!N4</f>
        <v>#N/A</v>
      </c>
      <c r="N73" s="11" t="e">
        <f>_xlfn.CONCAT("            BodyArmours = """, M73, """,")</f>
        <v>#N/A</v>
      </c>
      <c r="O73" s="19" t="e">
        <f>'Carcass Jack'!P4</f>
        <v>#N/A</v>
      </c>
      <c r="P73" s="11" t="e">
        <f>_xlfn.CONCAT("            BodyArmours = """, O73, """,")</f>
        <v>#N/A</v>
      </c>
      <c r="Q73" s="19" t="e">
        <f>'Carcass Jack'!R4</f>
        <v>#N/A</v>
      </c>
      <c r="R73" s="11" t="e">
        <f>_xlfn.CONCAT("            BodyArmours = """, Q73, """,")</f>
        <v>#N/A</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e">
        <f>Abyssus!L4</f>
        <v>#N/A</v>
      </c>
      <c r="L74" s="11" t="e">
        <f>_xlfn.CONCAT("            Helmets = """, K74, """,")</f>
        <v>#N/A</v>
      </c>
      <c r="M74" s="19" t="e">
        <f>Abyssus!N4</f>
        <v>#N/A</v>
      </c>
      <c r="N74" s="11" t="e">
        <f>_xlfn.CONCAT("            Helmets = """, M74, """,")</f>
        <v>#N/A</v>
      </c>
      <c r="O74" s="19" t="e">
        <f>Abyssus!P4</f>
        <v>#N/A</v>
      </c>
      <c r="P74" s="11" t="e">
        <f>_xlfn.CONCAT("            Helmets = """, O74, """,")</f>
        <v>#N/A</v>
      </c>
      <c r="Q74" s="19" t="e">
        <f>Abyssus!R4</f>
        <v>#N/A</v>
      </c>
      <c r="R74" s="11" t="e">
        <f>_xlfn.CONCAT("            Helmets = """, Q74, """,")</f>
        <v>#N/A</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e">
        <f>Mistwall!L4</f>
        <v>#N/A</v>
      </c>
      <c r="L75" s="11" t="e">
        <f>_xlfn.CONCAT("            Shields = """, K75, """,")</f>
        <v>#N/A</v>
      </c>
      <c r="M75" s="19" t="e">
        <f>Mistwall!N4</f>
        <v>#N/A</v>
      </c>
      <c r="N75" s="11" t="e">
        <f>_xlfn.CONCAT("            Shields = """, M75, """,")</f>
        <v>#N/A</v>
      </c>
      <c r="O75" s="19" t="e">
        <f>Mistwall!P4</f>
        <v>#N/A</v>
      </c>
      <c r="P75" s="11" t="e">
        <f>_xlfn.CONCAT("            Shields = """, O75, """,")</f>
        <v>#N/A</v>
      </c>
      <c r="Q75" s="19" t="e">
        <f>Mistwall!R4</f>
        <v>#N/A</v>
      </c>
      <c r="R75" s="11" t="e">
        <f>_xlfn.CONCAT("            Shields = """, Q75, """,")</f>
        <v>#N/A</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e">
        <f>Quiver!L4</f>
        <v>#N/A</v>
      </c>
      <c r="L76" s="11" t="e">
        <f>_xlfn.CONCAT("            Quivers = """, K76, """,")</f>
        <v>#N/A</v>
      </c>
      <c r="M76" s="19" t="e">
        <f>Quiver!N4</f>
        <v>#N/A</v>
      </c>
      <c r="N76" s="11" t="e">
        <f>_xlfn.CONCAT("            Quivers = """, M76, """,")</f>
        <v>#N/A</v>
      </c>
      <c r="O76" s="19" t="e">
        <f>Quiver!P4</f>
        <v>#N/A</v>
      </c>
      <c r="P76" s="11" t="e">
        <f>_xlfn.CONCAT("            Quivers = """, O76, """,")</f>
        <v>#N/A</v>
      </c>
      <c r="Q76" s="19" t="e">
        <f>Quiver!R4</f>
        <v>#N/A</v>
      </c>
      <c r="R76" s="11" t="e">
        <f>_xlfn.CONCAT("            Quivers = """, Q76, """,")</f>
        <v>#N/A</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e">
        <f>'Life Flask'!L4</f>
        <v>#N/A</v>
      </c>
      <c r="L77" s="11" t="e">
        <f>_xlfn.CONCAT("            LifeFlasks = """, K77, """,")</f>
        <v>#N/A</v>
      </c>
      <c r="M77" s="19" t="e">
        <f>'Life Flask'!N4</f>
        <v>#N/A</v>
      </c>
      <c r="N77" s="11" t="e">
        <f>_xlfn.CONCAT("            LifeFlasks = """, M77, """,")</f>
        <v>#N/A</v>
      </c>
      <c r="O77" s="19" t="e">
        <f>'Life Flask'!P4</f>
        <v>#N/A</v>
      </c>
      <c r="P77" s="11" t="e">
        <f>_xlfn.CONCAT("            LifeFlasks = """, O77, """,")</f>
        <v>#N/A</v>
      </c>
      <c r="Q77" s="19" t="e">
        <f>'Life Flask'!R4</f>
        <v>#N/A</v>
      </c>
      <c r="R77" s="11" t="e">
        <f>_xlfn.CONCAT("            LifeFlasks = """, Q77, """,")</f>
        <v>#N/A</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e">
        <f>'Mana Flask'!L4</f>
        <v>#N/A</v>
      </c>
      <c r="L78" s="11" t="e">
        <f>_xlfn.CONCAT("            ManaFlasks = """, K78, """,")</f>
        <v>#N/A</v>
      </c>
      <c r="M78" s="19" t="e">
        <f>'Mana Flask'!N4</f>
        <v>#N/A</v>
      </c>
      <c r="N78" s="11" t="e">
        <f>_xlfn.CONCAT("            ManaFlasks = """, M78, """,")</f>
        <v>#N/A</v>
      </c>
      <c r="O78" s="19" t="e">
        <f>'Mana Flask'!P4</f>
        <v>#N/A</v>
      </c>
      <c r="P78" s="11" t="e">
        <f>_xlfn.CONCAT("            ManaFlasks = """, O78, """,")</f>
        <v>#N/A</v>
      </c>
      <c r="Q78" s="19" t="e">
        <f>'Mana Flask'!R4</f>
        <v>#N/A</v>
      </c>
      <c r="R78" s="11" t="e">
        <f>_xlfn.CONCAT("            ManaFlasks = """, Q78, """,")</f>
        <v>#N/A</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e">
        <f>'Hybrid Flask'!L4</f>
        <v>#N/A</v>
      </c>
      <c r="L79" s="11" t="e">
        <f>_xlfn.CONCAT("            HybridFlasks = """, K79, """,")</f>
        <v>#N/A</v>
      </c>
      <c r="M79" s="19" t="e">
        <f>'Hybrid Flask'!N4</f>
        <v>#N/A</v>
      </c>
      <c r="N79" s="11" t="e">
        <f>_xlfn.CONCAT("            HybridFlasks = """, M79, """,")</f>
        <v>#N/A</v>
      </c>
      <c r="O79" s="19" t="e">
        <f>'Hybrid Flask'!P4</f>
        <v>#N/A</v>
      </c>
      <c r="P79" s="11" t="e">
        <f>_xlfn.CONCAT("            HybridFlasks = """, O79, """,")</f>
        <v>#N/A</v>
      </c>
      <c r="Q79" s="19" t="e">
        <f>'Hybrid Flask'!R4</f>
        <v>#N/A</v>
      </c>
      <c r="R79" s="11" t="e">
        <f>_xlfn.CONCAT("            HybridFlasks = """, Q79, """,")</f>
        <v>#N/A</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e">
        <f>'Magic Utility Flask'!L4</f>
        <v>#N/A</v>
      </c>
      <c r="L80" s="11" t="e">
        <f>_xlfn.CONCAT("            UtilityFlasks = """, K80, """,")</f>
        <v>#N/A</v>
      </c>
      <c r="M80" s="19" t="e">
        <f>'Magic Utility Flask'!N4</f>
        <v>#N/A</v>
      </c>
      <c r="N80" s="11" t="e">
        <f>_xlfn.CONCAT("            UtilityFlasks = """, M80, """,")</f>
        <v>#N/A</v>
      </c>
      <c r="O80" s="19" t="e">
        <f>'Magic Utility Flask'!P4</f>
        <v>#N/A</v>
      </c>
      <c r="P80" s="11" t="e">
        <f>_xlfn.CONCAT("            UtilityFlasks = """, O80, """,")</f>
        <v>#N/A</v>
      </c>
      <c r="Q80" s="19" t="e">
        <f>'Magic Utility Flask'!R4</f>
        <v>#N/A</v>
      </c>
      <c r="R80" s="11" t="e">
        <f>_xlfn.CONCAT("            UtilityFlasks = """, Q80, """,")</f>
        <v>#N/A</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e">
        <f>'Phantasmal Gem'!L4</f>
        <v>#N/A</v>
      </c>
      <c r="L81" s="11" t="e">
        <f>_xlfn.CONCAT("            ActiveSkillGems = """, K81, """,")</f>
        <v>#N/A</v>
      </c>
      <c r="M81" s="19" t="e">
        <f>'Phantasmal Gem'!N4</f>
        <v>#N/A</v>
      </c>
      <c r="N81" s="11" t="e">
        <f>_xlfn.CONCAT("            ActiveSkillGems = """, M81, """,")</f>
        <v>#N/A</v>
      </c>
      <c r="O81" s="19" t="e">
        <f>'Phantasmal Gem'!P4</f>
        <v>#N/A</v>
      </c>
      <c r="P81" s="11" t="e">
        <f>_xlfn.CONCAT("            ActiveSkillGems = """, O81, """,")</f>
        <v>#N/A</v>
      </c>
      <c r="Q81" s="19" t="e">
        <f>'Phantasmal Gem'!R4</f>
        <v>#N/A</v>
      </c>
      <c r="R81" s="11" t="e">
        <f>_xlfn.CONCAT("            ActiveSkillGems = """, Q81, """,")</f>
        <v>#N/A</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e">
        <f>'Divergent Support Gem'!L4</f>
        <v>#N/A</v>
      </c>
      <c r="L82" s="11" t="e">
        <f>_xlfn.CONCAT("            SupportSkillGems = """, K82, """,")</f>
        <v>#N/A</v>
      </c>
      <c r="M82" s="19" t="e">
        <f>'Divergent Support Gem'!N4</f>
        <v>#N/A</v>
      </c>
      <c r="N82" s="11" t="e">
        <f>_xlfn.CONCAT("            SupportSkillGems = """, M82, """,")</f>
        <v>#N/A</v>
      </c>
      <c r="O82" s="19" t="e">
        <f>'Divergent Support Gem'!P4</f>
        <v>#N/A</v>
      </c>
      <c r="P82" s="11" t="e">
        <f>_xlfn.CONCAT("            SupportSkillGems = """, O82, """,")</f>
        <v>#N/A</v>
      </c>
      <c r="Q82" s="19" t="e">
        <f>'Divergent Support Gem'!R4</f>
        <v>#N/A</v>
      </c>
      <c r="R82" s="11" t="e">
        <f>_xlfn.CONCAT("            SupportSkillGems = """, Q82, """,")</f>
        <v>#N/A</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e">
        <f>Map!L4</f>
        <v>#N/A</v>
      </c>
      <c r="L83" s="11" t="e">
        <f>_xlfn.CONCAT("            Maps = """, K83, """,")</f>
        <v>#N/A</v>
      </c>
      <c r="M83" s="19" t="e">
        <f>Map!N4</f>
        <v>#N/A</v>
      </c>
      <c r="N83" s="11" t="e">
        <f>_xlfn.CONCAT("            Maps = """, M83, """,")</f>
        <v>#N/A</v>
      </c>
      <c r="O83" s="19" t="e">
        <f>Map!P4</f>
        <v>#N/A</v>
      </c>
      <c r="P83" s="11" t="e">
        <f>_xlfn.CONCAT("            Maps = """, O83, """,")</f>
        <v>#N/A</v>
      </c>
      <c r="Q83" s="19" t="e">
        <f>Map!R4</f>
        <v>#N/A</v>
      </c>
      <c r="R83" s="11" t="e">
        <f>_xlfn.CONCAT("            Maps = """, Q83, """,")</f>
        <v>#N/A</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e">
        <f>'Map Fragment'!L4</f>
        <v>#N/A</v>
      </c>
      <c r="L84" s="11" t="e">
        <f>_xlfn.CONCAT("            MapFragments = """, K84, """,")</f>
        <v>#N/A</v>
      </c>
      <c r="M84" s="19" t="e">
        <f>'Map Fragment'!N4</f>
        <v>#N/A</v>
      </c>
      <c r="N84" s="11" t="e">
        <f>_xlfn.CONCAT("            MapFragments = """, M84, """,")</f>
        <v>#N/A</v>
      </c>
      <c r="O84" s="19" t="e">
        <f>'Map Fragment'!P4</f>
        <v>#N/A</v>
      </c>
      <c r="P84" s="11" t="e">
        <f>_xlfn.CONCAT("            MapFragments = """, O84, """,")</f>
        <v>#N/A</v>
      </c>
      <c r="Q84" s="19" t="e">
        <f>'Map Fragment'!R4</f>
        <v>#N/A</v>
      </c>
      <c r="R84" s="11" t="e">
        <f>_xlfn.CONCAT("            MapFragments = """, Q84, """,")</f>
        <v>#N/A</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e">
        <f>Contract!L4</f>
        <v>#N/A</v>
      </c>
      <c r="L85" s="11" t="e">
        <f>_xlfn.CONCAT("            Contract = """, K85, """,")</f>
        <v>#N/A</v>
      </c>
      <c r="M85" s="19" t="e">
        <f>Contract!N4</f>
        <v>#N/A</v>
      </c>
      <c r="N85" s="11" t="e">
        <f>_xlfn.CONCAT("            Contract = """, M85, """,")</f>
        <v>#N/A</v>
      </c>
      <c r="O85" s="19" t="e">
        <f>Contract!P4</f>
        <v>#N/A</v>
      </c>
      <c r="P85" s="11" t="e">
        <f>_xlfn.CONCAT("            Contract = """, O85, """,")</f>
        <v>#N/A</v>
      </c>
      <c r="Q85" s="19" t="e">
        <f>Contract!R4</f>
        <v>#N/A</v>
      </c>
      <c r="R85" s="11" t="e">
        <f>_xlfn.CONCAT("            Contract = """, Q85, """,")</f>
        <v>#N/A</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e">
        <f>Blueprint!L4</f>
        <v>#N/A</v>
      </c>
      <c r="L86" s="11" t="e">
        <f>_xlfn.CONCAT("            Blueprint = """, K86, """,")</f>
        <v>#N/A</v>
      </c>
      <c r="M86" s="19" t="e">
        <f>Blueprint!N4</f>
        <v>#N/A</v>
      </c>
      <c r="N86" s="11" t="e">
        <f>_xlfn.CONCAT("            Blueprint = """, M86, """,")</f>
        <v>#N/A</v>
      </c>
      <c r="O86" s="19" t="e">
        <f>Blueprint!P4</f>
        <v>#N/A</v>
      </c>
      <c r="P86" s="11" t="e">
        <f>_xlfn.CONCAT("            Blueprint = """, O86, """,")</f>
        <v>#N/A</v>
      </c>
      <c r="Q86" s="19" t="e">
        <f>Blueprint!R4</f>
        <v>#N/A</v>
      </c>
      <c r="R86" s="11" t="e">
        <f>_xlfn.CONCAT("            Blueprint = """, Q86, """,")</f>
        <v>#N/A</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e">
        <f>'Misc Map Item'!L4</f>
        <v>#N/A</v>
      </c>
      <c r="L87" s="11" t="e">
        <f>_xlfn.CONCAT("            MiscMapItems = """, K87, """,")</f>
        <v>#N/A</v>
      </c>
      <c r="M87" s="19" t="e">
        <f>'Misc Map Item'!N4</f>
        <v>#N/A</v>
      </c>
      <c r="N87" s="11" t="e">
        <f>_xlfn.CONCAT("            MiscMapItems = """, M87, """,")</f>
        <v>#N/A</v>
      </c>
      <c r="O87" s="19" t="e">
        <f>'Misc Map Item'!P4</f>
        <v>#N/A</v>
      </c>
      <c r="P87" s="11" t="e">
        <f>_xlfn.CONCAT("            MiscMapItems = """, O87, """,")</f>
        <v>#N/A</v>
      </c>
      <c r="Q87" s="19" t="e">
        <f>'Misc Map Item'!R4</f>
        <v>#N/A</v>
      </c>
      <c r="R87" s="11" t="e">
        <f>_xlfn.CONCAT("            MiscMapItems = """, Q87, """,")</f>
        <v>#N/A</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e">
        <f>Claw!L4</f>
        <v>#N/A</v>
      </c>
      <c r="L88" s="11" t="e">
        <f>_xlfn.CONCAT("            Claws = """, K88, """,")</f>
        <v>#N/A</v>
      </c>
      <c r="M88" s="19" t="e">
        <f>Claw!N4</f>
        <v>#N/A</v>
      </c>
      <c r="N88" s="11" t="e">
        <f>_xlfn.CONCAT("            Claws = """, M88, """,")</f>
        <v>#N/A</v>
      </c>
      <c r="O88" s="19" t="e">
        <f>Claw!P4</f>
        <v>#N/A</v>
      </c>
      <c r="P88" s="11" t="e">
        <f>_xlfn.CONCAT("            Claws = """, O88, """,")</f>
        <v>#N/A</v>
      </c>
      <c r="Q88" s="19" t="e">
        <f>Claw!R4</f>
        <v>#N/A</v>
      </c>
      <c r="R88" s="11" t="e">
        <f>_xlfn.CONCAT("            Claws = """, Q88, """,")</f>
        <v>#N/A</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e">
        <f>Dagger!L4</f>
        <v>#N/A</v>
      </c>
      <c r="L89" s="11" t="e">
        <f>_xlfn.CONCAT("            Daggers = """, K89, """,")</f>
        <v>#N/A</v>
      </c>
      <c r="M89" s="19" t="e">
        <f>Dagger!N4</f>
        <v>#N/A</v>
      </c>
      <c r="N89" s="11" t="e">
        <f>_xlfn.CONCAT("            Daggers = """, M89, """,")</f>
        <v>#N/A</v>
      </c>
      <c r="O89" s="19" t="e">
        <f>Dagger!P4</f>
        <v>#N/A</v>
      </c>
      <c r="P89" s="11" t="e">
        <f>_xlfn.CONCAT("            Daggers = """, O89, """,")</f>
        <v>#N/A</v>
      </c>
      <c r="Q89" s="19" t="e">
        <f>Dagger!R4</f>
        <v>#N/A</v>
      </c>
      <c r="R89" s="11" t="e">
        <f>_xlfn.CONCAT("            Daggers = """, Q89, """,")</f>
        <v>#N/A</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e">
        <f>Wand!L4</f>
        <v>#N/A</v>
      </c>
      <c r="L90" s="11" t="e">
        <f>_xlfn.CONCAT("            Wands = """, K90, """,")</f>
        <v>#N/A</v>
      </c>
      <c r="M90" s="19" t="e">
        <f>Wand!N4</f>
        <v>#N/A</v>
      </c>
      <c r="N90" s="11" t="e">
        <f>_xlfn.CONCAT("            Wands = """, M90, """,")</f>
        <v>#N/A</v>
      </c>
      <c r="O90" s="19" t="e">
        <f>Wand!P4</f>
        <v>#N/A</v>
      </c>
      <c r="P90" s="11" t="e">
        <f>_xlfn.CONCAT("            Wands = """, O90, """,")</f>
        <v>#N/A</v>
      </c>
      <c r="Q90" s="19" t="e">
        <f>Wand!R4</f>
        <v>#N/A</v>
      </c>
      <c r="R90" s="11" t="e">
        <f>_xlfn.CONCAT("            Wands = """, Q90, """,")</f>
        <v>#N/A</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e">
        <f>'1H Sword'!L4</f>
        <v>#N/A</v>
      </c>
      <c r="L91" s="11" t="e">
        <f>_xlfn.CONCAT("            OneHandSwords = """, K91, """,")</f>
        <v>#N/A</v>
      </c>
      <c r="M91" s="19" t="e">
        <f>'1H Sword'!N4</f>
        <v>#N/A</v>
      </c>
      <c r="N91" s="11" t="e">
        <f>_xlfn.CONCAT("            OneHandSwords = """, M91, """,")</f>
        <v>#N/A</v>
      </c>
      <c r="O91" s="19" t="e">
        <f>'1H Sword'!P4</f>
        <v>#N/A</v>
      </c>
      <c r="P91" s="11" t="e">
        <f>_xlfn.CONCAT("            OneHandSwords = """, O91, """,")</f>
        <v>#N/A</v>
      </c>
      <c r="Q91" s="19" t="e">
        <f>'1H Sword'!R4</f>
        <v>#N/A</v>
      </c>
      <c r="R91" s="11" t="e">
        <f>_xlfn.CONCAT("            OneHandSwords = """, Q91, """,")</f>
        <v>#N/A</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e">
        <f>'1H Thrusting Sword'!L4</f>
        <v>#N/A</v>
      </c>
      <c r="L92" s="11" t="e">
        <f>_xlfn.CONCAT("            ThrustingOneHandSwords = """, K92, """,")</f>
        <v>#N/A</v>
      </c>
      <c r="M92" s="19" t="e">
        <f>'1H Thrusting Sword'!N4</f>
        <v>#N/A</v>
      </c>
      <c r="N92" s="11" t="e">
        <f>_xlfn.CONCAT("            ThrustingOneHandSwords = """, M92, """,")</f>
        <v>#N/A</v>
      </c>
      <c r="O92" s="19" t="e">
        <f>'1H Thrusting Sword'!P4</f>
        <v>#N/A</v>
      </c>
      <c r="P92" s="11" t="e">
        <f>_xlfn.CONCAT("            ThrustingOneHandSwords = """, O92, """,")</f>
        <v>#N/A</v>
      </c>
      <c r="Q92" s="19" t="e">
        <f>'1H Thrusting Sword'!R4</f>
        <v>#N/A</v>
      </c>
      <c r="R92" s="11" t="e">
        <f>_xlfn.CONCAT("            ThrustingOneHandSwords = """, Q92, """,")</f>
        <v>#N/A</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e">
        <f>'1H Axe'!L4</f>
        <v>#N/A</v>
      </c>
      <c r="L93" s="11" t="e">
        <f>_xlfn.CONCAT("            OneHandAxes = """, K93, """,")</f>
        <v>#N/A</v>
      </c>
      <c r="M93" s="19" t="e">
        <f>'1H Axe'!N4</f>
        <v>#N/A</v>
      </c>
      <c r="N93" s="11" t="e">
        <f>_xlfn.CONCAT("            OneHandAxes = """, M93, """,")</f>
        <v>#N/A</v>
      </c>
      <c r="O93" s="19" t="e">
        <f>'1H Axe'!P4</f>
        <v>#N/A</v>
      </c>
      <c r="P93" s="11" t="e">
        <f>_xlfn.CONCAT("            OneHandAxes = """, O93, """,")</f>
        <v>#N/A</v>
      </c>
      <c r="Q93" s="19" t="e">
        <f>'1H Axe'!R4</f>
        <v>#N/A</v>
      </c>
      <c r="R93" s="11" t="e">
        <f>_xlfn.CONCAT("            OneHandAxes = """, Q93, """,")</f>
        <v>#N/A</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e">
        <f>'1H Mace'!L4</f>
        <v>#N/A</v>
      </c>
      <c r="L94" s="11" t="e">
        <f>_xlfn.CONCAT("            OneHandMaces = """, K94, """,")</f>
        <v>#N/A</v>
      </c>
      <c r="M94" s="19" t="e">
        <f>'1H Mace'!N4</f>
        <v>#N/A</v>
      </c>
      <c r="N94" s="11" t="e">
        <f>_xlfn.CONCAT("            OneHandMaces = """, M94, """,")</f>
        <v>#N/A</v>
      </c>
      <c r="O94" s="19" t="e">
        <f>'1H Mace'!P4</f>
        <v>#N/A</v>
      </c>
      <c r="P94" s="11" t="e">
        <f>_xlfn.CONCAT("            OneHandMaces = """, O94, """,")</f>
        <v>#N/A</v>
      </c>
      <c r="Q94" s="19" t="e">
        <f>'1H Mace'!R4</f>
        <v>#N/A</v>
      </c>
      <c r="R94" s="11" t="e">
        <f>_xlfn.CONCAT("            OneHandMaces = """, Q94, """,")</f>
        <v>#N/A</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e">
        <f>Bow!L4</f>
        <v>#N/A</v>
      </c>
      <c r="L95" s="11" t="e">
        <f>_xlfn.CONCAT("            Bows = """, K95, """,")</f>
        <v>#N/A</v>
      </c>
      <c r="M95" s="19" t="e">
        <f>Bow!N4</f>
        <v>#N/A</v>
      </c>
      <c r="N95" s="11" t="e">
        <f>_xlfn.CONCAT("            Bows = """, M95, """,")</f>
        <v>#N/A</v>
      </c>
      <c r="O95" s="19" t="e">
        <f>Bow!P4</f>
        <v>#N/A</v>
      </c>
      <c r="P95" s="11" t="e">
        <f>_xlfn.CONCAT("            Bows = """, O95, """,")</f>
        <v>#N/A</v>
      </c>
      <c r="Q95" s="19" t="e">
        <f>Bow!R4</f>
        <v>#N/A</v>
      </c>
      <c r="R95" s="11" t="e">
        <f>_xlfn.CONCAT("            Bows = """, Q95, """,")</f>
        <v>#N/A</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e">
        <f>Staff!L4</f>
        <v>#N/A</v>
      </c>
      <c r="L96" s="11" t="e">
        <f>_xlfn.CONCAT("            Staves = """, K96, """,")</f>
        <v>#N/A</v>
      </c>
      <c r="M96" s="19" t="e">
        <f>Staff!N4</f>
        <v>#N/A</v>
      </c>
      <c r="N96" s="11" t="e">
        <f>_xlfn.CONCAT("            Staves = """, M96, """,")</f>
        <v>#N/A</v>
      </c>
      <c r="O96" s="19" t="e">
        <f>Staff!P4</f>
        <v>#N/A</v>
      </c>
      <c r="P96" s="11" t="e">
        <f>_xlfn.CONCAT("            Staves = """, O96, """,")</f>
        <v>#N/A</v>
      </c>
      <c r="Q96" s="19" t="e">
        <f>Staff!R4</f>
        <v>#N/A</v>
      </c>
      <c r="R96" s="11" t="e">
        <f>_xlfn.CONCAT("            Staves = """, Q96, """,")</f>
        <v>#N/A</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e">
        <f>'2H Sword'!L4</f>
        <v>#N/A</v>
      </c>
      <c r="L97" s="11" t="e">
        <f>_xlfn.CONCAT("            TwoHandSwords = """, K97, """,")</f>
        <v>#N/A</v>
      </c>
      <c r="M97" s="19" t="e">
        <f>'2H Sword'!N4</f>
        <v>#N/A</v>
      </c>
      <c r="N97" s="11" t="e">
        <f>_xlfn.CONCAT("            TwoHandSwords = """, M97, """,")</f>
        <v>#N/A</v>
      </c>
      <c r="O97" s="19" t="e">
        <f>'2H Sword'!P4</f>
        <v>#N/A</v>
      </c>
      <c r="P97" s="11" t="e">
        <f>_xlfn.CONCAT("            TwoHandSwords = """, O97, """,")</f>
        <v>#N/A</v>
      </c>
      <c r="Q97" s="19" t="e">
        <f>'2H Sword'!R4</f>
        <v>#N/A</v>
      </c>
      <c r="R97" s="11" t="e">
        <f>_xlfn.CONCAT("            TwoHandSwords = """, Q97, """,")</f>
        <v>#N/A</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e">
        <f>'2H Axe'!L4</f>
        <v>#N/A</v>
      </c>
      <c r="L98" s="11" t="e">
        <f>_xlfn.CONCAT("            TwoHandAxes = """, K98, """,")</f>
        <v>#N/A</v>
      </c>
      <c r="M98" s="19" t="e">
        <f>'2H Axe'!N4</f>
        <v>#N/A</v>
      </c>
      <c r="N98" s="11" t="e">
        <f>_xlfn.CONCAT("            TwoHandAxes = """, M98, """,")</f>
        <v>#N/A</v>
      </c>
      <c r="O98" s="19" t="e">
        <f>'2H Axe'!P4</f>
        <v>#N/A</v>
      </c>
      <c r="P98" s="11" t="e">
        <f>_xlfn.CONCAT("            TwoHandAxes = """, O98, """,")</f>
        <v>#N/A</v>
      </c>
      <c r="Q98" s="19" t="e">
        <f>'2H Axe'!R4</f>
        <v>#N/A</v>
      </c>
      <c r="R98" s="11" t="e">
        <f>_xlfn.CONCAT("            TwoHandAxes = """, Q98, """,")</f>
        <v>#N/A</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e">
        <f>'2H Mace'!L4</f>
        <v>#N/A</v>
      </c>
      <c r="L99" s="11" t="e">
        <f>_xlfn.CONCAT("            TwoHandMaces = """, K99, """,")</f>
        <v>#N/A</v>
      </c>
      <c r="M99" s="19" t="e">
        <f>'2H Mace'!N4</f>
        <v>#N/A</v>
      </c>
      <c r="N99" s="11" t="e">
        <f>_xlfn.CONCAT("            TwoHandMaces = """, M99, """,")</f>
        <v>#N/A</v>
      </c>
      <c r="O99" s="19" t="e">
        <f>'2H Mace'!P4</f>
        <v>#N/A</v>
      </c>
      <c r="P99" s="11" t="e">
        <f>_xlfn.CONCAT("            TwoHandMaces = """, O99, """,")</f>
        <v>#N/A</v>
      </c>
      <c r="Q99" s="19" t="e">
        <f>'2H Mace'!R4</f>
        <v>#N/A</v>
      </c>
      <c r="R99" s="11" t="e">
        <f>_xlfn.CONCAT("            TwoHandMaces = """, Q99, """,")</f>
        <v>#N/A</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e">
        <f>Sceptre!L4</f>
        <v>#N/A</v>
      </c>
      <c r="L100" s="11" t="e">
        <f>_xlfn.CONCAT("            Sceptres = """, K100, """,")</f>
        <v>#N/A</v>
      </c>
      <c r="M100" s="19" t="e">
        <f>Sceptre!N4</f>
        <v>#N/A</v>
      </c>
      <c r="N100" s="11" t="e">
        <f>_xlfn.CONCAT("            Sceptres = """, M100, """,")</f>
        <v>#N/A</v>
      </c>
      <c r="O100" s="19" t="e">
        <f>Sceptre!P4</f>
        <v>#N/A</v>
      </c>
      <c r="P100" s="11" t="e">
        <f>_xlfn.CONCAT("            Sceptres = """, O100, """,")</f>
        <v>#N/A</v>
      </c>
      <c r="Q100" s="19" t="e">
        <f>Sceptre!R4</f>
        <v>#N/A</v>
      </c>
      <c r="R100" s="11" t="e">
        <f>_xlfn.CONCAT("            Sceptres = """, Q100, """,")</f>
        <v>#N/A</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e">
        <f>'White Wind'!L4</f>
        <v>#N/A</v>
      </c>
      <c r="L101" s="11" t="e">
        <f>_xlfn.CONCAT("            RuneDaggers = """, K101, """,")</f>
        <v>#N/A</v>
      </c>
      <c r="M101" s="19" t="e">
        <f>'White Wind'!N4</f>
        <v>#N/A</v>
      </c>
      <c r="N101" s="11" t="e">
        <f>_xlfn.CONCAT("            RuneDaggers = """, M101, """,")</f>
        <v>#N/A</v>
      </c>
      <c r="O101" s="19" t="e">
        <f>'White Wind'!P4</f>
        <v>#N/A</v>
      </c>
      <c r="P101" s="11" t="e">
        <f>_xlfn.CONCAT("            RuneDaggers = """, O101, """,")</f>
        <v>#N/A</v>
      </c>
      <c r="Q101" s="19" t="e">
        <f>'White Wind'!R4</f>
        <v>#N/A</v>
      </c>
      <c r="R101" s="11" t="e">
        <f>_xlfn.CONCAT("            RuneDaggers = """, Q101, """,")</f>
        <v>#N/A</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e">
        <f>Warstaff!L4</f>
        <v>#N/A</v>
      </c>
      <c r="L102" s="11" t="e">
        <f>_xlfn.CONCAT("            Warstaves = """, K102, """,")</f>
        <v>#N/A</v>
      </c>
      <c r="M102" s="19" t="e">
        <f>Warstaff!N4</f>
        <v>#N/A</v>
      </c>
      <c r="N102" s="11" t="e">
        <f>_xlfn.CONCAT("            Warstaves = """, M102, """,")</f>
        <v>#N/A</v>
      </c>
      <c r="O102" s="19" t="e">
        <f>Warstaff!P4</f>
        <v>#N/A</v>
      </c>
      <c r="P102" s="11" t="e">
        <f>_xlfn.CONCAT("            Warstaves = """, O102, """,")</f>
        <v>#N/A</v>
      </c>
      <c r="Q102" s="19" t="e">
        <f>Warstaff!R4</f>
        <v>#N/A</v>
      </c>
      <c r="R102" s="11" t="e">
        <f>_xlfn.CONCAT("            Warstaves = """, Q102, """,")</f>
        <v>#N/A</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e">
        <f>'Fishing Rod'!L4</f>
        <v>#N/A</v>
      </c>
      <c r="L103" s="11" t="e">
        <f>_xlfn.CONCAT("            FishingRods = """, K103, """,")</f>
        <v>#N/A</v>
      </c>
      <c r="M103" s="19" t="e">
        <f>'Fishing Rod'!N4</f>
        <v>#N/A</v>
      </c>
      <c r="N103" s="11" t="e">
        <f>_xlfn.CONCAT("            FishingRods = """, M103, """,")</f>
        <v>#N/A</v>
      </c>
      <c r="O103" s="19" t="e">
        <f>'Fishing Rod'!P4</f>
        <v>#N/A</v>
      </c>
      <c r="P103" s="11" t="e">
        <f>_xlfn.CONCAT("            FishingRods = """, O103, """,")</f>
        <v>#N/A</v>
      </c>
      <c r="Q103" s="19" t="e">
        <f>'Fishing Rod'!R4</f>
        <v>#N/A</v>
      </c>
      <c r="R103" s="11" t="e">
        <f>_xlfn.CONCAT("            FishingRods = """, Q103, """,")</f>
        <v>#N/A</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e">
        <f>'Heist Gear'!L4</f>
        <v>#N/A</v>
      </c>
      <c r="L104" s="11" t="e">
        <f>_xlfn.CONCAT("            HeistGear = """, K104, """,")</f>
        <v>#N/A</v>
      </c>
      <c r="M104" s="19" t="e">
        <f>'Heist Gear'!N4</f>
        <v>#N/A</v>
      </c>
      <c r="N104" s="11" t="e">
        <f>_xlfn.CONCAT("            HeistGear = """, M104, """,")</f>
        <v>#N/A</v>
      </c>
      <c r="O104" s="19" t="e">
        <f>'Heist Gear'!P4</f>
        <v>#N/A</v>
      </c>
      <c r="P104" s="11" t="e">
        <f>_xlfn.CONCAT("            HeistGear = """, O104, """,")</f>
        <v>#N/A</v>
      </c>
      <c r="Q104" s="19" t="e">
        <f>'Heist Gear'!R4</f>
        <v>#N/A</v>
      </c>
      <c r="R104" s="11" t="e">
        <f>_xlfn.CONCAT("            HeistGear = """, Q104, """,")</f>
        <v>#N/A</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e">
        <f>'Heist Brooch'!L4</f>
        <v>#N/A</v>
      </c>
      <c r="L105" s="11" t="e">
        <f>_xlfn.CONCAT("            HeistBrooch = """, K105, """,")</f>
        <v>#N/A</v>
      </c>
      <c r="M105" s="19" t="e">
        <f>'Heist Brooch'!N4</f>
        <v>#N/A</v>
      </c>
      <c r="N105" s="11" t="e">
        <f>_xlfn.CONCAT("            HeistBrooch = """, M105, """,")</f>
        <v>#N/A</v>
      </c>
      <c r="O105" s="19" t="e">
        <f>'Heist Brooch'!P4</f>
        <v>#N/A</v>
      </c>
      <c r="P105" s="11" t="e">
        <f>_xlfn.CONCAT("            HeistBrooch = """, O105, """,")</f>
        <v>#N/A</v>
      </c>
      <c r="Q105" s="19" t="e">
        <f>'Heist Brooch'!R4</f>
        <v>#N/A</v>
      </c>
      <c r="R105" s="11" t="e">
        <f>_xlfn.CONCAT("            HeistBrooch = """, Q105, """,")</f>
        <v>#N/A</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e">
        <f>'Heist Target'!L4</f>
        <v>#N/A</v>
      </c>
      <c r="L106" s="11" t="e">
        <f>_xlfn.CONCAT("            HeistTarget = """, K106, """,")</f>
        <v>#N/A</v>
      </c>
      <c r="M106" s="19" t="e">
        <f>'Heist Target'!N4</f>
        <v>#N/A</v>
      </c>
      <c r="N106" s="11" t="e">
        <f>_xlfn.CONCAT("            HeistTarget = """, M106, """,")</f>
        <v>#N/A</v>
      </c>
      <c r="O106" s="19" t="e">
        <f>'Heist Target'!P4</f>
        <v>#N/A</v>
      </c>
      <c r="P106" s="11" t="e">
        <f>_xlfn.CONCAT("            HeistTarget = """, O106, """,")</f>
        <v>#N/A</v>
      </c>
      <c r="Q106" s="19" t="e">
        <f>'Heist Target'!R4</f>
        <v>#N/A</v>
      </c>
      <c r="R106" s="11" t="e">
        <f>_xlfn.CONCAT("            HeistTarget = """, Q106, """,")</f>
        <v>#N/A</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e">
        <f>'Heist Cloak'!L4</f>
        <v>#N/A</v>
      </c>
      <c r="L107" s="11" t="e">
        <f>_xlfn.CONCAT("            HeistCloak = """, K107, """,")</f>
        <v>#N/A</v>
      </c>
      <c r="M107" s="19" t="e">
        <f>'Heist Cloak'!N4</f>
        <v>#N/A</v>
      </c>
      <c r="N107" s="11" t="e">
        <f>_xlfn.CONCAT("            HeistCloak = """, M107, """,")</f>
        <v>#N/A</v>
      </c>
      <c r="O107" s="19" t="e">
        <f>'Heist Cloak'!P4</f>
        <v>#N/A</v>
      </c>
      <c r="P107" s="11" t="e">
        <f>_xlfn.CONCAT("            HeistCloak = """, O107, """,")</f>
        <v>#N/A</v>
      </c>
      <c r="Q107" s="19" t="e">
        <f>'Heist Cloak'!R4</f>
        <v>#N/A</v>
      </c>
      <c r="R107" s="11" t="e">
        <f>_xlfn.CONCAT("            HeistCloak = """, Q107, """,")</f>
        <v>#N/A</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e">
        <f>'Abyssal Jewel'!L4</f>
        <v>#N/A</v>
      </c>
      <c r="L108" s="11" t="e">
        <f>_xlfn.CONCAT("            AbyssJewel = """, K108, """,")</f>
        <v>#N/A</v>
      </c>
      <c r="M108" s="19" t="e">
        <f>'Abyssal Jewel'!N4</f>
        <v>#N/A</v>
      </c>
      <c r="N108" s="11" t="e">
        <f>_xlfn.CONCAT("            AbyssJewel = """, M108, """,")</f>
        <v>#N/A</v>
      </c>
      <c r="O108" s="19" t="e">
        <f>'Abyssal Jewel'!P4</f>
        <v>#N/A</v>
      </c>
      <c r="P108" s="11" t="e">
        <f>_xlfn.CONCAT("            AbyssJewel = """, O108, """,")</f>
        <v>#N/A</v>
      </c>
      <c r="Q108" s="19" t="e">
        <f>'Abyssal Jewel'!R4</f>
        <v>#N/A</v>
      </c>
      <c r="R108" s="11" t="e">
        <f>_xlfn.CONCAT("            AbyssJewel = """, Q108, """,")</f>
        <v>#N/A</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e">
        <f>'Heist Trinket'!L4</f>
        <v>#N/A</v>
      </c>
      <c r="L109" s="11" t="e">
        <f>_xlfn.CONCAT("            Trinkets = """, K109, """,")</f>
        <v>#N/A</v>
      </c>
      <c r="M109" s="19" t="e">
        <f>'Heist Trinket'!N4</f>
        <v>#N/A</v>
      </c>
      <c r="N109" s="11" t="e">
        <f>_xlfn.CONCAT("            Trinkets = """, M109, """,")</f>
        <v>#N/A</v>
      </c>
      <c r="O109" s="19" t="e">
        <f>'Heist Trinket'!P4</f>
        <v>#N/A</v>
      </c>
      <c r="P109" s="11" t="e">
        <f>_xlfn.CONCAT("            Trinkets = """, O109, """,")</f>
        <v>#N/A</v>
      </c>
      <c r="Q109" s="19" t="e">
        <f>'Heist Trinket'!R4</f>
        <v>#N/A</v>
      </c>
      <c r="R109" s="11" t="e">
        <f>_xlfn.CONCAT("            Trinkets = """, Q109, """,")</f>
        <v>#N/A</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e">
        <f>Logbook!L4</f>
        <v>#N/A</v>
      </c>
      <c r="L110" s="11" t="e">
        <f>_xlfn.CONCAT("            Logbooks = """, K110, """,")</f>
        <v>#N/A</v>
      </c>
      <c r="M110" s="19" t="e">
        <f>Logbook!N4</f>
        <v>#N/A</v>
      </c>
      <c r="N110" s="11" t="e">
        <f>_xlfn.CONCAT("            Logbooks = """, M110, """,")</f>
        <v>#N/A</v>
      </c>
      <c r="O110" s="19" t="e">
        <f>Logbook!P4</f>
        <v>#N/A</v>
      </c>
      <c r="P110" s="11" t="e">
        <f>_xlfn.CONCAT("            Logbooks = """, O110, """,")</f>
        <v>#N/A</v>
      </c>
      <c r="Q110" s="19" t="e">
        <f>Logbook!R4</f>
        <v>#N/A</v>
      </c>
      <c r="R110" s="11" t="e">
        <f>_xlfn.CONCAT("            Logbooks = """, Q110, """,")</f>
        <v>#N/A</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e">
        <f>Memory!L4</f>
        <v>#N/A</v>
      </c>
      <c r="L111" s="11" t="e">
        <f>_xlfn.CONCAT("            MemoryLine = """, K111, """,")</f>
        <v>#N/A</v>
      </c>
      <c r="M111" s="19" t="e">
        <f>Memory!N4</f>
        <v>#N/A</v>
      </c>
      <c r="N111" s="11" t="e">
        <f>_xlfn.CONCAT("            MemoryLine = """, M111, """,")</f>
        <v>#N/A</v>
      </c>
      <c r="O111" s="19" t="e">
        <f>Memory!P4</f>
        <v>#N/A</v>
      </c>
      <c r="P111" s="11" t="e">
        <f>_xlfn.CONCAT("            MemoryLine = """, O111, """,")</f>
        <v>#N/A</v>
      </c>
      <c r="Q111" s="19" t="e">
        <f>Memory!R4</f>
        <v>#N/A</v>
      </c>
      <c r="R111" s="11" t="e">
        <f>_xlfn.CONCAT("            MemoryLine = """, Q111, """,")</f>
        <v>#N/A</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str">
        <f>Tome!J4</f>
        <v>サンクタム調査書</v>
      </c>
      <c r="J112" s="11" t="str">
        <f>_xlfn.CONCAT("            SanctumResearch = """, I112, """,")</f>
        <v xml:space="preserve">            SanctumResearch = "サンクタム調査書",</v>
      </c>
      <c r="K112" s="19" t="e">
        <f>Tome!L4</f>
        <v>#N/A</v>
      </c>
      <c r="L112" s="11" t="e">
        <f>_xlfn.CONCAT("            SanctumResearch = """, K112, """,")</f>
        <v>#N/A</v>
      </c>
      <c r="M112" s="19" t="e">
        <f>Tome!N4</f>
        <v>#N/A</v>
      </c>
      <c r="N112" s="11" t="e">
        <f>_xlfn.CONCAT("            SanctumResearch = """, M112, """,")</f>
        <v>#N/A</v>
      </c>
      <c r="O112" s="19" t="e">
        <f>Tome!P4</f>
        <v>#N/A</v>
      </c>
      <c r="P112" s="11" t="e">
        <f>_xlfn.CONCAT("            SanctumResearch = """, O112, """,")</f>
        <v>#N/A</v>
      </c>
      <c r="Q112" s="19" t="e">
        <f>Tome!R4</f>
        <v>#N/A</v>
      </c>
      <c r="R112" s="11" t="e">
        <f>_xlfn.CONCAT("            SanctumResearch = """, Q112, """,")</f>
        <v>#N/A</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ellIs" dxfId="19" priority="9" stopIfTrue="1" operator="equal">
      <formula>"-"</formula>
    </cfRule>
    <cfRule type="cellIs" dxfId="18" priority="10" operator="between">
      <formula>"(Lowest value)"</formula>
      <formula>0</formula>
    </cfRule>
    <cfRule type="containsBlanks" dxfId="17" priority="5" stopIfTrue="1">
      <formula>LEN(TRIM(A2))=0</formula>
    </cfRule>
    <cfRule type="notContainsBlanks" dxfId="16" priority="16">
      <formula>LEN(TRIM(A2))&gt;0</formula>
    </cfRule>
    <cfRule type="containsErrors" dxfId="15" priority="4" stopIfTrue="1">
      <formula>ISERROR(A2)</formula>
    </cfRule>
  </conditionalFormatting>
  <conditionalFormatting sqref="B2:B115 H2:H115 D2:D115 F2:F115 J2:J115 L2:L115 N2:N115 P2:P115 R2:R115 T2:T115">
    <cfRule type="notContainsErrors" dxfId="12" priority="1" stopIfTrue="1">
      <formula>NOT(ISERROR(B2))</formula>
    </cfRule>
  </conditionalFormatting>
  <conditionalFormatting sqref="V2:V115">
    <cfRule type="cellIs" dxfId="14" priority="6" operator="equal">
      <formula>A2</formula>
    </cfRule>
    <cfRule type="cellIs" dxfId="13"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31" priority="2" stopIfTrue="1">
      <formula>NOT(ISERROR(A3))</formula>
    </cfRule>
  </conditionalFormatting>
  <conditionalFormatting sqref="A3:T51">
    <cfRule type="containsErrors" dxfId="730" priority="1" stopIfTrue="1">
      <formula>ISERROR(A3)</formula>
    </cfRule>
    <cfRule type="notContainsBlanks" dxfId="729"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J8" sqref="J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c r="L7" s="16" t="e">
        <f>TRIM(_xlfn.TEXTBEFORE(K5, " "))</f>
        <v>#N/A</v>
      </c>
      <c r="M7" s="18"/>
      <c r="N7" s="16" t="e">
        <f>TRIM(_xlfn.TEXTBEFORE(M5, " "))</f>
        <v>#N/A</v>
      </c>
      <c r="O7" s="18"/>
      <c r="P7" s="16" t="e">
        <f>TRIM(_xlfn.TEXTBEFORE(O5, " "))</f>
        <v>#N/A</v>
      </c>
      <c r="Q7" s="18"/>
      <c r="R7" s="16" t="e">
        <f>TRIM(_xlfn.TEXTBEFORE(Q5, " "))</f>
        <v>#N/A</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c r="L8" s="16"/>
      <c r="M8" s="18"/>
      <c r="N8" s="16"/>
      <c r="O8" s="18"/>
      <c r="P8" s="16"/>
      <c r="Q8" s="18"/>
      <c r="R8" s="16"/>
      <c r="S8" s="18"/>
      <c r="T8" s="20"/>
    </row>
    <row r="9" spans="1:20" ht="15.95" customHeight="1" x14ac:dyDescent="0.25">
      <c r="A9" s="18" t="s">
        <v>627</v>
      </c>
      <c r="B9" s="16"/>
      <c r="C9" s="18" t="s">
        <v>1631</v>
      </c>
      <c r="D9" s="16"/>
      <c r="E9" s="18" t="s">
        <v>2332</v>
      </c>
      <c r="F9" s="16"/>
      <c r="G9" s="18" t="s">
        <v>906</v>
      </c>
      <c r="H9" s="16"/>
      <c r="I9" s="18" t="s">
        <v>3042</v>
      </c>
      <c r="J9" s="16"/>
      <c r="K9" s="18"/>
      <c r="L9" s="16"/>
      <c r="M9" s="18"/>
      <c r="N9" s="16"/>
      <c r="O9" s="18"/>
      <c r="P9" s="16"/>
      <c r="Q9" s="18"/>
      <c r="R9" s="16"/>
      <c r="S9" s="18"/>
      <c r="T9" s="20"/>
    </row>
    <row r="10" spans="1:20" ht="15.95" customHeight="1" x14ac:dyDescent="0.25">
      <c r="A10" s="18" t="s">
        <v>628</v>
      </c>
      <c r="B10" s="16"/>
      <c r="C10" s="18" t="s">
        <v>1632</v>
      </c>
      <c r="D10" s="16"/>
      <c r="E10" s="18" t="s">
        <v>2333</v>
      </c>
      <c r="F10" s="16"/>
      <c r="G10" s="18" t="s">
        <v>907</v>
      </c>
      <c r="H10" s="16"/>
      <c r="I10" s="18" t="s">
        <v>3043</v>
      </c>
      <c r="J10" s="16"/>
      <c r="K10" s="18"/>
      <c r="L10" s="16"/>
      <c r="M10" s="18"/>
      <c r="N10" s="16"/>
      <c r="O10" s="18"/>
      <c r="P10" s="16"/>
      <c r="Q10" s="18"/>
      <c r="R10" s="16"/>
      <c r="S10" s="18"/>
      <c r="T10" s="20"/>
    </row>
    <row r="11" spans="1:20" ht="15.95" customHeight="1" x14ac:dyDescent="0.25">
      <c r="A11" s="18" t="s">
        <v>629</v>
      </c>
      <c r="B11" s="16"/>
      <c r="C11" s="18" t="s">
        <v>1633</v>
      </c>
      <c r="D11" s="16"/>
      <c r="E11" s="18" t="s">
        <v>2334</v>
      </c>
      <c r="F11" s="16"/>
      <c r="G11" s="18" t="s">
        <v>908</v>
      </c>
      <c r="H11" s="16"/>
      <c r="I11" s="18" t="s">
        <v>3044</v>
      </c>
      <c r="J11" s="16"/>
      <c r="K11" s="18"/>
      <c r="L11" s="16"/>
      <c r="M11" s="18"/>
      <c r="N11" s="16"/>
      <c r="O11" s="18"/>
      <c r="P11" s="16"/>
      <c r="Q11" s="18"/>
      <c r="R11" s="16"/>
      <c r="S11" s="18"/>
      <c r="T11" s="20"/>
    </row>
    <row r="12" spans="1:20" ht="15.95" customHeight="1" x14ac:dyDescent="0.25">
      <c r="A12" s="18" t="s">
        <v>630</v>
      </c>
      <c r="B12" s="16"/>
      <c r="C12" s="18" t="s">
        <v>1616</v>
      </c>
      <c r="D12" s="16"/>
      <c r="E12" s="18" t="s">
        <v>2335</v>
      </c>
      <c r="F12" s="16"/>
      <c r="G12" s="18" t="s">
        <v>891</v>
      </c>
      <c r="H12" s="16"/>
      <c r="I12" s="18" t="s">
        <v>3045</v>
      </c>
      <c r="J12" s="16"/>
      <c r="K12" s="18"/>
      <c r="L12" s="16"/>
      <c r="M12" s="18"/>
      <c r="N12" s="16"/>
      <c r="O12" s="18"/>
      <c r="P12" s="16"/>
      <c r="Q12" s="18"/>
      <c r="R12" s="16"/>
      <c r="S12" s="18"/>
      <c r="T12" s="20"/>
    </row>
    <row r="13" spans="1:20" ht="15.95" customHeight="1" x14ac:dyDescent="0.25">
      <c r="A13" s="18" t="s">
        <v>601</v>
      </c>
      <c r="B13" s="16"/>
      <c r="C13" s="18" t="s">
        <v>1617</v>
      </c>
      <c r="D13" s="16"/>
      <c r="E13" s="18" t="s">
        <v>2336</v>
      </c>
      <c r="F13" s="16"/>
      <c r="G13" s="18" t="s">
        <v>892</v>
      </c>
      <c r="H13" s="16"/>
      <c r="I13" s="18" t="s">
        <v>3046</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110</v>
      </c>
      <c r="B15" s="16"/>
      <c r="C15" s="18" t="s">
        <v>1618</v>
      </c>
      <c r="D15" s="16"/>
      <c r="E15" s="18" t="s">
        <v>2337</v>
      </c>
      <c r="F15" s="16"/>
      <c r="G15" s="18" t="s">
        <v>5</v>
      </c>
      <c r="H15" s="16"/>
      <c r="I15" s="18" t="s">
        <v>3047</v>
      </c>
      <c r="J15" s="16"/>
      <c r="K15" s="18"/>
      <c r="L15" s="16"/>
      <c r="M15" s="18"/>
      <c r="N15" s="16"/>
      <c r="O15" s="18"/>
      <c r="P15" s="16"/>
      <c r="Q15" s="18"/>
      <c r="R15" s="16"/>
      <c r="S15" s="18"/>
      <c r="T15" s="20"/>
    </row>
    <row r="16" spans="1:20" ht="15.95" customHeight="1" x14ac:dyDescent="0.25">
      <c r="A16" s="18" t="s">
        <v>602</v>
      </c>
      <c r="B16" s="16"/>
      <c r="C16" s="18" t="s">
        <v>1634</v>
      </c>
      <c r="D16" s="16"/>
      <c r="E16" s="18" t="s">
        <v>2338</v>
      </c>
      <c r="F16" s="16"/>
      <c r="G16" s="18" t="s">
        <v>909</v>
      </c>
      <c r="H16" s="16"/>
      <c r="I16" s="18" t="s">
        <v>3048</v>
      </c>
      <c r="J16" s="16"/>
      <c r="K16" s="18"/>
      <c r="L16" s="16"/>
      <c r="M16" s="18"/>
      <c r="N16" s="16"/>
      <c r="O16" s="18"/>
      <c r="P16" s="16"/>
      <c r="Q16" s="18"/>
      <c r="R16" s="16"/>
      <c r="S16" s="18"/>
      <c r="T16" s="20"/>
    </row>
    <row r="17" spans="1:20" ht="15.95" customHeight="1" x14ac:dyDescent="0.25">
      <c r="A17" s="18" t="s">
        <v>631</v>
      </c>
      <c r="B17" s="16"/>
      <c r="C17" s="18" t="s">
        <v>1635</v>
      </c>
      <c r="D17" s="16"/>
      <c r="E17" s="18" t="s">
        <v>2339</v>
      </c>
      <c r="F17" s="16"/>
      <c r="G17" s="18" t="s">
        <v>631</v>
      </c>
      <c r="H17" s="16"/>
      <c r="I17" s="18" t="s">
        <v>3049</v>
      </c>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0"/>
    </row>
    <row r="19" spans="1:20" ht="15.95" customHeight="1" x14ac:dyDescent="0.25">
      <c r="A19" s="18" t="s">
        <v>632</v>
      </c>
      <c r="B19" s="16"/>
      <c r="C19" s="18" t="s">
        <v>1636</v>
      </c>
      <c r="D19" s="16"/>
      <c r="E19" s="18" t="s">
        <v>2340</v>
      </c>
      <c r="F19" s="16"/>
      <c r="G19" s="18" t="s">
        <v>910</v>
      </c>
      <c r="H19" s="16"/>
      <c r="I19" s="18" t="s">
        <v>3050</v>
      </c>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0"/>
    </row>
    <row r="21" spans="1:20" ht="15.95" customHeight="1" x14ac:dyDescent="0.25">
      <c r="A21" s="18" t="s">
        <v>633</v>
      </c>
      <c r="B21" s="16"/>
      <c r="C21" s="18" t="s">
        <v>1637</v>
      </c>
      <c r="D21" s="16"/>
      <c r="E21" s="18" t="s">
        <v>2341</v>
      </c>
      <c r="F21" s="16"/>
      <c r="G21" s="18" t="s">
        <v>911</v>
      </c>
      <c r="H21" s="16"/>
      <c r="I21" s="18" t="s">
        <v>3051</v>
      </c>
      <c r="J21" s="16"/>
      <c r="K21" s="18"/>
      <c r="L21" s="16"/>
      <c r="M21" s="18"/>
      <c r="N21" s="16"/>
      <c r="O21" s="18"/>
      <c r="P21" s="16"/>
      <c r="Q21" s="18"/>
      <c r="R21" s="16"/>
      <c r="S21" s="18"/>
      <c r="T21" s="20"/>
    </row>
    <row r="22" spans="1:20" ht="15.95" customHeight="1" x14ac:dyDescent="0.25">
      <c r="A22" s="18" t="s">
        <v>634</v>
      </c>
      <c r="B22" s="16"/>
      <c r="C22" s="18" t="s">
        <v>1638</v>
      </c>
      <c r="D22" s="16"/>
      <c r="E22" s="18" t="s">
        <v>2342</v>
      </c>
      <c r="F22" s="16"/>
      <c r="G22" s="18" t="s">
        <v>912</v>
      </c>
      <c r="H22" s="16"/>
      <c r="I22" s="18" t="s">
        <v>3052</v>
      </c>
      <c r="J22" s="16"/>
      <c r="K22" s="18"/>
      <c r="L22" s="16"/>
      <c r="M22" s="18"/>
      <c r="N22" s="16"/>
      <c r="O22" s="18"/>
      <c r="P22" s="16"/>
      <c r="Q22" s="18"/>
      <c r="R22" s="16"/>
      <c r="S22" s="18"/>
      <c r="T22" s="20"/>
    </row>
    <row r="23" spans="1:20" ht="15.95" customHeight="1" x14ac:dyDescent="0.25">
      <c r="A23" s="18" t="s">
        <v>635</v>
      </c>
      <c r="B23" s="16"/>
      <c r="C23" s="18" t="s">
        <v>1639</v>
      </c>
      <c r="D23" s="16"/>
      <c r="E23" s="18" t="s">
        <v>2343</v>
      </c>
      <c r="F23" s="16"/>
      <c r="G23" s="18" t="s">
        <v>913</v>
      </c>
      <c r="H23" s="16"/>
      <c r="I23" s="18" t="s">
        <v>3053</v>
      </c>
      <c r="J23" s="16"/>
      <c r="K23" s="18"/>
      <c r="L23" s="16"/>
      <c r="M23" s="18"/>
      <c r="N23" s="16"/>
      <c r="O23" s="18"/>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0"/>
    </row>
    <row r="25" spans="1:20" ht="15.95" customHeight="1" x14ac:dyDescent="0.25">
      <c r="A25" s="18" t="s">
        <v>533</v>
      </c>
      <c r="B25" s="16"/>
      <c r="C25" s="18" t="s">
        <v>1627</v>
      </c>
      <c r="D25" s="16"/>
      <c r="E25" s="18" t="s">
        <v>2344</v>
      </c>
      <c r="F25" s="16"/>
      <c r="G25" s="18" t="s">
        <v>902</v>
      </c>
      <c r="H25" s="16"/>
      <c r="I25" s="18" t="s">
        <v>3054</v>
      </c>
      <c r="J25" s="16"/>
      <c r="K25" s="18"/>
      <c r="L25" s="16"/>
      <c r="M25" s="18"/>
      <c r="N25" s="16"/>
      <c r="O25" s="18"/>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c r="L26" s="16"/>
      <c r="M26" s="18"/>
      <c r="N26" s="16"/>
      <c r="O26" s="18"/>
      <c r="P26" s="16"/>
      <c r="Q26" s="18"/>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6:J27" si="0">I27</f>
        <v>コラプト状態</v>
      </c>
      <c r="K27" s="18"/>
      <c r="L27" s="16">
        <f>K27</f>
        <v>0</v>
      </c>
      <c r="M27" s="18"/>
      <c r="N27" s="16">
        <f>M27</f>
        <v>0</v>
      </c>
      <c r="O27" s="18"/>
      <c r="P27" s="16">
        <f>O27</f>
        <v>0</v>
      </c>
      <c r="Q27" s="18"/>
      <c r="R27" s="16">
        <f>Q27</f>
        <v>0</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28" priority="64" stopIfTrue="1">
      <formula>NOT(ISERROR(A3))</formula>
    </cfRule>
  </conditionalFormatting>
  <conditionalFormatting sqref="A3:T6 A8:T25 A7 C7 A28:T51 A27 C27 E27 G27 I27 K27 M27 O27 Q27 S27 E7 G7 I7 K7 M7 O7 Q7 S7 A26:I26 K26:T26">
    <cfRule type="containsErrors" dxfId="727" priority="63" stopIfTrue="1">
      <formula>ISERROR(A3)</formula>
    </cfRule>
    <cfRule type="notContainsBlanks" dxfId="726" priority="65">
      <formula>LEN(TRIM(A3))&gt;0</formula>
    </cfRule>
  </conditionalFormatting>
  <conditionalFormatting sqref="B7">
    <cfRule type="containsErrors" dxfId="725" priority="61" stopIfTrue="1">
      <formula>ISERROR(B7)</formula>
    </cfRule>
    <cfRule type="notContainsBlanks" dxfId="724" priority="62">
      <formula>LEN(TRIM(B7))&gt;0</formula>
    </cfRule>
  </conditionalFormatting>
  <conditionalFormatting sqref="B27">
    <cfRule type="containsErrors" dxfId="723" priority="59" stopIfTrue="1">
      <formula>ISERROR(B27)</formula>
    </cfRule>
    <cfRule type="notContainsBlanks" dxfId="722" priority="60">
      <formula>LEN(TRIM(B27))&gt;0</formula>
    </cfRule>
  </conditionalFormatting>
  <conditionalFormatting sqref="D7">
    <cfRule type="containsErrors" dxfId="721" priority="39" stopIfTrue="1">
      <formula>ISERROR(D7)</formula>
    </cfRule>
    <cfRule type="notContainsBlanks" dxfId="720" priority="40">
      <formula>LEN(TRIM(D7))&gt;0</formula>
    </cfRule>
  </conditionalFormatting>
  <conditionalFormatting sqref="F7">
    <cfRule type="containsErrors" dxfId="719" priority="37" stopIfTrue="1">
      <formula>ISERROR(F7)</formula>
    </cfRule>
    <cfRule type="notContainsBlanks" dxfId="718" priority="38">
      <formula>LEN(TRIM(F7))&gt;0</formula>
    </cfRule>
  </conditionalFormatting>
  <conditionalFormatting sqref="J7">
    <cfRule type="containsErrors" dxfId="715" priority="33" stopIfTrue="1">
      <formula>ISERROR(J7)</formula>
    </cfRule>
    <cfRule type="notContainsBlanks" dxfId="714" priority="34">
      <formula>LEN(TRIM(J7))&gt;0</formula>
    </cfRule>
  </conditionalFormatting>
  <conditionalFormatting sqref="L7">
    <cfRule type="containsErrors" dxfId="713" priority="31" stopIfTrue="1">
      <formula>ISERROR(L7)</formula>
    </cfRule>
    <cfRule type="notContainsBlanks" dxfId="712" priority="32">
      <formula>LEN(TRIM(L7))&gt;0</formula>
    </cfRule>
  </conditionalFormatting>
  <conditionalFormatting sqref="N7">
    <cfRule type="containsErrors" dxfId="711" priority="29" stopIfTrue="1">
      <formula>ISERROR(N7)</formula>
    </cfRule>
    <cfRule type="notContainsBlanks" dxfId="710" priority="30">
      <formula>LEN(TRIM(N7))&gt;0</formula>
    </cfRule>
  </conditionalFormatting>
  <conditionalFormatting sqref="P7">
    <cfRule type="containsErrors" dxfId="709" priority="27" stopIfTrue="1">
      <formula>ISERROR(P7)</formula>
    </cfRule>
    <cfRule type="notContainsBlanks" dxfId="708" priority="28">
      <formula>LEN(TRIM(P7))&gt;0</formula>
    </cfRule>
  </conditionalFormatting>
  <conditionalFormatting sqref="R7">
    <cfRule type="containsErrors" dxfId="707" priority="25" stopIfTrue="1">
      <formula>ISERROR(R7)</formula>
    </cfRule>
    <cfRule type="notContainsBlanks" dxfId="706" priority="26">
      <formula>LEN(TRIM(R7))&gt;0</formula>
    </cfRule>
  </conditionalFormatting>
  <conditionalFormatting sqref="T7">
    <cfRule type="containsErrors" dxfId="705" priority="21" stopIfTrue="1">
      <formula>ISERROR(T7)</formula>
    </cfRule>
    <cfRule type="notContainsBlanks" dxfId="704" priority="22">
      <formula>LEN(TRIM(T7))&gt;0</formula>
    </cfRule>
  </conditionalFormatting>
  <conditionalFormatting sqref="D27">
    <cfRule type="containsErrors" dxfId="703" priority="19" stopIfTrue="1">
      <formula>ISERROR(D27)</formula>
    </cfRule>
    <cfRule type="notContainsBlanks" dxfId="702" priority="20">
      <formula>LEN(TRIM(D27))&gt;0</formula>
    </cfRule>
  </conditionalFormatting>
  <conditionalFormatting sqref="F27">
    <cfRule type="containsErrors" dxfId="701" priority="17" stopIfTrue="1">
      <formula>ISERROR(F27)</formula>
    </cfRule>
    <cfRule type="notContainsBlanks" dxfId="700" priority="18">
      <formula>LEN(TRIM(F27))&gt;0</formula>
    </cfRule>
  </conditionalFormatting>
  <conditionalFormatting sqref="H27">
    <cfRule type="containsErrors" dxfId="699" priority="15" stopIfTrue="1">
      <formula>ISERROR(H27)</formula>
    </cfRule>
    <cfRule type="notContainsBlanks" dxfId="698" priority="16">
      <formula>LEN(TRIM(H27))&gt;0</formula>
    </cfRule>
  </conditionalFormatting>
  <conditionalFormatting sqref="J26:J27">
    <cfRule type="containsErrors" dxfId="697" priority="13" stopIfTrue="1">
      <formula>ISERROR(J26)</formula>
    </cfRule>
    <cfRule type="notContainsBlanks" dxfId="696" priority="14">
      <formula>LEN(TRIM(J26))&gt;0</formula>
    </cfRule>
  </conditionalFormatting>
  <conditionalFormatting sqref="L27">
    <cfRule type="containsErrors" dxfId="695" priority="11" stopIfTrue="1">
      <formula>ISERROR(L27)</formula>
    </cfRule>
    <cfRule type="notContainsBlanks" dxfId="694" priority="12">
      <formula>LEN(TRIM(L27))&gt;0</formula>
    </cfRule>
  </conditionalFormatting>
  <conditionalFormatting sqref="N27">
    <cfRule type="containsErrors" dxfId="693" priority="9" stopIfTrue="1">
      <formula>ISERROR(N27)</formula>
    </cfRule>
    <cfRule type="notContainsBlanks" dxfId="692" priority="10">
      <formula>LEN(TRIM(N27))&gt;0</formula>
    </cfRule>
  </conditionalFormatting>
  <conditionalFormatting sqref="P27">
    <cfRule type="containsErrors" dxfId="691" priority="7" stopIfTrue="1">
      <formula>ISERROR(P27)</formula>
    </cfRule>
    <cfRule type="notContainsBlanks" dxfId="690" priority="8">
      <formula>LEN(TRIM(P27))&gt;0</formula>
    </cfRule>
  </conditionalFormatting>
  <conditionalFormatting sqref="R27">
    <cfRule type="containsErrors" dxfId="689" priority="5" stopIfTrue="1">
      <formula>ISERROR(R27)</formula>
    </cfRule>
    <cfRule type="notContainsBlanks" dxfId="688" priority="6">
      <formula>LEN(TRIM(R27))&gt;0</formula>
    </cfRule>
  </conditionalFormatting>
  <conditionalFormatting sqref="T27">
    <cfRule type="containsErrors" dxfId="687" priority="3" stopIfTrue="1">
      <formula>ISERROR(T27)</formula>
    </cfRule>
    <cfRule type="notContainsBlanks" dxfId="686" priority="4">
      <formula>LEN(TRIM(T27))&gt;0</formula>
    </cfRule>
  </conditionalFormatting>
  <conditionalFormatting sqref="H7">
    <cfRule type="containsErrors" dxfId="27" priority="1" stopIfTrue="1">
      <formula>ISERROR(H7)</formula>
    </cfRule>
    <cfRule type="notContainsBlanks" dxfId="26" priority="2">
      <formula>LEN(TRIM(H7))&gt;0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J12" sqref="J1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c r="L8" s="16"/>
      <c r="M8" s="18"/>
      <c r="N8" s="16"/>
      <c r="O8" s="18"/>
      <c r="P8" s="16"/>
      <c r="Q8" s="18"/>
      <c r="R8" s="16"/>
      <c r="S8" s="18"/>
      <c r="T8" s="16"/>
    </row>
    <row r="9" spans="1:20" ht="15.95" customHeight="1" x14ac:dyDescent="0.25">
      <c r="A9" s="18" t="s">
        <v>500</v>
      </c>
      <c r="B9" s="16"/>
      <c r="C9" s="18" t="s">
        <v>1644</v>
      </c>
      <c r="D9" s="16"/>
      <c r="E9" s="18" t="s">
        <v>2349</v>
      </c>
      <c r="F9" s="16"/>
      <c r="G9" s="18" t="s">
        <v>918</v>
      </c>
      <c r="H9" s="16"/>
      <c r="I9" s="18" t="s">
        <v>3060</v>
      </c>
      <c r="J9" s="16"/>
      <c r="K9" s="18"/>
      <c r="L9" s="16"/>
      <c r="M9" s="18"/>
      <c r="N9" s="16"/>
      <c r="O9" s="18"/>
      <c r="P9" s="16"/>
      <c r="Q9" s="18"/>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c r="L10" s="16">
        <f>K10</f>
        <v>0</v>
      </c>
      <c r="M10" s="18"/>
      <c r="N10" s="16">
        <f>M10</f>
        <v>0</v>
      </c>
      <c r="O10" s="18"/>
      <c r="P10" s="16">
        <f>O10</f>
        <v>0</v>
      </c>
      <c r="Q10" s="18"/>
      <c r="R10" s="16">
        <f>Q10</f>
        <v>0</v>
      </c>
      <c r="S10" s="18"/>
      <c r="T10" s="16">
        <f>S10</f>
        <v>0</v>
      </c>
    </row>
    <row r="11" spans="1:20" ht="15.95" customHeight="1" x14ac:dyDescent="0.25">
      <c r="A11" s="18" t="s">
        <v>4</v>
      </c>
      <c r="B11" s="16"/>
      <c r="C11" s="18" t="s">
        <v>4</v>
      </c>
      <c r="D11" s="16"/>
      <c r="E11" s="18" t="s">
        <v>4</v>
      </c>
      <c r="F11" s="16"/>
      <c r="G11" s="18" t="s">
        <v>4</v>
      </c>
      <c r="H11" s="16"/>
      <c r="I11" s="18" t="s">
        <v>4</v>
      </c>
      <c r="J11" s="16"/>
      <c r="K11" s="18"/>
      <c r="L11" s="16"/>
      <c r="M11" s="18"/>
      <c r="N11" s="16"/>
      <c r="O11" s="18"/>
      <c r="P11" s="16"/>
      <c r="Q11" s="18"/>
      <c r="R11" s="16"/>
      <c r="S11" s="18"/>
      <c r="T11" s="16"/>
    </row>
    <row r="12" spans="1:20" ht="15.95" customHeight="1" x14ac:dyDescent="0.25">
      <c r="A12" s="18" t="s">
        <v>110</v>
      </c>
      <c r="B12" s="16"/>
      <c r="C12" s="18" t="s">
        <v>1618</v>
      </c>
      <c r="D12" s="16"/>
      <c r="E12" s="18" t="s">
        <v>2337</v>
      </c>
      <c r="F12" s="16"/>
      <c r="G12" s="18" t="s">
        <v>5</v>
      </c>
      <c r="H12" s="16"/>
      <c r="I12" s="18" t="s">
        <v>3047</v>
      </c>
      <c r="J12" s="16"/>
      <c r="K12" s="18"/>
      <c r="L12" s="16"/>
      <c r="M12" s="18"/>
      <c r="N12" s="16"/>
      <c r="O12" s="18"/>
      <c r="P12" s="16"/>
      <c r="Q12" s="18"/>
      <c r="R12" s="16"/>
      <c r="S12" s="18"/>
      <c r="T12" s="21"/>
    </row>
    <row r="13" spans="1:20" ht="15.95" customHeight="1" x14ac:dyDescent="0.25">
      <c r="A13" s="18" t="s">
        <v>602</v>
      </c>
      <c r="B13" s="16"/>
      <c r="C13" s="18" t="s">
        <v>1634</v>
      </c>
      <c r="D13" s="16"/>
      <c r="E13" s="18" t="s">
        <v>2338</v>
      </c>
      <c r="F13" s="16"/>
      <c r="G13" s="18" t="s">
        <v>909</v>
      </c>
      <c r="H13" s="16"/>
      <c r="I13" s="18" t="s">
        <v>3048</v>
      </c>
      <c r="J13" s="16"/>
      <c r="K13" s="18"/>
      <c r="L13" s="16"/>
      <c r="M13" s="18"/>
      <c r="N13" s="16"/>
      <c r="O13" s="18"/>
      <c r="P13" s="16"/>
      <c r="Q13" s="18"/>
      <c r="R13" s="16"/>
      <c r="S13" s="18"/>
      <c r="T13" s="21"/>
    </row>
    <row r="14" spans="1:20" ht="15.95" customHeight="1" x14ac:dyDescent="0.25">
      <c r="A14" s="18" t="s">
        <v>603</v>
      </c>
      <c r="B14" s="16"/>
      <c r="C14" s="18" t="s">
        <v>603</v>
      </c>
      <c r="D14" s="16"/>
      <c r="E14" s="18" t="s">
        <v>2350</v>
      </c>
      <c r="F14" s="16"/>
      <c r="G14" s="18" t="s">
        <v>919</v>
      </c>
      <c r="H14" s="16"/>
      <c r="I14" s="18" t="s">
        <v>3061</v>
      </c>
      <c r="J14" s="16"/>
      <c r="K14" s="18"/>
      <c r="L14" s="16"/>
      <c r="M14" s="18"/>
      <c r="N14" s="16"/>
      <c r="O14" s="18"/>
      <c r="P14" s="16"/>
      <c r="Q14" s="18"/>
      <c r="R14" s="16"/>
      <c r="S14" s="18"/>
      <c r="T14" s="21"/>
    </row>
    <row r="15" spans="1:20" ht="15.95" customHeight="1" x14ac:dyDescent="0.25">
      <c r="A15" s="18" t="s">
        <v>604</v>
      </c>
      <c r="B15" s="16"/>
      <c r="C15" s="18" t="s">
        <v>604</v>
      </c>
      <c r="D15" s="16"/>
      <c r="E15" s="18" t="s">
        <v>604</v>
      </c>
      <c r="F15" s="16"/>
      <c r="G15" s="18" t="s">
        <v>604</v>
      </c>
      <c r="H15" s="16"/>
      <c r="I15" s="18" t="s">
        <v>3062</v>
      </c>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1"/>
    </row>
    <row r="17" spans="1:20" ht="15.95" customHeight="1" x14ac:dyDescent="0.25">
      <c r="A17" s="18" t="s">
        <v>605</v>
      </c>
      <c r="B17" s="16"/>
      <c r="C17" s="18" t="s">
        <v>1645</v>
      </c>
      <c r="D17" s="16"/>
      <c r="E17" s="18" t="s">
        <v>2351</v>
      </c>
      <c r="F17" s="16"/>
      <c r="G17" s="18" t="s">
        <v>920</v>
      </c>
      <c r="H17" s="16"/>
      <c r="I17" s="18" t="s">
        <v>3063</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606</v>
      </c>
      <c r="B19" s="16"/>
      <c r="C19" s="18" t="s">
        <v>1646</v>
      </c>
      <c r="D19" s="16"/>
      <c r="E19" s="18" t="s">
        <v>2352</v>
      </c>
      <c r="F19" s="16"/>
      <c r="G19" s="18" t="s">
        <v>921</v>
      </c>
      <c r="H19" s="16"/>
      <c r="I19" s="18" t="s">
        <v>3064</v>
      </c>
      <c r="J19" s="16"/>
      <c r="K19" s="18"/>
      <c r="L19" s="16"/>
      <c r="M19" s="18"/>
      <c r="N19" s="16"/>
      <c r="O19" s="18"/>
      <c r="P19" s="16"/>
      <c r="Q19" s="18"/>
      <c r="R19" s="16"/>
      <c r="S19" s="18"/>
      <c r="T19" s="21"/>
    </row>
    <row r="20" spans="1:20" ht="15.95" customHeight="1" x14ac:dyDescent="0.25">
      <c r="A20" s="18" t="s">
        <v>607</v>
      </c>
      <c r="B20" s="16"/>
      <c r="C20" s="18" t="s">
        <v>1647</v>
      </c>
      <c r="D20" s="16"/>
      <c r="E20" s="18" t="s">
        <v>2353</v>
      </c>
      <c r="F20" s="16"/>
      <c r="G20" s="18" t="s">
        <v>922</v>
      </c>
      <c r="H20" s="16"/>
      <c r="I20" s="18" t="s">
        <v>3065</v>
      </c>
      <c r="J20" s="16"/>
      <c r="K20" s="18"/>
      <c r="L20" s="16"/>
      <c r="M20" s="18"/>
      <c r="N20" s="16"/>
      <c r="O20" s="18"/>
      <c r="P20" s="16"/>
      <c r="Q20" s="18"/>
      <c r="R20" s="16"/>
      <c r="S20" s="18"/>
      <c r="T20" s="21"/>
    </row>
    <row r="21" spans="1:20" ht="15.95" customHeight="1" x14ac:dyDescent="0.25">
      <c r="A21" s="18" t="s">
        <v>608</v>
      </c>
      <c r="B21" s="16"/>
      <c r="C21" s="18" t="s">
        <v>1648</v>
      </c>
      <c r="D21" s="16"/>
      <c r="E21" s="18" t="s">
        <v>2354</v>
      </c>
      <c r="F21" s="16"/>
      <c r="G21" s="18" t="s">
        <v>923</v>
      </c>
      <c r="H21" s="16"/>
      <c r="I21" s="18" t="s">
        <v>3066</v>
      </c>
      <c r="J21" s="16"/>
      <c r="K21" s="18"/>
      <c r="L21" s="16"/>
      <c r="M21" s="18"/>
      <c r="N21" s="16"/>
      <c r="O21" s="18"/>
      <c r="P21" s="16"/>
      <c r="Q21" s="18"/>
      <c r="R21" s="16"/>
      <c r="S21" s="18"/>
      <c r="T21" s="21"/>
    </row>
    <row r="22" spans="1:20" ht="15.95" customHeight="1" x14ac:dyDescent="0.25">
      <c r="A22" s="18" t="s">
        <v>609</v>
      </c>
      <c r="B22" s="16"/>
      <c r="C22" s="18" t="s">
        <v>1649</v>
      </c>
      <c r="D22" s="16"/>
      <c r="E22" s="18" t="s">
        <v>2355</v>
      </c>
      <c r="F22" s="16"/>
      <c r="G22" s="18" t="s">
        <v>924</v>
      </c>
      <c r="H22" s="16"/>
      <c r="I22" s="18" t="s">
        <v>3067</v>
      </c>
      <c r="J22" s="16"/>
      <c r="K22" s="18"/>
      <c r="L22" s="16"/>
      <c r="M22" s="18"/>
      <c r="N22" s="16"/>
      <c r="O22" s="18"/>
      <c r="P22" s="16"/>
      <c r="Q22" s="18"/>
      <c r="R22" s="16"/>
      <c r="S22" s="18"/>
      <c r="T22" s="21"/>
    </row>
    <row r="23" spans="1:20" ht="15.95" customHeight="1" x14ac:dyDescent="0.25">
      <c r="A23" s="18" t="s">
        <v>610</v>
      </c>
      <c r="B23" s="16"/>
      <c r="C23" s="18" t="s">
        <v>1650</v>
      </c>
      <c r="D23" s="16"/>
      <c r="E23" s="18" t="s">
        <v>2356</v>
      </c>
      <c r="F23" s="16"/>
      <c r="G23" s="18" t="s">
        <v>925</v>
      </c>
      <c r="H23" s="16"/>
      <c r="I23" s="18" t="s">
        <v>3068</v>
      </c>
      <c r="J23" s="16"/>
      <c r="K23" s="18"/>
      <c r="L23" s="16"/>
      <c r="M23" s="18"/>
      <c r="N23" s="16"/>
      <c r="O23" s="18"/>
      <c r="P23" s="16"/>
      <c r="Q23" s="18"/>
      <c r="R23" s="16"/>
      <c r="S23" s="18"/>
      <c r="T23" s="21"/>
    </row>
    <row r="24" spans="1:20" ht="15.95" customHeight="1" x14ac:dyDescent="0.25">
      <c r="A24" s="18" t="s">
        <v>611</v>
      </c>
      <c r="B24" s="16"/>
      <c r="C24" s="18" t="s">
        <v>1651</v>
      </c>
      <c r="D24" s="16"/>
      <c r="E24" s="18" t="s">
        <v>2357</v>
      </c>
      <c r="F24" s="16"/>
      <c r="G24" s="18" t="s">
        <v>926</v>
      </c>
      <c r="H24" s="16"/>
      <c r="I24" s="18" t="s">
        <v>3069</v>
      </c>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c r="L25" s="16"/>
      <c r="M25" s="18"/>
      <c r="N25" s="16"/>
      <c r="O25" s="18"/>
      <c r="P25" s="16"/>
      <c r="Q25" s="18"/>
      <c r="R25" s="16"/>
      <c r="S25" s="18"/>
      <c r="T25" s="16"/>
    </row>
    <row r="26" spans="1:20" ht="15.95" customHeight="1" x14ac:dyDescent="0.25">
      <c r="A26" s="18" t="s">
        <v>536</v>
      </c>
      <c r="B26" s="16"/>
      <c r="C26" s="18" t="s">
        <v>1652</v>
      </c>
      <c r="D26" s="16"/>
      <c r="E26" s="18" t="s">
        <v>2358</v>
      </c>
      <c r="F26" s="16"/>
      <c r="G26" s="18" t="s">
        <v>927</v>
      </c>
      <c r="H26" s="16"/>
      <c r="I26" s="18" t="s">
        <v>3070</v>
      </c>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85" priority="28" stopIfTrue="1">
      <formula>NOT(ISERROR(A3))</formula>
    </cfRule>
  </conditionalFormatting>
  <conditionalFormatting sqref="A3:T6 A8:T51 A7 C7 E7 G7 I7 K7 M7 O7 Q7 S7">
    <cfRule type="containsErrors" dxfId="684" priority="27" stopIfTrue="1">
      <formula>ISERROR(A3)</formula>
    </cfRule>
    <cfRule type="notContainsBlanks" dxfId="683" priority="29">
      <formula>LEN(TRIM(A3))&gt;0</formula>
    </cfRule>
  </conditionalFormatting>
  <conditionalFormatting sqref="B7">
    <cfRule type="containsErrors" dxfId="682" priority="25" stopIfTrue="1">
      <formula>ISERROR(B7)</formula>
    </cfRule>
    <cfRule type="notContainsBlanks" dxfId="681" priority="26">
      <formula>LEN(TRIM(B7))&gt;0</formula>
    </cfRule>
  </conditionalFormatting>
  <conditionalFormatting sqref="F7">
    <cfRule type="containsErrors" dxfId="678" priority="21" stopIfTrue="1">
      <formula>ISERROR(F7)</formula>
    </cfRule>
    <cfRule type="notContainsBlanks" dxfId="677" priority="22">
      <formula>LEN(TRIM(F7))&gt;0</formula>
    </cfRule>
  </conditionalFormatting>
  <conditionalFormatting sqref="J7">
    <cfRule type="containsErrors" dxfId="674" priority="17" stopIfTrue="1">
      <formula>ISERROR(J7)</formula>
    </cfRule>
    <cfRule type="notContainsBlanks" dxfId="673" priority="18">
      <formula>LEN(TRIM(J7))&gt;0</formula>
    </cfRule>
  </conditionalFormatting>
  <conditionalFormatting sqref="L7">
    <cfRule type="containsErrors" dxfId="672" priority="15" stopIfTrue="1">
      <formula>ISERROR(L7)</formula>
    </cfRule>
    <cfRule type="notContainsBlanks" dxfId="671" priority="16">
      <formula>LEN(TRIM(L7))&gt;0</formula>
    </cfRule>
  </conditionalFormatting>
  <conditionalFormatting sqref="N7">
    <cfRule type="containsErrors" dxfId="670" priority="13" stopIfTrue="1">
      <formula>ISERROR(N7)</formula>
    </cfRule>
    <cfRule type="notContainsBlanks" dxfId="669" priority="14">
      <formula>LEN(TRIM(N7))&gt;0</formula>
    </cfRule>
  </conditionalFormatting>
  <conditionalFormatting sqref="P7">
    <cfRule type="containsErrors" dxfId="668" priority="11" stopIfTrue="1">
      <formula>ISERROR(P7)</formula>
    </cfRule>
    <cfRule type="notContainsBlanks" dxfId="667" priority="12">
      <formula>LEN(TRIM(P7))&gt;0</formula>
    </cfRule>
  </conditionalFormatting>
  <conditionalFormatting sqref="R7">
    <cfRule type="containsErrors" dxfId="666" priority="9" stopIfTrue="1">
      <formula>ISERROR(R7)</formula>
    </cfRule>
    <cfRule type="notContainsBlanks" dxfId="665" priority="10">
      <formula>LEN(TRIM(R7))&gt;0</formula>
    </cfRule>
  </conditionalFormatting>
  <conditionalFormatting sqref="T7">
    <cfRule type="containsErrors" dxfId="664" priority="7" stopIfTrue="1">
      <formula>ISERROR(T7)</formula>
    </cfRule>
    <cfRule type="notContainsBlanks" dxfId="663" priority="8">
      <formula>LEN(TRIM(T7))&gt;0</formula>
    </cfRule>
  </conditionalFormatting>
  <conditionalFormatting sqref="H7">
    <cfRule type="containsErrors" dxfId="25" priority="5" stopIfTrue="1">
      <formula>ISERROR(H7)</formula>
    </cfRule>
    <cfRule type="notContainsBlanks" dxfId="24" priority="6">
      <formula>LEN(TRIM(H7))&gt;0</formula>
    </cfRule>
  </conditionalFormatting>
  <conditionalFormatting sqref="D7">
    <cfRule type="containsErrors" dxfId="9" priority="1" stopIfTrue="1">
      <formula>ISERROR(D7)</formula>
    </cfRule>
    <cfRule type="notContainsBlanks" dxfId="8" priority="2">
      <formula>LEN(TRIM(D7))&gt;0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J11" sqref="J11"/>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c r="L9" s="16"/>
      <c r="M9" s="18"/>
      <c r="N9" s="16"/>
      <c r="O9" s="18"/>
      <c r="P9" s="16"/>
      <c r="Q9" s="18"/>
      <c r="R9" s="16"/>
      <c r="S9" s="18"/>
      <c r="T9" s="16"/>
    </row>
    <row r="10" spans="1:20" ht="15.95" customHeight="1" x14ac:dyDescent="0.25">
      <c r="A10" s="18" t="s">
        <v>639</v>
      </c>
      <c r="B10" s="16"/>
      <c r="C10" s="18" t="s">
        <v>1613</v>
      </c>
      <c r="D10" s="16"/>
      <c r="E10" s="18" t="s">
        <v>2363</v>
      </c>
      <c r="F10" s="16"/>
      <c r="G10" s="18" t="s">
        <v>888</v>
      </c>
      <c r="H10" s="16"/>
      <c r="I10" s="18" t="s">
        <v>3077</v>
      </c>
      <c r="J10" s="16"/>
      <c r="K10" s="18"/>
      <c r="L10" s="16"/>
      <c r="M10" s="18"/>
      <c r="N10" s="16"/>
      <c r="O10" s="18"/>
      <c r="P10" s="16"/>
      <c r="Q10" s="18"/>
      <c r="R10" s="16"/>
      <c r="S10" s="18"/>
      <c r="T10" s="16"/>
    </row>
    <row r="11" spans="1:20" ht="15.95" customHeight="1" x14ac:dyDescent="0.25">
      <c r="A11" s="18" t="s">
        <v>640</v>
      </c>
      <c r="B11" s="16"/>
      <c r="C11" s="18" t="s">
        <v>1614</v>
      </c>
      <c r="D11" s="16"/>
      <c r="E11" s="18" t="s">
        <v>2364</v>
      </c>
      <c r="F11" s="16"/>
      <c r="G11" s="18" t="s">
        <v>889</v>
      </c>
      <c r="H11" s="16"/>
      <c r="I11" s="18" t="s">
        <v>3078</v>
      </c>
      <c r="J11" s="16"/>
      <c r="K11" s="18"/>
      <c r="L11" s="16"/>
      <c r="M11" s="18"/>
      <c r="N11" s="16"/>
      <c r="O11" s="18"/>
      <c r="P11" s="16"/>
      <c r="Q11" s="18"/>
      <c r="R11" s="16"/>
      <c r="S11" s="18"/>
      <c r="T11" s="16"/>
    </row>
    <row r="12" spans="1:20" ht="15.95" customHeight="1" x14ac:dyDescent="0.25">
      <c r="A12" s="18" t="s">
        <v>641</v>
      </c>
      <c r="B12" s="16"/>
      <c r="C12" s="18" t="s">
        <v>1615</v>
      </c>
      <c r="D12" s="16"/>
      <c r="E12" s="18" t="s">
        <v>2365</v>
      </c>
      <c r="F12" s="16"/>
      <c r="G12" s="18" t="s">
        <v>890</v>
      </c>
      <c r="H12" s="16"/>
      <c r="I12" s="18" t="s">
        <v>3079</v>
      </c>
      <c r="J12" s="16"/>
      <c r="K12" s="18"/>
      <c r="L12" s="16"/>
      <c r="M12" s="18"/>
      <c r="N12" s="16"/>
      <c r="O12" s="18"/>
      <c r="P12" s="16"/>
      <c r="Q12" s="18"/>
      <c r="R12" s="16"/>
      <c r="S12" s="18"/>
      <c r="T12" s="16"/>
    </row>
    <row r="13" spans="1:20" ht="15.95" customHeight="1" x14ac:dyDescent="0.25">
      <c r="A13" s="18" t="s">
        <v>630</v>
      </c>
      <c r="B13" s="16"/>
      <c r="C13" s="18" t="s">
        <v>1616</v>
      </c>
      <c r="D13" s="16"/>
      <c r="E13" s="18" t="s">
        <v>2335</v>
      </c>
      <c r="F13" s="16"/>
      <c r="G13" s="18" t="s">
        <v>891</v>
      </c>
      <c r="H13" s="16"/>
      <c r="I13" s="18" t="s">
        <v>3045</v>
      </c>
      <c r="J13" s="16"/>
      <c r="K13" s="18"/>
      <c r="L13" s="16"/>
      <c r="M13" s="18"/>
      <c r="N13" s="16"/>
      <c r="O13" s="18"/>
      <c r="P13" s="16"/>
      <c r="Q13" s="18"/>
      <c r="R13" s="16"/>
      <c r="S13" s="18"/>
      <c r="T13" s="16"/>
    </row>
    <row r="14" spans="1:20" ht="15.95" customHeight="1" x14ac:dyDescent="0.25">
      <c r="A14" s="18" t="s">
        <v>601</v>
      </c>
      <c r="B14" s="16"/>
      <c r="C14" s="18" t="s">
        <v>1617</v>
      </c>
      <c r="D14" s="16"/>
      <c r="E14" s="18" t="s">
        <v>2336</v>
      </c>
      <c r="F14" s="16"/>
      <c r="G14" s="18" t="s">
        <v>892</v>
      </c>
      <c r="H14" s="16"/>
      <c r="I14" s="18" t="s">
        <v>3046</v>
      </c>
      <c r="J14" s="16"/>
      <c r="K14" s="18"/>
      <c r="L14" s="16"/>
      <c r="M14" s="18"/>
      <c r="N14" s="16"/>
      <c r="O14" s="18"/>
      <c r="P14" s="16"/>
      <c r="Q14" s="18"/>
      <c r="R14" s="16"/>
      <c r="S14" s="18"/>
      <c r="T14" s="16"/>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16"/>
    </row>
    <row r="16" spans="1:20" ht="15.95" customHeight="1" x14ac:dyDescent="0.25">
      <c r="A16" s="18" t="s">
        <v>110</v>
      </c>
      <c r="B16" s="16"/>
      <c r="C16" s="18" t="s">
        <v>1618</v>
      </c>
      <c r="D16" s="16"/>
      <c r="E16" s="18" t="s">
        <v>2337</v>
      </c>
      <c r="F16" s="16"/>
      <c r="G16" s="18" t="s">
        <v>5</v>
      </c>
      <c r="H16" s="16"/>
      <c r="I16" s="18" t="s">
        <v>3047</v>
      </c>
      <c r="J16" s="16"/>
      <c r="K16" s="18"/>
      <c r="L16" s="16"/>
      <c r="M16" s="18"/>
      <c r="N16" s="16"/>
      <c r="O16" s="18"/>
      <c r="P16" s="16"/>
      <c r="Q16" s="18"/>
      <c r="R16" s="16"/>
      <c r="S16" s="18"/>
      <c r="T16" s="16"/>
    </row>
    <row r="17" spans="1:20" ht="15.95" customHeight="1" x14ac:dyDescent="0.25">
      <c r="A17" s="18" t="s">
        <v>136</v>
      </c>
      <c r="B17" s="16"/>
      <c r="C17" s="18" t="s">
        <v>1619</v>
      </c>
      <c r="D17" s="16"/>
      <c r="E17" s="18" t="s">
        <v>2366</v>
      </c>
      <c r="F17" s="16"/>
      <c r="G17" s="18" t="s">
        <v>893</v>
      </c>
      <c r="H17" s="16"/>
      <c r="I17" s="18" t="s">
        <v>3080</v>
      </c>
      <c r="J17" s="16"/>
      <c r="K17" s="18"/>
      <c r="L17" s="16"/>
      <c r="M17" s="18"/>
      <c r="N17" s="16"/>
      <c r="O17" s="18"/>
      <c r="P17" s="16"/>
      <c r="Q17" s="18"/>
      <c r="R17" s="16"/>
      <c r="S17" s="18"/>
      <c r="T17" s="16"/>
    </row>
    <row r="18" spans="1:20" ht="15.95" customHeight="1" x14ac:dyDescent="0.25">
      <c r="A18" s="18" t="s">
        <v>476</v>
      </c>
      <c r="B18" s="16"/>
      <c r="C18" s="18" t="s">
        <v>476</v>
      </c>
      <c r="D18" s="16"/>
      <c r="E18" s="18" t="s">
        <v>2367</v>
      </c>
      <c r="F18" s="16"/>
      <c r="G18" s="18" t="s">
        <v>894</v>
      </c>
      <c r="H18" s="16"/>
      <c r="I18" s="18" t="s">
        <v>3081</v>
      </c>
      <c r="J18" s="16"/>
      <c r="K18" s="18"/>
      <c r="L18" s="16"/>
      <c r="M18" s="18"/>
      <c r="N18" s="16"/>
      <c r="O18" s="18"/>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16"/>
    </row>
    <row r="20" spans="1:20" ht="15.95" customHeight="1" x14ac:dyDescent="0.25">
      <c r="A20" s="18" t="s">
        <v>642</v>
      </c>
      <c r="B20" s="16"/>
      <c r="C20" s="18" t="s">
        <v>1620</v>
      </c>
      <c r="D20" s="16"/>
      <c r="E20" s="18" t="s">
        <v>2368</v>
      </c>
      <c r="F20" s="16"/>
      <c r="G20" s="18" t="s">
        <v>895</v>
      </c>
      <c r="H20" s="16"/>
      <c r="I20" s="18" t="s">
        <v>3082</v>
      </c>
      <c r="J20" s="16"/>
      <c r="K20" s="18"/>
      <c r="L20" s="16"/>
      <c r="M20" s="18"/>
      <c r="N20" s="16"/>
      <c r="O20" s="18"/>
      <c r="P20" s="16"/>
      <c r="Q20" s="18"/>
      <c r="R20" s="16"/>
      <c r="S20" s="18"/>
      <c r="T20" s="16"/>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16"/>
    </row>
    <row r="22" spans="1:20" ht="15.95" customHeight="1" x14ac:dyDescent="0.25">
      <c r="A22" s="18" t="s">
        <v>643</v>
      </c>
      <c r="B22" s="16"/>
      <c r="C22" s="18" t="s">
        <v>1621</v>
      </c>
      <c r="D22" s="16"/>
      <c r="E22" s="18" t="s">
        <v>2369</v>
      </c>
      <c r="F22" s="16"/>
      <c r="G22" s="18" t="s">
        <v>896</v>
      </c>
      <c r="H22" s="16"/>
      <c r="I22" s="18" t="s">
        <v>3083</v>
      </c>
      <c r="J22" s="16"/>
      <c r="K22" s="18"/>
      <c r="L22" s="16"/>
      <c r="M22" s="18"/>
      <c r="N22" s="16"/>
      <c r="O22" s="18"/>
      <c r="P22" s="16"/>
      <c r="Q22" s="18"/>
      <c r="R22" s="16"/>
      <c r="S22" s="18"/>
      <c r="T22" s="16"/>
    </row>
    <row r="23" spans="1:20" ht="15.95" customHeight="1" x14ac:dyDescent="0.25">
      <c r="A23" s="18" t="s">
        <v>644</v>
      </c>
      <c r="B23" s="16"/>
      <c r="C23" s="18" t="s">
        <v>1622</v>
      </c>
      <c r="D23" s="16"/>
      <c r="E23" s="18" t="s">
        <v>2370</v>
      </c>
      <c r="F23" s="16"/>
      <c r="G23" s="18" t="s">
        <v>897</v>
      </c>
      <c r="H23" s="16"/>
      <c r="I23" s="18" t="s">
        <v>3084</v>
      </c>
      <c r="J23" s="16"/>
      <c r="K23" s="18"/>
      <c r="L23" s="16"/>
      <c r="M23" s="18"/>
      <c r="N23" s="16"/>
      <c r="O23" s="18"/>
      <c r="P23" s="16"/>
      <c r="Q23" s="18"/>
      <c r="R23" s="16"/>
      <c r="S23" s="18"/>
      <c r="T23" s="16"/>
    </row>
    <row r="24" spans="1:20" ht="15.95" customHeight="1" x14ac:dyDescent="0.25">
      <c r="A24" s="18" t="s">
        <v>645</v>
      </c>
      <c r="B24" s="16"/>
      <c r="C24" s="18" t="s">
        <v>1623</v>
      </c>
      <c r="D24" s="16"/>
      <c r="E24" s="18" t="s">
        <v>2371</v>
      </c>
      <c r="F24" s="16"/>
      <c r="G24" s="18" t="s">
        <v>898</v>
      </c>
      <c r="H24" s="16"/>
      <c r="I24" s="18" t="s">
        <v>3085</v>
      </c>
      <c r="J24" s="16"/>
      <c r="K24" s="18"/>
      <c r="L24" s="16"/>
      <c r="M24" s="18"/>
      <c r="N24" s="16"/>
      <c r="O24" s="18"/>
      <c r="P24" s="16"/>
      <c r="Q24" s="18"/>
      <c r="R24" s="16"/>
      <c r="S24" s="18"/>
      <c r="T24" s="16"/>
    </row>
    <row r="25" spans="1:20" ht="15.95" customHeight="1" x14ac:dyDescent="0.25">
      <c r="A25" s="18" t="s">
        <v>646</v>
      </c>
      <c r="B25" s="16"/>
      <c r="C25" s="18" t="s">
        <v>1624</v>
      </c>
      <c r="D25" s="16"/>
      <c r="E25" s="18" t="s">
        <v>2372</v>
      </c>
      <c r="F25" s="16"/>
      <c r="G25" s="18" t="s">
        <v>899</v>
      </c>
      <c r="H25" s="16"/>
      <c r="I25" s="18" t="s">
        <v>3086</v>
      </c>
      <c r="J25" s="16"/>
      <c r="K25" s="18"/>
      <c r="L25" s="16"/>
      <c r="M25" s="18"/>
      <c r="N25" s="16"/>
      <c r="O25" s="18"/>
      <c r="P25" s="16"/>
      <c r="Q25" s="18"/>
      <c r="R25" s="16"/>
      <c r="S25" s="18"/>
      <c r="T25" s="16"/>
    </row>
    <row r="26" spans="1:20" ht="15.95" customHeight="1" x14ac:dyDescent="0.25">
      <c r="A26" s="18" t="s">
        <v>647</v>
      </c>
      <c r="B26" s="16"/>
      <c r="C26" s="18" t="s">
        <v>1625</v>
      </c>
      <c r="D26" s="16"/>
      <c r="E26" s="18" t="s">
        <v>2373</v>
      </c>
      <c r="F26" s="16"/>
      <c r="G26" s="18" t="s">
        <v>900</v>
      </c>
      <c r="H26" s="16"/>
      <c r="I26" s="18" t="s">
        <v>3087</v>
      </c>
      <c r="J26" s="16"/>
      <c r="K26" s="18"/>
      <c r="L26" s="16"/>
      <c r="M26" s="18"/>
      <c r="N26" s="16"/>
      <c r="O26" s="18"/>
      <c r="P26" s="16"/>
      <c r="Q26" s="18"/>
      <c r="R26" s="16"/>
      <c r="S26" s="18"/>
      <c r="T26" s="16"/>
    </row>
    <row r="27" spans="1:20" ht="15.95" customHeight="1" x14ac:dyDescent="0.25">
      <c r="A27" s="18" t="s">
        <v>4</v>
      </c>
      <c r="B27" s="16"/>
      <c r="C27" s="18" t="s">
        <v>4</v>
      </c>
      <c r="D27" s="16"/>
      <c r="E27" s="18" t="s">
        <v>4</v>
      </c>
      <c r="F27" s="16"/>
      <c r="G27" s="18" t="s">
        <v>4</v>
      </c>
      <c r="H27" s="16"/>
      <c r="I27" s="18" t="s">
        <v>4</v>
      </c>
      <c r="J27" s="16"/>
      <c r="K27" s="18"/>
      <c r="L27" s="16"/>
      <c r="M27" s="18"/>
      <c r="N27" s="16"/>
      <c r="O27" s="18"/>
      <c r="P27" s="16"/>
      <c r="Q27" s="18"/>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c r="L28" s="16" t="e">
        <f>TRIM(_xlfn.TEXTBEFORE(K28,":"))</f>
        <v>#N/A</v>
      </c>
      <c r="M28" s="18"/>
      <c r="N28" s="16" t="e">
        <f>TRIM(_xlfn.TEXTBEFORE(M28,":"))</f>
        <v>#N/A</v>
      </c>
      <c r="O28" s="18"/>
      <c r="P28" s="16" t="e">
        <f>TRIM(_xlfn.TEXTBEFORE(O28,":"))</f>
        <v>#N/A</v>
      </c>
      <c r="Q28" s="18"/>
      <c r="R28" s="16" t="e">
        <f>TRIM(_xlfn.TEXTBEFORE(Q28,":"))</f>
        <v>#N/A</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c r="L29" s="16"/>
      <c r="M29" s="18"/>
      <c r="N29" s="16"/>
      <c r="O29" s="18"/>
      <c r="P29" s="16"/>
      <c r="Q29" s="18"/>
      <c r="R29" s="16"/>
      <c r="S29" s="18"/>
      <c r="T29" s="16"/>
    </row>
    <row r="30" spans="1:20" ht="15.95" customHeight="1" x14ac:dyDescent="0.25">
      <c r="A30" s="18" t="s">
        <v>533</v>
      </c>
      <c r="B30" s="16"/>
      <c r="C30" s="18" t="s">
        <v>1627</v>
      </c>
      <c r="D30" s="16"/>
      <c r="E30" s="18" t="s">
        <v>2344</v>
      </c>
      <c r="F30" s="16"/>
      <c r="G30" s="18" t="s">
        <v>902</v>
      </c>
      <c r="H30" s="16"/>
      <c r="I30" s="18" t="s">
        <v>3054</v>
      </c>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62" priority="84" stopIfTrue="1">
      <formula>NOT(ISERROR(A3))</formula>
    </cfRule>
  </conditionalFormatting>
  <conditionalFormatting sqref="A3:T6 E7:E29 A7:A8 A9:D27 G7:G29 F9:F27 I7:I29 H9:H27 K7:K29 J9:J27 M7:M29 L9:L27 O7:O29 N9:N27 Q7:Q29 P9:P27 S7:S29 R9:R27 T9:T27 A30:T51 A28:A29 C28:C29 C7:C8">
    <cfRule type="containsErrors" dxfId="661" priority="83" stopIfTrue="1">
      <formula>ISERROR(A3)</formula>
    </cfRule>
    <cfRule type="notContainsBlanks" dxfId="660" priority="85">
      <formula>LEN(TRIM(A3))&gt;0</formula>
    </cfRule>
  </conditionalFormatting>
  <conditionalFormatting sqref="B28:B29">
    <cfRule type="containsErrors" dxfId="659" priority="81" stopIfTrue="1">
      <formula>ISERROR(B28)</formula>
    </cfRule>
    <cfRule type="notContainsBlanks" dxfId="658" priority="82">
      <formula>LEN(TRIM(B28))&gt;0</formula>
    </cfRule>
  </conditionalFormatting>
  <conditionalFormatting sqref="B8">
    <cfRule type="containsErrors" dxfId="657" priority="79" stopIfTrue="1">
      <formula>ISERROR(B8)</formula>
    </cfRule>
    <cfRule type="notContainsBlanks" dxfId="656" priority="80">
      <formula>LEN(TRIM(B8))&gt;0</formula>
    </cfRule>
  </conditionalFormatting>
  <conditionalFormatting sqref="D29">
    <cfRule type="containsErrors" dxfId="655" priority="77" stopIfTrue="1">
      <formula>ISERROR(D29)</formula>
    </cfRule>
    <cfRule type="notContainsBlanks" dxfId="654" priority="78">
      <formula>LEN(TRIM(D29))&gt;0</formula>
    </cfRule>
  </conditionalFormatting>
  <conditionalFormatting sqref="D8">
    <cfRule type="containsErrors" dxfId="653" priority="75" stopIfTrue="1">
      <formula>ISERROR(D8)</formula>
    </cfRule>
    <cfRule type="notContainsBlanks" dxfId="652" priority="76">
      <formula>LEN(TRIM(D8))&gt;0</formula>
    </cfRule>
  </conditionalFormatting>
  <conditionalFormatting sqref="F29">
    <cfRule type="containsErrors" dxfId="651" priority="73" stopIfTrue="1">
      <formula>ISERROR(F29)</formula>
    </cfRule>
    <cfRule type="notContainsBlanks" dxfId="650" priority="74">
      <formula>LEN(TRIM(F29))&gt;0</formula>
    </cfRule>
  </conditionalFormatting>
  <conditionalFormatting sqref="F8">
    <cfRule type="containsErrors" dxfId="649" priority="71" stopIfTrue="1">
      <formula>ISERROR(F8)</formula>
    </cfRule>
    <cfRule type="notContainsBlanks" dxfId="648" priority="72">
      <formula>LEN(TRIM(F8))&gt;0</formula>
    </cfRule>
  </conditionalFormatting>
  <conditionalFormatting sqref="H29">
    <cfRule type="containsErrors" dxfId="647" priority="69" stopIfTrue="1">
      <formula>ISERROR(H29)</formula>
    </cfRule>
    <cfRule type="notContainsBlanks" dxfId="646" priority="70">
      <formula>LEN(TRIM(H29))&gt;0</formula>
    </cfRule>
  </conditionalFormatting>
  <conditionalFormatting sqref="H8">
    <cfRule type="containsErrors" dxfId="645" priority="67" stopIfTrue="1">
      <formula>ISERROR(H8)</formula>
    </cfRule>
    <cfRule type="notContainsBlanks" dxfId="644" priority="68">
      <formula>LEN(TRIM(H8))&gt;0</formula>
    </cfRule>
  </conditionalFormatting>
  <conditionalFormatting sqref="J29">
    <cfRule type="containsErrors" dxfId="643" priority="65" stopIfTrue="1">
      <formula>ISERROR(J29)</formula>
    </cfRule>
    <cfRule type="notContainsBlanks" dxfId="642" priority="66">
      <formula>LEN(TRIM(J29))&gt;0</formula>
    </cfRule>
  </conditionalFormatting>
  <conditionalFormatting sqref="J7">
    <cfRule type="containsErrors" dxfId="641" priority="63" stopIfTrue="1">
      <formula>ISERROR(J7)</formula>
    </cfRule>
    <cfRule type="notContainsBlanks" dxfId="640" priority="64">
      <formula>LEN(TRIM(J7))&gt;0</formula>
    </cfRule>
  </conditionalFormatting>
  <conditionalFormatting sqref="L29">
    <cfRule type="containsErrors" dxfId="639" priority="61" stopIfTrue="1">
      <formula>ISERROR(L29)</formula>
    </cfRule>
    <cfRule type="notContainsBlanks" dxfId="638" priority="62">
      <formula>LEN(TRIM(L29))&gt;0</formula>
    </cfRule>
  </conditionalFormatting>
  <conditionalFormatting sqref="L8">
    <cfRule type="containsErrors" dxfId="637" priority="59" stopIfTrue="1">
      <formula>ISERROR(L8)</formula>
    </cfRule>
    <cfRule type="notContainsBlanks" dxfId="636" priority="60">
      <formula>LEN(TRIM(L8))&gt;0</formula>
    </cfRule>
  </conditionalFormatting>
  <conditionalFormatting sqref="N29">
    <cfRule type="containsErrors" dxfId="635" priority="57" stopIfTrue="1">
      <formula>ISERROR(N29)</formula>
    </cfRule>
    <cfRule type="notContainsBlanks" dxfId="634" priority="58">
      <formula>LEN(TRIM(N29))&gt;0</formula>
    </cfRule>
  </conditionalFormatting>
  <conditionalFormatting sqref="N8">
    <cfRule type="containsErrors" dxfId="633" priority="55" stopIfTrue="1">
      <formula>ISERROR(N8)</formula>
    </cfRule>
    <cfRule type="notContainsBlanks" dxfId="632" priority="56">
      <formula>LEN(TRIM(N8))&gt;0</formula>
    </cfRule>
  </conditionalFormatting>
  <conditionalFormatting sqref="P29">
    <cfRule type="containsErrors" dxfId="631" priority="53" stopIfTrue="1">
      <formula>ISERROR(P29)</formula>
    </cfRule>
    <cfRule type="notContainsBlanks" dxfId="630" priority="54">
      <formula>LEN(TRIM(P29))&gt;0</formula>
    </cfRule>
  </conditionalFormatting>
  <conditionalFormatting sqref="P8">
    <cfRule type="containsErrors" dxfId="629" priority="51" stopIfTrue="1">
      <formula>ISERROR(P8)</formula>
    </cfRule>
    <cfRule type="notContainsBlanks" dxfId="628" priority="52">
      <formula>LEN(TRIM(P8))&gt;0</formula>
    </cfRule>
  </conditionalFormatting>
  <conditionalFormatting sqref="R29">
    <cfRule type="containsErrors" dxfId="627" priority="49" stopIfTrue="1">
      <formula>ISERROR(R29)</formula>
    </cfRule>
    <cfRule type="notContainsBlanks" dxfId="626" priority="50">
      <formula>LEN(TRIM(R29))&gt;0</formula>
    </cfRule>
  </conditionalFormatting>
  <conditionalFormatting sqref="R8">
    <cfRule type="containsErrors" dxfId="625" priority="47" stopIfTrue="1">
      <formula>ISERROR(R8)</formula>
    </cfRule>
    <cfRule type="notContainsBlanks" dxfId="624" priority="48">
      <formula>LEN(TRIM(R8))&gt;0</formula>
    </cfRule>
  </conditionalFormatting>
  <conditionalFormatting sqref="T29">
    <cfRule type="containsErrors" dxfId="623" priority="45" stopIfTrue="1">
      <formula>ISERROR(T29)</formula>
    </cfRule>
    <cfRule type="notContainsBlanks" dxfId="622" priority="46">
      <formula>LEN(TRIM(T29))&gt;0</formula>
    </cfRule>
  </conditionalFormatting>
  <conditionalFormatting sqref="T8">
    <cfRule type="containsErrors" dxfId="621" priority="43" stopIfTrue="1">
      <formula>ISERROR(T8)</formula>
    </cfRule>
    <cfRule type="notContainsBlanks" dxfId="620" priority="44">
      <formula>LEN(TRIM(T8))&gt;0</formula>
    </cfRule>
  </conditionalFormatting>
  <conditionalFormatting sqref="D28">
    <cfRule type="containsErrors" dxfId="619" priority="41" stopIfTrue="1">
      <formula>ISERROR(D28)</formula>
    </cfRule>
    <cfRule type="notContainsBlanks" dxfId="618" priority="42">
      <formula>LEN(TRIM(D28))&gt;0</formula>
    </cfRule>
  </conditionalFormatting>
  <conditionalFormatting sqref="F28">
    <cfRule type="containsErrors" dxfId="617" priority="39" stopIfTrue="1">
      <formula>ISERROR(F28)</formula>
    </cfRule>
    <cfRule type="notContainsBlanks" dxfId="616" priority="40">
      <formula>LEN(TRIM(F28))&gt;0</formula>
    </cfRule>
  </conditionalFormatting>
  <conditionalFormatting sqref="H28">
    <cfRule type="containsErrors" dxfId="615" priority="37" stopIfTrue="1">
      <formula>ISERROR(H28)</formula>
    </cfRule>
    <cfRule type="notContainsBlanks" dxfId="614" priority="38">
      <formula>LEN(TRIM(H28))&gt;0</formula>
    </cfRule>
  </conditionalFormatting>
  <conditionalFormatting sqref="J28">
    <cfRule type="containsErrors" dxfId="613" priority="35" stopIfTrue="1">
      <formula>ISERROR(J28)</formula>
    </cfRule>
    <cfRule type="notContainsBlanks" dxfId="612" priority="36">
      <formula>LEN(TRIM(J28))&gt;0</formula>
    </cfRule>
  </conditionalFormatting>
  <conditionalFormatting sqref="L28">
    <cfRule type="containsErrors" dxfId="611" priority="33" stopIfTrue="1">
      <formula>ISERROR(L28)</formula>
    </cfRule>
    <cfRule type="notContainsBlanks" dxfId="610" priority="34">
      <formula>LEN(TRIM(L28))&gt;0</formula>
    </cfRule>
  </conditionalFormatting>
  <conditionalFormatting sqref="N28">
    <cfRule type="containsErrors" dxfId="609" priority="31" stopIfTrue="1">
      <formula>ISERROR(N28)</formula>
    </cfRule>
    <cfRule type="notContainsBlanks" dxfId="608" priority="32">
      <formula>LEN(TRIM(N28))&gt;0</formula>
    </cfRule>
  </conditionalFormatting>
  <conditionalFormatting sqref="P28">
    <cfRule type="containsErrors" dxfId="607" priority="29" stopIfTrue="1">
      <formula>ISERROR(P28)</formula>
    </cfRule>
    <cfRule type="notContainsBlanks" dxfId="606" priority="30">
      <formula>LEN(TRIM(P28))&gt;0</formula>
    </cfRule>
  </conditionalFormatting>
  <conditionalFormatting sqref="R28">
    <cfRule type="containsErrors" dxfId="605" priority="27" stopIfTrue="1">
      <formula>ISERROR(R28)</formula>
    </cfRule>
    <cfRule type="notContainsBlanks" dxfId="604" priority="28">
      <formula>LEN(TRIM(R28))&gt;0</formula>
    </cfRule>
  </conditionalFormatting>
  <conditionalFormatting sqref="T28">
    <cfRule type="containsErrors" dxfId="603" priority="25" stopIfTrue="1">
      <formula>ISERROR(T28)</formula>
    </cfRule>
    <cfRule type="notContainsBlanks" dxfId="602" priority="26">
      <formula>LEN(TRIM(T28))&gt;0</formula>
    </cfRule>
  </conditionalFormatting>
  <conditionalFormatting sqref="B7">
    <cfRule type="containsErrors" dxfId="601" priority="23" stopIfTrue="1">
      <formula>ISERROR(B7)</formula>
    </cfRule>
    <cfRule type="notContainsBlanks" dxfId="600" priority="24">
      <formula>LEN(TRIM(B7))&gt;0</formula>
    </cfRule>
  </conditionalFormatting>
  <conditionalFormatting sqref="D7">
    <cfRule type="containsErrors" dxfId="599" priority="21" stopIfTrue="1">
      <formula>ISERROR(D7)</formula>
    </cfRule>
    <cfRule type="notContainsBlanks" dxfId="598" priority="22">
      <formula>LEN(TRIM(D7))&gt;0</formula>
    </cfRule>
  </conditionalFormatting>
  <conditionalFormatting sqref="F7">
    <cfRule type="containsErrors" dxfId="597" priority="19" stopIfTrue="1">
      <formula>ISERROR(F7)</formula>
    </cfRule>
    <cfRule type="notContainsBlanks" dxfId="596" priority="20">
      <formula>LEN(TRIM(F7))&gt;0</formula>
    </cfRule>
  </conditionalFormatting>
  <conditionalFormatting sqref="L7">
    <cfRule type="containsErrors" dxfId="591" priority="13" stopIfTrue="1">
      <formula>ISERROR(L7)</formula>
    </cfRule>
    <cfRule type="notContainsBlanks" dxfId="590" priority="14">
      <formula>LEN(TRIM(L7))&gt;0</formula>
    </cfRule>
  </conditionalFormatting>
  <conditionalFormatting sqref="N7">
    <cfRule type="containsErrors" dxfId="589" priority="11" stopIfTrue="1">
      <formula>ISERROR(N7)</formula>
    </cfRule>
    <cfRule type="notContainsBlanks" dxfId="588" priority="12">
      <formula>LEN(TRIM(N7))&gt;0</formula>
    </cfRule>
  </conditionalFormatting>
  <conditionalFormatting sqref="P7">
    <cfRule type="containsErrors" dxfId="587" priority="9" stopIfTrue="1">
      <formula>ISERROR(P7)</formula>
    </cfRule>
    <cfRule type="notContainsBlanks" dxfId="586" priority="10">
      <formula>LEN(TRIM(P7))&gt;0</formula>
    </cfRule>
  </conditionalFormatting>
  <conditionalFormatting sqref="R7">
    <cfRule type="containsErrors" dxfId="585" priority="7" stopIfTrue="1">
      <formula>ISERROR(R7)</formula>
    </cfRule>
    <cfRule type="notContainsBlanks" dxfId="584" priority="8">
      <formula>LEN(TRIM(R7))&gt;0</formula>
    </cfRule>
  </conditionalFormatting>
  <conditionalFormatting sqref="T7">
    <cfRule type="containsErrors" dxfId="583" priority="5" stopIfTrue="1">
      <formula>ISERROR(T7)</formula>
    </cfRule>
    <cfRule type="notContainsBlanks" dxfId="582" priority="6">
      <formula>LEN(TRIM(T7))&gt;0</formula>
    </cfRule>
  </conditionalFormatting>
  <conditionalFormatting sqref="H7">
    <cfRule type="containsErrors" dxfId="23" priority="3" stopIfTrue="1">
      <formula>ISERROR(H7)</formula>
    </cfRule>
    <cfRule type="notContainsBlanks" dxfId="22" priority="4">
      <formula>LEN(TRIM(H7))&gt;0</formula>
    </cfRule>
  </conditionalFormatting>
  <conditionalFormatting sqref="J8">
    <cfRule type="containsErrors" dxfId="1" priority="1" stopIfTrue="1">
      <formula>ISERROR(J8)</formula>
    </cfRule>
    <cfRule type="notContainsBlanks" dxfId="0" priority="2">
      <formula>LEN(TRIM(J8))&gt;0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J9" sqref="J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16"/>
    </row>
    <row r="9" spans="1:20" ht="15.95" customHeight="1" x14ac:dyDescent="0.25">
      <c r="A9" s="18" t="s">
        <v>585</v>
      </c>
      <c r="B9" s="16"/>
      <c r="C9" s="18" t="s">
        <v>1657</v>
      </c>
      <c r="D9" s="16"/>
      <c r="E9" s="18" t="s">
        <v>2378</v>
      </c>
      <c r="F9" s="16"/>
      <c r="G9" s="18" t="s">
        <v>880</v>
      </c>
      <c r="H9" s="16"/>
      <c r="I9" s="18" t="s">
        <v>3093</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586</v>
      </c>
      <c r="B11" s="16"/>
      <c r="C11" s="18" t="s">
        <v>1658</v>
      </c>
      <c r="D11" s="16"/>
      <c r="E11" s="18" t="s">
        <v>2379</v>
      </c>
      <c r="F11" s="16"/>
      <c r="G11" s="18" t="s">
        <v>881</v>
      </c>
      <c r="H11" s="16"/>
      <c r="I11" s="18" t="s">
        <v>3094</v>
      </c>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81" priority="2" stopIfTrue="1">
      <formula>NOT(ISERROR(A3))</formula>
    </cfRule>
  </conditionalFormatting>
  <conditionalFormatting sqref="A3:T51">
    <cfRule type="containsErrors" dxfId="580" priority="1" stopIfTrue="1">
      <formula>ISERROR(A3)</formula>
    </cfRule>
    <cfRule type="notContainsBlanks" dxfId="579"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J10" sqref="J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c r="L7" s="16"/>
      <c r="M7" s="18"/>
      <c r="N7" s="16"/>
      <c r="O7" s="18"/>
      <c r="P7" s="16"/>
      <c r="Q7" s="18"/>
      <c r="R7" s="16"/>
      <c r="S7" s="18"/>
      <c r="T7" s="16"/>
    </row>
    <row r="8" spans="1:20" ht="15.95" customHeight="1" x14ac:dyDescent="0.25">
      <c r="A8" s="18" t="s">
        <v>615</v>
      </c>
      <c r="B8" s="16"/>
      <c r="C8" s="18" t="s">
        <v>1662</v>
      </c>
      <c r="D8" s="16"/>
      <c r="E8" s="18" t="s">
        <v>2383</v>
      </c>
      <c r="F8" s="16"/>
      <c r="G8" s="18" t="s">
        <v>931</v>
      </c>
      <c r="H8" s="16"/>
      <c r="I8" s="18" t="s">
        <v>3098</v>
      </c>
      <c r="J8" s="16"/>
      <c r="K8" s="18"/>
      <c r="L8" s="16"/>
      <c r="M8" s="18"/>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16"/>
    </row>
    <row r="10" spans="1:20" ht="15.95" customHeight="1" x14ac:dyDescent="0.25">
      <c r="A10" s="18" t="s">
        <v>616</v>
      </c>
      <c r="B10" s="16"/>
      <c r="C10" s="18" t="s">
        <v>1663</v>
      </c>
      <c r="D10" s="16"/>
      <c r="E10" s="18" t="s">
        <v>2384</v>
      </c>
      <c r="F10" s="16"/>
      <c r="G10" s="18" t="s">
        <v>932</v>
      </c>
      <c r="H10" s="16"/>
      <c r="I10" s="18" t="s">
        <v>3099</v>
      </c>
      <c r="J10" s="16"/>
      <c r="K10" s="18"/>
      <c r="L10" s="16"/>
      <c r="M10" s="18"/>
      <c r="N10" s="16"/>
      <c r="O10" s="18"/>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c r="L11" s="16"/>
      <c r="M11" s="18"/>
      <c r="N11" s="16"/>
      <c r="O11" s="18"/>
      <c r="P11" s="16"/>
      <c r="Q11" s="18"/>
      <c r="R11" s="16"/>
      <c r="S11" s="18"/>
      <c r="T11" s="16"/>
    </row>
    <row r="12" spans="1:20" ht="15.95" customHeight="1" x14ac:dyDescent="0.25">
      <c r="A12" s="18" t="s">
        <v>585</v>
      </c>
      <c r="B12" s="16"/>
      <c r="C12" s="18" t="s">
        <v>1657</v>
      </c>
      <c r="D12" s="16"/>
      <c r="E12" s="18" t="s">
        <v>2378</v>
      </c>
      <c r="F12" s="16"/>
      <c r="G12" s="18" t="s">
        <v>880</v>
      </c>
      <c r="H12" s="16"/>
      <c r="I12" s="18" t="s">
        <v>3093</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617</v>
      </c>
      <c r="B14" s="16"/>
      <c r="C14" s="18" t="s">
        <v>1664</v>
      </c>
      <c r="D14" s="16"/>
      <c r="E14" s="18" t="s">
        <v>2385</v>
      </c>
      <c r="F14" s="16"/>
      <c r="G14" s="18" t="s">
        <v>933</v>
      </c>
      <c r="H14" s="16"/>
      <c r="I14" s="18" t="s">
        <v>3100</v>
      </c>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8" priority="2" stopIfTrue="1">
      <formula>NOT(ISERROR(A3))</formula>
    </cfRule>
  </conditionalFormatting>
  <conditionalFormatting sqref="A3:T51">
    <cfRule type="containsErrors" dxfId="577" priority="1" stopIfTrue="1">
      <formula>ISERROR(A3)</formula>
    </cfRule>
    <cfRule type="notContainsBlanks" dxfId="576"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J14" sqref="J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16"/>
    </row>
    <row r="9" spans="1:20" ht="15.95" customHeight="1" x14ac:dyDescent="0.25">
      <c r="A9" s="18" t="s">
        <v>541</v>
      </c>
      <c r="B9" s="16"/>
      <c r="C9" s="18" t="s">
        <v>1669</v>
      </c>
      <c r="D9" s="16"/>
      <c r="E9" s="18" t="s">
        <v>2390</v>
      </c>
      <c r="F9" s="16"/>
      <c r="G9" s="18" t="s">
        <v>938</v>
      </c>
      <c r="H9" s="16"/>
      <c r="I9" s="18" t="s">
        <v>3105</v>
      </c>
      <c r="J9" s="16"/>
      <c r="K9" s="18"/>
      <c r="L9" s="16"/>
      <c r="M9" s="18"/>
      <c r="N9" s="16"/>
      <c r="O9" s="18"/>
      <c r="P9" s="16"/>
      <c r="Q9" s="18"/>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5" priority="2" stopIfTrue="1">
      <formula>NOT(ISERROR(A3))</formula>
    </cfRule>
  </conditionalFormatting>
  <conditionalFormatting sqref="A3:T51">
    <cfRule type="containsErrors" dxfId="574" priority="1" stopIfTrue="1">
      <formula>ISERROR(A3)</formula>
    </cfRule>
    <cfRule type="notContainsBlanks" dxfId="573"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J9" sqref="J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16"/>
    </row>
    <row r="9" spans="1:20" ht="15.95" customHeight="1" x14ac:dyDescent="0.25">
      <c r="A9" s="18" t="s">
        <v>198</v>
      </c>
      <c r="B9" s="16"/>
      <c r="C9" s="18" t="s">
        <v>1675</v>
      </c>
      <c r="D9" s="16"/>
      <c r="E9" s="18" t="s">
        <v>2395</v>
      </c>
      <c r="F9" s="16"/>
      <c r="G9" s="18" t="s">
        <v>942</v>
      </c>
      <c r="H9" s="16"/>
      <c r="I9" s="18" t="s">
        <v>3110</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621</v>
      </c>
      <c r="B11" s="16"/>
      <c r="C11" s="18" t="s">
        <v>1676</v>
      </c>
      <c r="D11" s="16"/>
      <c r="E11" s="18" t="s">
        <v>2396</v>
      </c>
      <c r="F11" s="16"/>
      <c r="G11" s="18" t="s">
        <v>943</v>
      </c>
      <c r="H11" s="16"/>
      <c r="I11" s="18" t="s">
        <v>3111</v>
      </c>
      <c r="J11" s="16"/>
      <c r="K11" s="18"/>
      <c r="L11" s="16"/>
      <c r="M11" s="18"/>
      <c r="N11" s="16"/>
      <c r="O11" s="18"/>
      <c r="P11" s="16"/>
      <c r="Q11" s="18"/>
      <c r="R11" s="16"/>
      <c r="S11" s="18"/>
      <c r="T11" s="16"/>
    </row>
    <row r="12" spans="1:20" ht="15.95" customHeight="1" x14ac:dyDescent="0.25">
      <c r="A12" s="18" t="s">
        <v>621</v>
      </c>
      <c r="B12" s="16"/>
      <c r="C12" s="18" t="s">
        <v>1676</v>
      </c>
      <c r="D12" s="16"/>
      <c r="E12" s="18" t="s">
        <v>2396</v>
      </c>
      <c r="F12" s="16"/>
      <c r="G12" s="18" t="s">
        <v>943</v>
      </c>
      <c r="H12" s="16"/>
      <c r="I12" s="18" t="s">
        <v>3111</v>
      </c>
      <c r="J12" s="16"/>
      <c r="K12" s="18"/>
      <c r="L12" s="16"/>
      <c r="M12" s="18"/>
      <c r="N12" s="16"/>
      <c r="O12" s="18"/>
      <c r="P12" s="16"/>
      <c r="Q12" s="18"/>
      <c r="R12" s="16"/>
      <c r="S12" s="18"/>
      <c r="T12" s="21"/>
    </row>
    <row r="13" spans="1:20" ht="15.95" customHeight="1" x14ac:dyDescent="0.25">
      <c r="A13" s="18" t="s">
        <v>622</v>
      </c>
      <c r="B13" s="16"/>
      <c r="C13" s="18" t="s">
        <v>1677</v>
      </c>
      <c r="D13" s="16"/>
      <c r="E13" s="18" t="s">
        <v>2397</v>
      </c>
      <c r="F13" s="16"/>
      <c r="G13" s="18" t="s">
        <v>944</v>
      </c>
      <c r="H13" s="16"/>
      <c r="I13" s="18" t="s">
        <v>3112</v>
      </c>
      <c r="J13" s="16"/>
      <c r="K13" s="18"/>
      <c r="L13" s="16"/>
      <c r="M13" s="18"/>
      <c r="N13" s="16"/>
      <c r="O13" s="18"/>
      <c r="P13" s="16"/>
      <c r="Q13" s="18"/>
      <c r="R13" s="16"/>
      <c r="S13" s="18"/>
      <c r="T13" s="21"/>
    </row>
    <row r="14" spans="1:20" ht="15.95" customHeight="1" x14ac:dyDescent="0.25">
      <c r="A14" s="18" t="s">
        <v>623</v>
      </c>
      <c r="B14" s="16"/>
      <c r="C14" s="18" t="s">
        <v>1678</v>
      </c>
      <c r="D14" s="16"/>
      <c r="E14" s="18" t="s">
        <v>2398</v>
      </c>
      <c r="F14" s="16"/>
      <c r="G14" s="18" t="s">
        <v>945</v>
      </c>
      <c r="H14" s="16"/>
      <c r="I14" s="18" t="s">
        <v>3113</v>
      </c>
      <c r="J14" s="16"/>
      <c r="K14" s="18"/>
      <c r="L14" s="16"/>
      <c r="M14" s="18"/>
      <c r="N14" s="16"/>
      <c r="O14" s="18"/>
      <c r="P14" s="16"/>
      <c r="Q14" s="18"/>
      <c r="R14" s="16"/>
      <c r="S14" s="18"/>
      <c r="T14" s="21"/>
    </row>
    <row r="15" spans="1:20" ht="15.95" customHeight="1" x14ac:dyDescent="0.25">
      <c r="A15" s="18" t="s">
        <v>622</v>
      </c>
      <c r="B15" s="16"/>
      <c r="C15" s="18" t="s">
        <v>1677</v>
      </c>
      <c r="D15" s="16"/>
      <c r="E15" s="18" t="s">
        <v>2397</v>
      </c>
      <c r="F15" s="16"/>
      <c r="G15" s="18" t="s">
        <v>944</v>
      </c>
      <c r="H15" s="16"/>
      <c r="I15" s="18" t="s">
        <v>3112</v>
      </c>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1"/>
    </row>
    <row r="17" spans="1:20" ht="15.95" customHeight="1" x14ac:dyDescent="0.25">
      <c r="A17" s="18" t="s">
        <v>624</v>
      </c>
      <c r="B17" s="16"/>
      <c r="C17" s="18" t="s">
        <v>1679</v>
      </c>
      <c r="D17" s="16"/>
      <c r="E17" s="18" t="s">
        <v>2399</v>
      </c>
      <c r="F17" s="16"/>
      <c r="G17" s="18" t="s">
        <v>946</v>
      </c>
      <c r="H17" s="16"/>
      <c r="I17" s="18" t="s">
        <v>3114</v>
      </c>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2" priority="2" stopIfTrue="1">
      <formula>NOT(ISERROR(A3))</formula>
    </cfRule>
  </conditionalFormatting>
  <conditionalFormatting sqref="A3:T51">
    <cfRule type="containsErrors" dxfId="571" priority="1" stopIfTrue="1">
      <formula>ISERROR(A3)</formula>
    </cfRule>
    <cfRule type="notContainsBlanks" dxfId="570"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J12" sqref="J12"/>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c r="L7" s="16" t="e">
        <f>TRIM(_xlfn.TEXTBEFORE(K7,":"))</f>
        <v>#N/A</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16"/>
    </row>
    <row r="9" spans="1:20" ht="15.95" customHeight="1" x14ac:dyDescent="0.25">
      <c r="A9" s="18" t="s">
        <v>198</v>
      </c>
      <c r="B9" s="16"/>
      <c r="C9" s="18" t="s">
        <v>1675</v>
      </c>
      <c r="D9" s="16"/>
      <c r="E9" s="18" t="s">
        <v>2395</v>
      </c>
      <c r="F9" s="16"/>
      <c r="G9" s="18" t="s">
        <v>942</v>
      </c>
      <c r="H9" s="16"/>
      <c r="I9" s="18" t="s">
        <v>3110</v>
      </c>
      <c r="J9" s="16"/>
      <c r="K9" s="18"/>
      <c r="L9" s="16"/>
      <c r="M9" s="18"/>
      <c r="N9" s="16"/>
      <c r="O9" s="18"/>
      <c r="P9" s="16"/>
      <c r="Q9" s="18"/>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c r="L10" s="16" t="e">
        <f>TRIM(_xlfn.TEXTBEFORE(K5, " "))</f>
        <v>#N/A</v>
      </c>
      <c r="M10" s="18"/>
      <c r="N10" s="16" t="e">
        <f>TRIM(_xlfn.TEXTBEFORE(M5, " "))</f>
        <v>#N/A</v>
      </c>
      <c r="O10" s="18"/>
      <c r="P10" s="16" t="e">
        <f>TRIM(_xlfn.TEXTBEFORE(O5, " "))</f>
        <v>#N/A</v>
      </c>
      <c r="Q10" s="18"/>
      <c r="R10" s="16" t="e">
        <f>TRIM(_xlfn.TEXTBEFORE(Q5, " "))</f>
        <v>#N/A</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c r="L11" s="16"/>
      <c r="M11" s="18"/>
      <c r="N11" s="16"/>
      <c r="O11" s="18"/>
      <c r="P11" s="16"/>
      <c r="Q11" s="18"/>
      <c r="R11" s="16"/>
      <c r="S11" s="18"/>
      <c r="T11" s="16"/>
    </row>
    <row r="12" spans="1:20" ht="15.95" customHeight="1" x14ac:dyDescent="0.25">
      <c r="A12" s="18" t="s">
        <v>527</v>
      </c>
      <c r="B12" s="16"/>
      <c r="C12" s="18" t="s">
        <v>1685</v>
      </c>
      <c r="D12" s="16"/>
      <c r="E12" s="18" t="s">
        <v>2405</v>
      </c>
      <c r="F12" s="16"/>
      <c r="G12" s="18" t="s">
        <v>952</v>
      </c>
      <c r="H12" s="16"/>
      <c r="I12" s="18" t="s">
        <v>3120</v>
      </c>
      <c r="J12" s="16"/>
      <c r="K12" s="18"/>
      <c r="L12" s="16"/>
      <c r="M12" s="18"/>
      <c r="N12" s="16"/>
      <c r="O12" s="18"/>
      <c r="P12" s="16"/>
      <c r="Q12" s="18"/>
      <c r="R12" s="16"/>
      <c r="S12" s="18"/>
      <c r="T12" s="21"/>
    </row>
    <row r="13" spans="1:20" ht="15.95" customHeight="1" x14ac:dyDescent="0.25">
      <c r="A13" s="18" t="s">
        <v>528</v>
      </c>
      <c r="B13" s="16"/>
      <c r="C13" s="18" t="s">
        <v>1686</v>
      </c>
      <c r="D13" s="16"/>
      <c r="E13" s="18" t="s">
        <v>2406</v>
      </c>
      <c r="F13" s="16"/>
      <c r="G13" s="18" t="s">
        <v>953</v>
      </c>
      <c r="H13" s="16"/>
      <c r="I13" s="18" t="s">
        <v>3121</v>
      </c>
      <c r="J13" s="16"/>
      <c r="K13" s="18"/>
      <c r="L13" s="16"/>
      <c r="M13" s="18"/>
      <c r="N13" s="16"/>
      <c r="O13" s="18"/>
      <c r="P13" s="16"/>
      <c r="Q13" s="18"/>
      <c r="R13" s="16"/>
      <c r="S13" s="18"/>
      <c r="T13" s="21"/>
    </row>
    <row r="14" spans="1:20" ht="15.95" customHeight="1" x14ac:dyDescent="0.25">
      <c r="A14" s="18" t="s">
        <v>529</v>
      </c>
      <c r="B14" s="16"/>
      <c r="C14" s="18" t="s">
        <v>1687</v>
      </c>
      <c r="D14" s="16"/>
      <c r="E14" s="18" t="s">
        <v>2407</v>
      </c>
      <c r="F14" s="16"/>
      <c r="G14" s="18" t="s">
        <v>954</v>
      </c>
      <c r="H14" s="16"/>
      <c r="I14" s="18" t="s">
        <v>3122</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530</v>
      </c>
      <c r="B16" s="16"/>
      <c r="C16" s="18" t="s">
        <v>1688</v>
      </c>
      <c r="D16" s="16"/>
      <c r="E16" s="18" t="s">
        <v>2408</v>
      </c>
      <c r="F16" s="16"/>
      <c r="G16" s="18" t="s">
        <v>955</v>
      </c>
      <c r="H16" s="16"/>
      <c r="I16" s="18" t="s">
        <v>3123</v>
      </c>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69" priority="98" stopIfTrue="1">
      <formula>NOT(ISERROR(A3))</formula>
    </cfRule>
  </conditionalFormatting>
  <conditionalFormatting sqref="A3:T6 A7:A9 C7:C9 E7:E9 G7:G9 I7:I9 K7:K9 M7:M9 O7:O9 Q7:Q9 S7:S9 A10:T51">
    <cfRule type="containsErrors" dxfId="568" priority="97" stopIfTrue="1">
      <formula>ISERROR(A3)</formula>
    </cfRule>
    <cfRule type="notContainsBlanks" dxfId="567" priority="99">
      <formula>LEN(TRIM(A3))&gt;0</formula>
    </cfRule>
  </conditionalFormatting>
  <conditionalFormatting sqref="B7">
    <cfRule type="containsErrors" dxfId="566" priority="95" stopIfTrue="1">
      <formula>ISERROR(B7)</formula>
    </cfRule>
    <cfRule type="notContainsBlanks" dxfId="565" priority="96">
      <formula>LEN(TRIM(B7))&gt;0</formula>
    </cfRule>
  </conditionalFormatting>
  <conditionalFormatting sqref="B8">
    <cfRule type="containsErrors" dxfId="564" priority="93" stopIfTrue="1">
      <formula>ISERROR(B8)</formula>
    </cfRule>
    <cfRule type="notContainsBlanks" dxfId="563" priority="94">
      <formula>LEN(TRIM(B8))&gt;0</formula>
    </cfRule>
  </conditionalFormatting>
  <conditionalFormatting sqref="B9">
    <cfRule type="containsErrors" dxfId="562" priority="91" stopIfTrue="1">
      <formula>ISERROR(B9)</formula>
    </cfRule>
    <cfRule type="notContainsBlanks" dxfId="561" priority="92">
      <formula>LEN(TRIM(B9))&gt;0</formula>
    </cfRule>
  </conditionalFormatting>
  <conditionalFormatting sqref="D7">
    <cfRule type="containsErrors" dxfId="560" priority="89" stopIfTrue="1">
      <formula>ISERROR(D7)</formula>
    </cfRule>
    <cfRule type="notContainsBlanks" dxfId="559" priority="90">
      <formula>LEN(TRIM(D7))&gt;0</formula>
    </cfRule>
  </conditionalFormatting>
  <conditionalFormatting sqref="F7">
    <cfRule type="containsErrors" dxfId="554" priority="83" stopIfTrue="1">
      <formula>ISERROR(F7)</formula>
    </cfRule>
    <cfRule type="notContainsBlanks" dxfId="553" priority="84">
      <formula>LEN(TRIM(F7))&gt;0</formula>
    </cfRule>
  </conditionalFormatting>
  <conditionalFormatting sqref="H7">
    <cfRule type="containsErrors" dxfId="548" priority="77" stopIfTrue="1">
      <formula>ISERROR(H7)</formula>
    </cfRule>
    <cfRule type="notContainsBlanks" dxfId="547" priority="78">
      <formula>LEN(TRIM(H7))&gt;0</formula>
    </cfRule>
  </conditionalFormatting>
  <conditionalFormatting sqref="J7">
    <cfRule type="containsErrors" dxfId="542" priority="71" stopIfTrue="1">
      <formula>ISERROR(J7)</formula>
    </cfRule>
    <cfRule type="notContainsBlanks" dxfId="541" priority="72">
      <formula>LEN(TRIM(J7))&gt;0</formula>
    </cfRule>
  </conditionalFormatting>
  <conditionalFormatting sqref="L7">
    <cfRule type="containsErrors" dxfId="536" priority="65" stopIfTrue="1">
      <formula>ISERROR(L7)</formula>
    </cfRule>
    <cfRule type="notContainsBlanks" dxfId="535" priority="66">
      <formula>LEN(TRIM(L7))&gt;0</formula>
    </cfRule>
  </conditionalFormatting>
  <conditionalFormatting sqref="N7">
    <cfRule type="containsErrors" dxfId="530" priority="59" stopIfTrue="1">
      <formula>ISERROR(N7)</formula>
    </cfRule>
    <cfRule type="notContainsBlanks" dxfId="529" priority="60">
      <formula>LEN(TRIM(N7))&gt;0</formula>
    </cfRule>
  </conditionalFormatting>
  <conditionalFormatting sqref="P7">
    <cfRule type="containsErrors" dxfId="524" priority="53" stopIfTrue="1">
      <formula>ISERROR(P7)</formula>
    </cfRule>
    <cfRule type="notContainsBlanks" dxfId="523" priority="54">
      <formula>LEN(TRIM(P7))&gt;0</formula>
    </cfRule>
  </conditionalFormatting>
  <conditionalFormatting sqref="R7">
    <cfRule type="containsErrors" dxfId="518" priority="47" stopIfTrue="1">
      <formula>ISERROR(R7)</formula>
    </cfRule>
    <cfRule type="notContainsBlanks" dxfId="517" priority="48">
      <formula>LEN(TRIM(R7))&gt;0</formula>
    </cfRule>
  </conditionalFormatting>
  <conditionalFormatting sqref="T7">
    <cfRule type="containsErrors" dxfId="512" priority="41" stopIfTrue="1">
      <formula>ISERROR(T7)</formula>
    </cfRule>
    <cfRule type="notContainsBlanks" dxfId="511" priority="42">
      <formula>LEN(TRIM(T7))&gt;0</formula>
    </cfRule>
  </conditionalFormatting>
  <conditionalFormatting sqref="D8">
    <cfRule type="containsErrors" dxfId="506" priority="35" stopIfTrue="1">
      <formula>ISERROR(D8)</formula>
    </cfRule>
    <cfRule type="notContainsBlanks" dxfId="505" priority="36">
      <formula>LEN(TRIM(D8))&gt;0</formula>
    </cfRule>
  </conditionalFormatting>
  <conditionalFormatting sqref="D9">
    <cfRule type="containsErrors" dxfId="504" priority="33" stopIfTrue="1">
      <formula>ISERROR(D9)</formula>
    </cfRule>
    <cfRule type="notContainsBlanks" dxfId="503" priority="34">
      <formula>LEN(TRIM(D9))&gt;0</formula>
    </cfRule>
  </conditionalFormatting>
  <conditionalFormatting sqref="F8">
    <cfRule type="containsErrors" dxfId="502" priority="31" stopIfTrue="1">
      <formula>ISERROR(F8)</formula>
    </cfRule>
    <cfRule type="notContainsBlanks" dxfId="501" priority="32">
      <formula>LEN(TRIM(F8))&gt;0</formula>
    </cfRule>
  </conditionalFormatting>
  <conditionalFormatting sqref="F9">
    <cfRule type="containsErrors" dxfId="500" priority="29" stopIfTrue="1">
      <formula>ISERROR(F9)</formula>
    </cfRule>
    <cfRule type="notContainsBlanks" dxfId="499" priority="30">
      <formula>LEN(TRIM(F9))&gt;0</formula>
    </cfRule>
  </conditionalFormatting>
  <conditionalFormatting sqref="H8">
    <cfRule type="containsErrors" dxfId="498" priority="27" stopIfTrue="1">
      <formula>ISERROR(H8)</formula>
    </cfRule>
    <cfRule type="notContainsBlanks" dxfId="497" priority="28">
      <formula>LEN(TRIM(H8))&gt;0</formula>
    </cfRule>
  </conditionalFormatting>
  <conditionalFormatting sqref="H9">
    <cfRule type="containsErrors" dxfId="496" priority="25" stopIfTrue="1">
      <formula>ISERROR(H9)</formula>
    </cfRule>
    <cfRule type="notContainsBlanks" dxfId="495" priority="26">
      <formula>LEN(TRIM(H9))&gt;0</formula>
    </cfRule>
  </conditionalFormatting>
  <conditionalFormatting sqref="J8">
    <cfRule type="containsErrors" dxfId="494" priority="23" stopIfTrue="1">
      <formula>ISERROR(J8)</formula>
    </cfRule>
    <cfRule type="notContainsBlanks" dxfId="493" priority="24">
      <formula>LEN(TRIM(J8))&gt;0</formula>
    </cfRule>
  </conditionalFormatting>
  <conditionalFormatting sqref="J9">
    <cfRule type="containsErrors" dxfId="492" priority="21" stopIfTrue="1">
      <formula>ISERROR(J9)</formula>
    </cfRule>
    <cfRule type="notContainsBlanks" dxfId="491" priority="22">
      <formula>LEN(TRIM(J9))&gt;0</formula>
    </cfRule>
  </conditionalFormatting>
  <conditionalFormatting sqref="L8">
    <cfRule type="containsErrors" dxfId="490" priority="19" stopIfTrue="1">
      <formula>ISERROR(L8)</formula>
    </cfRule>
    <cfRule type="notContainsBlanks" dxfId="489" priority="20">
      <formula>LEN(TRIM(L8))&gt;0</formula>
    </cfRule>
  </conditionalFormatting>
  <conditionalFormatting sqref="L9">
    <cfRule type="containsErrors" dxfId="488" priority="17" stopIfTrue="1">
      <formula>ISERROR(L9)</formula>
    </cfRule>
    <cfRule type="notContainsBlanks" dxfId="487" priority="18">
      <formula>LEN(TRIM(L9))&gt;0</formula>
    </cfRule>
  </conditionalFormatting>
  <conditionalFormatting sqref="N8">
    <cfRule type="containsErrors" dxfId="486" priority="15" stopIfTrue="1">
      <formula>ISERROR(N8)</formula>
    </cfRule>
    <cfRule type="notContainsBlanks" dxfId="485" priority="16">
      <formula>LEN(TRIM(N8))&gt;0</formula>
    </cfRule>
  </conditionalFormatting>
  <conditionalFormatting sqref="N9">
    <cfRule type="containsErrors" dxfId="484" priority="13" stopIfTrue="1">
      <formula>ISERROR(N9)</formula>
    </cfRule>
    <cfRule type="notContainsBlanks" dxfId="483" priority="14">
      <formula>LEN(TRIM(N9))&gt;0</formula>
    </cfRule>
  </conditionalFormatting>
  <conditionalFormatting sqref="P8">
    <cfRule type="containsErrors" dxfId="482" priority="11" stopIfTrue="1">
      <formula>ISERROR(P8)</formula>
    </cfRule>
    <cfRule type="notContainsBlanks" dxfId="481" priority="12">
      <formula>LEN(TRIM(P8))&gt;0</formula>
    </cfRule>
  </conditionalFormatting>
  <conditionalFormatting sqref="P9">
    <cfRule type="containsErrors" dxfId="480" priority="9" stopIfTrue="1">
      <formula>ISERROR(P9)</formula>
    </cfRule>
    <cfRule type="notContainsBlanks" dxfId="479" priority="10">
      <formula>LEN(TRIM(P9))&gt;0</formula>
    </cfRule>
  </conditionalFormatting>
  <conditionalFormatting sqref="R8">
    <cfRule type="containsErrors" dxfId="478" priority="7" stopIfTrue="1">
      <formula>ISERROR(R8)</formula>
    </cfRule>
    <cfRule type="notContainsBlanks" dxfId="477" priority="8">
      <formula>LEN(TRIM(R8))&gt;0</formula>
    </cfRule>
  </conditionalFormatting>
  <conditionalFormatting sqref="R9">
    <cfRule type="containsErrors" dxfId="476" priority="5" stopIfTrue="1">
      <formula>ISERROR(R9)</formula>
    </cfRule>
    <cfRule type="notContainsBlanks" dxfId="475" priority="6">
      <formula>LEN(TRIM(R9))&gt;0</formula>
    </cfRule>
  </conditionalFormatting>
  <conditionalFormatting sqref="T8">
    <cfRule type="containsErrors" dxfId="474" priority="3" stopIfTrue="1">
      <formula>ISERROR(T8)</formula>
    </cfRule>
    <cfRule type="notContainsBlanks" dxfId="473" priority="4">
      <formula>LEN(TRIM(T8))&gt;0</formula>
    </cfRule>
  </conditionalFormatting>
  <conditionalFormatting sqref="T9">
    <cfRule type="containsErrors" dxfId="472" priority="1" stopIfTrue="1">
      <formula>ISERROR(T9)</formula>
    </cfRule>
    <cfRule type="notContainsBlanks" dxfId="471" priority="2">
      <formula>LEN(TRIM(T9))&gt;0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J9" sqref="J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20"/>
    </row>
    <row r="9" spans="1:20" ht="15.95" customHeight="1" x14ac:dyDescent="0.25">
      <c r="A9" s="18" t="s">
        <v>111</v>
      </c>
      <c r="B9" s="16"/>
      <c r="C9" s="18" t="s">
        <v>1691</v>
      </c>
      <c r="D9" s="16"/>
      <c r="E9" s="18" t="s">
        <v>2325</v>
      </c>
      <c r="F9" s="16"/>
      <c r="G9" s="18" t="s">
        <v>958</v>
      </c>
      <c r="H9" s="16"/>
      <c r="I9" s="18" t="s">
        <v>3127</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690</v>
      </c>
      <c r="B11" s="16"/>
      <c r="C11" s="18" t="s">
        <v>1692</v>
      </c>
      <c r="D11" s="16"/>
      <c r="E11" s="18" t="s">
        <v>2411</v>
      </c>
      <c r="F11" s="16"/>
      <c r="G11" s="18" t="s">
        <v>959</v>
      </c>
      <c r="H11" s="16"/>
      <c r="I11" s="18" t="s">
        <v>3128</v>
      </c>
      <c r="J11" s="16"/>
      <c r="K11" s="18"/>
      <c r="L11" s="16"/>
      <c r="M11" s="18"/>
      <c r="N11" s="16"/>
      <c r="O11" s="18"/>
      <c r="P11" s="16"/>
      <c r="Q11" s="18"/>
      <c r="R11" s="16"/>
      <c r="S11" s="18"/>
      <c r="T11" s="20"/>
    </row>
    <row r="12" spans="1:20" ht="15.95" customHeight="1" x14ac:dyDescent="0.25">
      <c r="A12" s="18" t="s">
        <v>691</v>
      </c>
      <c r="B12" s="16"/>
      <c r="C12" s="18" t="s">
        <v>1693</v>
      </c>
      <c r="D12" s="16"/>
      <c r="E12" s="18" t="s">
        <v>2412</v>
      </c>
      <c r="F12" s="16"/>
      <c r="G12" s="18" t="s">
        <v>960</v>
      </c>
      <c r="H12" s="16"/>
      <c r="I12" s="18" t="s">
        <v>3129</v>
      </c>
      <c r="J12" s="16"/>
      <c r="K12" s="18"/>
      <c r="L12" s="16"/>
      <c r="M12" s="18"/>
      <c r="N12" s="16"/>
      <c r="O12" s="18"/>
      <c r="P12" s="16"/>
      <c r="Q12" s="18"/>
      <c r="R12" s="16"/>
      <c r="S12" s="18"/>
      <c r="T12" s="20"/>
    </row>
    <row r="13" spans="1:20" ht="15.95" customHeight="1" x14ac:dyDescent="0.25">
      <c r="A13" s="18" t="s">
        <v>692</v>
      </c>
      <c r="B13" s="16"/>
      <c r="C13" s="18" t="s">
        <v>1694</v>
      </c>
      <c r="D13" s="16"/>
      <c r="E13" s="18" t="s">
        <v>2413</v>
      </c>
      <c r="F13" s="16"/>
      <c r="G13" s="18" t="s">
        <v>961</v>
      </c>
      <c r="H13" s="16"/>
      <c r="I13" s="18" t="s">
        <v>3130</v>
      </c>
      <c r="J13" s="16"/>
      <c r="K13" s="18"/>
      <c r="L13" s="16"/>
      <c r="M13" s="18"/>
      <c r="N13" s="16"/>
      <c r="O13" s="18"/>
      <c r="P13" s="16"/>
      <c r="Q13" s="18"/>
      <c r="R13" s="16"/>
      <c r="S13" s="18"/>
      <c r="T13" s="20"/>
    </row>
    <row r="14" spans="1:20" ht="15.95" customHeight="1" x14ac:dyDescent="0.25">
      <c r="A14" s="18" t="s">
        <v>526</v>
      </c>
      <c r="B14" s="16"/>
      <c r="C14" s="18" t="s">
        <v>1684</v>
      </c>
      <c r="D14" s="16"/>
      <c r="E14" s="18" t="s">
        <v>2404</v>
      </c>
      <c r="F14" s="16"/>
      <c r="G14" s="18" t="s">
        <v>951</v>
      </c>
      <c r="H14" s="16"/>
      <c r="I14" s="18" t="s">
        <v>3119</v>
      </c>
      <c r="J14" s="16"/>
      <c r="K14" s="18"/>
      <c r="L14" s="16"/>
      <c r="M14" s="18"/>
      <c r="N14" s="16"/>
      <c r="O14" s="18"/>
      <c r="P14" s="16"/>
      <c r="Q14" s="18"/>
      <c r="R14" s="16"/>
      <c r="S14" s="18"/>
      <c r="T14" s="20"/>
    </row>
    <row r="15" spans="1:20" ht="15.95" customHeight="1" x14ac:dyDescent="0.25">
      <c r="A15" s="18" t="s">
        <v>693</v>
      </c>
      <c r="B15" s="16"/>
      <c r="C15" s="18" t="s">
        <v>1695</v>
      </c>
      <c r="D15" s="16"/>
      <c r="E15" s="18" t="s">
        <v>2414</v>
      </c>
      <c r="F15" s="16"/>
      <c r="G15" s="18" t="s">
        <v>962</v>
      </c>
      <c r="H15" s="16"/>
      <c r="I15" s="18" t="s">
        <v>3131</v>
      </c>
      <c r="J15" s="16"/>
      <c r="K15" s="18"/>
      <c r="L15" s="16"/>
      <c r="M15" s="18"/>
      <c r="N15" s="16"/>
      <c r="O15" s="18"/>
      <c r="P15" s="16"/>
      <c r="Q15" s="18"/>
      <c r="R15" s="16"/>
      <c r="S15" s="18"/>
      <c r="T15" s="20"/>
    </row>
    <row r="16" spans="1:20" ht="15.95" customHeight="1" x14ac:dyDescent="0.25">
      <c r="A16" s="18" t="s">
        <v>694</v>
      </c>
      <c r="B16" s="16"/>
      <c r="C16" s="18" t="s">
        <v>1696</v>
      </c>
      <c r="D16" s="16"/>
      <c r="E16" s="18" t="s">
        <v>2415</v>
      </c>
      <c r="F16" s="16"/>
      <c r="G16" s="18" t="s">
        <v>963</v>
      </c>
      <c r="H16" s="16"/>
      <c r="I16" s="18" t="s">
        <v>3132</v>
      </c>
      <c r="J16" s="16"/>
      <c r="K16" s="18"/>
      <c r="L16" s="16"/>
      <c r="M16" s="18"/>
      <c r="N16" s="16"/>
      <c r="O16" s="18"/>
      <c r="P16" s="16"/>
      <c r="Q16" s="18"/>
      <c r="R16" s="16"/>
      <c r="S16" s="18"/>
      <c r="T16" s="20"/>
    </row>
    <row r="17" spans="1:20" ht="15.95" customHeight="1" x14ac:dyDescent="0.25">
      <c r="A17" s="18" t="s">
        <v>529</v>
      </c>
      <c r="B17" s="16"/>
      <c r="C17" s="18" t="s">
        <v>1687</v>
      </c>
      <c r="D17" s="16"/>
      <c r="E17" s="18" t="s">
        <v>2407</v>
      </c>
      <c r="F17" s="16"/>
      <c r="G17" s="18" t="s">
        <v>954</v>
      </c>
      <c r="H17" s="16"/>
      <c r="I17" s="18" t="s">
        <v>3122</v>
      </c>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0"/>
    </row>
    <row r="19" spans="1:20" ht="15.95" customHeight="1" x14ac:dyDescent="0.25">
      <c r="A19" s="18" t="s">
        <v>530</v>
      </c>
      <c r="B19" s="16"/>
      <c r="C19" s="18" t="s">
        <v>1688</v>
      </c>
      <c r="D19" s="16"/>
      <c r="E19" s="18" t="s">
        <v>2408</v>
      </c>
      <c r="F19" s="16"/>
      <c r="G19" s="18" t="s">
        <v>955</v>
      </c>
      <c r="H19" s="16"/>
      <c r="I19" s="18" t="s">
        <v>3123</v>
      </c>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70" priority="28" stopIfTrue="1">
      <formula>NOT(ISERROR(A3))</formula>
    </cfRule>
  </conditionalFormatting>
  <conditionalFormatting sqref="A3:T6 A8:T51 A7 C7 E7 G7 I7 K7 M7 O7 Q7 S7">
    <cfRule type="containsErrors" dxfId="469" priority="27" stopIfTrue="1">
      <formula>ISERROR(A3)</formula>
    </cfRule>
    <cfRule type="notContainsBlanks" dxfId="468" priority="29">
      <formula>LEN(TRIM(A3))&gt;0</formula>
    </cfRule>
  </conditionalFormatting>
  <conditionalFormatting sqref="B7">
    <cfRule type="containsErrors" dxfId="467" priority="25" stopIfTrue="1">
      <formula>ISERROR(B7)</formula>
    </cfRule>
    <cfRule type="notContainsBlanks" dxfId="466" priority="26">
      <formula>LEN(TRIM(B7))&gt;0</formula>
    </cfRule>
  </conditionalFormatting>
  <conditionalFormatting sqref="D7">
    <cfRule type="containsErrors" dxfId="463" priority="21" stopIfTrue="1">
      <formula>ISERROR(D7)</formula>
    </cfRule>
    <cfRule type="notContainsBlanks" dxfId="462" priority="22">
      <formula>LEN(TRIM(D7))&gt;0</formula>
    </cfRule>
  </conditionalFormatting>
  <conditionalFormatting sqref="J7">
    <cfRule type="containsErrors" dxfId="457" priority="15" stopIfTrue="1">
      <formula>ISERROR(J7)</formula>
    </cfRule>
    <cfRule type="notContainsBlanks" dxfId="456" priority="16">
      <formula>LEN(TRIM(J7))&gt;0</formula>
    </cfRule>
  </conditionalFormatting>
  <conditionalFormatting sqref="L7">
    <cfRule type="containsErrors" dxfId="455" priority="13" stopIfTrue="1">
      <formula>ISERROR(L7)</formula>
    </cfRule>
    <cfRule type="notContainsBlanks" dxfId="454" priority="14">
      <formula>LEN(TRIM(L7))&gt;0</formula>
    </cfRule>
  </conditionalFormatting>
  <conditionalFormatting sqref="N7">
    <cfRule type="containsErrors" dxfId="453" priority="11" stopIfTrue="1">
      <formula>ISERROR(N7)</formula>
    </cfRule>
    <cfRule type="notContainsBlanks" dxfId="452" priority="12">
      <formula>LEN(TRIM(N7))&gt;0</formula>
    </cfRule>
  </conditionalFormatting>
  <conditionalFormatting sqref="P7">
    <cfRule type="containsErrors" dxfId="451" priority="9" stopIfTrue="1">
      <formula>ISERROR(P7)</formula>
    </cfRule>
    <cfRule type="notContainsBlanks" dxfId="450" priority="10">
      <formula>LEN(TRIM(P7))&gt;0</formula>
    </cfRule>
  </conditionalFormatting>
  <conditionalFormatting sqref="R7">
    <cfRule type="containsErrors" dxfId="449" priority="7" stopIfTrue="1">
      <formula>ISERROR(R7)</formula>
    </cfRule>
    <cfRule type="notContainsBlanks" dxfId="448" priority="8">
      <formula>LEN(TRIM(R7))&gt;0</formula>
    </cfRule>
  </conditionalFormatting>
  <conditionalFormatting sqref="T7">
    <cfRule type="containsErrors" dxfId="447" priority="5" stopIfTrue="1">
      <formula>ISERROR(T7)</formula>
    </cfRule>
    <cfRule type="notContainsBlanks" dxfId="446" priority="6">
      <formula>LEN(TRIM(T7))&gt;0</formula>
    </cfRule>
  </conditionalFormatting>
  <conditionalFormatting sqref="H7">
    <cfRule type="containsErrors" dxfId="21" priority="3" stopIfTrue="1">
      <formula>ISERROR(H7)</formula>
    </cfRule>
    <cfRule type="notContainsBlanks" dxfId="20" priority="4">
      <formula>LEN(TRIM(H7))&gt;0</formula>
    </cfRule>
  </conditionalFormatting>
  <conditionalFormatting sqref="F7">
    <cfRule type="containsErrors" dxfId="7" priority="1" stopIfTrue="1">
      <formula>ISERROR(F7)</formula>
    </cfRule>
    <cfRule type="notContainsBlanks" dxfId="6" priority="2">
      <formula>LEN(TRIM(F7))&gt;0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I3" sqref="I3:I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c r="L7" s="16"/>
      <c r="M7" s="18"/>
      <c r="N7" s="16"/>
      <c r="O7" s="18"/>
      <c r="P7" s="16"/>
      <c r="Q7" s="18"/>
      <c r="R7" s="16"/>
      <c r="S7" s="18"/>
      <c r="T7" s="20"/>
    </row>
    <row r="8" spans="1:20" ht="15.95" customHeight="1" x14ac:dyDescent="0.25">
      <c r="A8" s="18" t="s">
        <v>710</v>
      </c>
      <c r="B8" s="16"/>
      <c r="C8" s="18" t="s">
        <v>1700</v>
      </c>
      <c r="D8" s="16"/>
      <c r="E8" s="18" t="s">
        <v>2419</v>
      </c>
      <c r="F8" s="16"/>
      <c r="G8" s="18" t="s">
        <v>967</v>
      </c>
      <c r="H8" s="16"/>
      <c r="I8" s="18" t="s">
        <v>3137</v>
      </c>
      <c r="J8" s="16"/>
      <c r="K8" s="18"/>
      <c r="L8" s="16"/>
      <c r="M8" s="18"/>
      <c r="N8" s="16"/>
      <c r="O8" s="18"/>
      <c r="P8" s="16"/>
      <c r="Q8" s="18"/>
      <c r="R8" s="16"/>
      <c r="S8" s="18"/>
      <c r="T8" s="20"/>
    </row>
    <row r="9" spans="1:20" ht="15.95" customHeight="1" x14ac:dyDescent="0.25">
      <c r="A9" s="18" t="s">
        <v>711</v>
      </c>
      <c r="B9" s="16"/>
      <c r="C9" s="18" t="s">
        <v>1701</v>
      </c>
      <c r="D9" s="16"/>
      <c r="E9" s="18" t="s">
        <v>2420</v>
      </c>
      <c r="F9" s="16"/>
      <c r="G9" s="18" t="s">
        <v>968</v>
      </c>
      <c r="H9" s="16"/>
      <c r="I9" s="18" t="s">
        <v>3138</v>
      </c>
      <c r="J9" s="16"/>
      <c r="K9" s="18"/>
      <c r="L9" s="16"/>
      <c r="M9" s="18"/>
      <c r="N9" s="16"/>
      <c r="O9" s="18"/>
      <c r="P9" s="16"/>
      <c r="Q9" s="18"/>
      <c r="R9" s="16"/>
      <c r="S9" s="18"/>
      <c r="T9" s="20"/>
    </row>
    <row r="10" spans="1:20" ht="15.95" customHeight="1" x14ac:dyDescent="0.25">
      <c r="A10" s="18" t="s">
        <v>712</v>
      </c>
      <c r="B10" s="16"/>
      <c r="C10" s="18" t="s">
        <v>1702</v>
      </c>
      <c r="D10" s="16"/>
      <c r="E10" s="18" t="s">
        <v>2421</v>
      </c>
      <c r="F10" s="16"/>
      <c r="G10" s="18" t="s">
        <v>969</v>
      </c>
      <c r="H10" s="16"/>
      <c r="I10" s="18" t="s">
        <v>3139</v>
      </c>
      <c r="J10" s="16"/>
      <c r="K10" s="18"/>
      <c r="L10" s="16"/>
      <c r="M10" s="18"/>
      <c r="N10" s="16"/>
      <c r="O10" s="18"/>
      <c r="P10" s="16"/>
      <c r="Q10" s="18"/>
      <c r="R10" s="16"/>
      <c r="S10" s="18"/>
      <c r="T10" s="20"/>
    </row>
    <row r="11" spans="1:20" ht="15.95" customHeight="1" x14ac:dyDescent="0.25">
      <c r="A11" s="18" t="s">
        <v>713</v>
      </c>
      <c r="B11" s="16"/>
      <c r="C11" s="18" t="s">
        <v>1703</v>
      </c>
      <c r="D11" s="16"/>
      <c r="E11" s="18" t="s">
        <v>2422</v>
      </c>
      <c r="F11" s="16"/>
      <c r="G11" s="18" t="s">
        <v>970</v>
      </c>
      <c r="H11" s="16"/>
      <c r="I11" s="18" t="s">
        <v>3140</v>
      </c>
      <c r="J11" s="16"/>
      <c r="K11" s="18"/>
      <c r="L11" s="16"/>
      <c r="M11" s="18"/>
      <c r="N11" s="16"/>
      <c r="O11" s="18"/>
      <c r="P11" s="16"/>
      <c r="Q11" s="18"/>
      <c r="R11" s="16"/>
      <c r="S11" s="18"/>
      <c r="T11" s="20"/>
    </row>
    <row r="12" spans="1:20" ht="15.95" customHeight="1" x14ac:dyDescent="0.25">
      <c r="A12" s="18" t="s">
        <v>714</v>
      </c>
      <c r="B12" s="16"/>
      <c r="C12" s="18" t="s">
        <v>1704</v>
      </c>
      <c r="D12" s="16"/>
      <c r="E12" s="18" t="s">
        <v>2423</v>
      </c>
      <c r="F12" s="16"/>
      <c r="G12" s="18" t="s">
        <v>971</v>
      </c>
      <c r="H12" s="16"/>
      <c r="I12" s="18" t="s">
        <v>3141</v>
      </c>
      <c r="J12" s="16"/>
      <c r="K12" s="18"/>
      <c r="L12" s="16"/>
      <c r="M12" s="18"/>
      <c r="N12" s="16"/>
      <c r="O12" s="18"/>
      <c r="P12" s="16"/>
      <c r="Q12" s="18"/>
      <c r="R12" s="16"/>
      <c r="S12" s="18"/>
      <c r="T12" s="20"/>
    </row>
    <row r="13" spans="1:20" ht="15.95" customHeight="1" x14ac:dyDescent="0.25">
      <c r="A13" s="18" t="s">
        <v>715</v>
      </c>
      <c r="B13" s="16"/>
      <c r="C13" s="18" t="s">
        <v>1705</v>
      </c>
      <c r="D13" s="16"/>
      <c r="E13" s="18" t="s">
        <v>2424</v>
      </c>
      <c r="F13" s="16"/>
      <c r="G13" s="18" t="s">
        <v>972</v>
      </c>
      <c r="H13" s="16"/>
      <c r="I13" s="18" t="s">
        <v>3142</v>
      </c>
      <c r="J13" s="16"/>
      <c r="K13" s="18"/>
      <c r="L13" s="16"/>
      <c r="M13" s="18"/>
      <c r="N13" s="16"/>
      <c r="O13" s="18"/>
      <c r="P13" s="16"/>
      <c r="Q13" s="18"/>
      <c r="R13" s="16"/>
      <c r="S13" s="18"/>
      <c r="T13" s="20"/>
    </row>
    <row r="14" spans="1:20" ht="15.95" customHeight="1" x14ac:dyDescent="0.25">
      <c r="A14" s="18" t="s">
        <v>716</v>
      </c>
      <c r="B14" s="16"/>
      <c r="C14" s="18" t="s">
        <v>1706</v>
      </c>
      <c r="D14" s="16"/>
      <c r="E14" s="18" t="s">
        <v>2425</v>
      </c>
      <c r="F14" s="16"/>
      <c r="G14" s="18" t="s">
        <v>973</v>
      </c>
      <c r="H14" s="16"/>
      <c r="I14" s="18" t="s">
        <v>3143</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717</v>
      </c>
      <c r="B16" s="16"/>
      <c r="C16" s="18" t="s">
        <v>1707</v>
      </c>
      <c r="D16" s="16"/>
      <c r="E16" s="18" t="s">
        <v>2426</v>
      </c>
      <c r="F16" s="16"/>
      <c r="G16" s="18" t="s">
        <v>974</v>
      </c>
      <c r="H16" s="16"/>
      <c r="I16" s="18" t="s">
        <v>3144</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718</v>
      </c>
      <c r="B18" s="16"/>
      <c r="C18" s="18" t="s">
        <v>1708</v>
      </c>
      <c r="D18" s="16"/>
      <c r="E18" s="18" t="s">
        <v>2427</v>
      </c>
      <c r="F18" s="16"/>
      <c r="G18" s="18" t="s">
        <v>975</v>
      </c>
      <c r="H18" s="16"/>
      <c r="I18" s="18" t="s">
        <v>3145</v>
      </c>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45" priority="2" stopIfTrue="1">
      <formula>NOT(ISERROR(A3))</formula>
    </cfRule>
  </conditionalFormatting>
  <conditionalFormatting sqref="A3:T51">
    <cfRule type="containsErrors" dxfId="444" priority="1" stopIfTrue="1">
      <formula>ISERROR(A3)</formula>
    </cfRule>
    <cfRule type="notContainsBlanks" dxfId="443"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I3" sqref="I3:I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c r="L7" s="16"/>
      <c r="M7" s="18"/>
      <c r="N7" s="16"/>
      <c r="O7" s="18"/>
      <c r="P7" s="16"/>
      <c r="Q7" s="18"/>
      <c r="R7" s="16"/>
      <c r="S7" s="18"/>
      <c r="T7" s="20"/>
    </row>
    <row r="8" spans="1:20" ht="15.95" customHeight="1" x14ac:dyDescent="0.25">
      <c r="A8" s="18" t="s">
        <v>722</v>
      </c>
      <c r="B8" s="16"/>
      <c r="C8" s="18" t="s">
        <v>1713</v>
      </c>
      <c r="D8" s="16"/>
      <c r="E8" s="18" t="s">
        <v>2432</v>
      </c>
      <c r="F8" s="16"/>
      <c r="G8" s="18" t="s">
        <v>980</v>
      </c>
      <c r="H8" s="16"/>
      <c r="I8" s="18" t="s">
        <v>3150</v>
      </c>
      <c r="J8" s="16"/>
      <c r="K8" s="18"/>
      <c r="L8" s="16"/>
      <c r="M8" s="18"/>
      <c r="N8" s="16"/>
      <c r="O8" s="18"/>
      <c r="P8" s="16"/>
      <c r="Q8" s="18"/>
      <c r="R8" s="16"/>
      <c r="S8" s="18"/>
      <c r="T8" s="20"/>
    </row>
    <row r="9" spans="1:20" ht="15.95" customHeight="1" x14ac:dyDescent="0.25">
      <c r="A9" s="18" t="s">
        <v>723</v>
      </c>
      <c r="B9" s="16"/>
      <c r="C9" s="18" t="s">
        <v>1714</v>
      </c>
      <c r="D9" s="16"/>
      <c r="E9" s="18" t="s">
        <v>2433</v>
      </c>
      <c r="F9" s="16"/>
      <c r="G9" s="18" t="s">
        <v>981</v>
      </c>
      <c r="H9" s="16"/>
      <c r="I9" s="18" t="s">
        <v>3151</v>
      </c>
      <c r="J9" s="16"/>
      <c r="K9" s="18"/>
      <c r="L9" s="16"/>
      <c r="M9" s="18"/>
      <c r="N9" s="16"/>
      <c r="O9" s="18"/>
      <c r="P9" s="16"/>
      <c r="Q9" s="18"/>
      <c r="R9" s="16"/>
      <c r="S9" s="18"/>
      <c r="T9" s="20"/>
    </row>
    <row r="10" spans="1:20" ht="15.95" customHeight="1" x14ac:dyDescent="0.25">
      <c r="A10" s="18" t="s">
        <v>724</v>
      </c>
      <c r="B10" s="16"/>
      <c r="C10" s="18" t="s">
        <v>1715</v>
      </c>
      <c r="D10" s="16"/>
      <c r="E10" s="18" t="s">
        <v>2434</v>
      </c>
      <c r="F10" s="16"/>
      <c r="G10" s="18" t="s">
        <v>982</v>
      </c>
      <c r="H10" s="16"/>
      <c r="I10" s="18" t="s">
        <v>3152</v>
      </c>
      <c r="J10" s="16"/>
      <c r="K10" s="18"/>
      <c r="L10" s="16"/>
      <c r="M10" s="18"/>
      <c r="N10" s="16"/>
      <c r="O10" s="18"/>
      <c r="P10" s="16"/>
      <c r="Q10" s="18"/>
      <c r="R10" s="16"/>
      <c r="S10" s="18"/>
      <c r="T10" s="20"/>
    </row>
    <row r="11" spans="1:20" ht="15.95" customHeight="1" x14ac:dyDescent="0.25">
      <c r="A11" s="18" t="s">
        <v>725</v>
      </c>
      <c r="B11" s="16"/>
      <c r="C11" s="18" t="s">
        <v>1716</v>
      </c>
      <c r="D11" s="16"/>
      <c r="E11" s="18" t="s">
        <v>2435</v>
      </c>
      <c r="F11" s="16"/>
      <c r="G11" s="18" t="s">
        <v>983</v>
      </c>
      <c r="H11" s="16"/>
      <c r="I11" s="18" t="s">
        <v>3153</v>
      </c>
      <c r="J11" s="16"/>
      <c r="K11" s="18"/>
      <c r="L11" s="16"/>
      <c r="M11" s="18"/>
      <c r="N11" s="16"/>
      <c r="O11" s="18"/>
      <c r="P11" s="16"/>
      <c r="Q11" s="18"/>
      <c r="R11" s="16"/>
      <c r="S11" s="18"/>
      <c r="T11" s="20"/>
    </row>
    <row r="12" spans="1:20" ht="15.95" customHeight="1" x14ac:dyDescent="0.25">
      <c r="A12" s="18" t="s">
        <v>726</v>
      </c>
      <c r="B12" s="16"/>
      <c r="C12" s="18" t="s">
        <v>1717</v>
      </c>
      <c r="D12" s="16"/>
      <c r="E12" s="18" t="s">
        <v>2436</v>
      </c>
      <c r="F12" s="16"/>
      <c r="G12" s="18" t="s">
        <v>984</v>
      </c>
      <c r="H12" s="16"/>
      <c r="I12" s="18" t="s">
        <v>3154</v>
      </c>
      <c r="J12" s="16"/>
      <c r="K12" s="18"/>
      <c r="L12" s="16"/>
      <c r="M12" s="18"/>
      <c r="N12" s="16"/>
      <c r="O12" s="18"/>
      <c r="P12" s="16"/>
      <c r="Q12" s="18"/>
      <c r="R12" s="16"/>
      <c r="S12" s="18"/>
      <c r="T12" s="20"/>
    </row>
    <row r="13" spans="1:20" ht="15.95" customHeight="1" x14ac:dyDescent="0.25">
      <c r="A13" s="18" t="s">
        <v>727</v>
      </c>
      <c r="B13" s="16"/>
      <c r="C13" s="18" t="s">
        <v>1718</v>
      </c>
      <c r="D13" s="16"/>
      <c r="E13" s="18" t="s">
        <v>2437</v>
      </c>
      <c r="F13" s="16"/>
      <c r="G13" s="18" t="s">
        <v>985</v>
      </c>
      <c r="H13" s="16"/>
      <c r="I13" s="18" t="s">
        <v>3155</v>
      </c>
      <c r="J13" s="16"/>
      <c r="K13" s="18"/>
      <c r="L13" s="16"/>
      <c r="M13" s="18"/>
      <c r="N13" s="16"/>
      <c r="O13" s="18"/>
      <c r="P13" s="16"/>
      <c r="Q13" s="18"/>
      <c r="R13" s="16"/>
      <c r="S13" s="18"/>
      <c r="T13" s="20"/>
    </row>
    <row r="14" spans="1:20" ht="15.95" customHeight="1" x14ac:dyDescent="0.25">
      <c r="A14" s="18" t="s">
        <v>728</v>
      </c>
      <c r="B14" s="16"/>
      <c r="C14" s="18" t="s">
        <v>1719</v>
      </c>
      <c r="D14" s="16"/>
      <c r="E14" s="18" t="s">
        <v>2438</v>
      </c>
      <c r="F14" s="16"/>
      <c r="G14" s="18" t="s">
        <v>986</v>
      </c>
      <c r="H14" s="16"/>
      <c r="I14" s="18" t="s">
        <v>3156</v>
      </c>
      <c r="J14" s="16"/>
      <c r="K14" s="18"/>
      <c r="L14" s="16"/>
      <c r="M14" s="18"/>
      <c r="N14" s="16"/>
      <c r="O14" s="18"/>
      <c r="P14" s="16"/>
      <c r="Q14" s="18"/>
      <c r="R14" s="16"/>
      <c r="S14" s="18"/>
      <c r="T14" s="20"/>
    </row>
    <row r="15" spans="1:20" ht="15.95" customHeight="1" x14ac:dyDescent="0.25">
      <c r="A15" s="18" t="s">
        <v>729</v>
      </c>
      <c r="B15" s="16"/>
      <c r="C15" s="18" t="s">
        <v>1720</v>
      </c>
      <c r="D15" s="16"/>
      <c r="E15" s="18" t="s">
        <v>2439</v>
      </c>
      <c r="F15" s="16"/>
      <c r="G15" s="18" t="s">
        <v>987</v>
      </c>
      <c r="H15" s="16"/>
      <c r="I15" s="18" t="s">
        <v>3157</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730</v>
      </c>
      <c r="B17" s="16"/>
      <c r="C17" s="18" t="s">
        <v>1721</v>
      </c>
      <c r="D17" s="16"/>
      <c r="E17" s="18" t="s">
        <v>2440</v>
      </c>
      <c r="F17" s="16"/>
      <c r="G17" s="18" t="s">
        <v>988</v>
      </c>
      <c r="H17" s="16"/>
      <c r="I17" s="18" t="s">
        <v>3158</v>
      </c>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0"/>
    </row>
    <row r="19" spans="1:20" ht="15.95" customHeight="1" x14ac:dyDescent="0.25">
      <c r="A19" s="18" t="s">
        <v>731</v>
      </c>
      <c r="B19" s="16"/>
      <c r="C19" s="18" t="s">
        <v>1722</v>
      </c>
      <c r="D19" s="16"/>
      <c r="E19" s="18" t="s">
        <v>2441</v>
      </c>
      <c r="F19" s="16"/>
      <c r="G19" s="18" t="s">
        <v>989</v>
      </c>
      <c r="H19" s="16"/>
      <c r="I19" s="18" t="s">
        <v>3159</v>
      </c>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0"/>
    </row>
    <row r="21" spans="1:20" ht="15.95" customHeight="1" x14ac:dyDescent="0.25">
      <c r="A21" s="18" t="s">
        <v>732</v>
      </c>
      <c r="B21" s="16"/>
      <c r="C21" s="18" t="s">
        <v>1723</v>
      </c>
      <c r="D21" s="16"/>
      <c r="E21" s="18" t="s">
        <v>2442</v>
      </c>
      <c r="F21" s="16"/>
      <c r="G21" s="18" t="s">
        <v>990</v>
      </c>
      <c r="H21" s="16"/>
      <c r="I21" s="18" t="s">
        <v>3160</v>
      </c>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991</v>
      </c>
      <c r="H22" s="16"/>
      <c r="I22" s="18" t="s">
        <v>4</v>
      </c>
      <c r="J22" s="16"/>
      <c r="K22" s="18"/>
      <c r="L22" s="16"/>
      <c r="M22" s="18"/>
      <c r="N22" s="16"/>
      <c r="O22" s="18"/>
      <c r="P22" s="16"/>
      <c r="Q22" s="18"/>
      <c r="R22" s="16"/>
      <c r="S22" s="18"/>
      <c r="T22" s="20"/>
    </row>
    <row r="23" spans="1:20" ht="15.95" customHeight="1" x14ac:dyDescent="0.25">
      <c r="A23" s="18" t="s">
        <v>733</v>
      </c>
      <c r="B23" s="16"/>
      <c r="C23" s="18" t="s">
        <v>1724</v>
      </c>
      <c r="D23" s="16"/>
      <c r="E23" s="18" t="s">
        <v>2443</v>
      </c>
      <c r="F23" s="16"/>
      <c r="G23" s="18" t="s">
        <v>4</v>
      </c>
      <c r="H23" s="16"/>
      <c r="I23" s="18" t="s">
        <v>3161</v>
      </c>
      <c r="J23" s="16"/>
      <c r="K23" s="18"/>
      <c r="L23" s="16"/>
      <c r="M23" s="18"/>
      <c r="N23" s="16"/>
      <c r="O23" s="18"/>
      <c r="P23" s="16"/>
      <c r="Q23" s="18"/>
      <c r="R23" s="16"/>
      <c r="S23" s="18"/>
      <c r="T23" s="20"/>
    </row>
    <row r="24" spans="1:20" ht="15.95" customHeight="1" x14ac:dyDescent="0.25">
      <c r="A24" s="18"/>
      <c r="B24" s="16"/>
      <c r="C24" s="18"/>
      <c r="D24" s="16"/>
      <c r="E24" s="18"/>
      <c r="F24" s="16"/>
      <c r="G24" s="18" t="s">
        <v>992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42" priority="2" stopIfTrue="1">
      <formula>NOT(ISERROR(A3))</formula>
    </cfRule>
  </conditionalFormatting>
  <conditionalFormatting sqref="A3:T51">
    <cfRule type="containsErrors" dxfId="441" priority="1" stopIfTrue="1">
      <formula>ISERROR(A3)</formula>
    </cfRule>
    <cfRule type="notContainsBlanks" dxfId="440"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c r="L7" s="16" t="e">
        <f>TRIM(_xlfn.TEXTBEFORE(K7,":"))</f>
        <v>#N/A</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16"/>
    </row>
    <row r="9" spans="1:20" ht="15.95" customHeight="1" x14ac:dyDescent="0.25">
      <c r="A9" s="18" t="s">
        <v>462</v>
      </c>
      <c r="B9" s="16"/>
      <c r="C9" s="18" t="s">
        <v>1728</v>
      </c>
      <c r="D9" s="16"/>
      <c r="E9" s="18" t="s">
        <v>2447</v>
      </c>
      <c r="F9" s="16"/>
      <c r="G9" s="18" t="s">
        <v>996</v>
      </c>
      <c r="H9" s="16"/>
      <c r="I9" s="18" t="s">
        <v>3165</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590</v>
      </c>
      <c r="B11" s="16"/>
      <c r="C11" s="18" t="s">
        <v>1729</v>
      </c>
      <c r="D11" s="16"/>
      <c r="E11" s="18" t="s">
        <v>2448</v>
      </c>
      <c r="F11" s="16"/>
      <c r="G11" s="18" t="s">
        <v>997</v>
      </c>
      <c r="H11" s="16"/>
      <c r="I11" s="18" t="s">
        <v>3166</v>
      </c>
      <c r="J11" s="16"/>
      <c r="K11" s="18"/>
      <c r="L11" s="16"/>
      <c r="M11" s="18"/>
      <c r="N11" s="16"/>
      <c r="O11" s="18"/>
      <c r="P11" s="16"/>
      <c r="Q11" s="18"/>
      <c r="R11" s="16"/>
      <c r="S11" s="18"/>
      <c r="T11" s="16"/>
    </row>
    <row r="12" spans="1:20" ht="15.95" customHeight="1" x14ac:dyDescent="0.25">
      <c r="A12" s="18" t="s">
        <v>591</v>
      </c>
      <c r="B12" s="16"/>
      <c r="C12" s="18" t="s">
        <v>1730</v>
      </c>
      <c r="D12" s="16"/>
      <c r="E12" s="18" t="s">
        <v>2449</v>
      </c>
      <c r="F12" s="16"/>
      <c r="G12" s="18" t="s">
        <v>998</v>
      </c>
      <c r="H12" s="16"/>
      <c r="I12" s="18" t="s">
        <v>3167</v>
      </c>
      <c r="J12" s="16"/>
      <c r="K12" s="18"/>
      <c r="L12" s="16"/>
      <c r="M12" s="18"/>
      <c r="N12" s="16"/>
      <c r="O12" s="18"/>
      <c r="P12" s="16"/>
      <c r="Q12" s="18"/>
      <c r="R12" s="16"/>
      <c r="S12" s="18"/>
      <c r="T12" s="21"/>
    </row>
    <row r="13" spans="1:20" ht="15.95" customHeight="1" x14ac:dyDescent="0.25">
      <c r="A13" s="18" t="s">
        <v>592</v>
      </c>
      <c r="B13" s="16"/>
      <c r="C13" s="18" t="s">
        <v>1731</v>
      </c>
      <c r="D13" s="16"/>
      <c r="E13" s="18" t="s">
        <v>2450</v>
      </c>
      <c r="F13" s="16"/>
      <c r="G13" s="18" t="s">
        <v>999</v>
      </c>
      <c r="H13" s="16"/>
      <c r="I13" s="18" t="s">
        <v>3168</v>
      </c>
      <c r="J13" s="16"/>
      <c r="K13" s="18"/>
      <c r="L13" s="16"/>
      <c r="M13" s="18"/>
      <c r="N13" s="16"/>
      <c r="O13" s="18"/>
      <c r="P13" s="16"/>
      <c r="Q13" s="18"/>
      <c r="R13" s="16"/>
      <c r="S13" s="18"/>
      <c r="T13" s="21"/>
    </row>
    <row r="14" spans="1:20" ht="15.95" customHeight="1" x14ac:dyDescent="0.25">
      <c r="A14" s="18" t="s">
        <v>593</v>
      </c>
      <c r="B14" s="16"/>
      <c r="C14" s="18" t="s">
        <v>1732</v>
      </c>
      <c r="D14" s="16"/>
      <c r="E14" s="18" t="s">
        <v>2451</v>
      </c>
      <c r="F14" s="16"/>
      <c r="G14" s="18" t="s">
        <v>1000</v>
      </c>
      <c r="H14" s="16"/>
      <c r="I14" s="18" t="s">
        <v>3169</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594</v>
      </c>
      <c r="B16" s="16"/>
      <c r="C16" s="18" t="s">
        <v>1733</v>
      </c>
      <c r="D16" s="16"/>
      <c r="E16" s="18" t="s">
        <v>2452</v>
      </c>
      <c r="F16" s="16"/>
      <c r="G16" s="18" t="s">
        <v>1001</v>
      </c>
      <c r="H16" s="16"/>
      <c r="I16" s="18" t="s">
        <v>3170</v>
      </c>
      <c r="J16" s="16"/>
      <c r="K16" s="18"/>
      <c r="L16" s="16"/>
      <c r="M16" s="18"/>
      <c r="N16" s="16"/>
      <c r="O16" s="18"/>
      <c r="P16" s="16"/>
      <c r="Q16" s="18"/>
      <c r="R16" s="16"/>
      <c r="S16" s="18"/>
      <c r="T16" s="21"/>
    </row>
    <row r="17" spans="1:20" ht="15.95" customHeight="1" x14ac:dyDescent="0.25">
      <c r="A17" s="18" t="s">
        <v>591</v>
      </c>
      <c r="B17" s="16"/>
      <c r="C17" s="18" t="s">
        <v>1730</v>
      </c>
      <c r="D17" s="16"/>
      <c r="E17" s="18" t="s">
        <v>2449</v>
      </c>
      <c r="F17" s="16"/>
      <c r="G17" s="18" t="s">
        <v>998</v>
      </c>
      <c r="H17" s="16"/>
      <c r="I17" s="18" t="s">
        <v>3167</v>
      </c>
      <c r="J17" s="16"/>
      <c r="K17" s="18"/>
      <c r="L17" s="16"/>
      <c r="M17" s="18"/>
      <c r="N17" s="16"/>
      <c r="O17" s="18"/>
      <c r="P17" s="16"/>
      <c r="Q17" s="18"/>
      <c r="R17" s="16"/>
      <c r="S17" s="18"/>
      <c r="T17" s="21"/>
    </row>
    <row r="18" spans="1:20" ht="15.95" customHeight="1" x14ac:dyDescent="0.25">
      <c r="A18" s="18" t="s">
        <v>595</v>
      </c>
      <c r="B18" s="16"/>
      <c r="C18" s="18" t="s">
        <v>1734</v>
      </c>
      <c r="D18" s="16"/>
      <c r="E18" s="18" t="s">
        <v>2453</v>
      </c>
      <c r="F18" s="16"/>
      <c r="G18" s="18" t="s">
        <v>1002</v>
      </c>
      <c r="H18" s="16"/>
      <c r="I18" s="18" t="s">
        <v>3171</v>
      </c>
      <c r="J18" s="16"/>
      <c r="K18" s="18"/>
      <c r="L18" s="16"/>
      <c r="M18" s="18"/>
      <c r="N18" s="16"/>
      <c r="O18" s="18"/>
      <c r="P18" s="16"/>
      <c r="Q18" s="18"/>
      <c r="R18" s="16"/>
      <c r="S18" s="18"/>
      <c r="T18" s="21"/>
    </row>
    <row r="19" spans="1:20" ht="15.95" customHeight="1" x14ac:dyDescent="0.25">
      <c r="A19" s="18" t="s">
        <v>596</v>
      </c>
      <c r="B19" s="16"/>
      <c r="C19" s="18" t="s">
        <v>1735</v>
      </c>
      <c r="D19" s="16"/>
      <c r="E19" s="18" t="s">
        <v>2454</v>
      </c>
      <c r="F19" s="16"/>
      <c r="G19" s="18" t="s">
        <v>1003</v>
      </c>
      <c r="H19" s="16"/>
      <c r="I19" s="18" t="s">
        <v>3172</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597</v>
      </c>
      <c r="B21" s="16"/>
      <c r="C21" s="18" t="s">
        <v>1736</v>
      </c>
      <c r="D21" s="16"/>
      <c r="E21" s="18" t="s">
        <v>2455</v>
      </c>
      <c r="F21" s="16"/>
      <c r="G21" s="18" t="s">
        <v>1004</v>
      </c>
      <c r="H21" s="16"/>
      <c r="I21" s="18" t="s">
        <v>3173</v>
      </c>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39" priority="22" stopIfTrue="1">
      <formula>NOT(ISERROR(A3))</formula>
    </cfRule>
  </conditionalFormatting>
  <conditionalFormatting sqref="A3:T6 A8:T51 A7 C7 E7 G7 I7 K7 M7 O7 Q7 S7">
    <cfRule type="containsErrors" dxfId="438" priority="21" stopIfTrue="1">
      <formula>ISERROR(A3)</formula>
    </cfRule>
    <cfRule type="notContainsBlanks" dxfId="437" priority="23">
      <formula>LEN(TRIM(A3))&gt;0</formula>
    </cfRule>
  </conditionalFormatting>
  <conditionalFormatting sqref="B7">
    <cfRule type="containsErrors" dxfId="436" priority="19" stopIfTrue="1">
      <formula>ISERROR(B7)</formula>
    </cfRule>
    <cfRule type="notContainsBlanks" dxfId="435" priority="20">
      <formula>LEN(TRIM(B7))&gt;0</formula>
    </cfRule>
  </conditionalFormatting>
  <conditionalFormatting sqref="D7">
    <cfRule type="containsErrors" dxfId="434" priority="17" stopIfTrue="1">
      <formula>ISERROR(D7)</formula>
    </cfRule>
    <cfRule type="notContainsBlanks" dxfId="433" priority="18">
      <formula>LEN(TRIM(D7))&gt;0</formula>
    </cfRule>
  </conditionalFormatting>
  <conditionalFormatting sqref="F7">
    <cfRule type="containsErrors" dxfId="432" priority="15" stopIfTrue="1">
      <formula>ISERROR(F7)</formula>
    </cfRule>
    <cfRule type="notContainsBlanks" dxfId="431" priority="16">
      <formula>LEN(TRIM(F7))&gt;0</formula>
    </cfRule>
  </conditionalFormatting>
  <conditionalFormatting sqref="H7">
    <cfRule type="containsErrors" dxfId="430" priority="13" stopIfTrue="1">
      <formula>ISERROR(H7)</formula>
    </cfRule>
    <cfRule type="notContainsBlanks" dxfId="429" priority="14">
      <formula>LEN(TRIM(H7))&gt;0</formula>
    </cfRule>
  </conditionalFormatting>
  <conditionalFormatting sqref="J7">
    <cfRule type="containsErrors" dxfId="428" priority="11" stopIfTrue="1">
      <formula>ISERROR(J7)</formula>
    </cfRule>
    <cfRule type="notContainsBlanks" dxfId="427" priority="12">
      <formula>LEN(TRIM(J7))&gt;0</formula>
    </cfRule>
  </conditionalFormatting>
  <conditionalFormatting sqref="L7">
    <cfRule type="containsErrors" dxfId="426" priority="9" stopIfTrue="1">
      <formula>ISERROR(L7)</formula>
    </cfRule>
    <cfRule type="notContainsBlanks" dxfId="425" priority="10">
      <formula>LEN(TRIM(L7))&gt;0</formula>
    </cfRule>
  </conditionalFormatting>
  <conditionalFormatting sqref="N7">
    <cfRule type="containsErrors" dxfId="424" priority="7" stopIfTrue="1">
      <formula>ISERROR(N7)</formula>
    </cfRule>
    <cfRule type="notContainsBlanks" dxfId="423" priority="8">
      <formula>LEN(TRIM(N7))&gt;0</formula>
    </cfRule>
  </conditionalFormatting>
  <conditionalFormatting sqref="P7">
    <cfRule type="containsErrors" dxfId="422" priority="5" stopIfTrue="1">
      <formula>ISERROR(P7)</formula>
    </cfRule>
    <cfRule type="notContainsBlanks" dxfId="421" priority="6">
      <formula>LEN(TRIM(P7))&gt;0</formula>
    </cfRule>
  </conditionalFormatting>
  <conditionalFormatting sqref="R7">
    <cfRule type="containsErrors" dxfId="420" priority="3" stopIfTrue="1">
      <formula>ISERROR(R7)</formula>
    </cfRule>
    <cfRule type="notContainsBlanks" dxfId="419" priority="4">
      <formula>LEN(TRIM(R7))&gt;0</formula>
    </cfRule>
  </conditionalFormatting>
  <conditionalFormatting sqref="T7">
    <cfRule type="containsErrors" dxfId="418" priority="1" stopIfTrue="1">
      <formula>ISERROR(T7)</formula>
    </cfRule>
    <cfRule type="notContainsBlanks" dxfId="417"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J13" sqref="J1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c r="L7" s="16"/>
      <c r="M7" s="18"/>
      <c r="N7" s="16"/>
      <c r="O7" s="18"/>
      <c r="P7" s="16"/>
      <c r="Q7" s="18"/>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c r="L10" s="16" t="e">
        <f>TRIM(_xlfn.TEXTBEFORE(K10,":"))</f>
        <v>#N/A</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c r="L11" s="16"/>
      <c r="M11" s="18"/>
      <c r="N11" s="16"/>
      <c r="O11" s="18"/>
      <c r="P11" s="16"/>
      <c r="Q11" s="18"/>
      <c r="R11" s="16"/>
      <c r="S11" s="18"/>
      <c r="T11" s="16"/>
    </row>
    <row r="12" spans="1:20" ht="15.95" customHeight="1" x14ac:dyDescent="0.25">
      <c r="A12" s="18" t="s">
        <v>117</v>
      </c>
      <c r="B12" s="16"/>
      <c r="C12" s="18" t="s">
        <v>1742</v>
      </c>
      <c r="D12" s="16"/>
      <c r="E12" s="18" t="s">
        <v>2461</v>
      </c>
      <c r="F12" s="16"/>
      <c r="G12" s="18" t="s">
        <v>1010</v>
      </c>
      <c r="H12" s="16"/>
      <c r="I12" s="18" t="s">
        <v>3179</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578</v>
      </c>
      <c r="B14" s="16"/>
      <c r="C14" s="18" t="s">
        <v>1743</v>
      </c>
      <c r="D14" s="16"/>
      <c r="E14" s="18" t="s">
        <v>2462</v>
      </c>
      <c r="F14" s="16"/>
      <c r="G14" s="18" t="s">
        <v>1011</v>
      </c>
      <c r="H14" s="16"/>
      <c r="I14" s="18" t="s">
        <v>3180</v>
      </c>
      <c r="J14" s="16"/>
      <c r="K14" s="18"/>
      <c r="L14" s="16"/>
      <c r="M14" s="18"/>
      <c r="N14" s="16"/>
      <c r="O14" s="18"/>
      <c r="P14" s="16"/>
      <c r="Q14" s="18"/>
      <c r="R14" s="16"/>
      <c r="S14" s="18"/>
      <c r="T14" s="21"/>
    </row>
    <row r="15" spans="1:20" ht="15.95" customHeight="1" x14ac:dyDescent="0.25">
      <c r="A15" s="18" t="s">
        <v>579</v>
      </c>
      <c r="B15" s="16"/>
      <c r="C15" s="18" t="s">
        <v>1744</v>
      </c>
      <c r="D15" s="16"/>
      <c r="E15" s="18" t="s">
        <v>2463</v>
      </c>
      <c r="F15" s="16"/>
      <c r="G15" s="18" t="s">
        <v>1012</v>
      </c>
      <c r="H15" s="16"/>
      <c r="I15" s="18" t="s">
        <v>3181</v>
      </c>
      <c r="J15" s="16"/>
      <c r="K15" s="18"/>
      <c r="L15" s="16"/>
      <c r="M15" s="18"/>
      <c r="N15" s="16"/>
      <c r="O15" s="18"/>
      <c r="P15" s="16"/>
      <c r="Q15" s="18"/>
      <c r="R15" s="16"/>
      <c r="S15" s="18"/>
      <c r="T15" s="21"/>
    </row>
    <row r="16" spans="1:20" ht="15.95" customHeight="1" x14ac:dyDescent="0.25">
      <c r="A16" s="18" t="s">
        <v>580</v>
      </c>
      <c r="B16" s="16"/>
      <c r="C16" s="18" t="s">
        <v>1745</v>
      </c>
      <c r="D16" s="16"/>
      <c r="E16" s="18" t="s">
        <v>2464</v>
      </c>
      <c r="F16" s="16"/>
      <c r="G16" s="18" t="s">
        <v>1013</v>
      </c>
      <c r="H16" s="16"/>
      <c r="I16" s="18" t="s">
        <v>3182</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530</v>
      </c>
      <c r="B18" s="16"/>
      <c r="C18" s="18" t="s">
        <v>1688</v>
      </c>
      <c r="D18" s="16"/>
      <c r="E18" s="18" t="s">
        <v>2408</v>
      </c>
      <c r="F18" s="16"/>
      <c r="G18" s="18" t="s">
        <v>955</v>
      </c>
      <c r="H18" s="16"/>
      <c r="I18" s="18" t="s">
        <v>3123</v>
      </c>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16" priority="42" stopIfTrue="1">
      <formula>NOT(ISERROR(A3))</formula>
    </cfRule>
  </conditionalFormatting>
  <conditionalFormatting sqref="A3:T7 A11:T51 A8:A10 C8:C10 E8:E10 G8:G10 I8:I10 K8:K10 M8:M10 O8:O10 Q8:Q10 S8:S10">
    <cfRule type="containsErrors" dxfId="415" priority="41" stopIfTrue="1">
      <formula>ISERROR(A3)</formula>
    </cfRule>
    <cfRule type="notContainsBlanks" dxfId="414" priority="43">
      <formula>LEN(TRIM(A3))&gt;0</formula>
    </cfRule>
  </conditionalFormatting>
  <conditionalFormatting sqref="B8:B9">
    <cfRule type="containsErrors" dxfId="413" priority="39" stopIfTrue="1">
      <formula>ISERROR(B8)</formula>
    </cfRule>
    <cfRule type="notContainsBlanks" dxfId="412" priority="40">
      <formula>LEN(TRIM(B8))&gt;0</formula>
    </cfRule>
  </conditionalFormatting>
  <conditionalFormatting sqref="B10">
    <cfRule type="containsErrors" dxfId="411" priority="37" stopIfTrue="1">
      <formula>ISERROR(B10)</formula>
    </cfRule>
    <cfRule type="notContainsBlanks" dxfId="410" priority="38">
      <formula>LEN(TRIM(B10))&gt;0</formula>
    </cfRule>
  </conditionalFormatting>
  <conditionalFormatting sqref="D8:D9">
    <cfRule type="containsErrors" dxfId="409" priority="35" stopIfTrue="1">
      <formula>ISERROR(D8)</formula>
    </cfRule>
    <cfRule type="notContainsBlanks" dxfId="408" priority="36">
      <formula>LEN(TRIM(D8))&gt;0</formula>
    </cfRule>
  </conditionalFormatting>
  <conditionalFormatting sqref="D10">
    <cfRule type="containsErrors" dxfId="407" priority="33" stopIfTrue="1">
      <formula>ISERROR(D10)</formula>
    </cfRule>
    <cfRule type="notContainsBlanks" dxfId="406" priority="34">
      <formula>LEN(TRIM(D10))&gt;0</formula>
    </cfRule>
  </conditionalFormatting>
  <conditionalFormatting sqref="F8:F9">
    <cfRule type="containsErrors" dxfId="405" priority="31" stopIfTrue="1">
      <formula>ISERROR(F8)</formula>
    </cfRule>
    <cfRule type="notContainsBlanks" dxfId="404" priority="32">
      <formula>LEN(TRIM(F8))&gt;0</formula>
    </cfRule>
  </conditionalFormatting>
  <conditionalFormatting sqref="F10">
    <cfRule type="containsErrors" dxfId="403" priority="29" stopIfTrue="1">
      <formula>ISERROR(F10)</formula>
    </cfRule>
    <cfRule type="notContainsBlanks" dxfId="402" priority="30">
      <formula>LEN(TRIM(F10))&gt;0</formula>
    </cfRule>
  </conditionalFormatting>
  <conditionalFormatting sqref="H8:H9">
    <cfRule type="containsErrors" dxfId="401" priority="27" stopIfTrue="1">
      <formula>ISERROR(H8)</formula>
    </cfRule>
    <cfRule type="notContainsBlanks" dxfId="400" priority="28">
      <formula>LEN(TRIM(H8))&gt;0</formula>
    </cfRule>
  </conditionalFormatting>
  <conditionalFormatting sqref="H10">
    <cfRule type="containsErrors" dxfId="399" priority="25" stopIfTrue="1">
      <formula>ISERROR(H10)</formula>
    </cfRule>
    <cfRule type="notContainsBlanks" dxfId="398" priority="26">
      <formula>LEN(TRIM(H10))&gt;0</formula>
    </cfRule>
  </conditionalFormatting>
  <conditionalFormatting sqref="J8:J9">
    <cfRule type="containsErrors" dxfId="397" priority="23" stopIfTrue="1">
      <formula>ISERROR(J8)</formula>
    </cfRule>
    <cfRule type="notContainsBlanks" dxfId="396" priority="24">
      <formula>LEN(TRIM(J8))&gt;0</formula>
    </cfRule>
  </conditionalFormatting>
  <conditionalFormatting sqref="J10">
    <cfRule type="containsErrors" dxfId="395" priority="21" stopIfTrue="1">
      <formula>ISERROR(J10)</formula>
    </cfRule>
    <cfRule type="notContainsBlanks" dxfId="394" priority="22">
      <formula>LEN(TRIM(J10))&gt;0</formula>
    </cfRule>
  </conditionalFormatting>
  <conditionalFormatting sqref="L8:L9">
    <cfRule type="containsErrors" dxfId="393" priority="19" stopIfTrue="1">
      <formula>ISERROR(L8)</formula>
    </cfRule>
    <cfRule type="notContainsBlanks" dxfId="392" priority="20">
      <formula>LEN(TRIM(L8))&gt;0</formula>
    </cfRule>
  </conditionalFormatting>
  <conditionalFormatting sqref="L10">
    <cfRule type="containsErrors" dxfId="391" priority="17" stopIfTrue="1">
      <formula>ISERROR(L10)</formula>
    </cfRule>
    <cfRule type="notContainsBlanks" dxfId="390" priority="18">
      <formula>LEN(TRIM(L10))&gt;0</formula>
    </cfRule>
  </conditionalFormatting>
  <conditionalFormatting sqref="N8:N9">
    <cfRule type="containsErrors" dxfId="389" priority="15" stopIfTrue="1">
      <formula>ISERROR(N8)</formula>
    </cfRule>
    <cfRule type="notContainsBlanks" dxfId="388" priority="16">
      <formula>LEN(TRIM(N8))&gt;0</formula>
    </cfRule>
  </conditionalFormatting>
  <conditionalFormatting sqref="N10">
    <cfRule type="containsErrors" dxfId="387" priority="13" stopIfTrue="1">
      <formula>ISERROR(N10)</formula>
    </cfRule>
    <cfRule type="notContainsBlanks" dxfId="386" priority="14">
      <formula>LEN(TRIM(N10))&gt;0</formula>
    </cfRule>
  </conditionalFormatting>
  <conditionalFormatting sqref="P8:P9">
    <cfRule type="containsErrors" dxfId="385" priority="11" stopIfTrue="1">
      <formula>ISERROR(P8)</formula>
    </cfRule>
    <cfRule type="notContainsBlanks" dxfId="384" priority="12">
      <formula>LEN(TRIM(P8))&gt;0</formula>
    </cfRule>
  </conditionalFormatting>
  <conditionalFormatting sqref="P10">
    <cfRule type="containsErrors" dxfId="383" priority="9" stopIfTrue="1">
      <formula>ISERROR(P10)</formula>
    </cfRule>
    <cfRule type="notContainsBlanks" dxfId="382" priority="10">
      <formula>LEN(TRIM(P10))&gt;0</formula>
    </cfRule>
  </conditionalFormatting>
  <conditionalFormatting sqref="R8:R9">
    <cfRule type="containsErrors" dxfId="381" priority="7" stopIfTrue="1">
      <formula>ISERROR(R8)</formula>
    </cfRule>
    <cfRule type="notContainsBlanks" dxfId="380" priority="8">
      <formula>LEN(TRIM(R8))&gt;0</formula>
    </cfRule>
  </conditionalFormatting>
  <conditionalFormatting sqref="R10">
    <cfRule type="containsErrors" dxfId="379" priority="5" stopIfTrue="1">
      <formula>ISERROR(R10)</formula>
    </cfRule>
    <cfRule type="notContainsBlanks" dxfId="378" priority="6">
      <formula>LEN(TRIM(R10))&gt;0</formula>
    </cfRule>
  </conditionalFormatting>
  <conditionalFormatting sqref="T8:T9">
    <cfRule type="containsErrors" dxfId="377" priority="3" stopIfTrue="1">
      <formula>ISERROR(T8)</formula>
    </cfRule>
    <cfRule type="notContainsBlanks" dxfId="376" priority="4">
      <formula>LEN(TRIM(T8))&gt;0</formula>
    </cfRule>
  </conditionalFormatting>
  <conditionalFormatting sqref="T10">
    <cfRule type="containsErrors" dxfId="375" priority="1" stopIfTrue="1">
      <formula>ISERROR(T10)</formula>
    </cfRule>
    <cfRule type="notContainsBlanks" dxfId="374" priority="2">
      <formula>LEN(TRIM(T10))&gt;0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J10" sqref="J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20"/>
    </row>
    <row r="9" spans="1:20" ht="15.95" customHeight="1" x14ac:dyDescent="0.25">
      <c r="A9" s="18" t="s">
        <v>699</v>
      </c>
      <c r="B9" s="16"/>
      <c r="C9" s="18" t="s">
        <v>1748</v>
      </c>
      <c r="D9" s="16"/>
      <c r="E9" s="18" t="s">
        <v>2467</v>
      </c>
      <c r="F9" s="16"/>
      <c r="G9" s="18" t="s">
        <v>1016</v>
      </c>
      <c r="H9" s="16"/>
      <c r="I9" s="18" t="s">
        <v>3185</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700</v>
      </c>
      <c r="B11" s="16"/>
      <c r="C11" s="18" t="s">
        <v>1749</v>
      </c>
      <c r="D11" s="16"/>
      <c r="E11" s="18" t="s">
        <v>2468</v>
      </c>
      <c r="F11" s="16"/>
      <c r="G11" s="18" t="s">
        <v>1017</v>
      </c>
      <c r="H11" s="16"/>
      <c r="I11" s="18" t="s">
        <v>3186</v>
      </c>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73" priority="2" stopIfTrue="1">
      <formula>NOT(ISERROR(A3))</formula>
    </cfRule>
  </conditionalFormatting>
  <conditionalFormatting sqref="A3:T51">
    <cfRule type="containsErrors" dxfId="372" priority="1" stopIfTrue="1">
      <formula>ISERROR(A3)</formula>
    </cfRule>
    <cfRule type="notContainsBlanks" dxfId="371"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I3" sqref="I3:I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20"/>
    </row>
    <row r="9" spans="1:20" ht="15.95" customHeight="1" x14ac:dyDescent="0.25">
      <c r="A9" s="18" t="s">
        <v>791</v>
      </c>
      <c r="B9" s="16"/>
      <c r="C9" s="18" t="s">
        <v>1752</v>
      </c>
      <c r="D9" s="16"/>
      <c r="E9" s="18" t="s">
        <v>2471</v>
      </c>
      <c r="F9" s="16"/>
      <c r="G9" s="18" t="s">
        <v>1020</v>
      </c>
      <c r="H9" s="16"/>
      <c r="I9" s="18" t="s">
        <v>3189</v>
      </c>
      <c r="J9" s="16"/>
      <c r="K9" s="18"/>
      <c r="L9" s="16"/>
      <c r="M9" s="18"/>
      <c r="N9" s="16"/>
      <c r="O9" s="18"/>
      <c r="P9" s="16"/>
      <c r="Q9" s="18"/>
      <c r="R9" s="16"/>
      <c r="S9" s="18"/>
      <c r="T9" s="20"/>
    </row>
    <row r="10" spans="1:20" ht="15.95" customHeight="1" x14ac:dyDescent="0.25">
      <c r="A10" s="18" t="s">
        <v>792</v>
      </c>
      <c r="B10" s="16"/>
      <c r="C10" s="18" t="s">
        <v>1753</v>
      </c>
      <c r="D10" s="16"/>
      <c r="E10" s="18" t="s">
        <v>2472</v>
      </c>
      <c r="F10" s="16"/>
      <c r="G10" s="18" t="s">
        <v>1021</v>
      </c>
      <c r="H10" s="16"/>
      <c r="I10" s="18" t="s">
        <v>3190</v>
      </c>
      <c r="J10" s="16"/>
      <c r="K10" s="18"/>
      <c r="L10" s="16"/>
      <c r="M10" s="18"/>
      <c r="N10" s="16"/>
      <c r="O10" s="18"/>
      <c r="P10" s="16"/>
      <c r="Q10" s="18"/>
      <c r="R10" s="16"/>
      <c r="S10" s="18"/>
      <c r="T10" s="20"/>
    </row>
    <row r="11" spans="1:20" ht="15.95" customHeight="1" x14ac:dyDescent="0.25">
      <c r="A11" s="18" t="s">
        <v>793</v>
      </c>
      <c r="B11" s="16"/>
      <c r="C11" s="18" t="s">
        <v>1754</v>
      </c>
      <c r="D11" s="16"/>
      <c r="E11" s="18" t="s">
        <v>2473</v>
      </c>
      <c r="F11" s="16"/>
      <c r="G11" s="18" t="s">
        <v>1022</v>
      </c>
      <c r="H11" s="16"/>
      <c r="I11" s="18" t="s">
        <v>3191</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794</v>
      </c>
      <c r="B13" s="16"/>
      <c r="C13" s="18" t="s">
        <v>1755</v>
      </c>
      <c r="D13" s="16"/>
      <c r="E13" s="18" t="s">
        <v>2474</v>
      </c>
      <c r="F13" s="16"/>
      <c r="G13" s="18" t="s">
        <v>1023</v>
      </c>
      <c r="H13" s="16"/>
      <c r="I13" s="18" t="s">
        <v>3192</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795</v>
      </c>
      <c r="B15" s="16"/>
      <c r="C15" s="18" t="s">
        <v>1756</v>
      </c>
      <c r="D15" s="16"/>
      <c r="E15" s="18" t="s">
        <v>2475</v>
      </c>
      <c r="F15" s="16"/>
      <c r="G15" s="18" t="s">
        <v>1024</v>
      </c>
      <c r="H15" s="16"/>
      <c r="I15" s="18" t="s">
        <v>3193</v>
      </c>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70" priority="2" stopIfTrue="1">
      <formula>NOT(ISERROR(A3))</formula>
    </cfRule>
  </conditionalFormatting>
  <conditionalFormatting sqref="A3:T51">
    <cfRule type="containsErrors" dxfId="369" priority="1" stopIfTrue="1">
      <formula>ISERROR(A3)</formula>
    </cfRule>
    <cfRule type="notContainsBlanks" dxfId="368"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I3" sqref="I3:I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20"/>
    </row>
    <row r="9" spans="1:20" ht="15.95" customHeight="1" x14ac:dyDescent="0.25">
      <c r="A9" s="18" t="s">
        <v>703</v>
      </c>
      <c r="B9" s="16"/>
      <c r="C9" s="18" t="s">
        <v>1760</v>
      </c>
      <c r="D9" s="16"/>
      <c r="E9" s="18" t="s">
        <v>2479</v>
      </c>
      <c r="F9" s="16"/>
      <c r="G9" s="18" t="s">
        <v>1028</v>
      </c>
      <c r="H9" s="16"/>
      <c r="I9" s="18" t="s">
        <v>3197</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704</v>
      </c>
      <c r="B11" s="16"/>
      <c r="C11" s="18" t="s">
        <v>1761</v>
      </c>
      <c r="D11" s="16"/>
      <c r="E11" s="18" t="s">
        <v>2480</v>
      </c>
      <c r="F11" s="16"/>
      <c r="G11" s="18" t="s">
        <v>1029</v>
      </c>
      <c r="H11" s="16"/>
      <c r="I11" s="18" t="s">
        <v>3198</v>
      </c>
      <c r="J11" s="16"/>
      <c r="K11" s="18"/>
      <c r="L11" s="16"/>
      <c r="M11" s="18"/>
      <c r="N11" s="16"/>
      <c r="O11" s="18"/>
      <c r="P11" s="16"/>
      <c r="Q11" s="18"/>
      <c r="R11" s="16"/>
      <c r="S11" s="18"/>
      <c r="T11" s="20"/>
    </row>
    <row r="12" spans="1:20" ht="15.95" customHeight="1" x14ac:dyDescent="0.25">
      <c r="A12" s="18" t="s">
        <v>705</v>
      </c>
      <c r="B12" s="16"/>
      <c r="C12" s="18" t="s">
        <v>1762</v>
      </c>
      <c r="D12" s="16"/>
      <c r="E12" s="18" t="s">
        <v>2481</v>
      </c>
      <c r="F12" s="16"/>
      <c r="G12" s="18" t="s">
        <v>1030</v>
      </c>
      <c r="H12" s="16"/>
      <c r="I12" s="18" t="s">
        <v>3199</v>
      </c>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0"/>
    </row>
    <row r="14" spans="1:20" ht="15.95" customHeight="1" x14ac:dyDescent="0.25">
      <c r="A14" s="18" t="s">
        <v>706</v>
      </c>
      <c r="B14" s="16"/>
      <c r="C14" s="18" t="s">
        <v>1763</v>
      </c>
      <c r="D14" s="16"/>
      <c r="E14" s="18" t="s">
        <v>2482</v>
      </c>
      <c r="F14" s="16"/>
      <c r="G14" s="18" t="s">
        <v>1031</v>
      </c>
      <c r="H14" s="16"/>
      <c r="I14" s="18" t="s">
        <v>3200</v>
      </c>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7" priority="2" stopIfTrue="1">
      <formula>NOT(ISERROR(A3))</formula>
    </cfRule>
  </conditionalFormatting>
  <conditionalFormatting sqref="A3:T51">
    <cfRule type="containsErrors" dxfId="366" priority="1" stopIfTrue="1">
      <formula>ISERROR(A3)</formula>
    </cfRule>
    <cfRule type="notContainsBlanks" dxfId="365"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20"/>
    </row>
    <row r="9" spans="1:20" ht="15.95" customHeight="1" x14ac:dyDescent="0.25">
      <c r="A9" s="18" t="s">
        <v>111</v>
      </c>
      <c r="B9" s="16"/>
      <c r="C9" s="18" t="s">
        <v>1691</v>
      </c>
      <c r="D9" s="16"/>
      <c r="E9" s="18" t="s">
        <v>2325</v>
      </c>
      <c r="F9" s="16"/>
      <c r="G9" s="18" t="s">
        <v>958</v>
      </c>
      <c r="H9" s="16"/>
      <c r="I9" s="18" t="s">
        <v>3127</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870</v>
      </c>
      <c r="B11" s="16"/>
      <c r="C11" s="18" t="s">
        <v>870</v>
      </c>
      <c r="D11" s="16"/>
      <c r="E11" s="18" t="s">
        <v>870</v>
      </c>
      <c r="F11" s="16"/>
      <c r="G11" s="18" t="s">
        <v>870</v>
      </c>
      <c r="H11" s="16"/>
      <c r="I11" s="18" t="s">
        <v>870</v>
      </c>
      <c r="J11" s="16"/>
      <c r="K11" s="18"/>
      <c r="L11" s="16"/>
      <c r="M11" s="18"/>
      <c r="N11" s="16"/>
      <c r="O11" s="18"/>
      <c r="P11" s="16"/>
      <c r="Q11" s="18"/>
      <c r="R11" s="16"/>
      <c r="S11" s="18"/>
      <c r="T11" s="20"/>
    </row>
    <row r="12" spans="1:20" ht="15.95" customHeight="1" x14ac:dyDescent="0.25">
      <c r="A12" s="18" t="s">
        <v>871</v>
      </c>
      <c r="B12" s="16"/>
      <c r="C12" s="18" t="s">
        <v>2319</v>
      </c>
      <c r="D12" s="16"/>
      <c r="E12" s="18" t="s">
        <v>871</v>
      </c>
      <c r="F12" s="16"/>
      <c r="G12" s="18" t="s">
        <v>871</v>
      </c>
      <c r="H12" s="16"/>
      <c r="I12" s="18" t="s">
        <v>871</v>
      </c>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0"/>
    </row>
    <row r="14" spans="1:20" ht="15.95" customHeight="1" x14ac:dyDescent="0.25">
      <c r="A14" s="18" t="s">
        <v>872</v>
      </c>
      <c r="B14" s="16"/>
      <c r="C14" s="18" t="s">
        <v>2320</v>
      </c>
      <c r="D14" s="16"/>
      <c r="E14" s="18" t="s">
        <v>2326</v>
      </c>
      <c r="F14" s="16"/>
      <c r="G14" s="18" t="s">
        <v>1603</v>
      </c>
      <c r="H14" s="16"/>
      <c r="I14" s="18" t="s">
        <v>3782</v>
      </c>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4" priority="2" stopIfTrue="1">
      <formula>NOT(ISERROR(A3))</formula>
    </cfRule>
  </conditionalFormatting>
  <conditionalFormatting sqref="A3:T51">
    <cfRule type="containsErrors" dxfId="363" priority="1" stopIfTrue="1">
      <formula>ISERROR(A3)</formula>
    </cfRule>
    <cfRule type="notContainsBlanks" dxfId="362"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I3" sqref="I3:I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c r="L7" s="16"/>
      <c r="M7" s="18"/>
      <c r="N7" s="16"/>
      <c r="O7" s="18"/>
      <c r="P7" s="16"/>
      <c r="Q7" s="18"/>
      <c r="R7" s="16"/>
      <c r="S7" s="18"/>
      <c r="T7" s="20"/>
    </row>
    <row r="8" spans="1:20" ht="15.95" customHeight="1" x14ac:dyDescent="0.25">
      <c r="A8" s="18" t="s">
        <v>677</v>
      </c>
      <c r="B8" s="16"/>
      <c r="C8" s="18" t="s">
        <v>1767</v>
      </c>
      <c r="D8" s="16"/>
      <c r="E8" s="18" t="s">
        <v>2486</v>
      </c>
      <c r="F8" s="16"/>
      <c r="G8" s="18" t="s">
        <v>1035</v>
      </c>
      <c r="H8" s="16"/>
      <c r="I8" s="18" t="s">
        <v>3204</v>
      </c>
      <c r="J8" s="16"/>
      <c r="K8" s="18"/>
      <c r="L8" s="16"/>
      <c r="M8" s="18"/>
      <c r="N8" s="16"/>
      <c r="O8" s="18"/>
      <c r="P8" s="16"/>
      <c r="Q8" s="18"/>
      <c r="R8" s="16"/>
      <c r="S8" s="18"/>
      <c r="T8" s="20"/>
    </row>
    <row r="9" spans="1:20" ht="15.95" customHeight="1" x14ac:dyDescent="0.25">
      <c r="A9" s="18" t="s">
        <v>678</v>
      </c>
      <c r="B9" s="16"/>
      <c r="C9" s="18" t="s">
        <v>1768</v>
      </c>
      <c r="D9" s="16"/>
      <c r="E9" s="18" t="s">
        <v>2487</v>
      </c>
      <c r="F9" s="16"/>
      <c r="G9" s="18" t="s">
        <v>1036</v>
      </c>
      <c r="H9" s="16"/>
      <c r="I9" s="18" t="s">
        <v>3205</v>
      </c>
      <c r="J9" s="16"/>
      <c r="K9" s="18"/>
      <c r="L9" s="16"/>
      <c r="M9" s="18"/>
      <c r="N9" s="16"/>
      <c r="O9" s="18"/>
      <c r="P9" s="16"/>
      <c r="Q9" s="18"/>
      <c r="R9" s="16"/>
      <c r="S9" s="18"/>
      <c r="T9" s="20"/>
    </row>
    <row r="10" spans="1:20" ht="15.95" customHeight="1" x14ac:dyDescent="0.25">
      <c r="A10" s="18" t="s">
        <v>679</v>
      </c>
      <c r="B10" s="16"/>
      <c r="C10" s="18" t="s">
        <v>1769</v>
      </c>
      <c r="D10" s="16"/>
      <c r="E10" s="18" t="s">
        <v>2488</v>
      </c>
      <c r="F10" s="16"/>
      <c r="G10" s="18" t="s">
        <v>1037</v>
      </c>
      <c r="H10" s="16"/>
      <c r="I10" s="18" t="s">
        <v>3206</v>
      </c>
      <c r="J10" s="16"/>
      <c r="K10" s="18"/>
      <c r="L10" s="16"/>
      <c r="M10" s="18"/>
      <c r="N10" s="16"/>
      <c r="O10" s="18"/>
      <c r="P10" s="16"/>
      <c r="Q10" s="18"/>
      <c r="R10" s="16"/>
      <c r="S10" s="18"/>
      <c r="T10" s="20"/>
    </row>
    <row r="11" spans="1:20" ht="15.95" customHeight="1" x14ac:dyDescent="0.25">
      <c r="A11" s="18" t="s">
        <v>501</v>
      </c>
      <c r="B11" s="16"/>
      <c r="C11" s="18" t="s">
        <v>1770</v>
      </c>
      <c r="D11" s="16"/>
      <c r="E11" s="18" t="s">
        <v>2489</v>
      </c>
      <c r="F11" s="16"/>
      <c r="G11" s="18" t="s">
        <v>1038</v>
      </c>
      <c r="H11" s="16"/>
      <c r="I11" s="18" t="s">
        <v>3207</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c r="L13" s="16"/>
      <c r="M13" s="18"/>
      <c r="N13" s="16"/>
      <c r="O13" s="18"/>
      <c r="P13" s="16"/>
      <c r="Q13" s="18"/>
      <c r="R13" s="16"/>
      <c r="S13" s="18"/>
      <c r="T13" s="20"/>
    </row>
    <row r="14" spans="1:20" ht="15.95" customHeight="1" x14ac:dyDescent="0.25">
      <c r="A14" s="18" t="s">
        <v>318</v>
      </c>
      <c r="B14" s="16"/>
      <c r="C14" s="18" t="s">
        <v>1771</v>
      </c>
      <c r="D14" s="16"/>
      <c r="E14" s="18" t="s">
        <v>2490</v>
      </c>
      <c r="F14" s="16"/>
      <c r="G14" s="18" t="s">
        <v>1039</v>
      </c>
      <c r="H14" s="16"/>
      <c r="I14" s="18" t="s">
        <v>3208</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502</v>
      </c>
      <c r="B18" s="16"/>
      <c r="C18" s="18" t="s">
        <v>1773</v>
      </c>
      <c r="D18" s="16"/>
      <c r="E18" s="18" t="s">
        <v>2492</v>
      </c>
      <c r="F18" s="16"/>
      <c r="G18" s="18" t="s">
        <v>1041</v>
      </c>
      <c r="H18" s="16"/>
      <c r="I18" s="18" t="s">
        <v>3210</v>
      </c>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1" priority="2" stopIfTrue="1">
      <formula>NOT(ISERROR(A3))</formula>
    </cfRule>
  </conditionalFormatting>
  <conditionalFormatting sqref="A3:T51">
    <cfRule type="containsErrors" dxfId="360" priority="1" stopIfTrue="1">
      <formula>ISERROR(A3)</formula>
    </cfRule>
    <cfRule type="notContainsBlanks" dxfId="359"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c r="L7" s="16"/>
      <c r="M7" s="18"/>
      <c r="N7" s="16"/>
      <c r="O7" s="18"/>
      <c r="P7" s="16"/>
      <c r="Q7" s="18"/>
      <c r="R7" s="16"/>
      <c r="S7" s="18"/>
      <c r="T7" s="20"/>
    </row>
    <row r="8" spans="1:20" ht="15.95" customHeight="1" x14ac:dyDescent="0.25">
      <c r="A8" s="18" t="s">
        <v>672</v>
      </c>
      <c r="B8" s="16"/>
      <c r="C8" s="18" t="s">
        <v>1777</v>
      </c>
      <c r="D8" s="16"/>
      <c r="E8" s="18" t="s">
        <v>2496</v>
      </c>
      <c r="F8" s="16"/>
      <c r="G8" s="18" t="s">
        <v>1045</v>
      </c>
      <c r="H8" s="16"/>
      <c r="I8" s="18" t="s">
        <v>3214</v>
      </c>
      <c r="J8" s="16"/>
      <c r="K8" s="18"/>
      <c r="L8" s="16"/>
      <c r="M8" s="18"/>
      <c r="N8" s="16"/>
      <c r="O8" s="18"/>
      <c r="P8" s="16"/>
      <c r="Q8" s="18"/>
      <c r="R8" s="16"/>
      <c r="S8" s="18"/>
      <c r="T8" s="20"/>
    </row>
    <row r="9" spans="1:20" ht="15.95" customHeight="1" x14ac:dyDescent="0.25">
      <c r="A9" s="18" t="s">
        <v>673</v>
      </c>
      <c r="B9" s="16"/>
      <c r="C9" s="18" t="s">
        <v>1778</v>
      </c>
      <c r="D9" s="16"/>
      <c r="E9" s="18" t="s">
        <v>2497</v>
      </c>
      <c r="F9" s="16"/>
      <c r="G9" s="18" t="s">
        <v>1046</v>
      </c>
      <c r="H9" s="16"/>
      <c r="I9" s="18" t="s">
        <v>3215</v>
      </c>
      <c r="J9" s="16"/>
      <c r="K9" s="18"/>
      <c r="L9" s="16"/>
      <c r="M9" s="18"/>
      <c r="N9" s="16"/>
      <c r="O9" s="18"/>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c r="L10" s="16"/>
      <c r="M10" s="18"/>
      <c r="N10" s="16"/>
      <c r="O10" s="18"/>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c r="L11" s="16"/>
      <c r="M11" s="18"/>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c r="L12" s="16"/>
      <c r="M12" s="18"/>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260</v>
      </c>
      <c r="B15" s="16"/>
      <c r="C15" s="18" t="s">
        <v>1780</v>
      </c>
      <c r="D15" s="16"/>
      <c r="E15" s="18" t="s">
        <v>2499</v>
      </c>
      <c r="F15" s="16"/>
      <c r="G15" s="18" t="s">
        <v>1048</v>
      </c>
      <c r="H15" s="16"/>
      <c r="I15" s="18" t="s">
        <v>3217</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8" priority="2" stopIfTrue="1">
      <formula>NOT(ISERROR(A3))</formula>
    </cfRule>
  </conditionalFormatting>
  <conditionalFormatting sqref="A3:T51">
    <cfRule type="containsErrors" dxfId="357" priority="1" stopIfTrue="1">
      <formula>ISERROR(A3)</formula>
    </cfRule>
    <cfRule type="notContainsBlanks" dxfId="356"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J11" sqref="J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c r="L8" s="16" t="e">
        <f>TRIM(_xlfn.TEXTBEFORE(K7, ":"))</f>
        <v>#N/A</v>
      </c>
      <c r="M8" s="18"/>
      <c r="N8" s="16" t="e">
        <f>TRIM(_xlfn.TEXTBEFORE(M7, ":"))</f>
        <v>#N/A</v>
      </c>
      <c r="O8" s="18"/>
      <c r="P8" s="16" t="e">
        <f>TRIM(_xlfn.TEXTBEFORE(O7, ":"))</f>
        <v>#N/A</v>
      </c>
      <c r="Q8" s="18"/>
      <c r="R8" s="16" t="e">
        <f>TRIM(_xlfn.TEXTBEFORE(Q7, ":"))</f>
        <v>#N/A</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c r="L9" s="16"/>
      <c r="M9" s="18"/>
      <c r="N9" s="16"/>
      <c r="O9" s="18"/>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c r="L10" s="16"/>
      <c r="M10" s="18"/>
      <c r="N10" s="16"/>
      <c r="O10" s="18"/>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c r="L11" s="16"/>
      <c r="M11" s="18"/>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c r="L12" s="16"/>
      <c r="M12" s="18"/>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668</v>
      </c>
      <c r="B15" s="16"/>
      <c r="C15" s="18" t="s">
        <v>1786</v>
      </c>
      <c r="D15" s="16"/>
      <c r="E15" s="18" t="s">
        <v>2505</v>
      </c>
      <c r="F15" s="16"/>
      <c r="G15" s="18" t="s">
        <v>1054</v>
      </c>
      <c r="H15" s="16"/>
      <c r="I15" s="18" t="s">
        <v>3223</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5" priority="46" stopIfTrue="1">
      <formula>NOT(ISERROR(A3))</formula>
    </cfRule>
  </conditionalFormatting>
  <conditionalFormatting sqref="A3:T6 A9:T51 A7:A8 C7:C8 E7:E8 G7:G8 I7:I8 K7:K8 M7:M8 O7:O8 Q7:Q8 S7:S8">
    <cfRule type="containsErrors" dxfId="354" priority="45" stopIfTrue="1">
      <formula>ISERROR(A3)</formula>
    </cfRule>
    <cfRule type="notContainsBlanks" dxfId="353" priority="47">
      <formula>LEN(TRIM(A3))&gt;0</formula>
    </cfRule>
  </conditionalFormatting>
  <conditionalFormatting sqref="B7:B8">
    <cfRule type="containsErrors" dxfId="352" priority="43" stopIfTrue="1">
      <formula>ISERROR(B7)</formula>
    </cfRule>
    <cfRule type="notContainsBlanks" dxfId="351" priority="44">
      <formula>LEN(TRIM(B7))&gt;0</formula>
    </cfRule>
  </conditionalFormatting>
  <conditionalFormatting sqref="D7">
    <cfRule type="containsErrors" dxfId="350" priority="41" stopIfTrue="1">
      <formula>ISERROR(D7)</formula>
    </cfRule>
    <cfRule type="notContainsBlanks" dxfId="349" priority="42">
      <formula>LEN(TRIM(D7))&gt;0</formula>
    </cfRule>
  </conditionalFormatting>
  <conditionalFormatting sqref="J7">
    <cfRule type="containsErrors" dxfId="344" priority="35" stopIfTrue="1">
      <formula>ISERROR(J7)</formula>
    </cfRule>
    <cfRule type="notContainsBlanks" dxfId="343" priority="36">
      <formula>LEN(TRIM(J7))&gt;0</formula>
    </cfRule>
  </conditionalFormatting>
  <conditionalFormatting sqref="L7">
    <cfRule type="containsErrors" dxfId="342" priority="33" stopIfTrue="1">
      <formula>ISERROR(L7)</formula>
    </cfRule>
    <cfRule type="notContainsBlanks" dxfId="341" priority="34">
      <formula>LEN(TRIM(L7))&gt;0</formula>
    </cfRule>
  </conditionalFormatting>
  <conditionalFormatting sqref="N7">
    <cfRule type="containsErrors" dxfId="340" priority="31" stopIfTrue="1">
      <formula>ISERROR(N7)</formula>
    </cfRule>
    <cfRule type="notContainsBlanks" dxfId="339" priority="32">
      <formula>LEN(TRIM(N7))&gt;0</formula>
    </cfRule>
  </conditionalFormatting>
  <conditionalFormatting sqref="P7">
    <cfRule type="containsErrors" dxfId="338" priority="29" stopIfTrue="1">
      <formula>ISERROR(P7)</formula>
    </cfRule>
    <cfRule type="notContainsBlanks" dxfId="337" priority="30">
      <formula>LEN(TRIM(P7))&gt;0</formula>
    </cfRule>
  </conditionalFormatting>
  <conditionalFormatting sqref="R7">
    <cfRule type="containsErrors" dxfId="336" priority="27" stopIfTrue="1">
      <formula>ISERROR(R7)</formula>
    </cfRule>
    <cfRule type="notContainsBlanks" dxfId="335" priority="28">
      <formula>LEN(TRIM(R7))&gt;0</formula>
    </cfRule>
  </conditionalFormatting>
  <conditionalFormatting sqref="T7">
    <cfRule type="containsErrors" dxfId="334" priority="25" stopIfTrue="1">
      <formula>ISERROR(T7)</formula>
    </cfRule>
    <cfRule type="notContainsBlanks" dxfId="333" priority="26">
      <formula>LEN(TRIM(T7))&gt;0</formula>
    </cfRule>
  </conditionalFormatting>
  <conditionalFormatting sqref="D8">
    <cfRule type="containsErrors" dxfId="332" priority="23" stopIfTrue="1">
      <formula>ISERROR(D8)</formula>
    </cfRule>
    <cfRule type="notContainsBlanks" dxfId="331" priority="24">
      <formula>LEN(TRIM(D8))&gt;0</formula>
    </cfRule>
  </conditionalFormatting>
  <conditionalFormatting sqref="F8">
    <cfRule type="containsErrors" dxfId="330" priority="21" stopIfTrue="1">
      <formula>ISERROR(F8)</formula>
    </cfRule>
    <cfRule type="notContainsBlanks" dxfId="329" priority="22">
      <formula>LEN(TRIM(F8))&gt;0</formula>
    </cfRule>
  </conditionalFormatting>
  <conditionalFormatting sqref="H8">
    <cfRule type="containsErrors" dxfId="328" priority="19" stopIfTrue="1">
      <formula>ISERROR(H8)</formula>
    </cfRule>
    <cfRule type="notContainsBlanks" dxfId="327" priority="20">
      <formula>LEN(TRIM(H8))&gt;0</formula>
    </cfRule>
  </conditionalFormatting>
  <conditionalFormatting sqref="J8">
    <cfRule type="containsErrors" dxfId="326" priority="17" stopIfTrue="1">
      <formula>ISERROR(J8)</formula>
    </cfRule>
    <cfRule type="notContainsBlanks" dxfId="325" priority="18">
      <formula>LEN(TRIM(J8))&gt;0</formula>
    </cfRule>
  </conditionalFormatting>
  <conditionalFormatting sqref="L8">
    <cfRule type="containsErrors" dxfId="324" priority="15" stopIfTrue="1">
      <formula>ISERROR(L8)</formula>
    </cfRule>
    <cfRule type="notContainsBlanks" dxfId="323" priority="16">
      <formula>LEN(TRIM(L8))&gt;0</formula>
    </cfRule>
  </conditionalFormatting>
  <conditionalFormatting sqref="N8">
    <cfRule type="containsErrors" dxfId="322" priority="13" stopIfTrue="1">
      <formula>ISERROR(N8)</formula>
    </cfRule>
    <cfRule type="notContainsBlanks" dxfId="321" priority="14">
      <formula>LEN(TRIM(N8))&gt;0</formula>
    </cfRule>
  </conditionalFormatting>
  <conditionalFormatting sqref="P8">
    <cfRule type="containsErrors" dxfId="320" priority="11" stopIfTrue="1">
      <formula>ISERROR(P8)</formula>
    </cfRule>
    <cfRule type="notContainsBlanks" dxfId="319" priority="12">
      <formula>LEN(TRIM(P8))&gt;0</formula>
    </cfRule>
  </conditionalFormatting>
  <conditionalFormatting sqref="R8">
    <cfRule type="containsErrors" dxfId="318" priority="9" stopIfTrue="1">
      <formula>ISERROR(R8)</formula>
    </cfRule>
    <cfRule type="notContainsBlanks" dxfId="317" priority="10">
      <formula>LEN(TRIM(R8))&gt;0</formula>
    </cfRule>
  </conditionalFormatting>
  <conditionalFormatting sqref="T8">
    <cfRule type="containsErrors" dxfId="316" priority="7" stopIfTrue="1">
      <formula>ISERROR(T8)</formula>
    </cfRule>
    <cfRule type="notContainsBlanks" dxfId="315" priority="8">
      <formula>LEN(TRIM(T8))&gt;0</formula>
    </cfRule>
  </conditionalFormatting>
  <conditionalFormatting sqref="H7">
    <cfRule type="containsErrors" dxfId="29" priority="5" stopIfTrue="1">
      <formula>ISERROR(H7)</formula>
    </cfRule>
    <cfRule type="notContainsBlanks" dxfId="28" priority="6">
      <formula>LEN(TRIM(H7))&gt;0</formula>
    </cfRule>
  </conditionalFormatting>
  <conditionalFormatting sqref="F7">
    <cfRule type="containsErrors" dxfId="3" priority="1" stopIfTrue="1">
      <formula>ISERROR(F7)</formula>
    </cfRule>
    <cfRule type="notContainsBlanks" dxfId="2" priority="2">
      <formula>LEN(TRIM(F7))&gt;0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c r="L7" s="16"/>
      <c r="M7" s="18"/>
      <c r="N7" s="16"/>
      <c r="O7" s="18"/>
      <c r="P7" s="16"/>
      <c r="Q7" s="18"/>
      <c r="R7" s="16"/>
      <c r="S7" s="18"/>
      <c r="T7" s="16"/>
    </row>
    <row r="8" spans="1:20" ht="15.95" customHeight="1" x14ac:dyDescent="0.25">
      <c r="A8" s="18" t="s">
        <v>505</v>
      </c>
      <c r="B8" s="16"/>
      <c r="C8" s="18" t="s">
        <v>1790</v>
      </c>
      <c r="D8" s="16"/>
      <c r="E8" s="18" t="s">
        <v>2509</v>
      </c>
      <c r="F8" s="16"/>
      <c r="G8" s="18" t="s">
        <v>1058</v>
      </c>
      <c r="H8" s="16"/>
      <c r="I8" s="18" t="s">
        <v>3228</v>
      </c>
      <c r="J8" s="16"/>
      <c r="K8" s="18"/>
      <c r="L8" s="16"/>
      <c r="M8" s="18"/>
      <c r="N8" s="16"/>
      <c r="O8" s="18"/>
      <c r="P8" s="16"/>
      <c r="Q8" s="18"/>
      <c r="R8" s="16"/>
      <c r="S8" s="18"/>
      <c r="T8" s="16"/>
    </row>
    <row r="9" spans="1:20" ht="15.95" customHeight="1" x14ac:dyDescent="0.25">
      <c r="A9" s="18" t="s">
        <v>506</v>
      </c>
      <c r="B9" s="16"/>
      <c r="C9" s="18" t="s">
        <v>1791</v>
      </c>
      <c r="D9" s="16"/>
      <c r="E9" s="18" t="s">
        <v>2510</v>
      </c>
      <c r="F9" s="16"/>
      <c r="G9" s="18" t="s">
        <v>1059</v>
      </c>
      <c r="H9" s="16"/>
      <c r="I9" s="18" t="s">
        <v>3229</v>
      </c>
      <c r="J9" s="16"/>
      <c r="K9" s="18"/>
      <c r="L9" s="16"/>
      <c r="M9" s="18"/>
      <c r="N9" s="16"/>
      <c r="O9" s="18"/>
      <c r="P9" s="16"/>
      <c r="Q9" s="18"/>
      <c r="R9" s="16"/>
      <c r="S9" s="18"/>
      <c r="T9" s="16"/>
    </row>
    <row r="10" spans="1:20" ht="15.95" customHeight="1" x14ac:dyDescent="0.25">
      <c r="A10" s="18" t="s">
        <v>501</v>
      </c>
      <c r="B10" s="16"/>
      <c r="C10" s="18" t="s">
        <v>1770</v>
      </c>
      <c r="D10" s="16"/>
      <c r="E10" s="18" t="s">
        <v>2489</v>
      </c>
      <c r="F10" s="16"/>
      <c r="G10" s="18" t="s">
        <v>1038</v>
      </c>
      <c r="H10" s="16"/>
      <c r="I10" s="18" t="s">
        <v>3207</v>
      </c>
      <c r="J10" s="16"/>
      <c r="K10" s="18"/>
      <c r="L10" s="16"/>
      <c r="M10" s="18"/>
      <c r="N10" s="16"/>
      <c r="O10" s="18"/>
      <c r="P10" s="16"/>
      <c r="Q10" s="18"/>
      <c r="R10" s="16"/>
      <c r="S10" s="18"/>
      <c r="T10" s="16"/>
    </row>
    <row r="11" spans="1:20" ht="15.95" customHeight="1" x14ac:dyDescent="0.25">
      <c r="A11" s="18" t="s">
        <v>507</v>
      </c>
      <c r="B11" s="16"/>
      <c r="C11" s="18" t="s">
        <v>1792</v>
      </c>
      <c r="D11" s="16"/>
      <c r="E11" s="18" t="s">
        <v>2511</v>
      </c>
      <c r="F11" s="16"/>
      <c r="G11" s="18" t="s">
        <v>1060</v>
      </c>
      <c r="H11" s="16"/>
      <c r="I11" s="18" t="s">
        <v>3230</v>
      </c>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c r="L13" s="16"/>
      <c r="M13" s="18"/>
      <c r="N13" s="16"/>
      <c r="O13" s="18"/>
      <c r="P13" s="16"/>
      <c r="Q13" s="18"/>
      <c r="R13" s="16"/>
      <c r="S13" s="18"/>
      <c r="T13" s="21"/>
    </row>
    <row r="14" spans="1:20" ht="15.95" customHeight="1" x14ac:dyDescent="0.25">
      <c r="A14" s="18" t="s">
        <v>508</v>
      </c>
      <c r="B14" s="16"/>
      <c r="C14" s="18" t="s">
        <v>1793</v>
      </c>
      <c r="D14" s="16"/>
      <c r="E14" s="18" t="s">
        <v>2512</v>
      </c>
      <c r="F14" s="16"/>
      <c r="G14" s="18" t="s">
        <v>1061</v>
      </c>
      <c r="H14" s="16"/>
      <c r="I14" s="18" t="s">
        <v>3231</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509</v>
      </c>
      <c r="B16" s="16"/>
      <c r="C16" s="18" t="s">
        <v>1794</v>
      </c>
      <c r="D16" s="16"/>
      <c r="E16" s="18" t="s">
        <v>2513</v>
      </c>
      <c r="F16" s="16"/>
      <c r="G16" s="18" t="s">
        <v>1062</v>
      </c>
      <c r="H16" s="16"/>
      <c r="I16" s="18" t="s">
        <v>3232</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510</v>
      </c>
      <c r="B18" s="16"/>
      <c r="C18" s="18" t="s">
        <v>1795</v>
      </c>
      <c r="D18" s="16"/>
      <c r="E18" s="18" t="s">
        <v>2514</v>
      </c>
      <c r="F18" s="16"/>
      <c r="G18" s="18" t="s">
        <v>1063</v>
      </c>
      <c r="H18" s="16"/>
      <c r="I18" s="18" t="s">
        <v>3233</v>
      </c>
      <c r="J18" s="16"/>
      <c r="K18" s="18"/>
      <c r="L18" s="16"/>
      <c r="M18" s="18"/>
      <c r="N18" s="16"/>
      <c r="O18" s="18"/>
      <c r="P18" s="16"/>
      <c r="Q18" s="18"/>
      <c r="R18" s="16"/>
      <c r="S18" s="18"/>
      <c r="T18" s="21"/>
    </row>
    <row r="19" spans="1:20" ht="15.95" customHeight="1" x14ac:dyDescent="0.25">
      <c r="A19" s="18" t="s">
        <v>511</v>
      </c>
      <c r="B19" s="16"/>
      <c r="C19" s="18" t="s">
        <v>1796</v>
      </c>
      <c r="D19" s="16"/>
      <c r="E19" s="18" t="s">
        <v>2515</v>
      </c>
      <c r="F19" s="16"/>
      <c r="G19" s="18" t="s">
        <v>1064</v>
      </c>
      <c r="H19" s="16"/>
      <c r="I19" s="18" t="s">
        <v>3234</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502</v>
      </c>
      <c r="B21" s="16"/>
      <c r="C21" s="18" t="s">
        <v>1773</v>
      </c>
      <c r="D21" s="16"/>
      <c r="E21" s="18" t="s">
        <v>2492</v>
      </c>
      <c r="F21" s="16"/>
      <c r="G21" s="18" t="s">
        <v>1041</v>
      </c>
      <c r="H21" s="16"/>
      <c r="I21" s="18" t="s">
        <v>3210</v>
      </c>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14" priority="22" stopIfTrue="1">
      <formula>NOT(ISERROR(A3))</formula>
    </cfRule>
  </conditionalFormatting>
  <conditionalFormatting sqref="A3:T6 A8:T51 A7 C7 E7 G7 I7 K7 M7 O7 Q7 S7">
    <cfRule type="containsErrors" dxfId="313" priority="21" stopIfTrue="1">
      <formula>ISERROR(A3)</formula>
    </cfRule>
    <cfRule type="notContainsBlanks" dxfId="312" priority="23">
      <formula>LEN(TRIM(A3))&gt;0</formula>
    </cfRule>
  </conditionalFormatting>
  <conditionalFormatting sqref="B7">
    <cfRule type="containsErrors" dxfId="311" priority="19" stopIfTrue="1">
      <formula>ISERROR(B7)</formula>
    </cfRule>
    <cfRule type="notContainsBlanks" dxfId="310" priority="20">
      <formula>LEN(TRIM(B7))&gt;0</formula>
    </cfRule>
  </conditionalFormatting>
  <conditionalFormatting sqref="D7">
    <cfRule type="containsErrors" dxfId="309" priority="17" stopIfTrue="1">
      <formula>ISERROR(D7)</formula>
    </cfRule>
    <cfRule type="notContainsBlanks" dxfId="308" priority="18">
      <formula>LEN(TRIM(D7))&gt;0</formula>
    </cfRule>
  </conditionalFormatting>
  <conditionalFormatting sqref="F7">
    <cfRule type="containsErrors" dxfId="307" priority="15" stopIfTrue="1">
      <formula>ISERROR(F7)</formula>
    </cfRule>
    <cfRule type="notContainsBlanks" dxfId="306" priority="16">
      <formula>LEN(TRIM(F7))&gt;0</formula>
    </cfRule>
  </conditionalFormatting>
  <conditionalFormatting sqref="H7">
    <cfRule type="containsErrors" dxfId="305" priority="13" stopIfTrue="1">
      <formula>ISERROR(H7)</formula>
    </cfRule>
    <cfRule type="notContainsBlanks" dxfId="304" priority="14">
      <formula>LEN(TRIM(H7))&gt;0</formula>
    </cfRule>
  </conditionalFormatting>
  <conditionalFormatting sqref="J7">
    <cfRule type="containsErrors" dxfId="303" priority="11" stopIfTrue="1">
      <formula>ISERROR(J7)</formula>
    </cfRule>
    <cfRule type="notContainsBlanks" dxfId="302" priority="12">
      <formula>LEN(TRIM(J7))&gt;0</formula>
    </cfRule>
  </conditionalFormatting>
  <conditionalFormatting sqref="L7">
    <cfRule type="containsErrors" dxfId="301" priority="9" stopIfTrue="1">
      <formula>ISERROR(L7)</formula>
    </cfRule>
    <cfRule type="notContainsBlanks" dxfId="300" priority="10">
      <formula>LEN(TRIM(L7))&gt;0</formula>
    </cfRule>
  </conditionalFormatting>
  <conditionalFormatting sqref="N7">
    <cfRule type="containsErrors" dxfId="299" priority="7" stopIfTrue="1">
      <formula>ISERROR(N7)</formula>
    </cfRule>
    <cfRule type="notContainsBlanks" dxfId="298" priority="8">
      <formula>LEN(TRIM(N7))&gt;0</formula>
    </cfRule>
  </conditionalFormatting>
  <conditionalFormatting sqref="P7">
    <cfRule type="containsErrors" dxfId="297" priority="5" stopIfTrue="1">
      <formula>ISERROR(P7)</formula>
    </cfRule>
    <cfRule type="notContainsBlanks" dxfId="296" priority="6">
      <formula>LEN(TRIM(P7))&gt;0</formula>
    </cfRule>
  </conditionalFormatting>
  <conditionalFormatting sqref="R7">
    <cfRule type="containsErrors" dxfId="295" priority="3" stopIfTrue="1">
      <formula>ISERROR(R7)</formula>
    </cfRule>
    <cfRule type="notContainsBlanks" dxfId="294" priority="4">
      <formula>LEN(TRIM(R7))&gt;0</formula>
    </cfRule>
  </conditionalFormatting>
  <conditionalFormatting sqref="T7">
    <cfRule type="containsErrors" dxfId="293" priority="1" stopIfTrue="1">
      <formula>ISERROR(T7)</formula>
    </cfRule>
    <cfRule type="notContainsBlanks" dxfId="292"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I3" sqref="I3:I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c r="L8" s="16"/>
      <c r="M8" s="18"/>
      <c r="N8" s="16"/>
      <c r="O8" s="18"/>
      <c r="P8" s="16"/>
      <c r="Q8" s="18"/>
      <c r="R8" s="16"/>
      <c r="S8" s="18"/>
      <c r="T8" s="20"/>
    </row>
    <row r="9" spans="1:20" ht="15.95" customHeight="1" x14ac:dyDescent="0.25">
      <c r="A9" s="18" t="s">
        <v>652</v>
      </c>
      <c r="B9" s="16"/>
      <c r="C9" s="18" t="s">
        <v>1800</v>
      </c>
      <c r="D9" s="16"/>
      <c r="E9" s="18" t="s">
        <v>2519</v>
      </c>
      <c r="F9" s="16"/>
      <c r="G9" s="18" t="s">
        <v>1068</v>
      </c>
      <c r="H9" s="16"/>
      <c r="I9" s="18" t="s">
        <v>3238</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653</v>
      </c>
      <c r="B11" s="16"/>
      <c r="C11" s="18" t="s">
        <v>1801</v>
      </c>
      <c r="D11" s="16"/>
      <c r="E11" s="18" t="s">
        <v>2520</v>
      </c>
      <c r="F11" s="16"/>
      <c r="G11" s="18" t="s">
        <v>1069</v>
      </c>
      <c r="H11" s="16"/>
      <c r="I11" s="18" t="s">
        <v>3239</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654</v>
      </c>
      <c r="B13" s="16"/>
      <c r="C13" s="18" t="s">
        <v>1802</v>
      </c>
      <c r="D13" s="16"/>
      <c r="E13" s="18" t="s">
        <v>2521</v>
      </c>
      <c r="F13" s="16"/>
      <c r="G13" s="18" t="s">
        <v>1070</v>
      </c>
      <c r="H13" s="16"/>
      <c r="I13" s="18" t="s">
        <v>3240</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655</v>
      </c>
      <c r="B15" s="16"/>
      <c r="C15" s="18" t="s">
        <v>1803</v>
      </c>
      <c r="D15" s="16"/>
      <c r="E15" s="18" t="s">
        <v>2522</v>
      </c>
      <c r="F15" s="16"/>
      <c r="G15" s="18" t="s">
        <v>1071</v>
      </c>
      <c r="H15" s="16"/>
      <c r="I15" s="18" t="s">
        <v>3241</v>
      </c>
      <c r="J15" s="16"/>
      <c r="K15" s="18"/>
      <c r="L15" s="16"/>
      <c r="M15" s="18"/>
      <c r="N15" s="16"/>
      <c r="O15" s="18"/>
      <c r="P15" s="16"/>
      <c r="Q15" s="18"/>
      <c r="R15" s="16"/>
      <c r="S15" s="18"/>
      <c r="T15" s="20"/>
    </row>
    <row r="16" spans="1:20" ht="15.95" customHeight="1" x14ac:dyDescent="0.25">
      <c r="A16" s="18" t="s">
        <v>656</v>
      </c>
      <c r="B16" s="16"/>
      <c r="C16" s="18" t="s">
        <v>1804</v>
      </c>
      <c r="D16" s="16"/>
      <c r="E16" s="18" t="s">
        <v>2523</v>
      </c>
      <c r="F16" s="16"/>
      <c r="G16" s="18" t="s">
        <v>1072</v>
      </c>
      <c r="H16" s="16"/>
      <c r="I16" s="18" t="s">
        <v>3242</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657</v>
      </c>
      <c r="B18" s="16"/>
      <c r="C18" s="18" t="s">
        <v>1805</v>
      </c>
      <c r="D18" s="16"/>
      <c r="E18" s="18" t="s">
        <v>2524</v>
      </c>
      <c r="F18" s="16"/>
      <c r="G18" s="18" t="s">
        <v>1073</v>
      </c>
      <c r="H18" s="16"/>
      <c r="I18" s="18" t="s">
        <v>3243</v>
      </c>
      <c r="J18" s="16"/>
      <c r="K18" s="18"/>
      <c r="L18" s="16"/>
      <c r="M18" s="18"/>
      <c r="N18" s="16"/>
      <c r="O18" s="18"/>
      <c r="P18" s="16"/>
      <c r="Q18" s="18"/>
      <c r="R18" s="16"/>
      <c r="S18" s="18"/>
      <c r="T18" s="20"/>
    </row>
    <row r="19" spans="1:20" ht="15.95" customHeight="1" x14ac:dyDescent="0.25">
      <c r="A19" s="18" t="s">
        <v>658</v>
      </c>
      <c r="B19" s="16"/>
      <c r="C19" s="18" t="s">
        <v>1806</v>
      </c>
      <c r="D19" s="16"/>
      <c r="E19" s="18" t="s">
        <v>2525</v>
      </c>
      <c r="F19" s="16"/>
      <c r="G19" s="18" t="s">
        <v>1074</v>
      </c>
      <c r="H19" s="16"/>
      <c r="I19" s="18" t="s">
        <v>3244</v>
      </c>
      <c r="J19" s="16"/>
      <c r="K19" s="18"/>
      <c r="L19" s="16"/>
      <c r="M19" s="18"/>
      <c r="N19" s="16"/>
      <c r="O19" s="18"/>
      <c r="P19" s="16"/>
      <c r="Q19" s="18"/>
      <c r="R19" s="16"/>
      <c r="S19" s="18"/>
      <c r="T19" s="20"/>
    </row>
    <row r="20" spans="1:20" ht="15.95" customHeight="1" x14ac:dyDescent="0.25">
      <c r="A20" s="18" t="s">
        <v>659</v>
      </c>
      <c r="B20" s="16"/>
      <c r="C20" s="18" t="s">
        <v>1807</v>
      </c>
      <c r="D20" s="16"/>
      <c r="E20" s="18" t="s">
        <v>2526</v>
      </c>
      <c r="F20" s="16"/>
      <c r="G20" s="18" t="s">
        <v>1075</v>
      </c>
      <c r="H20" s="16"/>
      <c r="I20" s="18" t="s">
        <v>3245</v>
      </c>
      <c r="J20" s="16"/>
      <c r="K20" s="18"/>
      <c r="L20" s="16"/>
      <c r="M20" s="18"/>
      <c r="N20" s="16"/>
      <c r="O20" s="18"/>
      <c r="P20" s="16"/>
      <c r="Q20" s="18"/>
      <c r="R20" s="16"/>
      <c r="S20" s="18"/>
      <c r="T20" s="20"/>
    </row>
    <row r="21" spans="1:20" ht="15.95" customHeight="1" x14ac:dyDescent="0.25">
      <c r="A21" s="18" t="s">
        <v>660</v>
      </c>
      <c r="B21" s="16"/>
      <c r="C21" s="18" t="s">
        <v>1808</v>
      </c>
      <c r="D21" s="16"/>
      <c r="E21" s="18" t="s">
        <v>2527</v>
      </c>
      <c r="F21" s="16"/>
      <c r="G21" s="18" t="s">
        <v>1076</v>
      </c>
      <c r="H21" s="16"/>
      <c r="I21" s="18" t="s">
        <v>3246</v>
      </c>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0"/>
    </row>
    <row r="23" spans="1:20" ht="15.95" customHeight="1" x14ac:dyDescent="0.25">
      <c r="A23" s="18" t="s">
        <v>78</v>
      </c>
      <c r="B23" s="16"/>
      <c r="C23" s="18" t="s">
        <v>1640</v>
      </c>
      <c r="D23" s="16"/>
      <c r="E23" s="18" t="s">
        <v>2345</v>
      </c>
      <c r="F23" s="16"/>
      <c r="G23" s="18" t="s">
        <v>914</v>
      </c>
      <c r="H23" s="16"/>
      <c r="I23" s="18" t="s">
        <v>3055</v>
      </c>
      <c r="J23" s="16"/>
      <c r="K23" s="18"/>
      <c r="L23" s="16"/>
      <c r="M23" s="18"/>
      <c r="N23" s="16"/>
      <c r="O23" s="18"/>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0"/>
    </row>
    <row r="25" spans="1:20" ht="15.95" customHeight="1" x14ac:dyDescent="0.25">
      <c r="A25" s="18" t="s">
        <v>661</v>
      </c>
      <c r="B25" s="16"/>
      <c r="C25" s="18" t="s">
        <v>1809</v>
      </c>
      <c r="D25" s="16"/>
      <c r="E25" s="18" t="s">
        <v>2528</v>
      </c>
      <c r="F25" s="16"/>
      <c r="G25" s="18" t="s">
        <v>1077</v>
      </c>
      <c r="H25" s="16"/>
      <c r="I25" s="18" t="s">
        <v>3247</v>
      </c>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16"/>
    </row>
    <row r="9" spans="1:20" ht="15.95" customHeight="1" x14ac:dyDescent="0.25">
      <c r="A9" s="18" t="s">
        <v>544</v>
      </c>
      <c r="B9" s="16"/>
      <c r="C9" s="18" t="s">
        <v>1812</v>
      </c>
      <c r="D9" s="16"/>
      <c r="E9" s="18" t="s">
        <v>2531</v>
      </c>
      <c r="F9" s="16"/>
      <c r="G9" s="18" t="s">
        <v>1080</v>
      </c>
      <c r="H9" s="16"/>
      <c r="I9" s="18" t="s">
        <v>3250</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c r="L11" s="16">
        <f>K11</f>
        <v>0</v>
      </c>
      <c r="M11" s="18"/>
      <c r="N11" s="16">
        <f>M11</f>
        <v>0</v>
      </c>
      <c r="O11" s="18"/>
      <c r="P11" s="16">
        <f>O11</f>
        <v>0</v>
      </c>
      <c r="Q11" s="18"/>
      <c r="R11" s="16">
        <f>Q11</f>
        <v>0</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J11" sqref="J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16"/>
    </row>
    <row r="11" spans="1:20" ht="15.95" customHeight="1" x14ac:dyDescent="0.25">
      <c r="A11" s="18" t="s">
        <v>475</v>
      </c>
      <c r="B11" s="16"/>
      <c r="C11" s="18" t="s">
        <v>1817</v>
      </c>
      <c r="D11" s="16"/>
      <c r="E11" s="18" t="s">
        <v>2536</v>
      </c>
      <c r="F11" s="16"/>
      <c r="G11" s="18" t="s">
        <v>1085</v>
      </c>
      <c r="H11" s="16"/>
      <c r="I11" s="18" t="s">
        <v>3256</v>
      </c>
      <c r="J11" s="16"/>
      <c r="K11" s="18"/>
      <c r="L11" s="16"/>
      <c r="M11" s="18"/>
      <c r="N11" s="16"/>
      <c r="O11" s="18"/>
      <c r="P11" s="16"/>
      <c r="Q11" s="18"/>
      <c r="R11" s="16"/>
      <c r="S11" s="18"/>
      <c r="T11" s="16"/>
    </row>
    <row r="12" spans="1:20" ht="15.95" customHeight="1" x14ac:dyDescent="0.25">
      <c r="A12" s="18" t="s">
        <v>476</v>
      </c>
      <c r="B12" s="16"/>
      <c r="C12" s="18" t="s">
        <v>476</v>
      </c>
      <c r="D12" s="16"/>
      <c r="E12" s="18" t="s">
        <v>2367</v>
      </c>
      <c r="F12" s="16"/>
      <c r="G12" s="18" t="s">
        <v>894</v>
      </c>
      <c r="H12" s="16"/>
      <c r="I12" s="18" t="s">
        <v>3081</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404</v>
      </c>
      <c r="B14" s="16"/>
      <c r="C14" s="18" t="s">
        <v>1818</v>
      </c>
      <c r="D14" s="16"/>
      <c r="E14" s="18" t="s">
        <v>2537</v>
      </c>
      <c r="F14" s="16"/>
      <c r="G14" s="18" t="s">
        <v>1086</v>
      </c>
      <c r="H14" s="16"/>
      <c r="I14" s="18" t="s">
        <v>3257</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449</v>
      </c>
      <c r="B16" s="16"/>
      <c r="C16" s="18" t="s">
        <v>1819</v>
      </c>
      <c r="D16" s="16"/>
      <c r="E16" s="18" t="s">
        <v>2538</v>
      </c>
      <c r="F16" s="16"/>
      <c r="G16" s="18" t="s">
        <v>7</v>
      </c>
      <c r="H16" s="16"/>
      <c r="I16" s="18" t="s">
        <v>3258</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477</v>
      </c>
      <c r="B18" s="16"/>
      <c r="C18" s="18" t="s">
        <v>1820</v>
      </c>
      <c r="D18" s="16"/>
      <c r="E18" s="18" t="s">
        <v>2539</v>
      </c>
      <c r="F18" s="16"/>
      <c r="G18" s="18" t="s">
        <v>1087</v>
      </c>
      <c r="H18" s="16"/>
      <c r="I18" s="18" t="s">
        <v>3259</v>
      </c>
      <c r="J18" s="16"/>
      <c r="K18" s="18"/>
      <c r="L18" s="16"/>
      <c r="M18" s="18"/>
      <c r="N18" s="16"/>
      <c r="O18" s="18"/>
      <c r="P18" s="16"/>
      <c r="Q18" s="18"/>
      <c r="R18" s="16"/>
      <c r="S18" s="18"/>
      <c r="T18" s="21"/>
    </row>
    <row r="19" spans="1:20" ht="15.95" customHeight="1" x14ac:dyDescent="0.25">
      <c r="A19" s="18" t="s">
        <v>478</v>
      </c>
      <c r="B19" s="16"/>
      <c r="C19" s="18" t="s">
        <v>1821</v>
      </c>
      <c r="D19" s="16"/>
      <c r="E19" s="18" t="s">
        <v>2540</v>
      </c>
      <c r="F19" s="16"/>
      <c r="G19" s="18" t="s">
        <v>1088</v>
      </c>
      <c r="H19" s="16"/>
      <c r="I19" s="18" t="s">
        <v>3260</v>
      </c>
      <c r="J19" s="16"/>
      <c r="K19" s="18"/>
      <c r="L19" s="16"/>
      <c r="M19" s="18"/>
      <c r="N19" s="16"/>
      <c r="O19" s="18"/>
      <c r="P19" s="16"/>
      <c r="Q19" s="18"/>
      <c r="R19" s="16"/>
      <c r="S19" s="18"/>
      <c r="T19" s="21"/>
    </row>
    <row r="20" spans="1:20" ht="15.95" customHeight="1" x14ac:dyDescent="0.25">
      <c r="A20" s="18" t="s">
        <v>479</v>
      </c>
      <c r="B20" s="16"/>
      <c r="C20" s="18" t="s">
        <v>1822</v>
      </c>
      <c r="D20" s="16"/>
      <c r="E20" s="18" t="s">
        <v>2541</v>
      </c>
      <c r="F20" s="16"/>
      <c r="G20" s="18" t="s">
        <v>1089</v>
      </c>
      <c r="H20" s="16"/>
      <c r="I20" s="18" t="s">
        <v>3261</v>
      </c>
      <c r="J20" s="16"/>
      <c r="K20" s="18"/>
      <c r="L20" s="16"/>
      <c r="M20" s="18"/>
      <c r="N20" s="16"/>
      <c r="O20" s="18"/>
      <c r="P20" s="16"/>
      <c r="Q20" s="18"/>
      <c r="R20" s="16"/>
      <c r="S20" s="18"/>
      <c r="T20" s="21"/>
    </row>
    <row r="21" spans="1:20" ht="15.95" customHeight="1" x14ac:dyDescent="0.25">
      <c r="A21" s="18" t="s">
        <v>480</v>
      </c>
      <c r="B21" s="16"/>
      <c r="C21" s="18" t="s">
        <v>1823</v>
      </c>
      <c r="D21" s="16"/>
      <c r="E21" s="18" t="s">
        <v>2542</v>
      </c>
      <c r="F21" s="16"/>
      <c r="G21" s="18" t="s">
        <v>1090</v>
      </c>
      <c r="H21" s="16"/>
      <c r="I21" s="18" t="s">
        <v>3262</v>
      </c>
      <c r="J21" s="16"/>
      <c r="K21" s="18"/>
      <c r="L21" s="16"/>
      <c r="M21" s="18"/>
      <c r="N21" s="16"/>
      <c r="O21" s="18"/>
      <c r="P21" s="16"/>
      <c r="Q21" s="18"/>
      <c r="R21" s="16"/>
      <c r="S21" s="18"/>
      <c r="T21" s="21"/>
    </row>
    <row r="22" spans="1:20" ht="15.95" customHeight="1" x14ac:dyDescent="0.25">
      <c r="A22" s="18" t="s">
        <v>481</v>
      </c>
      <c r="B22" s="16"/>
      <c r="C22" s="18" t="s">
        <v>1824</v>
      </c>
      <c r="D22" s="16"/>
      <c r="E22" s="18" t="s">
        <v>2543</v>
      </c>
      <c r="F22" s="16"/>
      <c r="G22" s="18" t="s">
        <v>1091</v>
      </c>
      <c r="H22" s="16"/>
      <c r="I22" s="18" t="s">
        <v>3263</v>
      </c>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1"/>
    </row>
    <row r="24" spans="1:20" ht="15.95" customHeight="1" x14ac:dyDescent="0.25">
      <c r="A24" s="18" t="s">
        <v>482</v>
      </c>
      <c r="B24" s="16"/>
      <c r="C24" s="18" t="s">
        <v>1825</v>
      </c>
      <c r="D24" s="16"/>
      <c r="E24" s="18" t="s">
        <v>2544</v>
      </c>
      <c r="F24" s="16"/>
      <c r="G24" s="18" t="s">
        <v>1092</v>
      </c>
      <c r="H24" s="16"/>
      <c r="I24" s="18" t="s">
        <v>3264</v>
      </c>
      <c r="J24" s="16"/>
      <c r="K24" s="18"/>
      <c r="L24" s="16"/>
      <c r="M24" s="18"/>
      <c r="N24" s="16"/>
      <c r="O24" s="18"/>
      <c r="P24" s="16"/>
      <c r="Q24" s="18"/>
      <c r="R24" s="16"/>
      <c r="S24" s="18"/>
      <c r="T24" s="21"/>
    </row>
    <row r="25" spans="1:20" ht="15.95" customHeight="1" x14ac:dyDescent="0.25">
      <c r="A25" s="18" t="s">
        <v>483</v>
      </c>
      <c r="B25" s="16"/>
      <c r="C25" s="18" t="s">
        <v>1826</v>
      </c>
      <c r="D25" s="16"/>
      <c r="E25" s="18" t="s">
        <v>2545</v>
      </c>
      <c r="F25" s="16"/>
      <c r="G25" s="18" t="s">
        <v>1093</v>
      </c>
      <c r="H25" s="16"/>
      <c r="I25" s="18" t="s">
        <v>3265</v>
      </c>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5" priority="22" stopIfTrue="1">
      <formula>NOT(ISERROR(A3))</formula>
    </cfRule>
  </conditionalFormatting>
  <conditionalFormatting sqref="A3:T7 A9:T51 A8 C8 E8 G8 I8 K8 M8 O8 Q8 S8">
    <cfRule type="containsErrors" dxfId="284" priority="21" stopIfTrue="1">
      <formula>ISERROR(A3)</formula>
    </cfRule>
    <cfRule type="notContainsBlanks" dxfId="283" priority="23">
      <formula>LEN(TRIM(A3))&gt;0</formula>
    </cfRule>
  </conditionalFormatting>
  <conditionalFormatting sqref="B8">
    <cfRule type="containsErrors" dxfId="282" priority="19" stopIfTrue="1">
      <formula>ISERROR(B8)</formula>
    </cfRule>
    <cfRule type="notContainsBlanks" dxfId="281" priority="20">
      <formula>LEN(TRIM(B8))&gt;0</formula>
    </cfRule>
  </conditionalFormatting>
  <conditionalFormatting sqref="D8">
    <cfRule type="containsErrors" dxfId="280" priority="17" stopIfTrue="1">
      <formula>ISERROR(D8)</formula>
    </cfRule>
    <cfRule type="notContainsBlanks" dxfId="279" priority="18">
      <formula>LEN(TRIM(D8))&gt;0</formula>
    </cfRule>
  </conditionalFormatting>
  <conditionalFormatting sqref="F8">
    <cfRule type="containsErrors" dxfId="278" priority="15" stopIfTrue="1">
      <formula>ISERROR(F8)</formula>
    </cfRule>
    <cfRule type="notContainsBlanks" dxfId="277" priority="16">
      <formula>LEN(TRIM(F8))&gt;0</formula>
    </cfRule>
  </conditionalFormatting>
  <conditionalFormatting sqref="H8">
    <cfRule type="containsErrors" dxfId="276" priority="13" stopIfTrue="1">
      <formula>ISERROR(H8)</formula>
    </cfRule>
    <cfRule type="notContainsBlanks" dxfId="275" priority="14">
      <formula>LEN(TRIM(H8))&gt;0</formula>
    </cfRule>
  </conditionalFormatting>
  <conditionalFormatting sqref="J8">
    <cfRule type="containsErrors" dxfId="274" priority="11" stopIfTrue="1">
      <formula>ISERROR(J8)</formula>
    </cfRule>
    <cfRule type="notContainsBlanks" dxfId="273" priority="12">
      <formula>LEN(TRIM(J8))&gt;0</formula>
    </cfRule>
  </conditionalFormatting>
  <conditionalFormatting sqref="L8">
    <cfRule type="containsErrors" dxfId="272" priority="9" stopIfTrue="1">
      <formula>ISERROR(L8)</formula>
    </cfRule>
    <cfRule type="notContainsBlanks" dxfId="271" priority="10">
      <formula>LEN(TRIM(L8))&gt;0</formula>
    </cfRule>
  </conditionalFormatting>
  <conditionalFormatting sqref="N8">
    <cfRule type="containsErrors" dxfId="270" priority="7" stopIfTrue="1">
      <formula>ISERROR(N8)</formula>
    </cfRule>
    <cfRule type="notContainsBlanks" dxfId="269" priority="8">
      <formula>LEN(TRIM(N8))&gt;0</formula>
    </cfRule>
  </conditionalFormatting>
  <conditionalFormatting sqref="P8">
    <cfRule type="containsErrors" dxfId="268" priority="5" stopIfTrue="1">
      <formula>ISERROR(P8)</formula>
    </cfRule>
    <cfRule type="notContainsBlanks" dxfId="267" priority="6">
      <formula>LEN(TRIM(P8))&gt;0</formula>
    </cfRule>
  </conditionalFormatting>
  <conditionalFormatting sqref="R8">
    <cfRule type="containsErrors" dxfId="266" priority="3" stopIfTrue="1">
      <formula>ISERROR(R8)</formula>
    </cfRule>
    <cfRule type="notContainsBlanks" dxfId="265" priority="4">
      <formula>LEN(TRIM(R8))&gt;0</formula>
    </cfRule>
  </conditionalFormatting>
  <conditionalFormatting sqref="T8">
    <cfRule type="containsErrors" dxfId="264" priority="1" stopIfTrue="1">
      <formula>ISERROR(T8)</formula>
    </cfRule>
    <cfRule type="notContainsBlanks" dxfId="263"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J16" sqref="J1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c r="L11" s="16"/>
      <c r="M11" s="18"/>
      <c r="N11" s="16"/>
      <c r="O11" s="18"/>
      <c r="P11" s="16"/>
      <c r="Q11" s="18"/>
      <c r="R11" s="16"/>
      <c r="S11" s="18"/>
      <c r="T11" s="16"/>
    </row>
    <row r="12" spans="1:20" ht="15.95" customHeight="1" x14ac:dyDescent="0.25">
      <c r="A12" s="18" t="s">
        <v>136</v>
      </c>
      <c r="B12" s="16"/>
      <c r="C12" s="18" t="s">
        <v>1619</v>
      </c>
      <c r="D12" s="16"/>
      <c r="E12" s="18" t="s">
        <v>2366</v>
      </c>
      <c r="F12" s="16"/>
      <c r="G12" s="18" t="s">
        <v>893</v>
      </c>
      <c r="H12" s="16"/>
      <c r="I12" s="18" t="s">
        <v>3080</v>
      </c>
      <c r="J12" s="16"/>
      <c r="K12" s="18"/>
      <c r="L12" s="16"/>
      <c r="M12" s="18"/>
      <c r="N12" s="16"/>
      <c r="O12" s="18"/>
      <c r="P12" s="16"/>
      <c r="Q12" s="18"/>
      <c r="R12" s="16"/>
      <c r="S12" s="18"/>
      <c r="T12" s="21"/>
    </row>
    <row r="13" spans="1:20" ht="15.95" customHeight="1" x14ac:dyDescent="0.25">
      <c r="A13" s="18" t="s">
        <v>258</v>
      </c>
      <c r="B13" s="16"/>
      <c r="C13" s="18" t="s">
        <v>1832</v>
      </c>
      <c r="D13" s="16"/>
      <c r="E13" s="18" t="s">
        <v>2551</v>
      </c>
      <c r="F13" s="16"/>
      <c r="G13" s="18" t="s">
        <v>258</v>
      </c>
      <c r="H13" s="16"/>
      <c r="I13" s="18" t="s">
        <v>3271</v>
      </c>
      <c r="J13" s="16"/>
      <c r="K13" s="18"/>
      <c r="L13" s="16"/>
      <c r="M13" s="18"/>
      <c r="N13" s="16"/>
      <c r="O13" s="18"/>
      <c r="P13" s="16"/>
      <c r="Q13" s="18"/>
      <c r="R13" s="16"/>
      <c r="S13" s="18"/>
      <c r="T13" s="21"/>
    </row>
    <row r="14" spans="1:20" ht="15.95" customHeight="1" x14ac:dyDescent="0.25">
      <c r="A14" s="18" t="s">
        <v>461</v>
      </c>
      <c r="B14" s="16"/>
      <c r="C14" s="18" t="s">
        <v>461</v>
      </c>
      <c r="D14" s="16"/>
      <c r="E14" s="18" t="s">
        <v>461</v>
      </c>
      <c r="F14" s="16"/>
      <c r="G14" s="18" t="s">
        <v>461</v>
      </c>
      <c r="H14" s="16"/>
      <c r="I14" s="18" t="s">
        <v>3272</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387</v>
      </c>
      <c r="B16" s="16"/>
      <c r="C16" s="18" t="s">
        <v>1833</v>
      </c>
      <c r="D16" s="16"/>
      <c r="E16" s="18" t="s">
        <v>2552</v>
      </c>
      <c r="F16" s="16"/>
      <c r="G16" s="18" t="s">
        <v>1099</v>
      </c>
      <c r="H16" s="16"/>
      <c r="I16" s="18" t="s">
        <v>3273</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462</v>
      </c>
      <c r="B18" s="16"/>
      <c r="C18" s="18" t="s">
        <v>1728</v>
      </c>
      <c r="D18" s="16"/>
      <c r="E18" s="18" t="s">
        <v>2447</v>
      </c>
      <c r="F18" s="16"/>
      <c r="G18" s="18" t="s">
        <v>996</v>
      </c>
      <c r="H18" s="16"/>
      <c r="I18" s="18" t="s">
        <v>3165</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463</v>
      </c>
      <c r="B20" s="16"/>
      <c r="C20" s="18" t="s">
        <v>1834</v>
      </c>
      <c r="D20" s="16"/>
      <c r="E20" s="18" t="s">
        <v>2553</v>
      </c>
      <c r="F20" s="16"/>
      <c r="G20" s="18" t="s">
        <v>1100</v>
      </c>
      <c r="H20" s="16"/>
      <c r="I20" s="18" t="s">
        <v>3274</v>
      </c>
      <c r="J20" s="16"/>
      <c r="K20" s="18"/>
      <c r="L20" s="16"/>
      <c r="M20" s="18"/>
      <c r="N20" s="16"/>
      <c r="O20" s="18"/>
      <c r="P20" s="16"/>
      <c r="Q20" s="18"/>
      <c r="R20" s="16"/>
      <c r="S20" s="18"/>
      <c r="T20" s="21"/>
    </row>
    <row r="21" spans="1:20" ht="15.95" customHeight="1" x14ac:dyDescent="0.25">
      <c r="A21" s="18" t="s">
        <v>464</v>
      </c>
      <c r="B21" s="16"/>
      <c r="C21" s="18" t="s">
        <v>1835</v>
      </c>
      <c r="D21" s="16"/>
      <c r="E21" s="18" t="s">
        <v>2554</v>
      </c>
      <c r="F21" s="16"/>
      <c r="G21" s="18" t="s">
        <v>1101</v>
      </c>
      <c r="H21" s="16"/>
      <c r="I21" s="18" t="s">
        <v>3275</v>
      </c>
      <c r="J21" s="16"/>
      <c r="K21" s="18"/>
      <c r="L21" s="16"/>
      <c r="M21" s="18"/>
      <c r="N21" s="16"/>
      <c r="O21" s="18"/>
      <c r="P21" s="16"/>
      <c r="Q21" s="18"/>
      <c r="R21" s="16"/>
      <c r="S21" s="18"/>
      <c r="T21" s="21"/>
    </row>
    <row r="22" spans="1:20" ht="15.95" customHeight="1" x14ac:dyDescent="0.25">
      <c r="A22" s="18" t="s">
        <v>465</v>
      </c>
      <c r="B22" s="16"/>
      <c r="C22" s="18" t="s">
        <v>1836</v>
      </c>
      <c r="D22" s="16"/>
      <c r="E22" s="18" t="s">
        <v>2555</v>
      </c>
      <c r="F22" s="16"/>
      <c r="G22" s="18" t="s">
        <v>1102</v>
      </c>
      <c r="H22" s="16"/>
      <c r="I22" s="18" t="s">
        <v>3276</v>
      </c>
      <c r="J22" s="16"/>
      <c r="K22" s="18"/>
      <c r="L22" s="16"/>
      <c r="M22" s="18"/>
      <c r="N22" s="16"/>
      <c r="O22" s="18"/>
      <c r="P22" s="16"/>
      <c r="Q22" s="18"/>
      <c r="R22" s="16"/>
      <c r="S22" s="18"/>
      <c r="T22" s="21"/>
    </row>
    <row r="23" spans="1:20" ht="15.95" customHeight="1" x14ac:dyDescent="0.25">
      <c r="A23" s="18" t="s">
        <v>466</v>
      </c>
      <c r="B23" s="16"/>
      <c r="C23" s="18" t="s">
        <v>1837</v>
      </c>
      <c r="D23" s="16"/>
      <c r="E23" s="18" t="s">
        <v>2556</v>
      </c>
      <c r="F23" s="16"/>
      <c r="G23" s="18" t="s">
        <v>1103</v>
      </c>
      <c r="H23" s="16"/>
      <c r="I23" s="18" t="s">
        <v>3277</v>
      </c>
      <c r="J23" s="16"/>
      <c r="K23" s="18"/>
      <c r="L23" s="16"/>
      <c r="M23" s="18"/>
      <c r="N23" s="16"/>
      <c r="O23" s="18"/>
      <c r="P23" s="16"/>
      <c r="Q23" s="18"/>
      <c r="R23" s="16"/>
      <c r="S23" s="18"/>
      <c r="T23" s="21"/>
    </row>
    <row r="24" spans="1:20" ht="15.95" customHeight="1" x14ac:dyDescent="0.25">
      <c r="A24" s="18" t="s">
        <v>467</v>
      </c>
      <c r="B24" s="16"/>
      <c r="C24" s="18" t="s">
        <v>1838</v>
      </c>
      <c r="D24" s="16"/>
      <c r="E24" s="18" t="s">
        <v>2557</v>
      </c>
      <c r="F24" s="16"/>
      <c r="G24" s="18" t="s">
        <v>1104</v>
      </c>
      <c r="H24" s="16"/>
      <c r="I24" s="18" t="s">
        <v>3278</v>
      </c>
      <c r="J24" s="16"/>
      <c r="K24" s="18"/>
      <c r="L24" s="16"/>
      <c r="M24" s="18"/>
      <c r="N24" s="16"/>
      <c r="O24" s="18"/>
      <c r="P24" s="16"/>
      <c r="Q24" s="18"/>
      <c r="R24" s="16"/>
      <c r="S24" s="18"/>
      <c r="T24" s="21"/>
    </row>
    <row r="25" spans="1:20" ht="15.95" customHeight="1" x14ac:dyDescent="0.25">
      <c r="A25" s="18" t="s">
        <v>468</v>
      </c>
      <c r="B25" s="16"/>
      <c r="C25" s="18" t="s">
        <v>1839</v>
      </c>
      <c r="D25" s="16"/>
      <c r="E25" s="18" t="s">
        <v>2558</v>
      </c>
      <c r="F25" s="16"/>
      <c r="G25" s="18" t="s">
        <v>468</v>
      </c>
      <c r="H25" s="16"/>
      <c r="I25" s="18" t="s">
        <v>3279</v>
      </c>
      <c r="J25" s="16"/>
      <c r="K25" s="18"/>
      <c r="L25" s="16"/>
      <c r="M25" s="18"/>
      <c r="N25" s="16"/>
      <c r="O25" s="18"/>
      <c r="P25" s="16"/>
      <c r="Q25" s="18"/>
      <c r="R25" s="16"/>
      <c r="S25" s="18"/>
      <c r="T25" s="21"/>
    </row>
    <row r="26" spans="1:20" ht="15.95" customHeight="1" x14ac:dyDescent="0.25">
      <c r="A26" s="18" t="s">
        <v>4</v>
      </c>
      <c r="B26" s="16"/>
      <c r="C26" s="18" t="s">
        <v>4</v>
      </c>
      <c r="D26" s="16"/>
      <c r="E26" s="18" t="s">
        <v>4</v>
      </c>
      <c r="F26" s="16"/>
      <c r="G26" s="18" t="s">
        <v>4</v>
      </c>
      <c r="H26" s="16"/>
      <c r="I26" s="18" t="s">
        <v>4</v>
      </c>
      <c r="J26" s="16"/>
      <c r="K26" s="18"/>
      <c r="L26" s="16"/>
      <c r="M26" s="18"/>
      <c r="N26" s="16"/>
      <c r="O26" s="18"/>
      <c r="P26" s="16"/>
      <c r="Q26" s="18"/>
      <c r="R26" s="16"/>
      <c r="S26" s="18"/>
      <c r="T26" s="21"/>
    </row>
    <row r="27" spans="1:20" ht="15.95" customHeight="1" x14ac:dyDescent="0.25">
      <c r="A27" s="18" t="s">
        <v>469</v>
      </c>
      <c r="B27" s="16"/>
      <c r="C27" s="18" t="s">
        <v>1840</v>
      </c>
      <c r="D27" s="16"/>
      <c r="E27" s="18" t="s">
        <v>2559</v>
      </c>
      <c r="F27" s="16"/>
      <c r="G27" s="18" t="s">
        <v>1105</v>
      </c>
      <c r="H27" s="16"/>
      <c r="I27" s="18" t="s">
        <v>3280</v>
      </c>
      <c r="J27" s="16"/>
      <c r="K27" s="18"/>
      <c r="L27" s="16"/>
      <c r="M27" s="18"/>
      <c r="N27" s="16"/>
      <c r="O27" s="18"/>
      <c r="P27" s="16"/>
      <c r="Q27" s="18"/>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c r="L28" s="16"/>
      <c r="M28" s="18"/>
      <c r="N28" s="16"/>
      <c r="O28" s="18"/>
      <c r="P28" s="16"/>
      <c r="Q28" s="18"/>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62" priority="42" stopIfTrue="1">
      <formula>NOT(ISERROR(A3))</formula>
    </cfRule>
  </conditionalFormatting>
  <conditionalFormatting sqref="A3:T7 A10:T51 A8:A9 C8:C9 E8:E9 G8:G9 I8:I9 K8:K9 M8:M9 O8:O9 Q8:Q9 S8:S9">
    <cfRule type="containsErrors" dxfId="261" priority="41" stopIfTrue="1">
      <formula>ISERROR(A3)</formula>
    </cfRule>
    <cfRule type="notContainsBlanks" dxfId="260" priority="43">
      <formula>LEN(TRIM(A3))&gt;0</formula>
    </cfRule>
  </conditionalFormatting>
  <conditionalFormatting sqref="B8">
    <cfRule type="containsErrors" dxfId="259" priority="39" stopIfTrue="1">
      <formula>ISERROR(B8)</formula>
    </cfRule>
    <cfRule type="notContainsBlanks" dxfId="258" priority="40">
      <formula>LEN(TRIM(B8))&gt;0</formula>
    </cfRule>
  </conditionalFormatting>
  <conditionalFormatting sqref="B9">
    <cfRule type="containsErrors" dxfId="257" priority="37" stopIfTrue="1">
      <formula>ISERROR(B9)</formula>
    </cfRule>
    <cfRule type="notContainsBlanks" dxfId="256" priority="38">
      <formula>LEN(TRIM(B9))&gt;0</formula>
    </cfRule>
  </conditionalFormatting>
  <conditionalFormatting sqref="D8">
    <cfRule type="containsErrors" dxfId="255" priority="35" stopIfTrue="1">
      <formula>ISERROR(D8)</formula>
    </cfRule>
    <cfRule type="notContainsBlanks" dxfId="254" priority="36">
      <formula>LEN(TRIM(D8))&gt;0</formula>
    </cfRule>
  </conditionalFormatting>
  <conditionalFormatting sqref="D9">
    <cfRule type="containsErrors" dxfId="253" priority="33" stopIfTrue="1">
      <formula>ISERROR(D9)</formula>
    </cfRule>
    <cfRule type="notContainsBlanks" dxfId="252" priority="34">
      <formula>LEN(TRIM(D9))&gt;0</formula>
    </cfRule>
  </conditionalFormatting>
  <conditionalFormatting sqref="F8">
    <cfRule type="containsErrors" dxfId="251" priority="31" stopIfTrue="1">
      <formula>ISERROR(F8)</formula>
    </cfRule>
    <cfRule type="notContainsBlanks" dxfId="250" priority="32">
      <formula>LEN(TRIM(F8))&gt;0</formula>
    </cfRule>
  </conditionalFormatting>
  <conditionalFormatting sqref="F9">
    <cfRule type="containsErrors" dxfId="249" priority="29" stopIfTrue="1">
      <formula>ISERROR(F9)</formula>
    </cfRule>
    <cfRule type="notContainsBlanks" dxfId="248" priority="30">
      <formula>LEN(TRIM(F9))&gt;0</formula>
    </cfRule>
  </conditionalFormatting>
  <conditionalFormatting sqref="H8">
    <cfRule type="containsErrors" dxfId="247" priority="27" stopIfTrue="1">
      <formula>ISERROR(H8)</formula>
    </cfRule>
    <cfRule type="notContainsBlanks" dxfId="246" priority="28">
      <formula>LEN(TRIM(H8))&gt;0</formula>
    </cfRule>
  </conditionalFormatting>
  <conditionalFormatting sqref="H9">
    <cfRule type="containsErrors" dxfId="245" priority="25" stopIfTrue="1">
      <formula>ISERROR(H9)</formula>
    </cfRule>
    <cfRule type="notContainsBlanks" dxfId="244" priority="26">
      <formula>LEN(TRIM(H9))&gt;0</formula>
    </cfRule>
  </conditionalFormatting>
  <conditionalFormatting sqref="J8">
    <cfRule type="containsErrors" dxfId="243" priority="23" stopIfTrue="1">
      <formula>ISERROR(J8)</formula>
    </cfRule>
    <cfRule type="notContainsBlanks" dxfId="242" priority="24">
      <formula>LEN(TRIM(J8))&gt;0</formula>
    </cfRule>
  </conditionalFormatting>
  <conditionalFormatting sqref="J9">
    <cfRule type="containsErrors" dxfId="241" priority="21" stopIfTrue="1">
      <formula>ISERROR(J9)</formula>
    </cfRule>
    <cfRule type="notContainsBlanks" dxfId="240" priority="22">
      <formula>LEN(TRIM(J9))&gt;0</formula>
    </cfRule>
  </conditionalFormatting>
  <conditionalFormatting sqref="L8">
    <cfRule type="containsErrors" dxfId="239" priority="19" stopIfTrue="1">
      <formula>ISERROR(L8)</formula>
    </cfRule>
    <cfRule type="notContainsBlanks" dxfId="238" priority="20">
      <formula>LEN(TRIM(L8))&gt;0</formula>
    </cfRule>
  </conditionalFormatting>
  <conditionalFormatting sqref="L9">
    <cfRule type="containsErrors" dxfId="237" priority="17" stopIfTrue="1">
      <formula>ISERROR(L9)</formula>
    </cfRule>
    <cfRule type="notContainsBlanks" dxfId="236" priority="18">
      <formula>LEN(TRIM(L9))&gt;0</formula>
    </cfRule>
  </conditionalFormatting>
  <conditionalFormatting sqref="N8">
    <cfRule type="containsErrors" dxfId="235" priority="15" stopIfTrue="1">
      <formula>ISERROR(N8)</formula>
    </cfRule>
    <cfRule type="notContainsBlanks" dxfId="234" priority="16">
      <formula>LEN(TRIM(N8))&gt;0</formula>
    </cfRule>
  </conditionalFormatting>
  <conditionalFormatting sqref="N9">
    <cfRule type="containsErrors" dxfId="233" priority="13" stopIfTrue="1">
      <formula>ISERROR(N9)</formula>
    </cfRule>
    <cfRule type="notContainsBlanks" dxfId="232" priority="14">
      <formula>LEN(TRIM(N9))&gt;0</formula>
    </cfRule>
  </conditionalFormatting>
  <conditionalFormatting sqref="P8">
    <cfRule type="containsErrors" dxfId="231" priority="11" stopIfTrue="1">
      <formula>ISERROR(P8)</formula>
    </cfRule>
    <cfRule type="notContainsBlanks" dxfId="230" priority="12">
      <formula>LEN(TRIM(P8))&gt;0</formula>
    </cfRule>
  </conditionalFormatting>
  <conditionalFormatting sqref="P9">
    <cfRule type="containsErrors" dxfId="229" priority="9" stopIfTrue="1">
      <formula>ISERROR(P9)</formula>
    </cfRule>
    <cfRule type="notContainsBlanks" dxfId="228" priority="10">
      <formula>LEN(TRIM(P9))&gt;0</formula>
    </cfRule>
  </conditionalFormatting>
  <conditionalFormatting sqref="R8">
    <cfRule type="containsErrors" dxfId="227" priority="7" stopIfTrue="1">
      <formula>ISERROR(R8)</formula>
    </cfRule>
    <cfRule type="notContainsBlanks" dxfId="226" priority="8">
      <formula>LEN(TRIM(R8))&gt;0</formula>
    </cfRule>
  </conditionalFormatting>
  <conditionalFormatting sqref="R9">
    <cfRule type="containsErrors" dxfId="225" priority="5" stopIfTrue="1">
      <formula>ISERROR(R9)</formula>
    </cfRule>
    <cfRule type="notContainsBlanks" dxfId="224" priority="6">
      <formula>LEN(TRIM(R9))&gt;0</formula>
    </cfRule>
  </conditionalFormatting>
  <conditionalFormatting sqref="T8">
    <cfRule type="containsErrors" dxfId="223" priority="3" stopIfTrue="1">
      <formula>ISERROR(T8)</formula>
    </cfRule>
    <cfRule type="notContainsBlanks" dxfId="222" priority="4">
      <formula>LEN(TRIM(T8))&gt;0</formula>
    </cfRule>
  </conditionalFormatting>
  <conditionalFormatting sqref="T9">
    <cfRule type="containsErrors" dxfId="221" priority="1" stopIfTrue="1">
      <formula>ISERROR(T9)</formula>
    </cfRule>
    <cfRule type="notContainsBlanks" dxfId="220" priority="2">
      <formula>LEN(TRIM(T9))&gt;0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I3" sqref="I3:I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c r="L11" s="16"/>
      <c r="M11" s="18"/>
      <c r="N11" s="16"/>
      <c r="O11" s="18"/>
      <c r="P11" s="16"/>
      <c r="Q11" s="18"/>
      <c r="R11" s="16"/>
      <c r="S11" s="18"/>
      <c r="T11" s="16"/>
    </row>
    <row r="12" spans="1:20" ht="15.95" customHeight="1" x14ac:dyDescent="0.25">
      <c r="A12" s="18" t="s">
        <v>475</v>
      </c>
      <c r="B12" s="16"/>
      <c r="C12" s="18" t="s">
        <v>1817</v>
      </c>
      <c r="D12" s="16"/>
      <c r="E12" s="18" t="s">
        <v>2536</v>
      </c>
      <c r="F12" s="16"/>
      <c r="G12" s="18" t="s">
        <v>1085</v>
      </c>
      <c r="H12" s="16"/>
      <c r="I12" s="18" t="s">
        <v>3256</v>
      </c>
      <c r="J12" s="16"/>
      <c r="K12" s="18"/>
      <c r="L12" s="16"/>
      <c r="M12" s="18"/>
      <c r="N12" s="16"/>
      <c r="O12" s="18"/>
      <c r="P12" s="16"/>
      <c r="Q12" s="18"/>
      <c r="R12" s="16"/>
      <c r="S12" s="18"/>
      <c r="T12" s="21"/>
    </row>
    <row r="13" spans="1:20" ht="15.95" customHeight="1" x14ac:dyDescent="0.25">
      <c r="A13" s="18" t="s">
        <v>489</v>
      </c>
      <c r="B13" s="16"/>
      <c r="C13" s="18" t="s">
        <v>1847</v>
      </c>
      <c r="D13" s="16"/>
      <c r="E13" s="18" t="s">
        <v>2565</v>
      </c>
      <c r="F13" s="16"/>
      <c r="G13" s="18" t="s">
        <v>489</v>
      </c>
      <c r="H13" s="16"/>
      <c r="I13" s="18" t="s">
        <v>3288</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320</v>
      </c>
      <c r="B15" s="16"/>
      <c r="C15" s="18" t="s">
        <v>1848</v>
      </c>
      <c r="D15" s="16"/>
      <c r="E15" s="18" t="s">
        <v>2566</v>
      </c>
      <c r="F15" s="16"/>
      <c r="G15" s="18" t="s">
        <v>1113</v>
      </c>
      <c r="H15" s="16"/>
      <c r="I15" s="18" t="s">
        <v>3289</v>
      </c>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1"/>
    </row>
    <row r="17" spans="1:20" ht="15.95" customHeight="1" x14ac:dyDescent="0.25">
      <c r="A17" s="18" t="s">
        <v>283</v>
      </c>
      <c r="B17" s="16"/>
      <c r="C17" s="18" t="s">
        <v>1759</v>
      </c>
      <c r="D17" s="16"/>
      <c r="E17" s="18" t="s">
        <v>2478</v>
      </c>
      <c r="F17" s="16"/>
      <c r="G17" s="18" t="s">
        <v>1027</v>
      </c>
      <c r="H17" s="16"/>
      <c r="I17" s="18" t="s">
        <v>3196</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490</v>
      </c>
      <c r="B19" s="16"/>
      <c r="C19" s="18" t="s">
        <v>1849</v>
      </c>
      <c r="D19" s="16"/>
      <c r="E19" s="18" t="s">
        <v>2567</v>
      </c>
      <c r="F19" s="16"/>
      <c r="G19" s="18" t="s">
        <v>1114</v>
      </c>
      <c r="H19" s="16"/>
      <c r="I19" s="18" t="s">
        <v>3290</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491</v>
      </c>
      <c r="B21" s="16"/>
      <c r="C21" s="18" t="s">
        <v>1850</v>
      </c>
      <c r="D21" s="16"/>
      <c r="E21" s="18" t="s">
        <v>2568</v>
      </c>
      <c r="F21" s="16"/>
      <c r="G21" s="18" t="s">
        <v>1115</v>
      </c>
      <c r="H21" s="16"/>
      <c r="I21" s="18" t="s">
        <v>3291</v>
      </c>
      <c r="J21" s="16"/>
      <c r="K21" s="18"/>
      <c r="L21" s="16"/>
      <c r="M21" s="18"/>
      <c r="N21" s="16"/>
      <c r="O21" s="18"/>
      <c r="P21" s="16"/>
      <c r="Q21" s="18"/>
      <c r="R21" s="16"/>
      <c r="S21" s="18"/>
      <c r="T21" s="21"/>
    </row>
    <row r="22" spans="1:20" ht="15.95" customHeight="1" x14ac:dyDescent="0.25">
      <c r="A22" s="18" t="s">
        <v>266</v>
      </c>
      <c r="B22" s="16"/>
      <c r="C22" s="18" t="s">
        <v>1851</v>
      </c>
      <c r="D22" s="16"/>
      <c r="E22" s="18" t="s">
        <v>2569</v>
      </c>
      <c r="F22" s="16"/>
      <c r="G22" s="18" t="s">
        <v>1116</v>
      </c>
      <c r="H22" s="16"/>
      <c r="I22" s="18" t="s">
        <v>3292</v>
      </c>
      <c r="J22" s="16"/>
      <c r="K22" s="18"/>
      <c r="L22" s="16"/>
      <c r="M22" s="18"/>
      <c r="N22" s="16"/>
      <c r="O22" s="18"/>
      <c r="P22" s="16"/>
      <c r="Q22" s="18"/>
      <c r="R22" s="16"/>
      <c r="S22" s="18"/>
      <c r="T22" s="21"/>
    </row>
    <row r="23" spans="1:20" ht="15.95" customHeight="1" x14ac:dyDescent="0.25">
      <c r="A23" s="18" t="s">
        <v>492</v>
      </c>
      <c r="B23" s="16"/>
      <c r="C23" s="18" t="s">
        <v>1852</v>
      </c>
      <c r="D23" s="16"/>
      <c r="E23" s="18" t="s">
        <v>2570</v>
      </c>
      <c r="F23" s="16"/>
      <c r="G23" s="18" t="s">
        <v>1117</v>
      </c>
      <c r="H23" s="16"/>
      <c r="I23" s="18" t="s">
        <v>3293</v>
      </c>
      <c r="J23" s="16"/>
      <c r="K23" s="18"/>
      <c r="L23" s="16"/>
      <c r="M23" s="18"/>
      <c r="N23" s="16"/>
      <c r="O23" s="18"/>
      <c r="P23" s="16"/>
      <c r="Q23" s="18"/>
      <c r="R23" s="16"/>
      <c r="S23" s="18"/>
      <c r="T23" s="21"/>
    </row>
    <row r="24" spans="1:20" ht="15.95" customHeight="1" x14ac:dyDescent="0.25">
      <c r="A24" s="18" t="s">
        <v>493</v>
      </c>
      <c r="B24" s="16"/>
      <c r="C24" s="18" t="s">
        <v>1853</v>
      </c>
      <c r="D24" s="16"/>
      <c r="E24" s="18" t="s">
        <v>2571</v>
      </c>
      <c r="F24" s="16"/>
      <c r="G24" s="18" t="s">
        <v>1118</v>
      </c>
      <c r="H24" s="16"/>
      <c r="I24" s="18" t="s">
        <v>3294</v>
      </c>
      <c r="J24" s="16"/>
      <c r="K24" s="18"/>
      <c r="L24" s="16"/>
      <c r="M24" s="18"/>
      <c r="N24" s="16"/>
      <c r="O24" s="18"/>
      <c r="P24" s="16"/>
      <c r="Q24" s="18"/>
      <c r="R24" s="16"/>
      <c r="S24" s="18"/>
      <c r="T24" s="21"/>
    </row>
    <row r="25" spans="1:20" ht="15.95" customHeight="1" x14ac:dyDescent="0.25">
      <c r="A25" s="18" t="s">
        <v>494</v>
      </c>
      <c r="B25" s="16"/>
      <c r="C25" s="18" t="s">
        <v>1854</v>
      </c>
      <c r="D25" s="16"/>
      <c r="E25" s="18" t="s">
        <v>2572</v>
      </c>
      <c r="F25" s="16"/>
      <c r="G25" s="18" t="s">
        <v>1119</v>
      </c>
      <c r="H25" s="16"/>
      <c r="I25" s="18" t="s">
        <v>3295</v>
      </c>
      <c r="J25" s="16"/>
      <c r="K25" s="18"/>
      <c r="L25" s="16"/>
      <c r="M25" s="18"/>
      <c r="N25" s="16"/>
      <c r="O25" s="18"/>
      <c r="P25" s="16"/>
      <c r="Q25" s="18"/>
      <c r="R25" s="16"/>
      <c r="S25" s="18"/>
      <c r="T25" s="21"/>
    </row>
    <row r="26" spans="1:20" ht="15.95" customHeight="1" x14ac:dyDescent="0.25">
      <c r="A26" s="18" t="s">
        <v>495</v>
      </c>
      <c r="B26" s="16"/>
      <c r="C26" s="18" t="s">
        <v>1855</v>
      </c>
      <c r="D26" s="16"/>
      <c r="E26" s="18" t="s">
        <v>2573</v>
      </c>
      <c r="F26" s="16"/>
      <c r="G26" s="18" t="s">
        <v>1120</v>
      </c>
      <c r="H26" s="16"/>
      <c r="I26" s="18" t="s">
        <v>3296</v>
      </c>
      <c r="J26" s="16"/>
      <c r="K26" s="18"/>
      <c r="L26" s="16"/>
      <c r="M26" s="18"/>
      <c r="N26" s="16"/>
      <c r="O26" s="18"/>
      <c r="P26" s="16"/>
      <c r="Q26" s="18"/>
      <c r="R26" s="16"/>
      <c r="S26" s="18"/>
      <c r="T26" s="21"/>
    </row>
    <row r="27" spans="1:20" ht="15.95" customHeight="1" x14ac:dyDescent="0.25">
      <c r="A27" s="18" t="s">
        <v>4</v>
      </c>
      <c r="B27" s="16"/>
      <c r="C27" s="18" t="s">
        <v>4</v>
      </c>
      <c r="D27" s="16"/>
      <c r="E27" s="18" t="s">
        <v>4</v>
      </c>
      <c r="F27" s="16"/>
      <c r="G27" s="18" t="s">
        <v>4</v>
      </c>
      <c r="H27" s="16"/>
      <c r="I27" s="18" t="s">
        <v>4</v>
      </c>
      <c r="J27" s="16"/>
      <c r="K27" s="18"/>
      <c r="L27" s="16"/>
      <c r="M27" s="18"/>
      <c r="N27" s="16"/>
      <c r="O27" s="18"/>
      <c r="P27" s="16"/>
      <c r="Q27" s="18"/>
      <c r="R27" s="16"/>
      <c r="S27" s="18"/>
      <c r="T27" s="21"/>
    </row>
    <row r="28" spans="1:20" ht="15.95" customHeight="1" x14ac:dyDescent="0.25">
      <c r="A28" s="18" t="s">
        <v>496</v>
      </c>
      <c r="B28" s="16"/>
      <c r="C28" s="18" t="s">
        <v>1856</v>
      </c>
      <c r="D28" s="16"/>
      <c r="E28" s="18" t="s">
        <v>2574</v>
      </c>
      <c r="F28" s="16"/>
      <c r="G28" s="18" t="s">
        <v>1121</v>
      </c>
      <c r="H28" s="16"/>
      <c r="I28" s="18" t="s">
        <v>3297</v>
      </c>
      <c r="J28" s="16"/>
      <c r="K28" s="18"/>
      <c r="L28" s="16"/>
      <c r="M28" s="18"/>
      <c r="N28" s="16"/>
      <c r="O28" s="18"/>
      <c r="P28" s="16"/>
      <c r="Q28" s="18"/>
      <c r="R28" s="16"/>
      <c r="S28" s="18"/>
      <c r="T28" s="21"/>
    </row>
    <row r="29" spans="1:20" ht="15.95" customHeight="1" x14ac:dyDescent="0.25">
      <c r="A29" s="18" t="s">
        <v>497</v>
      </c>
      <c r="B29" s="16"/>
      <c r="C29" s="18" t="s">
        <v>1857</v>
      </c>
      <c r="D29" s="16"/>
      <c r="E29" s="18" t="s">
        <v>2575</v>
      </c>
      <c r="F29" s="16"/>
      <c r="G29" s="18" t="s">
        <v>1122</v>
      </c>
      <c r="H29" s="16"/>
      <c r="I29" s="18" t="s">
        <v>3298</v>
      </c>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19" priority="22" stopIfTrue="1">
      <formula>NOT(ISERROR(A3))</formula>
    </cfRule>
  </conditionalFormatting>
  <conditionalFormatting sqref="A3:T7 A9:T51 A8 C8 E8 G8 I8 K8 M8 O8 Q8 S8">
    <cfRule type="containsErrors" dxfId="218" priority="21" stopIfTrue="1">
      <formula>ISERROR(A3)</formula>
    </cfRule>
    <cfRule type="notContainsBlanks" dxfId="217" priority="23">
      <formula>LEN(TRIM(A3))&gt;0</formula>
    </cfRule>
  </conditionalFormatting>
  <conditionalFormatting sqref="B8">
    <cfRule type="containsErrors" dxfId="216" priority="19" stopIfTrue="1">
      <formula>ISERROR(B8)</formula>
    </cfRule>
    <cfRule type="notContainsBlanks" dxfId="215" priority="20">
      <formula>LEN(TRIM(B8))&gt;0</formula>
    </cfRule>
  </conditionalFormatting>
  <conditionalFormatting sqref="D8">
    <cfRule type="containsErrors" dxfId="214" priority="17" stopIfTrue="1">
      <formula>ISERROR(D8)</formula>
    </cfRule>
    <cfRule type="notContainsBlanks" dxfId="213" priority="18">
      <formula>LEN(TRIM(D8))&gt;0</formula>
    </cfRule>
  </conditionalFormatting>
  <conditionalFormatting sqref="F8">
    <cfRule type="containsErrors" dxfId="212" priority="15" stopIfTrue="1">
      <formula>ISERROR(F8)</formula>
    </cfRule>
    <cfRule type="notContainsBlanks" dxfId="211" priority="16">
      <formula>LEN(TRIM(F8))&gt;0</formula>
    </cfRule>
  </conditionalFormatting>
  <conditionalFormatting sqref="H8">
    <cfRule type="containsErrors" dxfId="210" priority="13" stopIfTrue="1">
      <formula>ISERROR(H8)</formula>
    </cfRule>
    <cfRule type="notContainsBlanks" dxfId="209" priority="14">
      <formula>LEN(TRIM(H8))&gt;0</formula>
    </cfRule>
  </conditionalFormatting>
  <conditionalFormatting sqref="J8">
    <cfRule type="containsErrors" dxfId="208" priority="11" stopIfTrue="1">
      <formula>ISERROR(J8)</formula>
    </cfRule>
    <cfRule type="notContainsBlanks" dxfId="207" priority="12">
      <formula>LEN(TRIM(J8))&gt;0</formula>
    </cfRule>
  </conditionalFormatting>
  <conditionalFormatting sqref="L8">
    <cfRule type="containsErrors" dxfId="206" priority="9" stopIfTrue="1">
      <formula>ISERROR(L8)</formula>
    </cfRule>
    <cfRule type="notContainsBlanks" dxfId="205" priority="10">
      <formula>LEN(TRIM(L8))&gt;0</formula>
    </cfRule>
  </conditionalFormatting>
  <conditionalFormatting sqref="N8">
    <cfRule type="containsErrors" dxfId="204" priority="7" stopIfTrue="1">
      <formula>ISERROR(N8)</formula>
    </cfRule>
    <cfRule type="notContainsBlanks" dxfId="203" priority="8">
      <formula>LEN(TRIM(N8))&gt;0</formula>
    </cfRule>
  </conditionalFormatting>
  <conditionalFormatting sqref="P8">
    <cfRule type="containsErrors" dxfId="202" priority="5" stopIfTrue="1">
      <formula>ISERROR(P8)</formula>
    </cfRule>
    <cfRule type="notContainsBlanks" dxfId="201" priority="6">
      <formula>LEN(TRIM(P8))&gt;0</formula>
    </cfRule>
  </conditionalFormatting>
  <conditionalFormatting sqref="R8">
    <cfRule type="containsErrors" dxfId="200" priority="3" stopIfTrue="1">
      <formula>ISERROR(R8)</formula>
    </cfRule>
    <cfRule type="notContainsBlanks" dxfId="199" priority="4">
      <formula>LEN(TRIM(R8))&gt;0</formula>
    </cfRule>
  </conditionalFormatting>
  <conditionalFormatting sqref="T8">
    <cfRule type="containsErrors" dxfId="198" priority="1" stopIfTrue="1">
      <formula>ISERROR(T8)</formula>
    </cfRule>
    <cfRule type="notContainsBlanks" dxfId="197"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I3" sqref="I3:I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152</v>
      </c>
      <c r="B8" s="16"/>
      <c r="C8" s="18" t="s">
        <v>1861</v>
      </c>
      <c r="D8" s="16"/>
      <c r="E8" s="18" t="s">
        <v>2579</v>
      </c>
      <c r="F8" s="16"/>
      <c r="G8" s="18" t="s">
        <v>1126</v>
      </c>
      <c r="H8" s="16"/>
      <c r="I8" s="18" t="s">
        <v>3302</v>
      </c>
      <c r="J8" s="16"/>
      <c r="K8" s="18"/>
      <c r="L8" s="16"/>
      <c r="M8" s="18"/>
      <c r="N8" s="16"/>
      <c r="O8" s="18"/>
      <c r="P8" s="16"/>
      <c r="Q8" s="18"/>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c r="L10" s="16" t="e">
        <f>TRIM(_xlfn.TEXTBEFORE(K10,":"))</f>
        <v>#N/A</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c r="L11" s="16" t="e">
        <f>TRIM(_xlfn.TEXTBEFORE(K11,":"))</f>
        <v>#N/A</v>
      </c>
      <c r="M11" s="18"/>
      <c r="N11" s="16" t="e">
        <f>TRIM(_xlfn.TEXTBEFORE(M11,":"))</f>
        <v>#N/A</v>
      </c>
      <c r="O11" s="18"/>
      <c r="P11" s="16" t="e">
        <f>TRIM(_xlfn.TEXTBEFORE(O11,":"))</f>
        <v>#N/A</v>
      </c>
      <c r="Q11" s="18"/>
      <c r="R11" s="16" t="e">
        <f>TRIM(_xlfn.TEXTBEFORE(Q11,":"))</f>
        <v>#N/A</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c r="L12" s="16" t="e">
        <f>TRIM(_xlfn.TEXTBEFORE(K12,":"))</f>
        <v>#N/A</v>
      </c>
      <c r="M12" s="18"/>
      <c r="N12" s="16" t="e">
        <f>TRIM(_xlfn.TEXTBEFORE(M12,":"))</f>
        <v>#N/A</v>
      </c>
      <c r="O12" s="18"/>
      <c r="P12" s="16" t="e">
        <f>TRIM(_xlfn.TEXTBEFORE(O12,":"))</f>
        <v>#N/A</v>
      </c>
      <c r="Q12" s="18"/>
      <c r="R12" s="16" t="e">
        <f>TRIM(_xlfn.TEXTBEFORE(Q12,":"))</f>
        <v>#N/A</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c r="L13" s="16"/>
      <c r="M13" s="18"/>
      <c r="N13" s="16"/>
      <c r="O13" s="18"/>
      <c r="P13" s="16"/>
      <c r="Q13" s="18"/>
      <c r="R13" s="16"/>
      <c r="S13" s="18"/>
      <c r="T13" s="16"/>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c r="L15" s="16" t="e">
        <f>TRIM(_xlfn.TEXTBEFORE(K15,":"))</f>
        <v>#N/A</v>
      </c>
      <c r="M15" s="18"/>
      <c r="N15" s="16" t="e">
        <f>TRIM(_xlfn.TEXTBEFORE(M15,":"))</f>
        <v>#N/A</v>
      </c>
      <c r="O15" s="18"/>
      <c r="P15" s="16" t="e">
        <f>TRIM(_xlfn.TEXTBEFORE(O15,":"))</f>
        <v>#N/A</v>
      </c>
      <c r="Q15" s="18"/>
      <c r="R15" s="16" t="e">
        <f>TRIM(_xlfn.TEXTBEFORE(Q15,":"))</f>
        <v>#N/A</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c r="L16" s="16"/>
      <c r="M16" s="18"/>
      <c r="N16" s="16"/>
      <c r="O16" s="18"/>
      <c r="P16" s="16"/>
      <c r="Q16" s="18"/>
      <c r="R16" s="16"/>
      <c r="S16" s="18"/>
      <c r="T16" s="16"/>
    </row>
    <row r="17" spans="1:20" ht="15.95" customHeight="1" x14ac:dyDescent="0.25">
      <c r="A17" s="18" t="s">
        <v>158</v>
      </c>
      <c r="B17" s="16"/>
      <c r="C17" s="18" t="s">
        <v>1868</v>
      </c>
      <c r="D17" s="16"/>
      <c r="E17" s="18" t="s">
        <v>2586</v>
      </c>
      <c r="F17" s="16"/>
      <c r="G17" s="18" t="s">
        <v>158</v>
      </c>
      <c r="H17" s="16"/>
      <c r="I17" s="18" t="s">
        <v>3309</v>
      </c>
      <c r="J17" s="16"/>
      <c r="K17" s="18"/>
      <c r="L17" s="16"/>
      <c r="M17" s="18"/>
      <c r="N17" s="16"/>
      <c r="O17" s="18"/>
      <c r="P17" s="16"/>
      <c r="Q17" s="18"/>
      <c r="R17" s="16"/>
      <c r="S17" s="18"/>
      <c r="T17" s="16"/>
    </row>
    <row r="18" spans="1:20" ht="15.95" customHeight="1" x14ac:dyDescent="0.25">
      <c r="A18" s="18" t="s">
        <v>159</v>
      </c>
      <c r="B18" s="16"/>
      <c r="C18" s="18" t="s">
        <v>159</v>
      </c>
      <c r="D18" s="16"/>
      <c r="E18" s="18" t="s">
        <v>159</v>
      </c>
      <c r="F18" s="16"/>
      <c r="G18" s="18" t="s">
        <v>159</v>
      </c>
      <c r="H18" s="16"/>
      <c r="I18" s="18" t="s">
        <v>3310</v>
      </c>
      <c r="J18" s="16"/>
      <c r="K18" s="18"/>
      <c r="L18" s="16"/>
      <c r="M18" s="18"/>
      <c r="N18" s="16"/>
      <c r="O18" s="18"/>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c r="L20" s="16" t="e">
        <f>TRIM(_xlfn.TEXTBEFORE(K20,":"))</f>
        <v>#N/A</v>
      </c>
      <c r="M20" s="18"/>
      <c r="N20" s="16" t="e">
        <f>TRIM(_xlfn.TEXTBEFORE(M20,":"))</f>
        <v>#N/A</v>
      </c>
      <c r="O20" s="18"/>
      <c r="P20" s="16" t="e">
        <f>TRIM(_xlfn.TEXTBEFORE(O20,":"))</f>
        <v>#N/A</v>
      </c>
      <c r="Q20" s="18"/>
      <c r="R20" s="16" t="e">
        <f>TRIM(_xlfn.TEXTBEFORE(Q20,":"))</f>
        <v>#N/A</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c r="L22" s="16" t="e">
        <f>TRIM(_xlfn.TEXTBEFORE(K22,":"))</f>
        <v>#N/A</v>
      </c>
      <c r="M22" s="18"/>
      <c r="N22" s="16" t="e">
        <f>TRIM(_xlfn.TEXTBEFORE(M22,":"))</f>
        <v>#N/A</v>
      </c>
      <c r="O22" s="18"/>
      <c r="P22" s="16" t="e">
        <f>TRIM(_xlfn.TEXTBEFORE(O22,":"))</f>
        <v>#N/A</v>
      </c>
      <c r="Q22" s="18"/>
      <c r="R22" s="16" t="e">
        <f>TRIM(_xlfn.TEXTBEFORE(Q22,":"))</f>
        <v>#N/A</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16"/>
    </row>
    <row r="24" spans="1:20" ht="15.95" customHeight="1" x14ac:dyDescent="0.25">
      <c r="A24" s="18" t="s">
        <v>161</v>
      </c>
      <c r="B24" s="16"/>
      <c r="C24" s="18" t="s">
        <v>1870</v>
      </c>
      <c r="D24" s="16"/>
      <c r="E24" s="18" t="s">
        <v>2588</v>
      </c>
      <c r="F24" s="16"/>
      <c r="G24" s="18" t="s">
        <v>1133</v>
      </c>
      <c r="H24" s="16"/>
      <c r="I24" s="18" t="s">
        <v>3312</v>
      </c>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c r="L25" s="16"/>
      <c r="M25" s="18"/>
      <c r="N25" s="16"/>
      <c r="O25" s="18"/>
      <c r="P25" s="16"/>
      <c r="Q25" s="18"/>
      <c r="R25" s="16"/>
      <c r="S25" s="18"/>
      <c r="T25" s="21"/>
    </row>
    <row r="26" spans="1:20" ht="15.95" customHeight="1" x14ac:dyDescent="0.25">
      <c r="A26" s="18" t="s">
        <v>162</v>
      </c>
      <c r="B26" s="16"/>
      <c r="C26" s="18" t="s">
        <v>1871</v>
      </c>
      <c r="D26" s="16"/>
      <c r="E26" s="18" t="s">
        <v>2589</v>
      </c>
      <c r="F26" s="16"/>
      <c r="G26" s="18" t="s">
        <v>1134</v>
      </c>
      <c r="H26" s="16"/>
      <c r="I26" s="18" t="s">
        <v>3313</v>
      </c>
      <c r="J26" s="16"/>
      <c r="K26" s="18"/>
      <c r="L26" s="16"/>
      <c r="M26" s="18"/>
      <c r="N26" s="16"/>
      <c r="O26" s="18"/>
      <c r="P26" s="16"/>
      <c r="Q26" s="18"/>
      <c r="R26" s="16"/>
      <c r="S26" s="18"/>
      <c r="T26" s="21"/>
    </row>
    <row r="27" spans="1:20" ht="15.95" customHeight="1" x14ac:dyDescent="0.25">
      <c r="A27" s="18" t="s">
        <v>163</v>
      </c>
      <c r="B27" s="16"/>
      <c r="C27" s="18" t="s">
        <v>1872</v>
      </c>
      <c r="D27" s="16"/>
      <c r="E27" s="18" t="s">
        <v>2590</v>
      </c>
      <c r="F27" s="16"/>
      <c r="G27" s="18" t="s">
        <v>1135</v>
      </c>
      <c r="H27" s="16"/>
      <c r="I27" s="18" t="s">
        <v>3314</v>
      </c>
      <c r="J27" s="16"/>
      <c r="K27" s="18"/>
      <c r="L27" s="16"/>
      <c r="M27" s="18"/>
      <c r="N27" s="16"/>
      <c r="O27" s="18"/>
      <c r="P27" s="16"/>
      <c r="Q27" s="18"/>
      <c r="R27" s="16"/>
      <c r="S27" s="18"/>
      <c r="T27" s="21"/>
    </row>
    <row r="28" spans="1:20" ht="15.95" customHeight="1" x14ac:dyDescent="0.25">
      <c r="A28" s="18" t="s">
        <v>164</v>
      </c>
      <c r="B28" s="16"/>
      <c r="C28" s="18" t="s">
        <v>1873</v>
      </c>
      <c r="D28" s="16"/>
      <c r="E28" s="18" t="s">
        <v>2591</v>
      </c>
      <c r="F28" s="16"/>
      <c r="G28" s="18" t="s">
        <v>1136</v>
      </c>
      <c r="H28" s="16"/>
      <c r="I28" s="18" t="s">
        <v>3315</v>
      </c>
      <c r="J28" s="16"/>
      <c r="K28" s="18"/>
      <c r="L28" s="16"/>
      <c r="M28" s="18"/>
      <c r="N28" s="16"/>
      <c r="O28" s="18"/>
      <c r="P28" s="16"/>
      <c r="Q28" s="18"/>
      <c r="R28" s="16"/>
      <c r="S28" s="18"/>
      <c r="T28" s="21"/>
    </row>
    <row r="29" spans="1:20" ht="15.95" customHeight="1" x14ac:dyDescent="0.25">
      <c r="A29" s="18" t="s">
        <v>165</v>
      </c>
      <c r="B29" s="16"/>
      <c r="C29" s="18" t="s">
        <v>1874</v>
      </c>
      <c r="D29" s="16"/>
      <c r="E29" s="18" t="s">
        <v>2592</v>
      </c>
      <c r="F29" s="16"/>
      <c r="G29" s="18" t="s">
        <v>1137</v>
      </c>
      <c r="H29" s="16"/>
      <c r="I29" s="18" t="s">
        <v>3316</v>
      </c>
      <c r="J29" s="16"/>
      <c r="K29" s="18"/>
      <c r="L29" s="16"/>
      <c r="M29" s="18"/>
      <c r="N29" s="16"/>
      <c r="O29" s="18"/>
      <c r="P29" s="16"/>
      <c r="Q29" s="18"/>
      <c r="R29" s="16"/>
      <c r="S29" s="18"/>
      <c r="T29" s="21"/>
    </row>
    <row r="30" spans="1:20" ht="15.95" customHeight="1" x14ac:dyDescent="0.25">
      <c r="A30" s="18" t="s">
        <v>166</v>
      </c>
      <c r="B30" s="16"/>
      <c r="C30" s="18" t="s">
        <v>1875</v>
      </c>
      <c r="D30" s="16"/>
      <c r="E30" s="18" t="s">
        <v>2593</v>
      </c>
      <c r="F30" s="16"/>
      <c r="G30" s="18" t="s">
        <v>1138</v>
      </c>
      <c r="H30" s="16"/>
      <c r="I30" s="18" t="s">
        <v>3317</v>
      </c>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c r="L31" s="16"/>
      <c r="M31" s="18"/>
      <c r="N31" s="16"/>
      <c r="O31" s="18"/>
      <c r="P31" s="16"/>
      <c r="Q31" s="18"/>
      <c r="R31" s="16"/>
      <c r="S31" s="18"/>
      <c r="T31" s="21"/>
    </row>
    <row r="32" spans="1:20" ht="15.95" customHeight="1" x14ac:dyDescent="0.25">
      <c r="A32" s="18" t="s">
        <v>167</v>
      </c>
      <c r="B32" s="16"/>
      <c r="C32" s="18" t="s">
        <v>1876</v>
      </c>
      <c r="D32" s="16"/>
      <c r="E32" s="18" t="s">
        <v>2594</v>
      </c>
      <c r="F32" s="16"/>
      <c r="G32" s="18" t="s">
        <v>1139</v>
      </c>
      <c r="H32" s="16"/>
      <c r="I32" s="18" t="s">
        <v>3318</v>
      </c>
      <c r="J32" s="16"/>
      <c r="K32" s="18"/>
      <c r="L32" s="16"/>
      <c r="M32" s="18"/>
      <c r="N32" s="16"/>
      <c r="O32" s="18"/>
      <c r="P32" s="16"/>
      <c r="Q32" s="18"/>
      <c r="R32" s="16"/>
      <c r="S32" s="18"/>
      <c r="T32" s="21"/>
    </row>
    <row r="33" spans="1:20" ht="15.95" customHeight="1" x14ac:dyDescent="0.25">
      <c r="A33" s="22" t="s">
        <v>168</v>
      </c>
      <c r="B33" s="16"/>
      <c r="C33" s="18" t="s">
        <v>1877</v>
      </c>
      <c r="D33" s="16"/>
      <c r="E33" s="18" t="s">
        <v>2595</v>
      </c>
      <c r="F33" s="16"/>
      <c r="G33" s="18" t="s">
        <v>1140</v>
      </c>
      <c r="H33" s="16"/>
      <c r="I33" s="18" t="s">
        <v>3319</v>
      </c>
      <c r="J33" s="16"/>
      <c r="K33" s="18"/>
      <c r="L33" s="16"/>
      <c r="M33" s="18"/>
      <c r="N33" s="16"/>
      <c r="O33" s="18"/>
      <c r="P33" s="16"/>
      <c r="Q33" s="18"/>
      <c r="R33" s="16"/>
      <c r="S33" s="18"/>
      <c r="T33" s="21"/>
    </row>
    <row r="34" spans="1:20" ht="15.95" customHeight="1" x14ac:dyDescent="0.25">
      <c r="A34" s="18" t="s">
        <v>169</v>
      </c>
      <c r="B34" s="16"/>
      <c r="C34" s="18" t="s">
        <v>1878</v>
      </c>
      <c r="D34" s="16"/>
      <c r="E34" s="18" t="s">
        <v>2596</v>
      </c>
      <c r="F34" s="16"/>
      <c r="G34" s="18" t="s">
        <v>1141</v>
      </c>
      <c r="H34" s="16"/>
      <c r="I34" s="18" t="s">
        <v>3320</v>
      </c>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96" priority="62" stopIfTrue="1">
      <formula>NOT(ISERROR(A3))</formula>
    </cfRule>
  </conditionalFormatting>
  <conditionalFormatting sqref="A3:T12 A24:T51 A22 C22 A15 C15 A20 C20 E13:E23 A13:D14 A23:D23 A16:D19 A21:D21 G13:G23 F13:F14 F23 F16:F19 F21 I13:I23 H13:H14 H23 H16:H19 H21 K13:K23 J13:J14 J23 J16:J19 J21 M13:M23 L13:L14 L23 L16:L19 L21 O13:O23 N13:N14 N23 N16:N19 N21 Q13:Q23 P13:P14 P23 P16:P19 P21 S13:S23 R13:R14 R23 R16:R19 R21 T13:T14 T23 T16:T19 T21">
    <cfRule type="containsErrors" dxfId="195" priority="61" stopIfTrue="1">
      <formula>ISERROR(A3)</formula>
    </cfRule>
    <cfRule type="notContainsBlanks" dxfId="194" priority="63">
      <formula>LEN(TRIM(A3))&gt;0</formula>
    </cfRule>
  </conditionalFormatting>
  <conditionalFormatting sqref="B22">
    <cfRule type="containsErrors" dxfId="193" priority="59" stopIfTrue="1">
      <formula>ISERROR(B22)</formula>
    </cfRule>
    <cfRule type="notContainsBlanks" dxfId="192" priority="60">
      <formula>LEN(TRIM(B22))&gt;0</formula>
    </cfRule>
  </conditionalFormatting>
  <conditionalFormatting sqref="B15">
    <cfRule type="containsErrors" dxfId="191" priority="57" stopIfTrue="1">
      <formula>ISERROR(B15)</formula>
    </cfRule>
    <cfRule type="notContainsBlanks" dxfId="190" priority="58">
      <formula>LEN(TRIM(B15))&gt;0</formula>
    </cfRule>
  </conditionalFormatting>
  <conditionalFormatting sqref="B20">
    <cfRule type="containsErrors" dxfId="189" priority="55" stopIfTrue="1">
      <formula>ISERROR(B20)</formula>
    </cfRule>
    <cfRule type="notContainsBlanks" dxfId="188" priority="56">
      <formula>LEN(TRIM(B20))&gt;0</formula>
    </cfRule>
  </conditionalFormatting>
  <conditionalFormatting sqref="D22">
    <cfRule type="containsErrors" dxfId="187" priority="53" stopIfTrue="1">
      <formula>ISERROR(D22)</formula>
    </cfRule>
    <cfRule type="notContainsBlanks" dxfId="186" priority="54">
      <formula>LEN(TRIM(D22))&gt;0</formula>
    </cfRule>
  </conditionalFormatting>
  <conditionalFormatting sqref="D15">
    <cfRule type="containsErrors" dxfId="185" priority="51" stopIfTrue="1">
      <formula>ISERROR(D15)</formula>
    </cfRule>
    <cfRule type="notContainsBlanks" dxfId="184" priority="52">
      <formula>LEN(TRIM(D15))&gt;0</formula>
    </cfRule>
  </conditionalFormatting>
  <conditionalFormatting sqref="D20">
    <cfRule type="containsErrors" dxfId="183" priority="49" stopIfTrue="1">
      <formula>ISERROR(D20)</formula>
    </cfRule>
    <cfRule type="notContainsBlanks" dxfId="182" priority="50">
      <formula>LEN(TRIM(D20))&gt;0</formula>
    </cfRule>
  </conditionalFormatting>
  <conditionalFormatting sqref="F22">
    <cfRule type="containsErrors" dxfId="181" priority="47" stopIfTrue="1">
      <formula>ISERROR(F22)</formula>
    </cfRule>
    <cfRule type="notContainsBlanks" dxfId="180" priority="48">
      <formula>LEN(TRIM(F22))&gt;0</formula>
    </cfRule>
  </conditionalFormatting>
  <conditionalFormatting sqref="F15">
    <cfRule type="containsErrors" dxfId="179" priority="45" stopIfTrue="1">
      <formula>ISERROR(F15)</formula>
    </cfRule>
    <cfRule type="notContainsBlanks" dxfId="178" priority="46">
      <formula>LEN(TRIM(F15))&gt;0</formula>
    </cfRule>
  </conditionalFormatting>
  <conditionalFormatting sqref="F20">
    <cfRule type="containsErrors" dxfId="177" priority="43" stopIfTrue="1">
      <formula>ISERROR(F20)</formula>
    </cfRule>
    <cfRule type="notContainsBlanks" dxfId="176" priority="44">
      <formula>LEN(TRIM(F20))&gt;0</formula>
    </cfRule>
  </conditionalFormatting>
  <conditionalFormatting sqref="H22">
    <cfRule type="containsErrors" dxfId="175" priority="41" stopIfTrue="1">
      <formula>ISERROR(H22)</formula>
    </cfRule>
    <cfRule type="notContainsBlanks" dxfId="174" priority="42">
      <formula>LEN(TRIM(H22))&gt;0</formula>
    </cfRule>
  </conditionalFormatting>
  <conditionalFormatting sqref="H15">
    <cfRule type="containsErrors" dxfId="173" priority="39" stopIfTrue="1">
      <formula>ISERROR(H15)</formula>
    </cfRule>
    <cfRule type="notContainsBlanks" dxfId="172" priority="40">
      <formula>LEN(TRIM(H15))&gt;0</formula>
    </cfRule>
  </conditionalFormatting>
  <conditionalFormatting sqref="H20">
    <cfRule type="containsErrors" dxfId="171" priority="37" stopIfTrue="1">
      <formula>ISERROR(H20)</formula>
    </cfRule>
    <cfRule type="notContainsBlanks" dxfId="170" priority="38">
      <formula>LEN(TRIM(H20))&gt;0</formula>
    </cfRule>
  </conditionalFormatting>
  <conditionalFormatting sqref="J22">
    <cfRule type="containsErrors" dxfId="169" priority="35" stopIfTrue="1">
      <formula>ISERROR(J22)</formula>
    </cfRule>
    <cfRule type="notContainsBlanks" dxfId="168" priority="36">
      <formula>LEN(TRIM(J22))&gt;0</formula>
    </cfRule>
  </conditionalFormatting>
  <conditionalFormatting sqref="J15">
    <cfRule type="containsErrors" dxfId="167" priority="33" stopIfTrue="1">
      <formula>ISERROR(J15)</formula>
    </cfRule>
    <cfRule type="notContainsBlanks" dxfId="166" priority="34">
      <formula>LEN(TRIM(J15))&gt;0</formula>
    </cfRule>
  </conditionalFormatting>
  <conditionalFormatting sqref="J20">
    <cfRule type="containsErrors" dxfId="165" priority="31" stopIfTrue="1">
      <formula>ISERROR(J20)</formula>
    </cfRule>
    <cfRule type="notContainsBlanks" dxfId="164" priority="32">
      <formula>LEN(TRIM(J20))&gt;0</formula>
    </cfRule>
  </conditionalFormatting>
  <conditionalFormatting sqref="L22">
    <cfRule type="containsErrors" dxfId="163" priority="29" stopIfTrue="1">
      <formula>ISERROR(L22)</formula>
    </cfRule>
    <cfRule type="notContainsBlanks" dxfId="162" priority="30">
      <formula>LEN(TRIM(L22))&gt;0</formula>
    </cfRule>
  </conditionalFormatting>
  <conditionalFormatting sqref="L15">
    <cfRule type="containsErrors" dxfId="161" priority="27" stopIfTrue="1">
      <formula>ISERROR(L15)</formula>
    </cfRule>
    <cfRule type="notContainsBlanks" dxfId="160" priority="28">
      <formula>LEN(TRIM(L15))&gt;0</formula>
    </cfRule>
  </conditionalFormatting>
  <conditionalFormatting sqref="L20">
    <cfRule type="containsErrors" dxfId="159" priority="25" stopIfTrue="1">
      <formula>ISERROR(L20)</formula>
    </cfRule>
    <cfRule type="notContainsBlanks" dxfId="158" priority="26">
      <formula>LEN(TRIM(L20))&gt;0</formula>
    </cfRule>
  </conditionalFormatting>
  <conditionalFormatting sqref="N22">
    <cfRule type="containsErrors" dxfId="157" priority="23" stopIfTrue="1">
      <formula>ISERROR(N22)</formula>
    </cfRule>
    <cfRule type="notContainsBlanks" dxfId="156" priority="24">
      <formula>LEN(TRIM(N22))&gt;0</formula>
    </cfRule>
  </conditionalFormatting>
  <conditionalFormatting sqref="N15">
    <cfRule type="containsErrors" dxfId="155" priority="21" stopIfTrue="1">
      <formula>ISERROR(N15)</formula>
    </cfRule>
    <cfRule type="notContainsBlanks" dxfId="154" priority="22">
      <formula>LEN(TRIM(N15))&gt;0</formula>
    </cfRule>
  </conditionalFormatting>
  <conditionalFormatting sqref="N20">
    <cfRule type="containsErrors" dxfId="153" priority="19" stopIfTrue="1">
      <formula>ISERROR(N20)</formula>
    </cfRule>
    <cfRule type="notContainsBlanks" dxfId="152" priority="20">
      <formula>LEN(TRIM(N20))&gt;0</formula>
    </cfRule>
  </conditionalFormatting>
  <conditionalFormatting sqref="P22">
    <cfRule type="containsErrors" dxfId="151" priority="17" stopIfTrue="1">
      <formula>ISERROR(P22)</formula>
    </cfRule>
    <cfRule type="notContainsBlanks" dxfId="150" priority="18">
      <formula>LEN(TRIM(P22))&gt;0</formula>
    </cfRule>
  </conditionalFormatting>
  <conditionalFormatting sqref="P15">
    <cfRule type="containsErrors" dxfId="149" priority="15" stopIfTrue="1">
      <formula>ISERROR(P15)</formula>
    </cfRule>
    <cfRule type="notContainsBlanks" dxfId="148" priority="16">
      <formula>LEN(TRIM(P15))&gt;0</formula>
    </cfRule>
  </conditionalFormatting>
  <conditionalFormatting sqref="P20">
    <cfRule type="containsErrors" dxfId="147" priority="13" stopIfTrue="1">
      <formula>ISERROR(P20)</formula>
    </cfRule>
    <cfRule type="notContainsBlanks" dxfId="146" priority="14">
      <formula>LEN(TRIM(P20))&gt;0</formula>
    </cfRule>
  </conditionalFormatting>
  <conditionalFormatting sqref="R22">
    <cfRule type="containsErrors" dxfId="145" priority="11" stopIfTrue="1">
      <formula>ISERROR(R22)</formula>
    </cfRule>
    <cfRule type="notContainsBlanks" dxfId="144" priority="12">
      <formula>LEN(TRIM(R22))&gt;0</formula>
    </cfRule>
  </conditionalFormatting>
  <conditionalFormatting sqref="R15">
    <cfRule type="containsErrors" dxfId="143" priority="9" stopIfTrue="1">
      <formula>ISERROR(R15)</formula>
    </cfRule>
    <cfRule type="notContainsBlanks" dxfId="142" priority="10">
      <formula>LEN(TRIM(R15))&gt;0</formula>
    </cfRule>
  </conditionalFormatting>
  <conditionalFormatting sqref="R20">
    <cfRule type="containsErrors" dxfId="141" priority="7" stopIfTrue="1">
      <formula>ISERROR(R20)</formula>
    </cfRule>
    <cfRule type="notContainsBlanks" dxfId="140" priority="8">
      <formula>LEN(TRIM(R20))&gt;0</formula>
    </cfRule>
  </conditionalFormatting>
  <conditionalFormatting sqref="T22">
    <cfRule type="containsErrors" dxfId="139" priority="5" stopIfTrue="1">
      <formula>ISERROR(T22)</formula>
    </cfRule>
    <cfRule type="notContainsBlanks" dxfId="138" priority="6">
      <formula>LEN(TRIM(T22))&gt;0</formula>
    </cfRule>
  </conditionalFormatting>
  <conditionalFormatting sqref="T15">
    <cfRule type="containsErrors" dxfId="137" priority="3" stopIfTrue="1">
      <formula>ISERROR(T15)</formula>
    </cfRule>
    <cfRule type="notContainsBlanks" dxfId="136" priority="4">
      <formula>LEN(TRIM(T15))&gt;0</formula>
    </cfRule>
  </conditionalFormatting>
  <conditionalFormatting sqref="T20">
    <cfRule type="containsErrors" dxfId="135" priority="1" stopIfTrue="1">
      <formula>ISERROR(T20)</formula>
    </cfRule>
    <cfRule type="notContainsBlanks" dxfId="134" priority="2">
      <formula>LEN(TRIM(T20))&gt;0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J25" sqref="J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c r="L8" s="16"/>
      <c r="M8" s="18"/>
      <c r="N8" s="16"/>
      <c r="O8" s="18"/>
      <c r="P8" s="16"/>
      <c r="Q8" s="18"/>
      <c r="R8" s="16"/>
      <c r="S8" s="18"/>
      <c r="T8" s="20"/>
    </row>
    <row r="9" spans="1:20" ht="15.95" customHeight="1" x14ac:dyDescent="0.25">
      <c r="A9" s="18" t="s">
        <v>337</v>
      </c>
      <c r="B9" s="16"/>
      <c r="C9" s="18" t="s">
        <v>1882</v>
      </c>
      <c r="D9" s="16"/>
      <c r="E9" s="18" t="s">
        <v>2600</v>
      </c>
      <c r="F9" s="16"/>
      <c r="G9" s="18" t="s">
        <v>1145</v>
      </c>
      <c r="H9" s="16"/>
      <c r="I9" s="18" t="s">
        <v>3324</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111</v>
      </c>
      <c r="B11" s="16"/>
      <c r="C11" s="18" t="s">
        <v>1691</v>
      </c>
      <c r="D11" s="16"/>
      <c r="E11" s="18" t="s">
        <v>2325</v>
      </c>
      <c r="F11" s="16"/>
      <c r="G11" s="18" t="s">
        <v>958</v>
      </c>
      <c r="H11" s="16"/>
      <c r="I11" s="18" t="s">
        <v>3127</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852</v>
      </c>
      <c r="B13" s="16"/>
      <c r="C13" s="18" t="s">
        <v>1883</v>
      </c>
      <c r="D13" s="16"/>
      <c r="E13" s="18" t="s">
        <v>2601</v>
      </c>
      <c r="F13" s="16"/>
      <c r="G13" s="18" t="s">
        <v>1146</v>
      </c>
      <c r="H13" s="16"/>
      <c r="I13" s="18" t="s">
        <v>3325</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853</v>
      </c>
      <c r="B15" s="16"/>
      <c r="C15" s="18" t="s">
        <v>1884</v>
      </c>
      <c r="D15" s="16"/>
      <c r="E15" s="18" t="s">
        <v>2602</v>
      </c>
      <c r="F15" s="16"/>
      <c r="G15" s="18" t="s">
        <v>1147</v>
      </c>
      <c r="H15" s="16"/>
      <c r="I15" s="18" t="s">
        <v>3326</v>
      </c>
      <c r="J15" s="16"/>
      <c r="K15" s="18"/>
      <c r="L15" s="16"/>
      <c r="M15" s="18"/>
      <c r="N15" s="16"/>
      <c r="O15" s="18"/>
      <c r="P15" s="16"/>
      <c r="Q15" s="18"/>
      <c r="R15" s="16"/>
      <c r="S15" s="18"/>
      <c r="T15" s="20"/>
    </row>
    <row r="16" spans="1:20" ht="15.95" customHeight="1" x14ac:dyDescent="0.25">
      <c r="A16" s="18" t="s">
        <v>854</v>
      </c>
      <c r="B16" s="16"/>
      <c r="C16" s="18" t="s">
        <v>1885</v>
      </c>
      <c r="D16" s="16"/>
      <c r="E16" s="18" t="s">
        <v>2603</v>
      </c>
      <c r="F16" s="16"/>
      <c r="G16" s="18" t="s">
        <v>1148</v>
      </c>
      <c r="H16" s="16"/>
      <c r="I16" s="18" t="s">
        <v>3327</v>
      </c>
      <c r="J16" s="16"/>
      <c r="K16" s="18"/>
      <c r="L16" s="16"/>
      <c r="M16" s="18"/>
      <c r="N16" s="16"/>
      <c r="O16" s="18"/>
      <c r="P16" s="16"/>
      <c r="Q16" s="18"/>
      <c r="R16" s="16"/>
      <c r="S16" s="18"/>
      <c r="T16" s="20"/>
    </row>
    <row r="17" spans="1:20" ht="15.95" customHeight="1" x14ac:dyDescent="0.25">
      <c r="A17" s="18" t="s">
        <v>855</v>
      </c>
      <c r="B17" s="16"/>
      <c r="C17" s="18" t="s">
        <v>1886</v>
      </c>
      <c r="D17" s="16"/>
      <c r="E17" s="18" t="s">
        <v>2604</v>
      </c>
      <c r="F17" s="16"/>
      <c r="G17" s="18" t="s">
        <v>1149</v>
      </c>
      <c r="H17" s="16"/>
      <c r="I17" s="18" t="s">
        <v>3328</v>
      </c>
      <c r="J17" s="16"/>
      <c r="K17" s="18"/>
      <c r="L17" s="16"/>
      <c r="M17" s="18"/>
      <c r="N17" s="16"/>
      <c r="O17" s="18"/>
      <c r="P17" s="16"/>
      <c r="Q17" s="18"/>
      <c r="R17" s="16"/>
      <c r="S17" s="18"/>
      <c r="T17" s="20"/>
    </row>
    <row r="18" spans="1:20" ht="15.95" customHeight="1" x14ac:dyDescent="0.25">
      <c r="A18" s="18" t="s">
        <v>856</v>
      </c>
      <c r="B18" s="16"/>
      <c r="C18" s="18" t="s">
        <v>1887</v>
      </c>
      <c r="D18" s="16"/>
      <c r="E18" s="18" t="s">
        <v>2605</v>
      </c>
      <c r="F18" s="16"/>
      <c r="G18" s="18" t="s">
        <v>1150</v>
      </c>
      <c r="H18" s="16"/>
      <c r="I18" s="18" t="s">
        <v>3329</v>
      </c>
      <c r="J18" s="16"/>
      <c r="K18" s="18"/>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c r="L20" s="16">
        <f>K20</f>
        <v>0</v>
      </c>
      <c r="M20" s="18"/>
      <c r="N20" s="16">
        <f>M20</f>
        <v>0</v>
      </c>
      <c r="O20" s="18"/>
      <c r="P20" s="16">
        <f>O20</f>
        <v>0</v>
      </c>
      <c r="Q20" s="18"/>
      <c r="R20" s="16">
        <f>Q20</f>
        <v>0</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33" priority="2" stopIfTrue="1">
      <formula>NOT(ISERROR(A3))</formula>
    </cfRule>
  </conditionalFormatting>
  <conditionalFormatting sqref="A3:T51">
    <cfRule type="containsErrors" dxfId="132" priority="1" stopIfTrue="1">
      <formula>ISERROR(A3)</formula>
    </cfRule>
    <cfRule type="notContainsBlanks" dxfId="131"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J14" sqref="J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828</v>
      </c>
      <c r="B8" s="16"/>
      <c r="C8" s="18" t="s">
        <v>1892</v>
      </c>
      <c r="D8" s="16"/>
      <c r="E8" s="18" t="s">
        <v>2610</v>
      </c>
      <c r="F8" s="16"/>
      <c r="G8" s="18" t="s">
        <v>1155</v>
      </c>
      <c r="H8" s="16"/>
      <c r="I8" s="18" t="s">
        <v>3334</v>
      </c>
      <c r="J8" s="16"/>
      <c r="K8" s="18"/>
      <c r="L8" s="16"/>
      <c r="M8" s="18"/>
      <c r="N8" s="16"/>
      <c r="O8" s="18"/>
      <c r="P8" s="16"/>
      <c r="Q8" s="18"/>
      <c r="R8" s="16"/>
      <c r="S8" s="18"/>
      <c r="T8" s="20"/>
    </row>
    <row r="9" spans="1:20" ht="15.95" customHeight="1" x14ac:dyDescent="0.25">
      <c r="A9" s="18" t="s">
        <v>829</v>
      </c>
      <c r="B9" s="16"/>
      <c r="C9" s="18" t="s">
        <v>1893</v>
      </c>
      <c r="D9" s="16"/>
      <c r="E9" s="18" t="s">
        <v>2611</v>
      </c>
      <c r="F9" s="16"/>
      <c r="G9" s="18" t="s">
        <v>1156</v>
      </c>
      <c r="H9" s="16"/>
      <c r="I9" s="18" t="s">
        <v>3335</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c r="L11" s="16"/>
      <c r="M11" s="18"/>
      <c r="N11" s="16"/>
      <c r="O11" s="18"/>
      <c r="P11" s="16"/>
      <c r="Q11" s="18"/>
      <c r="R11" s="16"/>
      <c r="S11" s="18"/>
      <c r="T11" s="20"/>
    </row>
    <row r="12" spans="1:20" ht="15.95" customHeight="1" x14ac:dyDescent="0.25">
      <c r="A12" s="18" t="s">
        <v>818</v>
      </c>
      <c r="B12" s="16"/>
      <c r="C12" s="18" t="s">
        <v>1894</v>
      </c>
      <c r="D12" s="16"/>
      <c r="E12" s="18" t="s">
        <v>2612</v>
      </c>
      <c r="F12" s="16"/>
      <c r="G12" s="18" t="s">
        <v>1157</v>
      </c>
      <c r="H12" s="16"/>
      <c r="I12" s="18" t="s">
        <v>3336</v>
      </c>
      <c r="J12" s="16"/>
      <c r="K12" s="18"/>
      <c r="L12" s="16"/>
      <c r="M12" s="18"/>
      <c r="N12" s="16"/>
      <c r="O12" s="18"/>
      <c r="P12" s="16"/>
      <c r="Q12" s="18"/>
      <c r="R12" s="16"/>
      <c r="S12" s="18"/>
      <c r="T12" s="20"/>
    </row>
    <row r="13" spans="1:20" ht="15.95" customHeight="1" x14ac:dyDescent="0.25">
      <c r="A13" s="18" t="s">
        <v>830</v>
      </c>
      <c r="B13" s="16"/>
      <c r="C13" s="18" t="s">
        <v>1895</v>
      </c>
      <c r="D13" s="16"/>
      <c r="E13" s="18" t="s">
        <v>2613</v>
      </c>
      <c r="F13" s="16"/>
      <c r="G13" s="18" t="s">
        <v>830</v>
      </c>
      <c r="H13" s="16"/>
      <c r="I13" s="18" t="s">
        <v>3337</v>
      </c>
      <c r="J13" s="16"/>
      <c r="K13" s="18"/>
      <c r="L13" s="16"/>
      <c r="M13" s="18"/>
      <c r="N13" s="16"/>
      <c r="O13" s="18"/>
      <c r="P13" s="16"/>
      <c r="Q13" s="18"/>
      <c r="R13" s="16"/>
      <c r="S13" s="18"/>
      <c r="T13" s="20"/>
    </row>
    <row r="14" spans="1:20" ht="15.95" customHeight="1" x14ac:dyDescent="0.25">
      <c r="A14" s="18" t="s">
        <v>831</v>
      </c>
      <c r="B14" s="16"/>
      <c r="C14" s="18" t="s">
        <v>831</v>
      </c>
      <c r="D14" s="16"/>
      <c r="E14" s="18" t="s">
        <v>831</v>
      </c>
      <c r="F14" s="16"/>
      <c r="G14" s="18" t="s">
        <v>831</v>
      </c>
      <c r="H14" s="16"/>
      <c r="I14" s="18" t="s">
        <v>3338</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832</v>
      </c>
      <c r="B16" s="16"/>
      <c r="C16" s="18" t="s">
        <v>1896</v>
      </c>
      <c r="D16" s="16"/>
      <c r="E16" s="18" t="s">
        <v>2614</v>
      </c>
      <c r="F16" s="16"/>
      <c r="G16" s="18" t="s">
        <v>1158</v>
      </c>
      <c r="H16" s="16"/>
      <c r="I16" s="18" t="s">
        <v>3339</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283</v>
      </c>
      <c r="B18" s="16"/>
      <c r="C18" s="18" t="s">
        <v>1759</v>
      </c>
      <c r="D18" s="16"/>
      <c r="E18" s="18" t="s">
        <v>2478</v>
      </c>
      <c r="F18" s="16"/>
      <c r="G18" s="18" t="s">
        <v>1027</v>
      </c>
      <c r="H18" s="16"/>
      <c r="I18" s="18" t="s">
        <v>3196</v>
      </c>
      <c r="J18" s="16"/>
      <c r="K18" s="18"/>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0"/>
    </row>
    <row r="20" spans="1:20" ht="15.95" customHeight="1" x14ac:dyDescent="0.25">
      <c r="A20" s="18" t="s">
        <v>833</v>
      </c>
      <c r="B20" s="16"/>
      <c r="C20" s="18" t="s">
        <v>1897</v>
      </c>
      <c r="D20" s="16"/>
      <c r="E20" s="18" t="s">
        <v>2615</v>
      </c>
      <c r="F20" s="16"/>
      <c r="G20" s="18" t="s">
        <v>1159</v>
      </c>
      <c r="H20" s="16"/>
      <c r="I20" s="18" t="s">
        <v>3340</v>
      </c>
      <c r="J20" s="16"/>
      <c r="K20" s="18"/>
      <c r="L20" s="16"/>
      <c r="M20" s="18"/>
      <c r="N20" s="16"/>
      <c r="O20" s="18"/>
      <c r="P20" s="16"/>
      <c r="Q20" s="18"/>
      <c r="R20" s="16"/>
      <c r="S20" s="18"/>
      <c r="T20" s="20"/>
    </row>
    <row r="21" spans="1:20" ht="15.95" customHeight="1" x14ac:dyDescent="0.25">
      <c r="A21" s="18" t="s">
        <v>834</v>
      </c>
      <c r="B21" s="16"/>
      <c r="C21" s="18" t="s">
        <v>1898</v>
      </c>
      <c r="D21" s="16"/>
      <c r="E21" s="18" t="s">
        <v>2616</v>
      </c>
      <c r="F21" s="16"/>
      <c r="G21" s="18" t="s">
        <v>1160</v>
      </c>
      <c r="H21" s="16"/>
      <c r="I21" s="18" t="s">
        <v>3341</v>
      </c>
      <c r="J21" s="16"/>
      <c r="K21" s="18"/>
      <c r="L21" s="16"/>
      <c r="M21" s="18"/>
      <c r="N21" s="16"/>
      <c r="O21" s="18"/>
      <c r="P21" s="16"/>
      <c r="Q21" s="18"/>
      <c r="R21" s="16"/>
      <c r="S21" s="18"/>
      <c r="T21" s="20"/>
    </row>
    <row r="22" spans="1:20" ht="15.95" customHeight="1" x14ac:dyDescent="0.25">
      <c r="A22" s="18" t="s">
        <v>835</v>
      </c>
      <c r="B22" s="16"/>
      <c r="C22" s="18" t="s">
        <v>1899</v>
      </c>
      <c r="D22" s="16"/>
      <c r="E22" s="18" t="s">
        <v>2617</v>
      </c>
      <c r="F22" s="16"/>
      <c r="G22" s="18" t="s">
        <v>1161</v>
      </c>
      <c r="H22" s="16"/>
      <c r="I22" s="18" t="s">
        <v>3342</v>
      </c>
      <c r="J22" s="16"/>
      <c r="K22" s="18"/>
      <c r="L22" s="16"/>
      <c r="M22" s="18"/>
      <c r="N22" s="16"/>
      <c r="O22" s="18"/>
      <c r="P22" s="16"/>
      <c r="Q22" s="18"/>
      <c r="R22" s="16"/>
      <c r="S22" s="18"/>
      <c r="T22" s="20"/>
    </row>
    <row r="23" spans="1:20" ht="15.95" customHeight="1" x14ac:dyDescent="0.25">
      <c r="A23" s="18" t="s">
        <v>836</v>
      </c>
      <c r="B23" s="16"/>
      <c r="C23" s="18" t="s">
        <v>1900</v>
      </c>
      <c r="D23" s="16"/>
      <c r="E23" s="18" t="s">
        <v>2618</v>
      </c>
      <c r="F23" s="16"/>
      <c r="G23" s="18" t="s">
        <v>1162</v>
      </c>
      <c r="H23" s="16"/>
      <c r="I23" s="18" t="s">
        <v>3343</v>
      </c>
      <c r="J23" s="16"/>
      <c r="K23" s="18"/>
      <c r="L23" s="16"/>
      <c r="M23" s="18"/>
      <c r="N23" s="16"/>
      <c r="O23" s="18"/>
      <c r="P23" s="16"/>
      <c r="Q23" s="18"/>
      <c r="R23" s="16"/>
      <c r="S23" s="18"/>
      <c r="T23" s="20"/>
    </row>
    <row r="24" spans="1:20" ht="15.95" customHeight="1" x14ac:dyDescent="0.25">
      <c r="A24" s="18" t="s">
        <v>837</v>
      </c>
      <c r="B24" s="16"/>
      <c r="C24" s="18" t="s">
        <v>1901</v>
      </c>
      <c r="D24" s="16"/>
      <c r="E24" s="18" t="s">
        <v>2619</v>
      </c>
      <c r="F24" s="16"/>
      <c r="G24" s="18" t="s">
        <v>1163</v>
      </c>
      <c r="H24" s="16"/>
      <c r="I24" s="18" t="s">
        <v>3344</v>
      </c>
      <c r="J24" s="16"/>
      <c r="K24" s="18"/>
      <c r="L24" s="16"/>
      <c r="M24" s="18"/>
      <c r="N24" s="16"/>
      <c r="O24" s="18"/>
      <c r="P24" s="16"/>
      <c r="Q24" s="18"/>
      <c r="R24" s="16"/>
      <c r="S24" s="18"/>
      <c r="T24" s="20"/>
    </row>
    <row r="25" spans="1:20" ht="15.95" customHeight="1" x14ac:dyDescent="0.25">
      <c r="A25" s="18" t="s">
        <v>838</v>
      </c>
      <c r="B25" s="16"/>
      <c r="C25" s="18" t="s">
        <v>1902</v>
      </c>
      <c r="D25" s="16"/>
      <c r="E25" s="18" t="s">
        <v>2620</v>
      </c>
      <c r="F25" s="16"/>
      <c r="G25" s="18" t="s">
        <v>1164</v>
      </c>
      <c r="H25" s="16"/>
      <c r="I25" s="18" t="s">
        <v>3345</v>
      </c>
      <c r="J25" s="16"/>
      <c r="K25" s="18"/>
      <c r="L25" s="16"/>
      <c r="M25" s="18"/>
      <c r="N25" s="16"/>
      <c r="O25" s="18"/>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c r="L26" s="16"/>
      <c r="M26" s="18"/>
      <c r="N26" s="16"/>
      <c r="O26" s="18"/>
      <c r="P26" s="16"/>
      <c r="Q26" s="18"/>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c r="L27" s="16">
        <f>K27</f>
        <v>0</v>
      </c>
      <c r="M27" s="18"/>
      <c r="N27" s="16">
        <f>M27</f>
        <v>0</v>
      </c>
      <c r="O27" s="18"/>
      <c r="P27" s="16">
        <f>O27</f>
        <v>0</v>
      </c>
      <c r="Q27" s="18"/>
      <c r="R27" s="16">
        <f>Q27</f>
        <v>0</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30" priority="2" stopIfTrue="1">
      <formula>NOT(ISERROR(A3))</formula>
    </cfRule>
  </conditionalFormatting>
  <conditionalFormatting sqref="A3:T51">
    <cfRule type="containsErrors" dxfId="129" priority="1" stopIfTrue="1">
      <formula>ISERROR(A3)</formula>
    </cfRule>
    <cfRule type="notContainsBlanks" dxfId="128"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I3" sqref="I3:I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817</v>
      </c>
      <c r="B8" s="16"/>
      <c r="C8" s="18" t="s">
        <v>1906</v>
      </c>
      <c r="D8" s="16"/>
      <c r="E8" s="18" t="s">
        <v>2624</v>
      </c>
      <c r="F8" s="16"/>
      <c r="G8" s="18" t="s">
        <v>1168</v>
      </c>
      <c r="H8" s="16"/>
      <c r="I8" s="18" t="s">
        <v>3349</v>
      </c>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20"/>
    </row>
    <row r="11" spans="1:20" ht="15.95" customHeight="1" x14ac:dyDescent="0.25">
      <c r="A11" s="18" t="s">
        <v>818</v>
      </c>
      <c r="B11" s="16"/>
      <c r="C11" s="18" t="s">
        <v>1894</v>
      </c>
      <c r="D11" s="16"/>
      <c r="E11" s="18" t="s">
        <v>2612</v>
      </c>
      <c r="F11" s="16"/>
      <c r="G11" s="18" t="s">
        <v>1157</v>
      </c>
      <c r="H11" s="16"/>
      <c r="I11" s="18" t="s">
        <v>3336</v>
      </c>
      <c r="J11" s="16"/>
      <c r="K11" s="18"/>
      <c r="L11" s="16"/>
      <c r="M11" s="18"/>
      <c r="N11" s="16"/>
      <c r="O11" s="18"/>
      <c r="P11" s="16"/>
      <c r="Q11" s="18"/>
      <c r="R11" s="16"/>
      <c r="S11" s="18"/>
      <c r="T11" s="20"/>
    </row>
    <row r="12" spans="1:20" ht="15.95" customHeight="1" x14ac:dyDescent="0.25">
      <c r="A12" s="18" t="s">
        <v>819</v>
      </c>
      <c r="B12" s="16"/>
      <c r="C12" s="18" t="s">
        <v>1907</v>
      </c>
      <c r="D12" s="16"/>
      <c r="E12" s="18" t="s">
        <v>2625</v>
      </c>
      <c r="F12" s="16"/>
      <c r="G12" s="18" t="s">
        <v>819</v>
      </c>
      <c r="H12" s="16"/>
      <c r="I12" s="18" t="s">
        <v>3350</v>
      </c>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0"/>
    </row>
    <row r="14" spans="1:20" ht="15.95" customHeight="1" x14ac:dyDescent="0.25">
      <c r="A14" s="18" t="s">
        <v>820</v>
      </c>
      <c r="B14" s="16"/>
      <c r="C14" s="18" t="s">
        <v>1908</v>
      </c>
      <c r="D14" s="16"/>
      <c r="E14" s="18" t="s">
        <v>2626</v>
      </c>
      <c r="F14" s="16"/>
      <c r="G14" s="18" t="s">
        <v>1169</v>
      </c>
      <c r="H14" s="16"/>
      <c r="I14" s="18" t="s">
        <v>3351</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340</v>
      </c>
      <c r="B16" s="16"/>
      <c r="C16" s="18" t="s">
        <v>1909</v>
      </c>
      <c r="D16" s="16"/>
      <c r="E16" s="18" t="s">
        <v>2627</v>
      </c>
      <c r="F16" s="16"/>
      <c r="G16" s="18" t="s">
        <v>1170</v>
      </c>
      <c r="H16" s="16"/>
      <c r="I16" s="18" t="s">
        <v>3352</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821</v>
      </c>
      <c r="B18" s="16"/>
      <c r="C18" s="18" t="s">
        <v>1910</v>
      </c>
      <c r="D18" s="16"/>
      <c r="E18" s="18" t="s">
        <v>2628</v>
      </c>
      <c r="F18" s="16"/>
      <c r="G18" s="18" t="s">
        <v>1171</v>
      </c>
      <c r="H18" s="16"/>
      <c r="I18" s="18" t="s">
        <v>3353</v>
      </c>
      <c r="J18" s="16"/>
      <c r="K18" s="18"/>
      <c r="L18" s="16"/>
      <c r="M18" s="18"/>
      <c r="N18" s="16"/>
      <c r="O18" s="18"/>
      <c r="P18" s="16"/>
      <c r="Q18" s="18"/>
      <c r="R18" s="16"/>
      <c r="S18" s="18"/>
      <c r="T18" s="20"/>
    </row>
    <row r="19" spans="1:20" ht="15.95" customHeight="1" x14ac:dyDescent="0.25">
      <c r="A19" s="18" t="s">
        <v>822</v>
      </c>
      <c r="B19" s="16"/>
      <c r="C19" s="18" t="s">
        <v>1911</v>
      </c>
      <c r="D19" s="16"/>
      <c r="E19" s="18" t="s">
        <v>2629</v>
      </c>
      <c r="F19" s="16"/>
      <c r="G19" s="18" t="s">
        <v>1172</v>
      </c>
      <c r="H19" s="16"/>
      <c r="I19" s="18" t="s">
        <v>3354</v>
      </c>
      <c r="J19" s="16"/>
      <c r="K19" s="18"/>
      <c r="L19" s="16"/>
      <c r="M19" s="18"/>
      <c r="N19" s="16"/>
      <c r="O19" s="18"/>
      <c r="P19" s="16"/>
      <c r="Q19" s="18"/>
      <c r="R19" s="16"/>
      <c r="S19" s="18"/>
      <c r="T19" s="20"/>
    </row>
    <row r="20" spans="1:20" ht="15.95" customHeight="1" x14ac:dyDescent="0.25">
      <c r="A20" s="18" t="s">
        <v>823</v>
      </c>
      <c r="B20" s="16"/>
      <c r="C20" s="18" t="s">
        <v>1912</v>
      </c>
      <c r="D20" s="16"/>
      <c r="E20" s="18" t="s">
        <v>2630</v>
      </c>
      <c r="F20" s="16"/>
      <c r="G20" s="18" t="s">
        <v>1173</v>
      </c>
      <c r="H20" s="16"/>
      <c r="I20" s="18" t="s">
        <v>3355</v>
      </c>
      <c r="J20" s="16"/>
      <c r="K20" s="18"/>
      <c r="L20" s="16"/>
      <c r="M20" s="18"/>
      <c r="N20" s="16"/>
      <c r="O20" s="18"/>
      <c r="P20" s="16"/>
      <c r="Q20" s="18"/>
      <c r="R20" s="16"/>
      <c r="S20" s="18"/>
      <c r="T20" s="20"/>
    </row>
    <row r="21" spans="1:20" ht="15.95" customHeight="1" x14ac:dyDescent="0.25">
      <c r="A21" s="18" t="s">
        <v>824</v>
      </c>
      <c r="B21" s="16"/>
      <c r="C21" s="18" t="s">
        <v>1913</v>
      </c>
      <c r="D21" s="16"/>
      <c r="E21" s="18" t="s">
        <v>2631</v>
      </c>
      <c r="F21" s="16"/>
      <c r="G21" s="18" t="s">
        <v>1174</v>
      </c>
      <c r="H21" s="16"/>
      <c r="I21" s="18" t="s">
        <v>3356</v>
      </c>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c r="L23" s="16">
        <f>K23</f>
        <v>0</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7" priority="2" stopIfTrue="1">
      <formula>NOT(ISERROR(A3))</formula>
    </cfRule>
  </conditionalFormatting>
  <conditionalFormatting sqref="A3:T51">
    <cfRule type="containsErrors" dxfId="126" priority="1" stopIfTrue="1">
      <formula>ISERROR(A3)</formula>
    </cfRule>
    <cfRule type="notContainsBlanks" dxfId="125"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c r="L8" s="16"/>
      <c r="M8" s="18"/>
      <c r="N8" s="16"/>
      <c r="O8" s="18"/>
      <c r="P8" s="16"/>
      <c r="Q8" s="18"/>
      <c r="R8" s="16"/>
      <c r="S8" s="18"/>
      <c r="T8" s="20"/>
    </row>
    <row r="9" spans="1:20" ht="15.95" customHeight="1" x14ac:dyDescent="0.25">
      <c r="A9" s="18" t="s">
        <v>842</v>
      </c>
      <c r="B9" s="16"/>
      <c r="C9" s="18" t="s">
        <v>1917</v>
      </c>
      <c r="D9" s="16"/>
      <c r="E9" s="18" t="s">
        <v>2635</v>
      </c>
      <c r="F9" s="16"/>
      <c r="G9" s="18" t="s">
        <v>1178</v>
      </c>
      <c r="H9" s="16"/>
      <c r="I9" s="18" t="s">
        <v>3360</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843</v>
      </c>
      <c r="B13" s="16"/>
      <c r="C13" s="18" t="s">
        <v>1918</v>
      </c>
      <c r="D13" s="16"/>
      <c r="E13" s="18" t="s">
        <v>2636</v>
      </c>
      <c r="F13" s="16"/>
      <c r="G13" s="18" t="s">
        <v>1179</v>
      </c>
      <c r="H13" s="16"/>
      <c r="I13" s="18" t="s">
        <v>3361</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844</v>
      </c>
      <c r="B15" s="16"/>
      <c r="C15" s="18" t="s">
        <v>1919</v>
      </c>
      <c r="D15" s="16"/>
      <c r="E15" s="18" t="s">
        <v>2637</v>
      </c>
      <c r="F15" s="16"/>
      <c r="G15" s="18" t="s">
        <v>1180</v>
      </c>
      <c r="H15" s="16"/>
      <c r="I15" s="18" t="s">
        <v>3362</v>
      </c>
      <c r="J15" s="16"/>
      <c r="K15" s="18"/>
      <c r="L15" s="16"/>
      <c r="M15" s="18"/>
      <c r="N15" s="16"/>
      <c r="O15" s="18"/>
      <c r="P15" s="16"/>
      <c r="Q15" s="18"/>
      <c r="R15" s="16"/>
      <c r="S15" s="18"/>
      <c r="T15" s="20"/>
    </row>
    <row r="16" spans="1:20" ht="15.95" customHeight="1" x14ac:dyDescent="0.25">
      <c r="A16" s="18" t="s">
        <v>845</v>
      </c>
      <c r="B16" s="16"/>
      <c r="C16" s="18" t="s">
        <v>1920</v>
      </c>
      <c r="D16" s="16"/>
      <c r="E16" s="18" t="s">
        <v>2638</v>
      </c>
      <c r="F16" s="16"/>
      <c r="G16" s="18" t="s">
        <v>1181</v>
      </c>
      <c r="H16" s="16"/>
      <c r="I16" s="18" t="s">
        <v>3363</v>
      </c>
      <c r="J16" s="16"/>
      <c r="K16" s="18"/>
      <c r="L16" s="16"/>
      <c r="M16" s="18"/>
      <c r="N16" s="16"/>
      <c r="O16" s="18"/>
      <c r="P16" s="16"/>
      <c r="Q16" s="18"/>
      <c r="R16" s="16"/>
      <c r="S16" s="18"/>
      <c r="T16" s="20"/>
    </row>
    <row r="17" spans="1:20" ht="15.95" customHeight="1" x14ac:dyDescent="0.25">
      <c r="A17" s="18" t="s">
        <v>846</v>
      </c>
      <c r="B17" s="16"/>
      <c r="C17" s="18" t="s">
        <v>1921</v>
      </c>
      <c r="D17" s="16"/>
      <c r="E17" s="18" t="s">
        <v>2639</v>
      </c>
      <c r="F17" s="16"/>
      <c r="G17" s="18" t="s">
        <v>1182</v>
      </c>
      <c r="H17" s="16"/>
      <c r="I17" s="18" t="s">
        <v>3364</v>
      </c>
      <c r="J17" s="16"/>
      <c r="K17" s="18"/>
      <c r="L17" s="16"/>
      <c r="M17" s="18"/>
      <c r="N17" s="16"/>
      <c r="O17" s="18"/>
      <c r="P17" s="16"/>
      <c r="Q17" s="18"/>
      <c r="R17" s="16"/>
      <c r="S17" s="18"/>
      <c r="T17" s="20"/>
    </row>
    <row r="18" spans="1:20" ht="15.95" customHeight="1" x14ac:dyDescent="0.25">
      <c r="A18" s="18" t="s">
        <v>847</v>
      </c>
      <c r="B18" s="16"/>
      <c r="C18" s="18" t="s">
        <v>1922</v>
      </c>
      <c r="D18" s="16"/>
      <c r="E18" s="18" t="s">
        <v>2640</v>
      </c>
      <c r="F18" s="16"/>
      <c r="G18" s="18" t="s">
        <v>1183</v>
      </c>
      <c r="H18" s="16"/>
      <c r="I18" s="18" t="s">
        <v>3365</v>
      </c>
      <c r="J18" s="16"/>
      <c r="K18" s="18"/>
      <c r="L18" s="16"/>
      <c r="M18" s="18"/>
      <c r="N18" s="16"/>
      <c r="O18" s="18"/>
      <c r="P18" s="16"/>
      <c r="Q18" s="18"/>
      <c r="R18" s="16"/>
      <c r="S18" s="18"/>
      <c r="T18" s="20"/>
    </row>
    <row r="19" spans="1:20" ht="15.95" customHeight="1" x14ac:dyDescent="0.25">
      <c r="A19" s="18" t="s">
        <v>848</v>
      </c>
      <c r="B19" s="16"/>
      <c r="C19" s="18" t="s">
        <v>1923</v>
      </c>
      <c r="D19" s="16"/>
      <c r="E19" s="18" t="s">
        <v>2641</v>
      </c>
      <c r="F19" s="16"/>
      <c r="G19" s="18" t="s">
        <v>1184</v>
      </c>
      <c r="H19" s="16"/>
      <c r="I19" s="18" t="s">
        <v>3366</v>
      </c>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c r="L21" s="16">
        <f>K21</f>
        <v>0</v>
      </c>
      <c r="M21" s="18"/>
      <c r="N21" s="16">
        <f>M21</f>
        <v>0</v>
      </c>
      <c r="O21" s="18"/>
      <c r="P21" s="16">
        <f>O21</f>
        <v>0</v>
      </c>
      <c r="Q21" s="18"/>
      <c r="R21" s="16">
        <f>Q21</f>
        <v>0</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4" priority="2" stopIfTrue="1">
      <formula>NOT(ISERROR(A3))</formula>
    </cfRule>
  </conditionalFormatting>
  <conditionalFormatting sqref="A3:T51">
    <cfRule type="containsErrors" dxfId="123" priority="1" stopIfTrue="1">
      <formula>ISERROR(A3)</formula>
    </cfRule>
    <cfRule type="notContainsBlanks" dxfId="122"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I3" sqref="I3:I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c r="L7" s="16"/>
      <c r="M7" s="18"/>
      <c r="N7" s="16"/>
      <c r="O7" s="18"/>
      <c r="P7" s="16"/>
      <c r="Q7" s="18"/>
      <c r="R7" s="16"/>
      <c r="S7" s="18"/>
      <c r="T7" s="20"/>
    </row>
    <row r="8" spans="1:20" ht="15.95" customHeight="1" x14ac:dyDescent="0.25">
      <c r="A8" s="18" t="s">
        <v>809</v>
      </c>
      <c r="B8" s="16"/>
      <c r="C8" s="18" t="s">
        <v>1927</v>
      </c>
      <c r="D8" s="16"/>
      <c r="E8" s="18" t="s">
        <v>2645</v>
      </c>
      <c r="F8" s="16"/>
      <c r="G8" s="18" t="s">
        <v>1188</v>
      </c>
      <c r="H8" s="16"/>
      <c r="I8" s="18" t="s">
        <v>3370</v>
      </c>
      <c r="J8" s="16"/>
      <c r="K8" s="18"/>
      <c r="L8" s="16"/>
      <c r="M8" s="18"/>
      <c r="N8" s="16"/>
      <c r="O8" s="18"/>
      <c r="P8" s="16"/>
      <c r="Q8" s="18"/>
      <c r="R8" s="16"/>
      <c r="S8" s="18"/>
      <c r="T8" s="20"/>
    </row>
    <row r="9" spans="1:20" ht="15.95" customHeight="1" x14ac:dyDescent="0.25">
      <c r="A9" s="18" t="s">
        <v>810</v>
      </c>
      <c r="B9" s="16"/>
      <c r="C9" s="18" t="s">
        <v>1928</v>
      </c>
      <c r="D9" s="16"/>
      <c r="E9" s="18" t="s">
        <v>2646</v>
      </c>
      <c r="F9" s="16"/>
      <c r="G9" s="18" t="s">
        <v>1189</v>
      </c>
      <c r="H9" s="16"/>
      <c r="I9" s="18" t="s">
        <v>3371</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c r="L11" s="16"/>
      <c r="M11" s="18"/>
      <c r="N11" s="16"/>
      <c r="O11" s="18"/>
      <c r="P11" s="16"/>
      <c r="Q11" s="18"/>
      <c r="R11" s="16"/>
      <c r="S11" s="18"/>
      <c r="T11" s="20"/>
    </row>
    <row r="12" spans="1:20" ht="15.95" customHeight="1" x14ac:dyDescent="0.25">
      <c r="A12" s="18" t="s">
        <v>811</v>
      </c>
      <c r="B12" s="16"/>
      <c r="C12" s="18" t="s">
        <v>811</v>
      </c>
      <c r="D12" s="16"/>
      <c r="E12" s="18" t="s">
        <v>2647</v>
      </c>
      <c r="F12" s="16"/>
      <c r="G12" s="18" t="s">
        <v>1190</v>
      </c>
      <c r="H12" s="16"/>
      <c r="I12" s="18" t="s">
        <v>3372</v>
      </c>
      <c r="J12" s="16"/>
      <c r="K12" s="18"/>
      <c r="L12" s="16"/>
      <c r="M12" s="18"/>
      <c r="N12" s="16"/>
      <c r="O12" s="18"/>
      <c r="P12" s="16"/>
      <c r="Q12" s="18"/>
      <c r="R12" s="16"/>
      <c r="S12" s="18"/>
      <c r="T12" s="20"/>
    </row>
    <row r="13" spans="1:20" ht="15.95" customHeight="1" x14ac:dyDescent="0.25">
      <c r="A13" s="18" t="s">
        <v>812</v>
      </c>
      <c r="B13" s="16"/>
      <c r="C13" s="18" t="s">
        <v>812</v>
      </c>
      <c r="D13" s="16"/>
      <c r="E13" s="18" t="s">
        <v>812</v>
      </c>
      <c r="F13" s="16"/>
      <c r="G13" s="18" t="s">
        <v>812</v>
      </c>
      <c r="H13" s="16"/>
      <c r="I13" s="18" t="s">
        <v>3373</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813</v>
      </c>
      <c r="B15" s="16"/>
      <c r="C15" s="18" t="s">
        <v>1929</v>
      </c>
      <c r="D15" s="16"/>
      <c r="E15" s="18" t="s">
        <v>2648</v>
      </c>
      <c r="F15" s="16"/>
      <c r="G15" s="18" t="s">
        <v>1191</v>
      </c>
      <c r="H15" s="16"/>
      <c r="I15" s="18" t="s">
        <v>3374</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117</v>
      </c>
      <c r="B17" s="16"/>
      <c r="C17" s="18" t="s">
        <v>1742</v>
      </c>
      <c r="D17" s="16"/>
      <c r="E17" s="18" t="s">
        <v>2461</v>
      </c>
      <c r="F17" s="16"/>
      <c r="G17" s="18" t="s">
        <v>1010</v>
      </c>
      <c r="H17" s="16"/>
      <c r="I17" s="18" t="s">
        <v>3179</v>
      </c>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0"/>
    </row>
    <row r="19" spans="1:20" ht="15.95" customHeight="1" x14ac:dyDescent="0.25">
      <c r="A19" s="18" t="s">
        <v>802</v>
      </c>
      <c r="B19" s="16"/>
      <c r="C19" s="18" t="s">
        <v>1930</v>
      </c>
      <c r="D19" s="16"/>
      <c r="E19" s="18" t="s">
        <v>2649</v>
      </c>
      <c r="F19" s="16"/>
      <c r="G19" s="18" t="s">
        <v>1192</v>
      </c>
      <c r="H19" s="16"/>
      <c r="I19" s="18" t="s">
        <v>3375</v>
      </c>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0"/>
    </row>
    <row r="21" spans="1:20" ht="15.95" customHeight="1" x14ac:dyDescent="0.25">
      <c r="A21" s="18" t="s">
        <v>75</v>
      </c>
      <c r="B21" s="16"/>
      <c r="C21" s="18" t="s">
        <v>1813</v>
      </c>
      <c r="D21" s="16"/>
      <c r="E21" s="18" t="s">
        <v>2532</v>
      </c>
      <c r="F21" s="16"/>
      <c r="G21" s="18" t="s">
        <v>1081</v>
      </c>
      <c r="H21" s="16"/>
      <c r="I21" s="18" t="s">
        <v>3251</v>
      </c>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c r="L23" s="16">
        <f>K23</f>
        <v>0</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1" priority="2" stopIfTrue="1">
      <formula>NOT(ISERROR(A3))</formula>
    </cfRule>
  </conditionalFormatting>
  <conditionalFormatting sqref="A3:T51">
    <cfRule type="containsErrors" dxfId="120" priority="1" stopIfTrue="1">
      <formula>ISERROR(A3)</formula>
    </cfRule>
    <cfRule type="notContainsBlanks" dxfId="119"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I3" sqref="I3:I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c r="L7" s="16"/>
      <c r="M7" s="18"/>
      <c r="N7" s="16"/>
      <c r="O7" s="18"/>
      <c r="P7" s="16"/>
      <c r="Q7" s="18"/>
      <c r="R7" s="16"/>
      <c r="S7" s="18"/>
      <c r="T7" s="20"/>
    </row>
    <row r="8" spans="1:20" ht="15.95" customHeight="1" x14ac:dyDescent="0.25">
      <c r="A8" s="18" t="s">
        <v>798</v>
      </c>
      <c r="B8" s="16"/>
      <c r="C8" s="18" t="s">
        <v>1934</v>
      </c>
      <c r="D8" s="16"/>
      <c r="E8" s="18" t="s">
        <v>2653</v>
      </c>
      <c r="F8" s="16"/>
      <c r="G8" s="18" t="s">
        <v>1196</v>
      </c>
      <c r="H8" s="16"/>
      <c r="I8" s="18" t="s">
        <v>3379</v>
      </c>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20"/>
    </row>
    <row r="11" spans="1:20" ht="15.95" customHeight="1" x14ac:dyDescent="0.25">
      <c r="A11" s="18" t="s">
        <v>136</v>
      </c>
      <c r="B11" s="16"/>
      <c r="C11" s="18" t="s">
        <v>1619</v>
      </c>
      <c r="D11" s="16"/>
      <c r="E11" s="18" t="s">
        <v>2366</v>
      </c>
      <c r="F11" s="16"/>
      <c r="G11" s="18" t="s">
        <v>893</v>
      </c>
      <c r="H11" s="16"/>
      <c r="I11" s="18" t="s">
        <v>3080</v>
      </c>
      <c r="J11" s="16"/>
      <c r="K11" s="18"/>
      <c r="L11" s="16"/>
      <c r="M11" s="18"/>
      <c r="N11" s="16"/>
      <c r="O11" s="18"/>
      <c r="P11" s="16"/>
      <c r="Q11" s="18"/>
      <c r="R11" s="16"/>
      <c r="S11" s="18"/>
      <c r="T11" s="20"/>
    </row>
    <row r="12" spans="1:20" ht="15.95" customHeight="1" x14ac:dyDescent="0.25">
      <c r="A12" s="18" t="s">
        <v>799</v>
      </c>
      <c r="B12" s="16"/>
      <c r="C12" s="18" t="s">
        <v>799</v>
      </c>
      <c r="D12" s="16"/>
      <c r="E12" s="18" t="s">
        <v>2654</v>
      </c>
      <c r="F12" s="16"/>
      <c r="G12" s="18" t="s">
        <v>1197</v>
      </c>
      <c r="H12" s="16"/>
      <c r="I12" s="18" t="s">
        <v>3380</v>
      </c>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0"/>
    </row>
    <row r="14" spans="1:20" ht="15.95" customHeight="1" x14ac:dyDescent="0.25">
      <c r="A14" s="18" t="s">
        <v>800</v>
      </c>
      <c r="B14" s="16"/>
      <c r="C14" s="18" t="s">
        <v>1935</v>
      </c>
      <c r="D14" s="16"/>
      <c r="E14" s="18" t="s">
        <v>2655</v>
      </c>
      <c r="F14" s="16"/>
      <c r="G14" s="18" t="s">
        <v>1198</v>
      </c>
      <c r="H14" s="16"/>
      <c r="I14" s="18" t="s">
        <v>3381</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801</v>
      </c>
      <c r="B16" s="16"/>
      <c r="C16" s="18" t="s">
        <v>1936</v>
      </c>
      <c r="D16" s="16"/>
      <c r="E16" s="18" t="s">
        <v>2656</v>
      </c>
      <c r="F16" s="16"/>
      <c r="G16" s="18" t="s">
        <v>1199</v>
      </c>
      <c r="H16" s="16"/>
      <c r="I16" s="18" t="s">
        <v>3382</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802</v>
      </c>
      <c r="B18" s="16"/>
      <c r="C18" s="18" t="s">
        <v>1930</v>
      </c>
      <c r="D18" s="16"/>
      <c r="E18" s="18" t="s">
        <v>2649</v>
      </c>
      <c r="F18" s="16"/>
      <c r="G18" s="18" t="s">
        <v>1192</v>
      </c>
      <c r="H18" s="16"/>
      <c r="I18" s="18" t="s">
        <v>3375</v>
      </c>
      <c r="J18" s="16"/>
      <c r="K18" s="18"/>
      <c r="L18" s="16"/>
      <c r="M18" s="18"/>
      <c r="N18" s="16"/>
      <c r="O18" s="18"/>
      <c r="P18" s="16"/>
      <c r="Q18" s="18"/>
      <c r="R18" s="16"/>
      <c r="S18" s="18"/>
      <c r="T18" s="20"/>
    </row>
    <row r="19" spans="1:20" ht="15.95" customHeight="1" x14ac:dyDescent="0.25">
      <c r="A19" s="18" t="s">
        <v>803</v>
      </c>
      <c r="B19" s="16"/>
      <c r="C19" s="18" t="s">
        <v>1937</v>
      </c>
      <c r="D19" s="16"/>
      <c r="E19" s="18" t="s">
        <v>2657</v>
      </c>
      <c r="F19" s="16"/>
      <c r="G19" s="18" t="s">
        <v>1200</v>
      </c>
      <c r="H19" s="16"/>
      <c r="I19" s="18" t="s">
        <v>3383</v>
      </c>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0"/>
    </row>
    <row r="21" spans="1:20" ht="15.95" customHeight="1" x14ac:dyDescent="0.25">
      <c r="A21" s="18" t="s">
        <v>804</v>
      </c>
      <c r="B21" s="16"/>
      <c r="C21" s="18" t="s">
        <v>1938</v>
      </c>
      <c r="D21" s="16"/>
      <c r="E21" s="18" t="s">
        <v>2658</v>
      </c>
      <c r="F21" s="16"/>
      <c r="G21" s="18" t="s">
        <v>1201</v>
      </c>
      <c r="H21" s="16"/>
      <c r="I21" s="18" t="s">
        <v>3384</v>
      </c>
      <c r="J21" s="16"/>
      <c r="K21" s="18"/>
      <c r="L21" s="16"/>
      <c r="M21" s="18"/>
      <c r="N21" s="16"/>
      <c r="O21" s="18"/>
      <c r="P21" s="16"/>
      <c r="Q21" s="18"/>
      <c r="R21" s="16"/>
      <c r="S21" s="18"/>
      <c r="T21" s="20"/>
    </row>
    <row r="22" spans="1:20" ht="15.95" customHeight="1" x14ac:dyDescent="0.25">
      <c r="A22" s="18" t="s">
        <v>805</v>
      </c>
      <c r="B22" s="16"/>
      <c r="C22" s="18" t="s">
        <v>1939</v>
      </c>
      <c r="D22" s="16"/>
      <c r="E22" s="18" t="s">
        <v>2659</v>
      </c>
      <c r="F22" s="16"/>
      <c r="G22" s="18" t="s">
        <v>1202</v>
      </c>
      <c r="H22" s="16"/>
      <c r="I22" s="18" t="s">
        <v>3385</v>
      </c>
      <c r="J22" s="16"/>
      <c r="K22" s="18"/>
      <c r="L22" s="16"/>
      <c r="M22" s="18"/>
      <c r="N22" s="16"/>
      <c r="O22" s="18"/>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c r="L24" s="16">
        <f>K24</f>
        <v>0</v>
      </c>
      <c r="M24" s="18"/>
      <c r="N24" s="16">
        <f>M24</f>
        <v>0</v>
      </c>
      <c r="O24" s="18"/>
      <c r="P24" s="16">
        <f>O24</f>
        <v>0</v>
      </c>
      <c r="Q24" s="18"/>
      <c r="R24" s="16">
        <f>Q24</f>
        <v>0</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7" priority="2" stopIfTrue="1">
      <formula>NOT(ISERROR(A3))</formula>
    </cfRule>
  </conditionalFormatting>
  <conditionalFormatting sqref="A3:T51">
    <cfRule type="containsErrors" dxfId="116" priority="1" stopIfTrue="1">
      <formula>ISERROR(A3)</formula>
    </cfRule>
    <cfRule type="notContainsBlanks" dxfId="11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861</v>
      </c>
      <c r="B8" s="16"/>
      <c r="C8" s="18" t="s">
        <v>1944</v>
      </c>
      <c r="D8" s="16"/>
      <c r="E8" s="18" t="s">
        <v>2664</v>
      </c>
      <c r="F8" s="16"/>
      <c r="G8" s="18" t="s">
        <v>1207</v>
      </c>
      <c r="H8" s="16"/>
      <c r="I8" s="18" t="s">
        <v>3390</v>
      </c>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20"/>
    </row>
    <row r="11" spans="1:20" ht="15.95" customHeight="1" x14ac:dyDescent="0.25">
      <c r="A11" s="18" t="s">
        <v>475</v>
      </c>
      <c r="B11" s="16"/>
      <c r="C11" s="18" t="s">
        <v>1817</v>
      </c>
      <c r="D11" s="16"/>
      <c r="E11" s="18" t="s">
        <v>2536</v>
      </c>
      <c r="F11" s="16"/>
      <c r="G11" s="18" t="s">
        <v>1085</v>
      </c>
      <c r="H11" s="16"/>
      <c r="I11" s="18" t="s">
        <v>3256</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283</v>
      </c>
      <c r="B13" s="16"/>
      <c r="C13" s="18" t="s">
        <v>1759</v>
      </c>
      <c r="D13" s="16"/>
      <c r="E13" s="18" t="s">
        <v>2478</v>
      </c>
      <c r="F13" s="16"/>
      <c r="G13" s="18" t="s">
        <v>1027</v>
      </c>
      <c r="H13" s="16"/>
      <c r="I13" s="18" t="s">
        <v>3196</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862</v>
      </c>
      <c r="B15" s="16"/>
      <c r="C15" s="18" t="s">
        <v>1945</v>
      </c>
      <c r="D15" s="16"/>
      <c r="E15" s="18" t="s">
        <v>2665</v>
      </c>
      <c r="F15" s="16"/>
      <c r="G15" s="18" t="s">
        <v>1208</v>
      </c>
      <c r="H15" s="16"/>
      <c r="I15" s="18" t="s">
        <v>3391</v>
      </c>
      <c r="J15" s="16"/>
      <c r="K15" s="18"/>
      <c r="L15" s="16"/>
      <c r="M15" s="18"/>
      <c r="N15" s="16"/>
      <c r="O15" s="18"/>
      <c r="P15" s="16"/>
      <c r="Q15" s="18"/>
      <c r="R15" s="16"/>
      <c r="S15" s="18"/>
      <c r="T15" s="20"/>
    </row>
    <row r="16" spans="1:20" ht="15.95" customHeight="1" x14ac:dyDescent="0.25">
      <c r="A16" s="18" t="s">
        <v>863</v>
      </c>
      <c r="B16" s="16"/>
      <c r="C16" s="18" t="s">
        <v>1946</v>
      </c>
      <c r="D16" s="16"/>
      <c r="E16" s="18" t="s">
        <v>2666</v>
      </c>
      <c r="F16" s="16"/>
      <c r="G16" s="18" t="s">
        <v>1209</v>
      </c>
      <c r="H16" s="16"/>
      <c r="I16" s="18" t="s">
        <v>3392</v>
      </c>
      <c r="J16" s="16"/>
      <c r="K16" s="18"/>
      <c r="L16" s="16"/>
      <c r="M16" s="18"/>
      <c r="N16" s="16"/>
      <c r="O16" s="18"/>
      <c r="P16" s="16"/>
      <c r="Q16" s="18"/>
      <c r="R16" s="16"/>
      <c r="S16" s="18"/>
      <c r="T16" s="20"/>
    </row>
    <row r="17" spans="1:20" ht="15.95" customHeight="1" x14ac:dyDescent="0.25">
      <c r="A17" s="18" t="s">
        <v>864</v>
      </c>
      <c r="B17" s="16"/>
      <c r="C17" s="18" t="s">
        <v>1947</v>
      </c>
      <c r="D17" s="16"/>
      <c r="E17" s="18" t="s">
        <v>2667</v>
      </c>
      <c r="F17" s="16"/>
      <c r="G17" s="18" t="s">
        <v>1210</v>
      </c>
      <c r="H17" s="16"/>
      <c r="I17" s="18" t="s">
        <v>3393</v>
      </c>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0"/>
    </row>
    <row r="19" spans="1:20" ht="15.95" customHeight="1" x14ac:dyDescent="0.25">
      <c r="A19" s="18" t="s">
        <v>865</v>
      </c>
      <c r="B19" s="16"/>
      <c r="C19" s="18" t="s">
        <v>1948</v>
      </c>
      <c r="D19" s="16"/>
      <c r="E19" s="18" t="s">
        <v>2668</v>
      </c>
      <c r="F19" s="16"/>
      <c r="G19" s="18" t="s">
        <v>1211</v>
      </c>
      <c r="H19" s="16"/>
      <c r="I19" s="18" t="s">
        <v>3394</v>
      </c>
      <c r="J19" s="16"/>
      <c r="K19" s="18"/>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0"/>
    </row>
    <row r="21" spans="1:20" ht="15.95" customHeight="1" x14ac:dyDescent="0.25">
      <c r="A21" s="18" t="s">
        <v>866</v>
      </c>
      <c r="B21" s="16"/>
      <c r="C21" s="18" t="s">
        <v>1949</v>
      </c>
      <c r="D21" s="16"/>
      <c r="E21" s="18" t="s">
        <v>2669</v>
      </c>
      <c r="F21" s="16"/>
      <c r="G21" s="18" t="s">
        <v>1212</v>
      </c>
      <c r="H21" s="16"/>
      <c r="I21" s="18" t="s">
        <v>3395</v>
      </c>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4" priority="2" stopIfTrue="1">
      <formula>NOT(ISERROR(A3))</formula>
    </cfRule>
  </conditionalFormatting>
  <conditionalFormatting sqref="A3:T51">
    <cfRule type="containsErrors" dxfId="113" priority="1" stopIfTrue="1">
      <formula>ISERROR(A3)</formula>
    </cfRule>
    <cfRule type="notContainsBlanks" dxfId="11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I3" sqref="I3:I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110</v>
      </c>
      <c r="B8" s="16"/>
      <c r="C8" s="18" t="s">
        <v>1618</v>
      </c>
      <c r="D8" s="16"/>
      <c r="E8" s="18" t="s">
        <v>2337</v>
      </c>
      <c r="F8" s="16"/>
      <c r="G8" s="18" t="s">
        <v>5</v>
      </c>
      <c r="H8" s="16"/>
      <c r="I8" s="18" t="s">
        <v>3047</v>
      </c>
      <c r="J8" s="16"/>
      <c r="K8" s="18"/>
      <c r="L8" s="16"/>
      <c r="M8" s="18"/>
      <c r="N8" s="16"/>
      <c r="O8" s="18"/>
      <c r="P8" s="16"/>
      <c r="Q8" s="18"/>
      <c r="R8" s="16"/>
      <c r="S8" s="18"/>
      <c r="T8" s="16"/>
    </row>
    <row r="9" spans="1:20" ht="15.95" customHeight="1" x14ac:dyDescent="0.25">
      <c r="A9" s="18" t="s">
        <v>116</v>
      </c>
      <c r="B9" s="16"/>
      <c r="C9" s="18" t="s">
        <v>1953</v>
      </c>
      <c r="D9" s="16"/>
      <c r="E9" s="18" t="s">
        <v>2673</v>
      </c>
      <c r="F9" s="16"/>
      <c r="G9" s="18" t="s">
        <v>1213</v>
      </c>
      <c r="H9" s="16"/>
      <c r="I9" s="18" t="s">
        <v>3399</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117</v>
      </c>
      <c r="B11" s="16"/>
      <c r="C11" s="18" t="s">
        <v>1742</v>
      </c>
      <c r="D11" s="16"/>
      <c r="E11" s="18" t="s">
        <v>2461</v>
      </c>
      <c r="F11" s="16"/>
      <c r="G11" s="18" t="s">
        <v>1010</v>
      </c>
      <c r="H11" s="16"/>
      <c r="I11" s="18" t="s">
        <v>3179</v>
      </c>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1"/>
    </row>
    <row r="13" spans="1:20" ht="15.95" customHeight="1" x14ac:dyDescent="0.25">
      <c r="A13" s="18" t="s">
        <v>118</v>
      </c>
      <c r="B13" s="16"/>
      <c r="C13" s="18" t="s">
        <v>1954</v>
      </c>
      <c r="D13" s="16"/>
      <c r="E13" s="18" t="s">
        <v>2674</v>
      </c>
      <c r="F13" s="16"/>
      <c r="G13" s="18" t="s">
        <v>1214</v>
      </c>
      <c r="H13" s="16"/>
      <c r="I13" s="18" t="s">
        <v>3400</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119</v>
      </c>
      <c r="B15" s="16"/>
      <c r="C15" s="18" t="s">
        <v>1955</v>
      </c>
      <c r="D15" s="16"/>
      <c r="E15" s="18" t="s">
        <v>2675</v>
      </c>
      <c r="F15" s="16"/>
      <c r="G15" s="18" t="s">
        <v>1215</v>
      </c>
      <c r="H15" s="16"/>
      <c r="I15" s="18" t="s">
        <v>3401</v>
      </c>
      <c r="J15" s="16"/>
      <c r="K15" s="18"/>
      <c r="L15" s="16"/>
      <c r="M15" s="18"/>
      <c r="N15" s="16"/>
      <c r="O15" s="18"/>
      <c r="P15" s="16"/>
      <c r="Q15" s="18"/>
      <c r="R15" s="16"/>
      <c r="S15" s="18"/>
      <c r="T15" s="21"/>
    </row>
    <row r="16" spans="1:20" ht="15.95" customHeight="1" x14ac:dyDescent="0.25">
      <c r="A16" s="18" t="s">
        <v>120</v>
      </c>
      <c r="B16" s="16"/>
      <c r="C16" s="18" t="s">
        <v>1956</v>
      </c>
      <c r="D16" s="16"/>
      <c r="E16" s="18" t="s">
        <v>2676</v>
      </c>
      <c r="F16" s="16"/>
      <c r="G16" s="18" t="s">
        <v>1216</v>
      </c>
      <c r="H16" s="16"/>
      <c r="I16" s="18" t="s">
        <v>3402</v>
      </c>
      <c r="J16" s="16"/>
      <c r="K16" s="18"/>
      <c r="L16" s="16"/>
      <c r="M16" s="18"/>
      <c r="N16" s="16"/>
      <c r="O16" s="18"/>
      <c r="P16" s="16"/>
      <c r="Q16" s="18"/>
      <c r="R16" s="16"/>
      <c r="S16" s="18"/>
      <c r="T16" s="21"/>
    </row>
    <row r="17" spans="1:20" ht="15.95" customHeight="1" x14ac:dyDescent="0.25">
      <c r="A17" s="18" t="s">
        <v>121</v>
      </c>
      <c r="B17" s="16"/>
      <c r="C17" s="18" t="s">
        <v>1957</v>
      </c>
      <c r="D17" s="16"/>
      <c r="E17" s="18" t="s">
        <v>2677</v>
      </c>
      <c r="F17" s="16"/>
      <c r="G17" s="18" t="s">
        <v>1217</v>
      </c>
      <c r="H17" s="16"/>
      <c r="I17" s="18" t="s">
        <v>3403</v>
      </c>
      <c r="J17" s="16"/>
      <c r="K17" s="18"/>
      <c r="L17" s="16"/>
      <c r="M17" s="18"/>
      <c r="N17" s="16"/>
      <c r="O17" s="18"/>
      <c r="P17" s="16"/>
      <c r="Q17" s="18"/>
      <c r="R17" s="16"/>
      <c r="S17" s="18"/>
      <c r="T17" s="21"/>
    </row>
    <row r="18" spans="1:20" ht="15.95" customHeight="1" x14ac:dyDescent="0.25">
      <c r="A18" s="18" t="s">
        <v>122</v>
      </c>
      <c r="B18" s="16"/>
      <c r="C18" s="18" t="s">
        <v>1958</v>
      </c>
      <c r="D18" s="16"/>
      <c r="E18" s="18" t="s">
        <v>2678</v>
      </c>
      <c r="F18" s="16"/>
      <c r="G18" s="18" t="s">
        <v>8</v>
      </c>
      <c r="H18" s="16"/>
      <c r="I18" s="18" t="s">
        <v>3404</v>
      </c>
      <c r="J18" s="16"/>
      <c r="K18" s="18"/>
      <c r="L18" s="16"/>
      <c r="M18" s="18"/>
      <c r="N18" s="16"/>
      <c r="O18" s="18"/>
      <c r="P18" s="16"/>
      <c r="Q18" s="18"/>
      <c r="R18" s="16"/>
      <c r="S18" s="18"/>
      <c r="T18" s="21"/>
    </row>
    <row r="19" spans="1:20" ht="15.95" customHeight="1" x14ac:dyDescent="0.25">
      <c r="A19" s="18" t="s">
        <v>123</v>
      </c>
      <c r="B19" s="16"/>
      <c r="C19" s="18" t="s">
        <v>1959</v>
      </c>
      <c r="D19" s="16"/>
      <c r="E19" s="18" t="s">
        <v>2679</v>
      </c>
      <c r="F19" s="16"/>
      <c r="G19" s="18" t="s">
        <v>1218</v>
      </c>
      <c r="H19" s="16"/>
      <c r="I19" s="18" t="s">
        <v>3405</v>
      </c>
      <c r="J19" s="16"/>
      <c r="K19" s="18"/>
      <c r="L19" s="16"/>
      <c r="M19" s="18"/>
      <c r="N19" s="16"/>
      <c r="O19" s="18"/>
      <c r="P19" s="16"/>
      <c r="Q19" s="18"/>
      <c r="R19" s="16"/>
      <c r="S19" s="18"/>
      <c r="T19" s="21"/>
    </row>
    <row r="20" spans="1:20" ht="15.95" customHeight="1" x14ac:dyDescent="0.25">
      <c r="A20" s="18" t="s">
        <v>124</v>
      </c>
      <c r="B20" s="16"/>
      <c r="C20" s="18" t="s">
        <v>1960</v>
      </c>
      <c r="D20" s="16"/>
      <c r="E20" s="18" t="s">
        <v>2680</v>
      </c>
      <c r="F20" s="16"/>
      <c r="G20" s="18" t="s">
        <v>9</v>
      </c>
      <c r="H20" s="16"/>
      <c r="I20" s="18" t="s">
        <v>3406</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125</v>
      </c>
      <c r="B22" s="16"/>
      <c r="C22" s="18" t="s">
        <v>1961</v>
      </c>
      <c r="D22" s="16"/>
      <c r="E22" s="18" t="s">
        <v>2681</v>
      </c>
      <c r="F22" s="16"/>
      <c r="G22" s="18" t="s">
        <v>10</v>
      </c>
      <c r="H22" s="16"/>
      <c r="I22" s="18" t="s">
        <v>3407</v>
      </c>
      <c r="J22" s="16"/>
      <c r="K22" s="18"/>
      <c r="L22" s="16"/>
      <c r="M22" s="18"/>
      <c r="N22" s="16"/>
      <c r="O22" s="18"/>
      <c r="P22" s="16"/>
      <c r="Q22" s="18"/>
      <c r="R22" s="16"/>
      <c r="S22" s="18"/>
      <c r="T22" s="21"/>
    </row>
    <row r="23" spans="1:20" ht="15.95" customHeight="1" x14ac:dyDescent="0.25">
      <c r="A23" s="18" t="s">
        <v>126</v>
      </c>
      <c r="B23" s="16"/>
      <c r="C23" s="18" t="s">
        <v>1962</v>
      </c>
      <c r="D23" s="16"/>
      <c r="E23" s="18" t="s">
        <v>2682</v>
      </c>
      <c r="F23" s="16"/>
      <c r="G23" s="18" t="s">
        <v>11</v>
      </c>
      <c r="H23" s="16"/>
      <c r="I23" s="18" t="s">
        <v>3408</v>
      </c>
      <c r="J23" s="16"/>
      <c r="K23" s="18"/>
      <c r="L23" s="16"/>
      <c r="M23" s="18"/>
      <c r="N23" s="16"/>
      <c r="O23" s="18"/>
      <c r="P23" s="16"/>
      <c r="Q23" s="18"/>
      <c r="R23" s="16"/>
      <c r="S23" s="18"/>
      <c r="T23" s="21"/>
    </row>
    <row r="24" spans="1:20" ht="15.95" customHeight="1" x14ac:dyDescent="0.25">
      <c r="A24" s="18" t="s">
        <v>127</v>
      </c>
      <c r="B24" s="16"/>
      <c r="C24" s="18" t="s">
        <v>1963</v>
      </c>
      <c r="D24" s="16"/>
      <c r="E24" s="18" t="s">
        <v>2683</v>
      </c>
      <c r="F24" s="16"/>
      <c r="G24" s="18" t="s">
        <v>12</v>
      </c>
      <c r="H24" s="16"/>
      <c r="I24" s="18" t="s">
        <v>3409</v>
      </c>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1" priority="1" stopIfTrue="1">
      <formula>NOT(ISERROR(A3))</formula>
    </cfRule>
  </conditionalFormatting>
  <conditionalFormatting sqref="A3:T51">
    <cfRule type="containsErrors" dxfId="110" priority="4" stopIfTrue="1">
      <formula>ISERROR(A3)</formula>
    </cfRule>
    <cfRule type="notContainsBlanks" dxfId="10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I3" sqref="I3:I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447</v>
      </c>
      <c r="B8" s="16"/>
      <c r="C8" s="18" t="s">
        <v>1965</v>
      </c>
      <c r="D8" s="16"/>
      <c r="E8" s="18" t="s">
        <v>2686</v>
      </c>
      <c r="F8" s="16"/>
      <c r="G8" s="18" t="s">
        <v>1221</v>
      </c>
      <c r="H8" s="16"/>
      <c r="I8" s="18" t="s">
        <v>3412</v>
      </c>
      <c r="J8" s="16"/>
      <c r="K8" s="18"/>
      <c r="L8" s="16"/>
      <c r="M8" s="18"/>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16"/>
    </row>
    <row r="10" spans="1:20" ht="15.95" customHeight="1" x14ac:dyDescent="0.25">
      <c r="A10" s="18" t="s">
        <v>448</v>
      </c>
      <c r="B10" s="16"/>
      <c r="C10" s="18" t="s">
        <v>1966</v>
      </c>
      <c r="D10" s="16"/>
      <c r="E10" s="18" t="s">
        <v>2687</v>
      </c>
      <c r="F10" s="16"/>
      <c r="G10" s="18" t="s">
        <v>1222</v>
      </c>
      <c r="H10" s="16"/>
      <c r="I10" s="18" t="s">
        <v>3413</v>
      </c>
      <c r="J10" s="16"/>
      <c r="K10" s="18"/>
      <c r="L10" s="16"/>
      <c r="M10" s="18"/>
      <c r="N10" s="16"/>
      <c r="O10" s="18"/>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c r="L11" s="16"/>
      <c r="M11" s="18"/>
      <c r="N11" s="16"/>
      <c r="O11" s="18"/>
      <c r="P11" s="16"/>
      <c r="Q11" s="18"/>
      <c r="R11" s="16"/>
      <c r="S11" s="18"/>
      <c r="T11" s="16"/>
    </row>
    <row r="12" spans="1:20" ht="15.95" customHeight="1" x14ac:dyDescent="0.25">
      <c r="A12" s="18" t="s">
        <v>449</v>
      </c>
      <c r="B12" s="16"/>
      <c r="C12" s="18" t="s">
        <v>1819</v>
      </c>
      <c r="D12" s="16"/>
      <c r="E12" s="18" t="s">
        <v>2538</v>
      </c>
      <c r="F12" s="16"/>
      <c r="G12" s="18" t="s">
        <v>7</v>
      </c>
      <c r="H12" s="16"/>
      <c r="I12" s="18" t="s">
        <v>3258</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450</v>
      </c>
      <c r="B14" s="16"/>
      <c r="C14" s="18" t="s">
        <v>1967</v>
      </c>
      <c r="D14" s="16"/>
      <c r="E14" s="18" t="s">
        <v>2688</v>
      </c>
      <c r="F14" s="16"/>
      <c r="G14" s="18" t="s">
        <v>1223</v>
      </c>
      <c r="H14" s="16"/>
      <c r="I14" s="18" t="s">
        <v>3414</v>
      </c>
      <c r="J14" s="16"/>
      <c r="K14" s="18"/>
      <c r="L14" s="16"/>
      <c r="M14" s="18"/>
      <c r="N14" s="16"/>
      <c r="O14" s="18"/>
      <c r="P14" s="16"/>
      <c r="Q14" s="18"/>
      <c r="R14" s="16"/>
      <c r="S14" s="18"/>
      <c r="T14" s="21"/>
    </row>
    <row r="15" spans="1:20" ht="15.95" customHeight="1" x14ac:dyDescent="0.25">
      <c r="A15" s="18" t="s">
        <v>451</v>
      </c>
      <c r="B15" s="16"/>
      <c r="C15" s="18" t="s">
        <v>1968</v>
      </c>
      <c r="D15" s="16"/>
      <c r="E15" s="18" t="s">
        <v>2689</v>
      </c>
      <c r="F15" s="16"/>
      <c r="G15" s="18" t="s">
        <v>1224</v>
      </c>
      <c r="H15" s="16"/>
      <c r="I15" s="18" t="s">
        <v>3415</v>
      </c>
      <c r="J15" s="16"/>
      <c r="K15" s="18"/>
      <c r="L15" s="16"/>
      <c r="M15" s="18"/>
      <c r="N15" s="16"/>
      <c r="O15" s="18"/>
      <c r="P15" s="16"/>
      <c r="Q15" s="18"/>
      <c r="R15" s="16"/>
      <c r="S15" s="18"/>
      <c r="T15" s="21"/>
    </row>
    <row r="16" spans="1:20" ht="15.95" customHeight="1" x14ac:dyDescent="0.25">
      <c r="A16" s="18" t="s">
        <v>452</v>
      </c>
      <c r="B16" s="16"/>
      <c r="C16" s="18" t="s">
        <v>1969</v>
      </c>
      <c r="D16" s="16"/>
      <c r="E16" s="18" t="s">
        <v>2690</v>
      </c>
      <c r="F16" s="16"/>
      <c r="G16" s="18" t="s">
        <v>1225</v>
      </c>
      <c r="H16" s="16"/>
      <c r="I16" s="18" t="s">
        <v>3416</v>
      </c>
      <c r="J16" s="16"/>
      <c r="K16" s="18"/>
      <c r="L16" s="16"/>
      <c r="M16" s="18"/>
      <c r="N16" s="16"/>
      <c r="O16" s="18"/>
      <c r="P16" s="16"/>
      <c r="Q16" s="18"/>
      <c r="R16" s="16"/>
      <c r="S16" s="18"/>
      <c r="T16" s="21"/>
    </row>
    <row r="17" spans="1:20" ht="15.95" customHeight="1" x14ac:dyDescent="0.25">
      <c r="A17" s="18" t="s">
        <v>453</v>
      </c>
      <c r="B17" s="16"/>
      <c r="C17" s="18" t="s">
        <v>1970</v>
      </c>
      <c r="D17" s="16"/>
      <c r="E17" s="18" t="s">
        <v>2691</v>
      </c>
      <c r="F17" s="16"/>
      <c r="G17" s="18" t="s">
        <v>1226</v>
      </c>
      <c r="H17" s="16"/>
      <c r="I17" s="18" t="s">
        <v>3417</v>
      </c>
      <c r="J17" s="16"/>
      <c r="K17" s="18"/>
      <c r="L17" s="16"/>
      <c r="M17" s="18"/>
      <c r="N17" s="16"/>
      <c r="O17" s="18"/>
      <c r="P17" s="16"/>
      <c r="Q17" s="18"/>
      <c r="R17" s="16"/>
      <c r="S17" s="18"/>
      <c r="T17" s="21"/>
    </row>
    <row r="18" spans="1:20" ht="15.95" customHeight="1" x14ac:dyDescent="0.25">
      <c r="A18" s="18" t="s">
        <v>454</v>
      </c>
      <c r="B18" s="16"/>
      <c r="C18" s="18" t="s">
        <v>1971</v>
      </c>
      <c r="D18" s="16"/>
      <c r="E18" s="18" t="s">
        <v>2692</v>
      </c>
      <c r="F18" s="16"/>
      <c r="G18" s="18" t="s">
        <v>1227</v>
      </c>
      <c r="H18" s="16"/>
      <c r="I18" s="18" t="s">
        <v>3418</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455</v>
      </c>
      <c r="B20" s="16"/>
      <c r="C20" s="18" t="s">
        <v>1972</v>
      </c>
      <c r="D20" s="16"/>
      <c r="E20" s="18" t="s">
        <v>2693</v>
      </c>
      <c r="F20" s="16"/>
      <c r="G20" s="18" t="s">
        <v>1228</v>
      </c>
      <c r="H20" s="16"/>
      <c r="I20" s="18" t="s">
        <v>3419</v>
      </c>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8" priority="2" stopIfTrue="1">
      <formula>NOT(ISERROR(A3))</formula>
    </cfRule>
  </conditionalFormatting>
  <conditionalFormatting sqref="A3:T51">
    <cfRule type="containsErrors" dxfId="107" priority="1" stopIfTrue="1">
      <formula>ISERROR(A3)</formula>
    </cfRule>
    <cfRule type="notContainsBlanks" dxfId="10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I3" sqref="I3:I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430</v>
      </c>
      <c r="B8" s="16"/>
      <c r="C8" s="18" t="s">
        <v>1976</v>
      </c>
      <c r="D8" s="16"/>
      <c r="E8" s="18" t="s">
        <v>2697</v>
      </c>
      <c r="F8" s="16"/>
      <c r="G8" s="18" t="s">
        <v>1232</v>
      </c>
      <c r="H8" s="16"/>
      <c r="I8" s="18" t="s">
        <v>3423</v>
      </c>
      <c r="J8" s="16"/>
      <c r="K8" s="18"/>
      <c r="L8" s="16"/>
      <c r="M8" s="18"/>
      <c r="N8" s="16"/>
      <c r="O8" s="18"/>
      <c r="P8" s="16"/>
      <c r="Q8" s="18"/>
      <c r="R8" s="16"/>
      <c r="S8" s="18"/>
      <c r="T8" s="16"/>
    </row>
    <row r="9" spans="1:20" ht="15.95" customHeight="1" x14ac:dyDescent="0.25">
      <c r="A9" s="18" t="s">
        <v>431</v>
      </c>
      <c r="B9" s="16"/>
      <c r="C9" s="18" t="s">
        <v>1977</v>
      </c>
      <c r="D9" s="16"/>
      <c r="E9" s="18" t="s">
        <v>2698</v>
      </c>
      <c r="F9" s="16"/>
      <c r="G9" s="18" t="s">
        <v>1233</v>
      </c>
      <c r="H9" s="16"/>
      <c r="I9" s="18" t="s">
        <v>3424</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c r="L11" s="16"/>
      <c r="M11" s="18"/>
      <c r="N11" s="16"/>
      <c r="O11" s="18"/>
      <c r="P11" s="16"/>
      <c r="Q11" s="18"/>
      <c r="R11" s="16"/>
      <c r="S11" s="18"/>
      <c r="T11" s="16"/>
    </row>
    <row r="12" spans="1:20" ht="15.95" customHeight="1" x14ac:dyDescent="0.25">
      <c r="A12" s="18" t="s">
        <v>432</v>
      </c>
      <c r="B12" s="16"/>
      <c r="C12" s="18" t="s">
        <v>1978</v>
      </c>
      <c r="D12" s="16"/>
      <c r="E12" s="18" t="s">
        <v>2699</v>
      </c>
      <c r="F12" s="16"/>
      <c r="G12" s="18" t="s">
        <v>1234</v>
      </c>
      <c r="H12" s="16"/>
      <c r="I12" s="18" t="s">
        <v>3425</v>
      </c>
      <c r="J12" s="16"/>
      <c r="K12" s="18"/>
      <c r="L12" s="16"/>
      <c r="M12" s="18"/>
      <c r="N12" s="16"/>
      <c r="O12" s="18"/>
      <c r="P12" s="16"/>
      <c r="Q12" s="18"/>
      <c r="R12" s="16"/>
      <c r="S12" s="18"/>
      <c r="T12" s="21"/>
    </row>
    <row r="13" spans="1:20" ht="15.95" customHeight="1" x14ac:dyDescent="0.25">
      <c r="A13" s="18" t="s">
        <v>433</v>
      </c>
      <c r="B13" s="16"/>
      <c r="C13" s="18" t="s">
        <v>433</v>
      </c>
      <c r="D13" s="16"/>
      <c r="E13" s="18" t="s">
        <v>2700</v>
      </c>
      <c r="F13" s="16"/>
      <c r="G13" s="18" t="s">
        <v>1235</v>
      </c>
      <c r="H13" s="16"/>
      <c r="I13" s="18" t="s">
        <v>3426</v>
      </c>
      <c r="J13" s="16"/>
      <c r="K13" s="18"/>
      <c r="L13" s="16"/>
      <c r="M13" s="18"/>
      <c r="N13" s="16"/>
      <c r="O13" s="18"/>
      <c r="P13" s="16"/>
      <c r="Q13" s="18"/>
      <c r="R13" s="16"/>
      <c r="S13" s="18"/>
      <c r="T13" s="21"/>
    </row>
    <row r="14" spans="1:20" ht="15.95" customHeight="1" x14ac:dyDescent="0.25">
      <c r="A14" s="18" t="s">
        <v>434</v>
      </c>
      <c r="B14" s="16"/>
      <c r="C14" s="18" t="s">
        <v>1979</v>
      </c>
      <c r="D14" s="16"/>
      <c r="E14" s="18" t="s">
        <v>2701</v>
      </c>
      <c r="F14" s="16"/>
      <c r="G14" s="18" t="s">
        <v>434</v>
      </c>
      <c r="H14" s="16"/>
      <c r="I14" s="18" t="s">
        <v>3427</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435</v>
      </c>
      <c r="B16" s="16"/>
      <c r="C16" s="18" t="s">
        <v>1980</v>
      </c>
      <c r="D16" s="16"/>
      <c r="E16" s="18" t="s">
        <v>2702</v>
      </c>
      <c r="F16" s="16"/>
      <c r="G16" s="18" t="s">
        <v>1236</v>
      </c>
      <c r="H16" s="16"/>
      <c r="I16" s="18" t="s">
        <v>3428</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283</v>
      </c>
      <c r="B18" s="16"/>
      <c r="C18" s="18" t="s">
        <v>1759</v>
      </c>
      <c r="D18" s="16"/>
      <c r="E18" s="18" t="s">
        <v>2478</v>
      </c>
      <c r="F18" s="16"/>
      <c r="G18" s="18" t="s">
        <v>1027</v>
      </c>
      <c r="H18" s="16"/>
      <c r="I18" s="18" t="s">
        <v>3196</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436</v>
      </c>
      <c r="B20" s="16"/>
      <c r="C20" s="18" t="s">
        <v>1981</v>
      </c>
      <c r="D20" s="16"/>
      <c r="E20" s="18" t="s">
        <v>2703</v>
      </c>
      <c r="F20" s="16"/>
      <c r="G20" s="18" t="s">
        <v>1237</v>
      </c>
      <c r="H20" s="16"/>
      <c r="I20" s="18" t="s">
        <v>3429</v>
      </c>
      <c r="J20" s="16"/>
      <c r="K20" s="18"/>
      <c r="L20" s="16"/>
      <c r="M20" s="18"/>
      <c r="N20" s="16"/>
      <c r="O20" s="18"/>
      <c r="P20" s="16"/>
      <c r="Q20" s="18"/>
      <c r="R20" s="16"/>
      <c r="S20" s="18"/>
      <c r="T20" s="21"/>
    </row>
    <row r="21" spans="1:20" ht="15.95" customHeight="1" x14ac:dyDescent="0.25">
      <c r="A21" s="18" t="s">
        <v>437</v>
      </c>
      <c r="B21" s="16"/>
      <c r="C21" s="18" t="s">
        <v>1982</v>
      </c>
      <c r="D21" s="16"/>
      <c r="E21" s="18" t="s">
        <v>2704</v>
      </c>
      <c r="F21" s="16"/>
      <c r="G21" s="18" t="s">
        <v>1238</v>
      </c>
      <c r="H21" s="16"/>
      <c r="I21" s="18" t="s">
        <v>3430</v>
      </c>
      <c r="J21" s="16"/>
      <c r="K21" s="18"/>
      <c r="L21" s="16"/>
      <c r="M21" s="18"/>
      <c r="N21" s="16"/>
      <c r="O21" s="18"/>
      <c r="P21" s="16"/>
      <c r="Q21" s="18"/>
      <c r="R21" s="16"/>
      <c r="S21" s="18"/>
      <c r="T21" s="21"/>
    </row>
    <row r="22" spans="1:20" ht="15.95" customHeight="1" x14ac:dyDescent="0.25">
      <c r="A22" s="18" t="s">
        <v>438</v>
      </c>
      <c r="B22" s="16"/>
      <c r="C22" s="18" t="s">
        <v>1983</v>
      </c>
      <c r="D22" s="16"/>
      <c r="E22" s="18" t="s">
        <v>2705</v>
      </c>
      <c r="F22" s="16"/>
      <c r="G22" s="18" t="s">
        <v>1239</v>
      </c>
      <c r="H22" s="16"/>
      <c r="I22" s="18" t="s">
        <v>3431</v>
      </c>
      <c r="J22" s="16"/>
      <c r="K22" s="18"/>
      <c r="L22" s="16"/>
      <c r="M22" s="18"/>
      <c r="N22" s="16"/>
      <c r="O22" s="18"/>
      <c r="P22" s="16"/>
      <c r="Q22" s="18"/>
      <c r="R22" s="16"/>
      <c r="S22" s="18"/>
      <c r="T22" s="21"/>
    </row>
    <row r="23" spans="1:20" ht="15.95" customHeight="1" x14ac:dyDescent="0.25">
      <c r="A23" s="18" t="s">
        <v>439</v>
      </c>
      <c r="B23" s="16"/>
      <c r="C23" s="18" t="s">
        <v>1984</v>
      </c>
      <c r="D23" s="16"/>
      <c r="E23" s="18" t="s">
        <v>2706</v>
      </c>
      <c r="F23" s="16"/>
      <c r="G23" s="18" t="s">
        <v>1240</v>
      </c>
      <c r="H23" s="16"/>
      <c r="I23" s="18" t="s">
        <v>3432</v>
      </c>
      <c r="J23" s="16"/>
      <c r="K23" s="18"/>
      <c r="L23" s="16"/>
      <c r="M23" s="18"/>
      <c r="N23" s="16"/>
      <c r="O23" s="18"/>
      <c r="P23" s="16"/>
      <c r="Q23" s="18"/>
      <c r="R23" s="16"/>
      <c r="S23" s="18"/>
      <c r="T23" s="21"/>
    </row>
    <row r="24" spans="1:20" ht="15.95" customHeight="1" x14ac:dyDescent="0.25">
      <c r="A24" s="18" t="s">
        <v>440</v>
      </c>
      <c r="B24" s="16"/>
      <c r="C24" s="18" t="s">
        <v>1985</v>
      </c>
      <c r="D24" s="16"/>
      <c r="E24" s="18" t="s">
        <v>2707</v>
      </c>
      <c r="F24" s="16"/>
      <c r="G24" s="18" t="s">
        <v>1241</v>
      </c>
      <c r="H24" s="16"/>
      <c r="I24" s="18" t="s">
        <v>3433</v>
      </c>
      <c r="J24" s="16"/>
      <c r="K24" s="18"/>
      <c r="L24" s="16"/>
      <c r="M24" s="18"/>
      <c r="N24" s="16"/>
      <c r="O24" s="18"/>
      <c r="P24" s="16"/>
      <c r="Q24" s="18"/>
      <c r="R24" s="16"/>
      <c r="S24" s="18"/>
      <c r="T24" s="21"/>
    </row>
    <row r="25" spans="1:20" ht="15.95" customHeight="1" x14ac:dyDescent="0.25">
      <c r="A25" s="18" t="s">
        <v>441</v>
      </c>
      <c r="B25" s="16"/>
      <c r="C25" s="18" t="s">
        <v>1986</v>
      </c>
      <c r="D25" s="16"/>
      <c r="E25" s="18" t="s">
        <v>2708</v>
      </c>
      <c r="F25" s="16"/>
      <c r="G25" s="18" t="s">
        <v>1242</v>
      </c>
      <c r="H25" s="16"/>
      <c r="I25" s="18" t="s">
        <v>3434</v>
      </c>
      <c r="J25" s="16"/>
      <c r="K25" s="18"/>
      <c r="L25" s="16"/>
      <c r="M25" s="18"/>
      <c r="N25" s="16"/>
      <c r="O25" s="18"/>
      <c r="P25" s="16"/>
      <c r="Q25" s="18"/>
      <c r="R25" s="16"/>
      <c r="S25" s="18"/>
      <c r="T25" s="21"/>
    </row>
    <row r="26" spans="1:20" ht="15.95" customHeight="1" x14ac:dyDescent="0.25">
      <c r="A26" s="18" t="s">
        <v>442</v>
      </c>
      <c r="B26" s="16"/>
      <c r="C26" s="18" t="s">
        <v>1987</v>
      </c>
      <c r="D26" s="16"/>
      <c r="E26" s="18" t="s">
        <v>2709</v>
      </c>
      <c r="F26" s="16"/>
      <c r="G26" s="18" t="s">
        <v>1243</v>
      </c>
      <c r="H26" s="16"/>
      <c r="I26" s="18" t="s">
        <v>4</v>
      </c>
      <c r="J26" s="16"/>
      <c r="K26" s="18"/>
      <c r="L26" s="16"/>
      <c r="M26" s="18"/>
      <c r="N26" s="16"/>
      <c r="O26" s="18"/>
      <c r="P26" s="16"/>
      <c r="Q26" s="18"/>
      <c r="R26" s="16"/>
      <c r="S26" s="18"/>
      <c r="T26" s="21"/>
    </row>
    <row r="27" spans="1:20" ht="15.95" customHeight="1" x14ac:dyDescent="0.25">
      <c r="A27" s="18" t="s">
        <v>4</v>
      </c>
      <c r="B27" s="16"/>
      <c r="C27" s="18" t="s">
        <v>4</v>
      </c>
      <c r="D27" s="16"/>
      <c r="E27" s="18" t="s">
        <v>4</v>
      </c>
      <c r="F27" s="16"/>
      <c r="G27" s="18" t="s">
        <v>4</v>
      </c>
      <c r="H27" s="16"/>
      <c r="I27" s="18" t="s">
        <v>3435</v>
      </c>
      <c r="J27" s="16"/>
      <c r="K27" s="18"/>
      <c r="L27" s="16"/>
      <c r="M27" s="18"/>
      <c r="N27" s="16"/>
      <c r="O27" s="18"/>
      <c r="P27" s="16"/>
      <c r="Q27" s="18"/>
      <c r="R27" s="16"/>
      <c r="S27" s="18"/>
      <c r="T27" s="21"/>
    </row>
    <row r="28" spans="1:20" ht="15.95" customHeight="1" x14ac:dyDescent="0.25">
      <c r="A28" s="18" t="s">
        <v>443</v>
      </c>
      <c r="B28" s="16"/>
      <c r="C28" s="18" t="s">
        <v>1988</v>
      </c>
      <c r="D28" s="16"/>
      <c r="E28" s="18" t="s">
        <v>2710</v>
      </c>
      <c r="F28" s="16"/>
      <c r="G28" s="18" t="s">
        <v>1244</v>
      </c>
      <c r="H28" s="16"/>
      <c r="I28" s="18" t="s">
        <v>3436</v>
      </c>
      <c r="J28" s="16"/>
      <c r="K28" s="18"/>
      <c r="L28" s="16"/>
      <c r="M28" s="18"/>
      <c r="N28" s="16"/>
      <c r="O28" s="18"/>
      <c r="P28" s="16"/>
      <c r="Q28" s="18"/>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c r="L29" s="16"/>
      <c r="M29" s="18"/>
      <c r="N29" s="16"/>
      <c r="O29" s="18"/>
      <c r="P29" s="16"/>
      <c r="Q29" s="18"/>
      <c r="R29" s="16"/>
      <c r="S29" s="18"/>
      <c r="T29" s="21"/>
    </row>
    <row r="30" spans="1:20" ht="15.95" customHeight="1" x14ac:dyDescent="0.25">
      <c r="A30" s="18"/>
      <c r="B30" s="16"/>
      <c r="C30" s="18"/>
      <c r="D30" s="16"/>
      <c r="E30" s="18"/>
      <c r="F30" s="16"/>
      <c r="G30" s="18" t="s">
        <v>1246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5" priority="2" stopIfTrue="1">
      <formula>NOT(ISERROR(A3))</formula>
    </cfRule>
  </conditionalFormatting>
  <conditionalFormatting sqref="A3:T51">
    <cfRule type="containsErrors" dxfId="104" priority="1" stopIfTrue="1">
      <formula>ISERROR(A3)</formula>
    </cfRule>
    <cfRule type="notContainsBlanks" dxfId="10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I3" sqref="I3:I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371</v>
      </c>
      <c r="B8" s="16"/>
      <c r="C8" s="18" t="s">
        <v>1993</v>
      </c>
      <c r="D8" s="16"/>
      <c r="E8" s="18" t="s">
        <v>2714</v>
      </c>
      <c r="F8" s="16"/>
      <c r="G8" s="18" t="s">
        <v>1250</v>
      </c>
      <c r="H8" s="16"/>
      <c r="I8" s="18" t="s">
        <v>3441</v>
      </c>
      <c r="J8" s="16"/>
      <c r="K8" s="18"/>
      <c r="L8" s="16"/>
      <c r="M8" s="18"/>
      <c r="N8" s="16"/>
      <c r="O8" s="18"/>
      <c r="P8" s="16"/>
      <c r="Q8" s="18"/>
      <c r="R8" s="16"/>
      <c r="S8" s="18"/>
      <c r="T8" s="16"/>
    </row>
    <row r="9" spans="1:20" ht="15.95" customHeight="1" x14ac:dyDescent="0.25">
      <c r="A9" s="18" t="s">
        <v>372</v>
      </c>
      <c r="B9" s="16"/>
      <c r="C9" s="18" t="s">
        <v>1994</v>
      </c>
      <c r="D9" s="16"/>
      <c r="E9" s="18" t="s">
        <v>2715</v>
      </c>
      <c r="F9" s="16"/>
      <c r="G9" s="18" t="s">
        <v>1251</v>
      </c>
      <c r="H9" s="16"/>
      <c r="I9" s="18" t="s">
        <v>3442</v>
      </c>
      <c r="J9" s="16"/>
      <c r="K9" s="18"/>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c r="L10" s="16"/>
      <c r="M10" s="18"/>
      <c r="N10" s="16"/>
      <c r="O10" s="18"/>
      <c r="P10" s="16"/>
      <c r="Q10" s="18"/>
      <c r="R10" s="16"/>
      <c r="S10" s="18"/>
      <c r="T10" s="16"/>
    </row>
    <row r="11" spans="1:20" ht="15.95" customHeight="1" x14ac:dyDescent="0.25">
      <c r="A11" s="18" t="s">
        <v>373</v>
      </c>
      <c r="B11" s="16"/>
      <c r="C11" s="18" t="s">
        <v>1996</v>
      </c>
      <c r="D11" s="16"/>
      <c r="E11" s="18" t="s">
        <v>2717</v>
      </c>
      <c r="F11" s="16"/>
      <c r="G11" s="18" t="s">
        <v>1253</v>
      </c>
      <c r="H11" s="16"/>
      <c r="I11" s="18" t="s">
        <v>3444</v>
      </c>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c r="L13" s="16"/>
      <c r="M13" s="18"/>
      <c r="N13" s="16"/>
      <c r="O13" s="18"/>
      <c r="P13" s="16"/>
      <c r="Q13" s="18"/>
      <c r="R13" s="16"/>
      <c r="S13" s="18"/>
      <c r="T13" s="21"/>
    </row>
    <row r="14" spans="1:20" ht="15.95" customHeight="1" x14ac:dyDescent="0.25">
      <c r="A14" s="18" t="s">
        <v>374</v>
      </c>
      <c r="B14" s="16"/>
      <c r="C14" s="18" t="s">
        <v>1997</v>
      </c>
      <c r="D14" s="16"/>
      <c r="E14" s="18" t="s">
        <v>2718</v>
      </c>
      <c r="F14" s="16"/>
      <c r="G14" s="18" t="s">
        <v>1254</v>
      </c>
      <c r="H14" s="16"/>
      <c r="I14" s="18" t="s">
        <v>3445</v>
      </c>
      <c r="J14" s="16"/>
      <c r="K14" s="18"/>
      <c r="L14" s="16"/>
      <c r="M14" s="18"/>
      <c r="N14" s="16"/>
      <c r="O14" s="18"/>
      <c r="P14" s="16"/>
      <c r="Q14" s="18"/>
      <c r="R14" s="16"/>
      <c r="S14" s="18"/>
      <c r="T14" s="21"/>
    </row>
    <row r="15" spans="1:20" ht="15.95" customHeight="1" x14ac:dyDescent="0.25">
      <c r="A15" s="18" t="s">
        <v>375</v>
      </c>
      <c r="B15" s="16"/>
      <c r="C15" s="18" t="s">
        <v>1998</v>
      </c>
      <c r="D15" s="16"/>
      <c r="E15" s="18" t="s">
        <v>2719</v>
      </c>
      <c r="F15" s="16"/>
      <c r="G15" s="18" t="s">
        <v>375</v>
      </c>
      <c r="H15" s="16"/>
      <c r="I15" s="18" t="s">
        <v>3446</v>
      </c>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1"/>
    </row>
    <row r="17" spans="1:20" ht="15.95" customHeight="1" x14ac:dyDescent="0.25">
      <c r="A17" s="18" t="s">
        <v>197</v>
      </c>
      <c r="B17" s="16"/>
      <c r="C17" s="18" t="s">
        <v>1999</v>
      </c>
      <c r="D17" s="16"/>
      <c r="E17" s="18" t="s">
        <v>2720</v>
      </c>
      <c r="F17" s="16"/>
      <c r="G17" s="18" t="s">
        <v>1255</v>
      </c>
      <c r="H17" s="16"/>
      <c r="I17" s="18" t="s">
        <v>3447</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240</v>
      </c>
      <c r="B19" s="16"/>
      <c r="C19" s="18" t="s">
        <v>2000</v>
      </c>
      <c r="D19" s="16"/>
      <c r="E19" s="18" t="s">
        <v>2721</v>
      </c>
      <c r="F19" s="16"/>
      <c r="G19" s="18" t="s">
        <v>1256</v>
      </c>
      <c r="H19" s="16"/>
      <c r="I19" s="18" t="s">
        <v>3448</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376</v>
      </c>
      <c r="B21" s="16"/>
      <c r="C21" s="18" t="s">
        <v>2001</v>
      </c>
      <c r="D21" s="16"/>
      <c r="E21" s="18" t="s">
        <v>2722</v>
      </c>
      <c r="F21" s="16"/>
      <c r="G21" s="18" t="s">
        <v>1257</v>
      </c>
      <c r="H21" s="16"/>
      <c r="I21" s="18" t="s">
        <v>3449</v>
      </c>
      <c r="J21" s="16"/>
      <c r="K21" s="18"/>
      <c r="L21" s="16"/>
      <c r="M21" s="18"/>
      <c r="N21" s="16"/>
      <c r="O21" s="18"/>
      <c r="P21" s="16"/>
      <c r="Q21" s="18"/>
      <c r="R21" s="16"/>
      <c r="S21" s="18"/>
      <c r="T21" s="21"/>
    </row>
    <row r="22" spans="1:20" ht="15.95" customHeight="1" x14ac:dyDescent="0.25">
      <c r="A22" s="18" t="s">
        <v>377</v>
      </c>
      <c r="B22" s="16"/>
      <c r="C22" s="18" t="s">
        <v>2002</v>
      </c>
      <c r="D22" s="16"/>
      <c r="E22" s="18" t="s">
        <v>2723</v>
      </c>
      <c r="F22" s="16"/>
      <c r="G22" s="18" t="s">
        <v>1258</v>
      </c>
      <c r="H22" s="16"/>
      <c r="I22" s="18" t="s">
        <v>3450</v>
      </c>
      <c r="J22" s="16"/>
      <c r="K22" s="18"/>
      <c r="L22" s="16"/>
      <c r="M22" s="18"/>
      <c r="N22" s="16"/>
      <c r="O22" s="18"/>
      <c r="P22" s="16"/>
      <c r="Q22" s="18"/>
      <c r="R22" s="16"/>
      <c r="S22" s="18"/>
      <c r="T22" s="21"/>
    </row>
    <row r="23" spans="1:20" ht="15.95" customHeight="1" x14ac:dyDescent="0.25">
      <c r="A23" s="18" t="s">
        <v>378</v>
      </c>
      <c r="B23" s="16"/>
      <c r="C23" s="18" t="s">
        <v>2003</v>
      </c>
      <c r="D23" s="16"/>
      <c r="E23" s="18" t="s">
        <v>2724</v>
      </c>
      <c r="F23" s="16"/>
      <c r="G23" s="18" t="s">
        <v>1259</v>
      </c>
      <c r="H23" s="16"/>
      <c r="I23" s="18" t="s">
        <v>3451</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379</v>
      </c>
      <c r="B25" s="16"/>
      <c r="C25" s="18" t="s">
        <v>2004</v>
      </c>
      <c r="D25" s="16"/>
      <c r="E25" s="18" t="s">
        <v>2725</v>
      </c>
      <c r="F25" s="16"/>
      <c r="G25" s="18" t="s">
        <v>1260</v>
      </c>
      <c r="H25" s="16"/>
      <c r="I25" s="18" t="s">
        <v>3452</v>
      </c>
      <c r="J25" s="16"/>
      <c r="K25" s="18"/>
      <c r="L25" s="16"/>
      <c r="M25" s="18"/>
      <c r="N25" s="16"/>
      <c r="O25" s="18"/>
      <c r="P25" s="16"/>
      <c r="Q25" s="18"/>
      <c r="R25" s="16"/>
      <c r="S25" s="18"/>
      <c r="T25" s="21"/>
    </row>
    <row r="26" spans="1:20" ht="15.95" customHeight="1" x14ac:dyDescent="0.25">
      <c r="A26" s="18" t="s">
        <v>380</v>
      </c>
      <c r="B26" s="16"/>
      <c r="C26" s="18" t="s">
        <v>2005</v>
      </c>
      <c r="D26" s="16"/>
      <c r="E26" s="18" t="s">
        <v>2726</v>
      </c>
      <c r="F26" s="16"/>
      <c r="G26" s="18" t="s">
        <v>1261</v>
      </c>
      <c r="H26" s="16"/>
      <c r="I26" s="18" t="s">
        <v>3453</v>
      </c>
      <c r="J26" s="16"/>
      <c r="K26" s="18"/>
      <c r="L26" s="16"/>
      <c r="M26" s="18"/>
      <c r="N26" s="16"/>
      <c r="O26" s="18"/>
      <c r="P26" s="16"/>
      <c r="Q26" s="18"/>
      <c r="R26" s="16"/>
      <c r="S26" s="18"/>
      <c r="T26" s="21"/>
    </row>
    <row r="27" spans="1:20" ht="15.95" customHeight="1" x14ac:dyDescent="0.25">
      <c r="A27" s="18" t="s">
        <v>381</v>
      </c>
      <c r="B27" s="16"/>
      <c r="C27" s="18" t="s">
        <v>2006</v>
      </c>
      <c r="D27" s="16"/>
      <c r="E27" s="18" t="s">
        <v>2727</v>
      </c>
      <c r="F27" s="16"/>
      <c r="G27" s="18" t="s">
        <v>1262</v>
      </c>
      <c r="H27" s="16"/>
      <c r="I27" s="18" t="s">
        <v>3454</v>
      </c>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I3" sqref="I3:I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131</v>
      </c>
      <c r="B8" s="16"/>
      <c r="C8" s="18" t="s">
        <v>2010</v>
      </c>
      <c r="D8" s="16"/>
      <c r="E8" s="18" t="s">
        <v>2731</v>
      </c>
      <c r="F8" s="16"/>
      <c r="G8" s="18" t="s">
        <v>1266</v>
      </c>
      <c r="H8" s="16"/>
      <c r="I8" s="18" t="s">
        <v>3458</v>
      </c>
      <c r="J8" s="16"/>
      <c r="K8" s="18"/>
      <c r="L8" s="16"/>
      <c r="M8" s="18"/>
      <c r="N8" s="16"/>
      <c r="O8" s="18"/>
      <c r="P8" s="16"/>
      <c r="Q8" s="18"/>
      <c r="R8" s="16"/>
      <c r="S8" s="18"/>
      <c r="T8" s="16"/>
    </row>
    <row r="9" spans="1:20" ht="15.95" customHeight="1" x14ac:dyDescent="0.25">
      <c r="A9" s="18" t="s">
        <v>132</v>
      </c>
      <c r="B9" s="16"/>
      <c r="C9" s="18" t="s">
        <v>2011</v>
      </c>
      <c r="D9" s="16"/>
      <c r="E9" s="18" t="s">
        <v>2732</v>
      </c>
      <c r="F9" s="16"/>
      <c r="G9" s="18" t="s">
        <v>1267</v>
      </c>
      <c r="H9" s="16"/>
      <c r="I9" s="18" t="s">
        <v>3459</v>
      </c>
      <c r="J9" s="16"/>
      <c r="K9" s="18"/>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c r="L10" s="16"/>
      <c r="M10" s="18"/>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136</v>
      </c>
      <c r="B15" s="16"/>
      <c r="C15" s="18" t="s">
        <v>1619</v>
      </c>
      <c r="D15" s="16"/>
      <c r="E15" s="18" t="s">
        <v>2366</v>
      </c>
      <c r="F15" s="16"/>
      <c r="G15" s="18" t="s">
        <v>893</v>
      </c>
      <c r="H15" s="16"/>
      <c r="I15" s="18" t="s">
        <v>3080</v>
      </c>
      <c r="J15" s="16"/>
      <c r="K15" s="18"/>
      <c r="L15" s="16"/>
      <c r="M15" s="18"/>
      <c r="N15" s="16"/>
      <c r="O15" s="18"/>
      <c r="P15" s="16"/>
      <c r="Q15" s="18"/>
      <c r="R15" s="16"/>
      <c r="S15" s="18"/>
      <c r="T15" s="21"/>
    </row>
    <row r="16" spans="1:20" ht="15.95" customHeight="1" x14ac:dyDescent="0.25">
      <c r="A16" s="18" t="s">
        <v>137</v>
      </c>
      <c r="B16" s="16"/>
      <c r="C16" s="18" t="s">
        <v>2013</v>
      </c>
      <c r="D16" s="16"/>
      <c r="E16" s="18" t="s">
        <v>2734</v>
      </c>
      <c r="F16" s="16"/>
      <c r="G16" s="18" t="s">
        <v>137</v>
      </c>
      <c r="H16" s="16"/>
      <c r="I16" s="18" t="s">
        <v>3461</v>
      </c>
      <c r="J16" s="16"/>
      <c r="K16" s="18"/>
      <c r="L16" s="16"/>
      <c r="M16" s="18"/>
      <c r="N16" s="16"/>
      <c r="O16" s="18"/>
      <c r="P16" s="16"/>
      <c r="Q16" s="18"/>
      <c r="R16" s="16"/>
      <c r="S16" s="18"/>
      <c r="T16" s="21"/>
    </row>
    <row r="17" spans="1:20" ht="15.95" customHeight="1" x14ac:dyDescent="0.25">
      <c r="A17" s="18" t="s">
        <v>138</v>
      </c>
      <c r="B17" s="16"/>
      <c r="C17" s="18" t="s">
        <v>138</v>
      </c>
      <c r="D17" s="16"/>
      <c r="E17" s="18" t="s">
        <v>138</v>
      </c>
      <c r="F17" s="16"/>
      <c r="G17" s="18" t="s">
        <v>138</v>
      </c>
      <c r="H17" s="16"/>
      <c r="I17" s="18" t="s">
        <v>3462</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139</v>
      </c>
      <c r="B19" s="16"/>
      <c r="C19" s="18" t="s">
        <v>2014</v>
      </c>
      <c r="D19" s="16"/>
      <c r="E19" s="18" t="s">
        <v>2735</v>
      </c>
      <c r="F19" s="16"/>
      <c r="G19" s="18" t="s">
        <v>1269</v>
      </c>
      <c r="H19" s="16"/>
      <c r="I19" s="18" t="s">
        <v>3463</v>
      </c>
      <c r="J19" s="16"/>
      <c r="K19" s="18"/>
      <c r="L19" s="16"/>
      <c r="M19" s="18"/>
      <c r="N19" s="16"/>
      <c r="O19" s="18"/>
      <c r="P19" s="16"/>
      <c r="Q19" s="18"/>
      <c r="R19" s="16"/>
      <c r="S19" s="18"/>
      <c r="T19" s="16"/>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111</v>
      </c>
      <c r="B21" s="16"/>
      <c r="C21" s="18" t="s">
        <v>1691</v>
      </c>
      <c r="D21" s="16"/>
      <c r="E21" s="18" t="s">
        <v>2325</v>
      </c>
      <c r="F21" s="16"/>
      <c r="G21" s="18" t="s">
        <v>958</v>
      </c>
      <c r="H21" s="16"/>
      <c r="I21" s="18" t="s">
        <v>3127</v>
      </c>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1"/>
    </row>
    <row r="23" spans="1:20" ht="15.95" customHeight="1" x14ac:dyDescent="0.25">
      <c r="A23" s="18" t="s">
        <v>140</v>
      </c>
      <c r="B23" s="16"/>
      <c r="C23" s="18" t="s">
        <v>2015</v>
      </c>
      <c r="D23" s="16"/>
      <c r="E23" s="18" t="s">
        <v>2736</v>
      </c>
      <c r="F23" s="16"/>
      <c r="G23" s="18" t="s">
        <v>1270</v>
      </c>
      <c r="H23" s="16"/>
      <c r="I23" s="18" t="s">
        <v>3464</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141</v>
      </c>
      <c r="B25" s="16"/>
      <c r="C25" s="18" t="s">
        <v>2016</v>
      </c>
      <c r="D25" s="16"/>
      <c r="E25" s="18" t="s">
        <v>2737</v>
      </c>
      <c r="F25" s="16"/>
      <c r="G25" s="18" t="s">
        <v>1271</v>
      </c>
      <c r="H25" s="16"/>
      <c r="I25" s="18" t="s">
        <v>3465</v>
      </c>
      <c r="J25" s="16"/>
      <c r="K25" s="18"/>
      <c r="L25" s="16"/>
      <c r="M25" s="18"/>
      <c r="N25" s="16"/>
      <c r="O25" s="18"/>
      <c r="P25" s="16"/>
      <c r="Q25" s="18"/>
      <c r="R25" s="16"/>
      <c r="S25" s="18"/>
      <c r="T25" s="21"/>
    </row>
    <row r="26" spans="1:20" ht="15.95" customHeight="1" x14ac:dyDescent="0.25">
      <c r="A26" s="18" t="s">
        <v>142</v>
      </c>
      <c r="B26" s="16"/>
      <c r="C26" s="18" t="s">
        <v>2017</v>
      </c>
      <c r="D26" s="16"/>
      <c r="E26" s="18" t="s">
        <v>2738</v>
      </c>
      <c r="F26" s="16"/>
      <c r="G26" s="18" t="s">
        <v>1272</v>
      </c>
      <c r="H26" s="16"/>
      <c r="I26" s="18" t="s">
        <v>3466</v>
      </c>
      <c r="J26" s="16"/>
      <c r="K26" s="18"/>
      <c r="L26" s="16"/>
      <c r="M26" s="18"/>
      <c r="N26" s="16"/>
      <c r="O26" s="18"/>
      <c r="P26" s="16"/>
      <c r="Q26" s="18"/>
      <c r="R26" s="16"/>
      <c r="S26" s="18"/>
      <c r="T26" s="21"/>
    </row>
    <row r="27" spans="1:20" ht="15.95" customHeight="1" x14ac:dyDescent="0.25">
      <c r="A27" s="18" t="s">
        <v>143</v>
      </c>
      <c r="B27" s="16"/>
      <c r="C27" s="18" t="s">
        <v>2018</v>
      </c>
      <c r="D27" s="16"/>
      <c r="E27" s="18" t="s">
        <v>2739</v>
      </c>
      <c r="F27" s="16"/>
      <c r="G27" s="18" t="s">
        <v>1273</v>
      </c>
      <c r="H27" s="16"/>
      <c r="I27" s="18" t="s">
        <v>3467</v>
      </c>
      <c r="J27" s="16"/>
      <c r="K27" s="18"/>
      <c r="L27" s="16"/>
      <c r="M27" s="18"/>
      <c r="N27" s="16"/>
      <c r="O27" s="18"/>
      <c r="P27" s="16"/>
      <c r="Q27" s="18"/>
      <c r="R27" s="16"/>
      <c r="S27" s="18"/>
      <c r="T27" s="21"/>
    </row>
    <row r="28" spans="1:20" ht="15.95" customHeight="1" x14ac:dyDescent="0.25">
      <c r="A28" s="18" t="s">
        <v>144</v>
      </c>
      <c r="B28" s="16"/>
      <c r="C28" s="18" t="s">
        <v>2019</v>
      </c>
      <c r="D28" s="16"/>
      <c r="E28" s="18" t="s">
        <v>2740</v>
      </c>
      <c r="F28" s="16"/>
      <c r="G28" s="18" t="s">
        <v>1274</v>
      </c>
      <c r="H28" s="16"/>
      <c r="I28" s="18" t="s">
        <v>3468</v>
      </c>
      <c r="J28" s="16"/>
      <c r="K28" s="18"/>
      <c r="L28" s="16"/>
      <c r="M28" s="18"/>
      <c r="N28" s="16"/>
      <c r="O28" s="18"/>
      <c r="P28" s="16"/>
      <c r="Q28" s="18"/>
      <c r="R28" s="16"/>
      <c r="S28" s="18"/>
      <c r="T28" s="21"/>
    </row>
    <row r="29" spans="1:20" ht="15.95" customHeight="1" x14ac:dyDescent="0.25">
      <c r="A29" s="18" t="s">
        <v>145</v>
      </c>
      <c r="B29" s="16"/>
      <c r="C29" s="18" t="s">
        <v>2020</v>
      </c>
      <c r="D29" s="16"/>
      <c r="E29" s="18" t="s">
        <v>2741</v>
      </c>
      <c r="F29" s="16"/>
      <c r="G29" s="18" t="s">
        <v>1275</v>
      </c>
      <c r="H29" s="16"/>
      <c r="I29" s="18" t="s">
        <v>3469</v>
      </c>
      <c r="J29" s="16"/>
      <c r="K29" s="18"/>
      <c r="L29" s="16"/>
      <c r="M29" s="18"/>
      <c r="N29" s="16"/>
      <c r="O29" s="18"/>
      <c r="P29" s="16"/>
      <c r="Q29" s="18"/>
      <c r="R29" s="16"/>
      <c r="S29" s="18"/>
      <c r="T29" s="21"/>
    </row>
    <row r="30" spans="1:20" ht="15.95" customHeight="1" x14ac:dyDescent="0.25">
      <c r="A30" s="18" t="s">
        <v>146</v>
      </c>
      <c r="B30" s="16"/>
      <c r="C30" s="18" t="s">
        <v>2021</v>
      </c>
      <c r="D30" s="16"/>
      <c r="E30" s="18" t="s">
        <v>2742</v>
      </c>
      <c r="F30" s="16"/>
      <c r="G30" s="18" t="s">
        <v>1276</v>
      </c>
      <c r="H30" s="16"/>
      <c r="I30" s="18" t="s">
        <v>3470</v>
      </c>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c r="L31" s="16"/>
      <c r="M31" s="18"/>
      <c r="N31" s="16"/>
      <c r="O31" s="18"/>
      <c r="P31" s="16"/>
      <c r="Q31" s="18"/>
      <c r="R31" s="16"/>
      <c r="S31" s="18"/>
      <c r="T31" s="21"/>
    </row>
    <row r="32" spans="1:20" ht="15.95" customHeight="1" x14ac:dyDescent="0.25">
      <c r="A32" s="18" t="s">
        <v>147</v>
      </c>
      <c r="B32" s="16"/>
      <c r="C32" s="18" t="s">
        <v>2022</v>
      </c>
      <c r="D32" s="16"/>
      <c r="E32" s="18" t="s">
        <v>2743</v>
      </c>
      <c r="F32" s="16"/>
      <c r="G32" s="18" t="s">
        <v>1277</v>
      </c>
      <c r="H32" s="16"/>
      <c r="I32" s="18" t="s">
        <v>3471</v>
      </c>
      <c r="J32" s="16"/>
      <c r="K32" s="18"/>
      <c r="L32" s="16"/>
      <c r="M32" s="18"/>
      <c r="N32" s="16"/>
      <c r="O32" s="18"/>
      <c r="P32" s="16"/>
      <c r="Q32" s="18"/>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I3" sqref="I3:I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173</v>
      </c>
      <c r="B8" s="16"/>
      <c r="C8" s="18" t="s">
        <v>2027</v>
      </c>
      <c r="D8" s="16"/>
      <c r="E8" s="18" t="s">
        <v>2747</v>
      </c>
      <c r="F8" s="16"/>
      <c r="G8" s="18" t="s">
        <v>1282</v>
      </c>
      <c r="H8" s="16"/>
      <c r="I8" s="18" t="s">
        <v>3476</v>
      </c>
      <c r="J8" s="16"/>
      <c r="K8" s="18"/>
      <c r="L8" s="16"/>
      <c r="M8" s="18"/>
      <c r="N8" s="16"/>
      <c r="O8" s="18"/>
      <c r="P8" s="16"/>
      <c r="Q8" s="18"/>
      <c r="R8" s="16"/>
      <c r="S8" s="18"/>
      <c r="T8" s="16"/>
    </row>
    <row r="9" spans="1:20" ht="15.95" customHeight="1" x14ac:dyDescent="0.25">
      <c r="A9" s="18" t="s">
        <v>174</v>
      </c>
      <c r="B9" s="16"/>
      <c r="C9" s="18" t="s">
        <v>2028</v>
      </c>
      <c r="D9" s="16"/>
      <c r="E9" s="18" t="s">
        <v>2748</v>
      </c>
      <c r="F9" s="16"/>
      <c r="G9" s="18" t="s">
        <v>1283</v>
      </c>
      <c r="H9" s="16"/>
      <c r="I9" s="18" t="s">
        <v>3477</v>
      </c>
      <c r="J9" s="16"/>
      <c r="K9" s="18"/>
      <c r="L9" s="16"/>
      <c r="M9" s="18"/>
      <c r="N9" s="16"/>
      <c r="O9" s="18"/>
      <c r="P9" s="16"/>
      <c r="Q9" s="18"/>
      <c r="R9" s="16"/>
      <c r="S9" s="18"/>
      <c r="T9" s="16"/>
    </row>
    <row r="10" spans="1:20" ht="15.95" customHeight="1" x14ac:dyDescent="0.25">
      <c r="A10" s="18" t="s">
        <v>175</v>
      </c>
      <c r="B10" s="16"/>
      <c r="C10" s="18" t="s">
        <v>2029</v>
      </c>
      <c r="D10" s="16"/>
      <c r="E10" s="18" t="s">
        <v>2749</v>
      </c>
      <c r="F10" s="16"/>
      <c r="G10" s="18" t="s">
        <v>1284</v>
      </c>
      <c r="H10" s="16"/>
      <c r="I10" s="18" t="s">
        <v>3478</v>
      </c>
      <c r="J10" s="16"/>
      <c r="K10" s="18"/>
      <c r="L10" s="16"/>
      <c r="M10" s="18"/>
      <c r="N10" s="16"/>
      <c r="O10" s="18"/>
      <c r="P10" s="16"/>
      <c r="Q10" s="18"/>
      <c r="R10" s="16"/>
      <c r="S10" s="18"/>
      <c r="T10" s="16"/>
    </row>
    <row r="11" spans="1:20" ht="15.95" customHeight="1" x14ac:dyDescent="0.25">
      <c r="A11" s="18" t="s">
        <v>176</v>
      </c>
      <c r="B11" s="16"/>
      <c r="C11" s="18" t="s">
        <v>2030</v>
      </c>
      <c r="D11" s="16"/>
      <c r="E11" s="18" t="s">
        <v>2750</v>
      </c>
      <c r="F11" s="16"/>
      <c r="G11" s="18" t="s">
        <v>1285</v>
      </c>
      <c r="H11" s="16"/>
      <c r="I11" s="18" t="s">
        <v>3479</v>
      </c>
      <c r="J11" s="16"/>
      <c r="K11" s="18"/>
      <c r="L11" s="16"/>
      <c r="M11" s="18"/>
      <c r="N11" s="16"/>
      <c r="O11" s="18"/>
      <c r="P11" s="16"/>
      <c r="Q11" s="18"/>
      <c r="R11" s="16"/>
      <c r="S11" s="18"/>
      <c r="T11" s="16"/>
    </row>
    <row r="12" spans="1:20" ht="15.95" customHeight="1" x14ac:dyDescent="0.25">
      <c r="A12" s="18" t="s">
        <v>156</v>
      </c>
      <c r="B12" s="16"/>
      <c r="C12" s="18" t="s">
        <v>1866</v>
      </c>
      <c r="D12" s="16"/>
      <c r="E12" s="18" t="s">
        <v>2584</v>
      </c>
      <c r="F12" s="16"/>
      <c r="G12" s="18" t="s">
        <v>1131</v>
      </c>
      <c r="H12" s="16"/>
      <c r="I12" s="18" t="s">
        <v>3307</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177</v>
      </c>
      <c r="B15" s="16"/>
      <c r="C15" s="18" t="s">
        <v>2031</v>
      </c>
      <c r="D15" s="16"/>
      <c r="E15" s="18" t="s">
        <v>2751</v>
      </c>
      <c r="F15" s="16"/>
      <c r="G15" s="18" t="s">
        <v>1286</v>
      </c>
      <c r="H15" s="16"/>
      <c r="I15" s="18" t="s">
        <v>3480</v>
      </c>
      <c r="J15" s="16"/>
      <c r="K15" s="18"/>
      <c r="L15" s="16"/>
      <c r="M15" s="18"/>
      <c r="N15" s="16"/>
      <c r="O15" s="18"/>
      <c r="P15" s="16"/>
      <c r="Q15" s="18"/>
      <c r="R15" s="16"/>
      <c r="S15" s="18"/>
      <c r="T15" s="21"/>
    </row>
    <row r="16" spans="1:20" ht="15.95" customHeight="1" x14ac:dyDescent="0.25">
      <c r="A16" s="18" t="s">
        <v>178</v>
      </c>
      <c r="B16" s="16"/>
      <c r="C16" s="18" t="s">
        <v>2032</v>
      </c>
      <c r="D16" s="16"/>
      <c r="E16" s="18" t="s">
        <v>2752</v>
      </c>
      <c r="F16" s="16"/>
      <c r="G16" s="18" t="s">
        <v>178</v>
      </c>
      <c r="H16" s="16"/>
      <c r="I16" s="18" t="s">
        <v>3481</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179</v>
      </c>
      <c r="B18" s="16"/>
      <c r="C18" s="18" t="s">
        <v>2033</v>
      </c>
      <c r="D18" s="16"/>
      <c r="E18" s="18" t="s">
        <v>2753</v>
      </c>
      <c r="F18" s="16"/>
      <c r="G18" s="18" t="s">
        <v>1287</v>
      </c>
      <c r="H18" s="16"/>
      <c r="I18" s="18" t="s">
        <v>3482</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117</v>
      </c>
      <c r="B20" s="16"/>
      <c r="C20" s="18" t="s">
        <v>1742</v>
      </c>
      <c r="D20" s="16"/>
      <c r="E20" s="18" t="s">
        <v>2461</v>
      </c>
      <c r="F20" s="16"/>
      <c r="G20" s="18" t="s">
        <v>1010</v>
      </c>
      <c r="H20" s="16"/>
      <c r="I20" s="18" t="s">
        <v>3179</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161</v>
      </c>
      <c r="B22" s="16"/>
      <c r="C22" s="18" t="s">
        <v>1870</v>
      </c>
      <c r="D22" s="16"/>
      <c r="E22" s="18" t="s">
        <v>2588</v>
      </c>
      <c r="F22" s="16"/>
      <c r="G22" s="18" t="s">
        <v>1133</v>
      </c>
      <c r="H22" s="16"/>
      <c r="I22" s="18" t="s">
        <v>3312</v>
      </c>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1"/>
    </row>
    <row r="24" spans="1:20" ht="15.95" customHeight="1" x14ac:dyDescent="0.25">
      <c r="A24" s="18" t="s">
        <v>180</v>
      </c>
      <c r="B24" s="16"/>
      <c r="C24" s="18" t="s">
        <v>2034</v>
      </c>
      <c r="D24" s="16"/>
      <c r="E24" s="18" t="s">
        <v>2754</v>
      </c>
      <c r="F24" s="16"/>
      <c r="G24" s="18" t="s">
        <v>1288</v>
      </c>
      <c r="H24" s="16"/>
      <c r="I24" s="18" t="s">
        <v>3483</v>
      </c>
      <c r="J24" s="16"/>
      <c r="K24" s="18"/>
      <c r="L24" s="16"/>
      <c r="M24" s="18"/>
      <c r="N24" s="16"/>
      <c r="O24" s="18"/>
      <c r="P24" s="16"/>
      <c r="Q24" s="18"/>
      <c r="R24" s="16"/>
      <c r="S24" s="18"/>
      <c r="T24" s="21"/>
    </row>
    <row r="25" spans="1:20" ht="15.95" customHeight="1" x14ac:dyDescent="0.25">
      <c r="A25" s="18" t="s">
        <v>181</v>
      </c>
      <c r="B25" s="16"/>
      <c r="C25" s="18" t="s">
        <v>2035</v>
      </c>
      <c r="D25" s="16"/>
      <c r="E25" s="18" t="s">
        <v>2755</v>
      </c>
      <c r="F25" s="16"/>
      <c r="G25" s="18" t="s">
        <v>1289</v>
      </c>
      <c r="H25" s="16"/>
      <c r="I25" s="18" t="s">
        <v>3484</v>
      </c>
      <c r="J25" s="16"/>
      <c r="K25" s="18"/>
      <c r="L25" s="16"/>
      <c r="M25" s="18"/>
      <c r="N25" s="16"/>
      <c r="O25" s="18"/>
      <c r="P25" s="16"/>
      <c r="Q25" s="18"/>
      <c r="R25" s="16"/>
      <c r="S25" s="18"/>
      <c r="T25" s="21"/>
    </row>
    <row r="26" spans="1:20" ht="15.95" customHeight="1" x14ac:dyDescent="0.25">
      <c r="A26" s="18" t="s">
        <v>182</v>
      </c>
      <c r="B26" s="16"/>
      <c r="C26" s="18" t="s">
        <v>2036</v>
      </c>
      <c r="D26" s="16"/>
      <c r="E26" s="18" t="s">
        <v>2756</v>
      </c>
      <c r="F26" s="16"/>
      <c r="G26" s="18" t="s">
        <v>1290</v>
      </c>
      <c r="H26" s="16"/>
      <c r="I26" s="18" t="s">
        <v>3485</v>
      </c>
      <c r="J26" s="16"/>
      <c r="K26" s="18"/>
      <c r="L26" s="16"/>
      <c r="M26" s="18"/>
      <c r="N26" s="16"/>
      <c r="O26" s="18"/>
      <c r="P26" s="16"/>
      <c r="Q26" s="18"/>
      <c r="R26" s="16"/>
      <c r="S26" s="18"/>
      <c r="T26" s="21"/>
    </row>
    <row r="27" spans="1:20" ht="15.95" customHeight="1" x14ac:dyDescent="0.25">
      <c r="A27" s="18" t="s">
        <v>183</v>
      </c>
      <c r="B27" s="16"/>
      <c r="C27" s="18" t="s">
        <v>2037</v>
      </c>
      <c r="D27" s="16"/>
      <c r="E27" s="18" t="s">
        <v>2757</v>
      </c>
      <c r="F27" s="16"/>
      <c r="G27" s="18" t="s">
        <v>1291</v>
      </c>
      <c r="H27" s="16"/>
      <c r="I27" s="18" t="s">
        <v>3486</v>
      </c>
      <c r="J27" s="16"/>
      <c r="K27" s="18"/>
      <c r="L27" s="16"/>
      <c r="M27" s="18"/>
      <c r="N27" s="16"/>
      <c r="O27" s="18"/>
      <c r="P27" s="16"/>
      <c r="Q27" s="18"/>
      <c r="R27" s="16"/>
      <c r="S27" s="18"/>
      <c r="T27" s="21"/>
    </row>
    <row r="28" spans="1:20" ht="15.95" customHeight="1" x14ac:dyDescent="0.25">
      <c r="A28" s="18" t="s">
        <v>184</v>
      </c>
      <c r="B28" s="16"/>
      <c r="C28" s="18" t="s">
        <v>2038</v>
      </c>
      <c r="D28" s="16"/>
      <c r="E28" s="18" t="s">
        <v>2758</v>
      </c>
      <c r="F28" s="16"/>
      <c r="G28" s="18" t="s">
        <v>1292</v>
      </c>
      <c r="H28" s="16"/>
      <c r="I28" s="18" t="s">
        <v>3487</v>
      </c>
      <c r="J28" s="16"/>
      <c r="K28" s="18"/>
      <c r="L28" s="16"/>
      <c r="M28" s="18"/>
      <c r="N28" s="16"/>
      <c r="O28" s="18"/>
      <c r="P28" s="16"/>
      <c r="Q28" s="18"/>
      <c r="R28" s="16"/>
      <c r="S28" s="18"/>
      <c r="T28" s="21"/>
    </row>
    <row r="29" spans="1:20" ht="15.95" customHeight="1" x14ac:dyDescent="0.25">
      <c r="A29" s="18" t="s">
        <v>185</v>
      </c>
      <c r="B29" s="16"/>
      <c r="C29" s="18" t="s">
        <v>2039</v>
      </c>
      <c r="D29" s="16"/>
      <c r="E29" s="18" t="s">
        <v>2759</v>
      </c>
      <c r="F29" s="16"/>
      <c r="G29" s="18" t="s">
        <v>1293</v>
      </c>
      <c r="H29" s="16"/>
      <c r="I29" s="18" t="s">
        <v>3488</v>
      </c>
      <c r="J29" s="16"/>
      <c r="K29" s="18"/>
      <c r="L29" s="16"/>
      <c r="M29" s="18"/>
      <c r="N29" s="16"/>
      <c r="O29" s="18"/>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c r="L30" s="16"/>
      <c r="M30" s="18"/>
      <c r="N30" s="16"/>
      <c r="O30" s="18"/>
      <c r="P30" s="16"/>
      <c r="Q30" s="18"/>
      <c r="R30" s="16"/>
      <c r="S30" s="18"/>
      <c r="T30" s="21"/>
    </row>
    <row r="31" spans="1:20" ht="15.95" customHeight="1" x14ac:dyDescent="0.25">
      <c r="A31" s="18" t="s">
        <v>186</v>
      </c>
      <c r="B31" s="16"/>
      <c r="C31" s="18" t="s">
        <v>2040</v>
      </c>
      <c r="D31" s="16"/>
      <c r="E31" s="18" t="s">
        <v>2760</v>
      </c>
      <c r="F31" s="16"/>
      <c r="G31" s="18" t="s">
        <v>1294</v>
      </c>
      <c r="H31" s="16"/>
      <c r="I31" s="18" t="s">
        <v>3489</v>
      </c>
      <c r="J31" s="16"/>
      <c r="K31" s="18"/>
      <c r="L31" s="16"/>
      <c r="M31" s="18"/>
      <c r="N31" s="16"/>
      <c r="O31" s="18"/>
      <c r="P31" s="16"/>
      <c r="Q31" s="18"/>
      <c r="R31" s="16"/>
      <c r="S31" s="18"/>
      <c r="T31" s="21"/>
    </row>
    <row r="32" spans="1:20" ht="15.95" customHeight="1" x14ac:dyDescent="0.25">
      <c r="A32" s="18" t="s">
        <v>187</v>
      </c>
      <c r="B32" s="16"/>
      <c r="C32" s="18" t="s">
        <v>2041</v>
      </c>
      <c r="D32" s="16"/>
      <c r="E32" s="18" t="s">
        <v>2761</v>
      </c>
      <c r="F32" s="16"/>
      <c r="G32" s="18" t="s">
        <v>1295</v>
      </c>
      <c r="H32" s="16"/>
      <c r="I32" s="18" t="s">
        <v>3490</v>
      </c>
      <c r="J32" s="16"/>
      <c r="K32" s="18"/>
      <c r="L32" s="16"/>
      <c r="M32" s="18"/>
      <c r="N32" s="16"/>
      <c r="O32" s="18"/>
      <c r="P32" s="16"/>
      <c r="Q32" s="18"/>
      <c r="R32" s="16"/>
      <c r="S32" s="18"/>
      <c r="T32" s="21"/>
    </row>
    <row r="33" spans="1:20" ht="15.95" customHeight="1" x14ac:dyDescent="0.25">
      <c r="A33" s="22" t="s">
        <v>188</v>
      </c>
      <c r="B33" s="16"/>
      <c r="C33" s="18" t="s">
        <v>2042</v>
      </c>
      <c r="D33" s="16"/>
      <c r="E33" s="18" t="s">
        <v>2762</v>
      </c>
      <c r="F33" s="16"/>
      <c r="G33" s="18" t="s">
        <v>1296</v>
      </c>
      <c r="H33" s="16"/>
      <c r="I33" s="18" t="s">
        <v>3491</v>
      </c>
      <c r="J33" s="16"/>
      <c r="K33" s="18"/>
      <c r="L33" s="16"/>
      <c r="M33" s="18"/>
      <c r="N33" s="16"/>
      <c r="O33" s="18"/>
      <c r="P33" s="16"/>
      <c r="Q33" s="18"/>
      <c r="R33" s="16"/>
      <c r="S33" s="18"/>
      <c r="T33" s="21"/>
    </row>
    <row r="34" spans="1:20" ht="15.95" customHeight="1" x14ac:dyDescent="0.25">
      <c r="A34" s="18" t="s">
        <v>189</v>
      </c>
      <c r="B34" s="16"/>
      <c r="C34" s="18" t="s">
        <v>2043</v>
      </c>
      <c r="D34" s="16"/>
      <c r="E34" s="18" t="s">
        <v>2763</v>
      </c>
      <c r="F34" s="16"/>
      <c r="G34" s="18" t="s">
        <v>1297</v>
      </c>
      <c r="H34" s="16"/>
      <c r="I34" s="18" t="s">
        <v>3492</v>
      </c>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I3" sqref="I3:I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117</v>
      </c>
      <c r="B8" s="16"/>
      <c r="C8" s="18" t="s">
        <v>1742</v>
      </c>
      <c r="D8" s="16"/>
      <c r="E8" s="18" t="s">
        <v>2461</v>
      </c>
      <c r="F8" s="16"/>
      <c r="G8" s="18" t="s">
        <v>1010</v>
      </c>
      <c r="H8" s="16"/>
      <c r="I8" s="18" t="s">
        <v>3179</v>
      </c>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20"/>
    </row>
    <row r="10" spans="1:20" ht="15.95" customHeight="1" x14ac:dyDescent="0.25">
      <c r="A10" s="18" t="s">
        <v>683</v>
      </c>
      <c r="B10" s="16"/>
      <c r="C10" s="18" t="s">
        <v>2047</v>
      </c>
      <c r="D10" s="16"/>
      <c r="E10" s="18" t="s">
        <v>2767</v>
      </c>
      <c r="F10" s="16"/>
      <c r="G10" s="18" t="s">
        <v>1301</v>
      </c>
      <c r="H10" s="16"/>
      <c r="I10" s="18" t="s">
        <v>3496</v>
      </c>
      <c r="J10" s="16"/>
      <c r="K10" s="18"/>
      <c r="L10" s="16"/>
      <c r="M10" s="18"/>
      <c r="N10" s="16"/>
      <c r="O10" s="18"/>
      <c r="P10" s="16"/>
      <c r="Q10" s="18"/>
      <c r="R10" s="16"/>
      <c r="S10" s="18"/>
      <c r="T10" s="20"/>
    </row>
    <row r="11" spans="1:20" ht="15.95" customHeight="1" x14ac:dyDescent="0.25">
      <c r="A11" s="18" t="s">
        <v>684</v>
      </c>
      <c r="B11" s="16"/>
      <c r="C11" s="18" t="s">
        <v>2048</v>
      </c>
      <c r="D11" s="16"/>
      <c r="E11" s="18" t="s">
        <v>2768</v>
      </c>
      <c r="F11" s="16"/>
      <c r="G11" s="18" t="s">
        <v>1302</v>
      </c>
      <c r="H11" s="16"/>
      <c r="I11" s="18" t="s">
        <v>3497</v>
      </c>
      <c r="J11" s="16"/>
      <c r="K11" s="18"/>
      <c r="L11" s="16"/>
      <c r="M11" s="18"/>
      <c r="N11" s="16"/>
      <c r="O11" s="18"/>
      <c r="P11" s="16"/>
      <c r="Q11" s="18"/>
      <c r="R11" s="16"/>
      <c r="S11" s="18"/>
      <c r="T11" s="20"/>
    </row>
    <row r="12" spans="1:20" ht="15.95" customHeight="1" x14ac:dyDescent="0.25">
      <c r="A12" s="18" t="s">
        <v>685</v>
      </c>
      <c r="B12" s="16"/>
      <c r="C12" s="18" t="s">
        <v>2049</v>
      </c>
      <c r="D12" s="16"/>
      <c r="E12" s="18" t="s">
        <v>2769</v>
      </c>
      <c r="F12" s="16"/>
      <c r="G12" s="18" t="s">
        <v>1303</v>
      </c>
      <c r="H12" s="16"/>
      <c r="I12" s="18" t="s">
        <v>3498</v>
      </c>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0"/>
    </row>
    <row r="14" spans="1:20" ht="15.95" customHeight="1" x14ac:dyDescent="0.25">
      <c r="A14" s="18" t="s">
        <v>686</v>
      </c>
      <c r="B14" s="16"/>
      <c r="C14" s="18" t="s">
        <v>2050</v>
      </c>
      <c r="D14" s="16"/>
      <c r="E14" s="18" t="s">
        <v>2770</v>
      </c>
      <c r="F14" s="16"/>
      <c r="G14" s="18" t="s">
        <v>1304</v>
      </c>
      <c r="H14" s="16"/>
      <c r="I14" s="18" t="s">
        <v>3499</v>
      </c>
      <c r="J14" s="16"/>
      <c r="K14" s="18"/>
      <c r="L14" s="16"/>
      <c r="M14" s="18"/>
      <c r="N14" s="16"/>
      <c r="O14" s="18"/>
      <c r="P14" s="16"/>
      <c r="Q14" s="18"/>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1306</v>
      </c>
      <c r="H16" s="16"/>
      <c r="I16" s="18" t="s">
        <v>3501</v>
      </c>
      <c r="J16" s="16"/>
      <c r="K16" s="18"/>
      <c r="L16" s="16"/>
      <c r="M16" s="18"/>
      <c r="N16" s="16"/>
      <c r="O16" s="18"/>
      <c r="P16" s="16"/>
      <c r="Q16" s="18"/>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c r="L17" s="16"/>
      <c r="M17" s="18"/>
      <c r="N17" s="16"/>
      <c r="O17" s="18"/>
      <c r="P17" s="16"/>
      <c r="Q17" s="18"/>
      <c r="R17" s="16"/>
      <c r="S17" s="18"/>
      <c r="T17" s="20"/>
    </row>
    <row r="18" spans="1:20" ht="15.95" customHeight="1" x14ac:dyDescent="0.25">
      <c r="A18" s="18"/>
      <c r="B18" s="16"/>
      <c r="C18" s="18"/>
      <c r="D18" s="16"/>
      <c r="E18" s="18"/>
      <c r="F18" s="16"/>
      <c r="G18" s="18" t="s">
        <v>4</v>
      </c>
      <c r="H18" s="16"/>
      <c r="I18" s="18" t="s">
        <v>4</v>
      </c>
      <c r="J18" s="16"/>
      <c r="K18" s="18"/>
      <c r="L18" s="16"/>
      <c r="M18" s="18"/>
      <c r="N18" s="16"/>
      <c r="O18" s="18"/>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I3" sqref="I3:I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110</v>
      </c>
      <c r="B8" s="16"/>
      <c r="C8" s="18" t="s">
        <v>1618</v>
      </c>
      <c r="D8" s="16"/>
      <c r="E8" s="18" t="s">
        <v>2337</v>
      </c>
      <c r="F8" s="16"/>
      <c r="G8" s="18" t="s">
        <v>5</v>
      </c>
      <c r="H8" s="16"/>
      <c r="I8" s="18" t="s">
        <v>3047</v>
      </c>
      <c r="J8" s="16"/>
      <c r="K8" s="18"/>
      <c r="L8" s="16"/>
      <c r="M8" s="18"/>
      <c r="N8" s="16"/>
      <c r="O8" s="18"/>
      <c r="P8" s="16"/>
      <c r="Q8" s="18"/>
      <c r="R8" s="16"/>
      <c r="S8" s="18"/>
      <c r="T8" s="16"/>
    </row>
    <row r="9" spans="1:20" ht="15.95" customHeight="1" x14ac:dyDescent="0.25">
      <c r="A9" s="18" t="s">
        <v>416</v>
      </c>
      <c r="B9" s="16"/>
      <c r="C9" s="18" t="s">
        <v>2056</v>
      </c>
      <c r="D9" s="16"/>
      <c r="E9" s="18" t="s">
        <v>2775</v>
      </c>
      <c r="F9" s="16"/>
      <c r="G9" s="18" t="s">
        <v>1311</v>
      </c>
      <c r="H9" s="16"/>
      <c r="I9" s="18" t="s">
        <v>3507</v>
      </c>
      <c r="J9" s="16"/>
      <c r="K9" s="18"/>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16"/>
    </row>
    <row r="11" spans="1:20" ht="15.95" customHeight="1" x14ac:dyDescent="0.25">
      <c r="A11" s="18" t="s">
        <v>417</v>
      </c>
      <c r="B11" s="16"/>
      <c r="C11" s="18" t="s">
        <v>2057</v>
      </c>
      <c r="D11" s="16"/>
      <c r="E11" s="18" t="s">
        <v>2776</v>
      </c>
      <c r="F11" s="16"/>
      <c r="G11" s="18" t="s">
        <v>1312</v>
      </c>
      <c r="H11" s="16"/>
      <c r="I11" s="18" t="s">
        <v>3508</v>
      </c>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1"/>
    </row>
    <row r="13" spans="1:20" ht="15.95" customHeight="1" x14ac:dyDescent="0.25">
      <c r="A13" s="18" t="s">
        <v>418</v>
      </c>
      <c r="B13" s="16"/>
      <c r="C13" s="18" t="s">
        <v>2058</v>
      </c>
      <c r="D13" s="16"/>
      <c r="E13" s="18" t="s">
        <v>2777</v>
      </c>
      <c r="F13" s="16"/>
      <c r="G13" s="18" t="s">
        <v>1313</v>
      </c>
      <c r="H13" s="16"/>
      <c r="I13" s="18" t="s">
        <v>3509</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419</v>
      </c>
      <c r="B15" s="16"/>
      <c r="C15" s="18" t="s">
        <v>2059</v>
      </c>
      <c r="D15" s="16"/>
      <c r="E15" s="18" t="s">
        <v>2778</v>
      </c>
      <c r="F15" s="16"/>
      <c r="G15" s="18" t="s">
        <v>1314</v>
      </c>
      <c r="H15" s="16"/>
      <c r="I15" s="18" t="s">
        <v>3510</v>
      </c>
      <c r="J15" s="16"/>
      <c r="K15" s="18"/>
      <c r="L15" s="16"/>
      <c r="M15" s="18"/>
      <c r="N15" s="16"/>
      <c r="O15" s="18"/>
      <c r="P15" s="16"/>
      <c r="Q15" s="18"/>
      <c r="R15" s="16"/>
      <c r="S15" s="18"/>
      <c r="T15" s="21"/>
    </row>
    <row r="16" spans="1:20" ht="15.95" customHeight="1" x14ac:dyDescent="0.25">
      <c r="A16" s="18" t="s">
        <v>420</v>
      </c>
      <c r="B16" s="16"/>
      <c r="C16" s="18" t="s">
        <v>2060</v>
      </c>
      <c r="D16" s="16"/>
      <c r="E16" s="18" t="s">
        <v>2779</v>
      </c>
      <c r="F16" s="16"/>
      <c r="G16" s="18" t="s">
        <v>1315</v>
      </c>
      <c r="H16" s="16"/>
      <c r="I16" s="18" t="s">
        <v>3511</v>
      </c>
      <c r="J16" s="16"/>
      <c r="K16" s="18"/>
      <c r="L16" s="16"/>
      <c r="M16" s="18"/>
      <c r="N16" s="16"/>
      <c r="O16" s="18"/>
      <c r="P16" s="16"/>
      <c r="Q16" s="18"/>
      <c r="R16" s="16"/>
      <c r="S16" s="18"/>
      <c r="T16" s="21"/>
    </row>
    <row r="17" spans="1:20" ht="15.95" customHeight="1" x14ac:dyDescent="0.25">
      <c r="A17" s="18" t="s">
        <v>421</v>
      </c>
      <c r="B17" s="16"/>
      <c r="C17" s="18" t="s">
        <v>2061</v>
      </c>
      <c r="D17" s="16"/>
      <c r="E17" s="18" t="s">
        <v>2780</v>
      </c>
      <c r="F17" s="16"/>
      <c r="G17" s="18" t="s">
        <v>1316</v>
      </c>
      <c r="H17" s="16"/>
      <c r="I17" s="18" t="s">
        <v>3512</v>
      </c>
      <c r="J17" s="16"/>
      <c r="K17" s="18"/>
      <c r="L17" s="16"/>
      <c r="M17" s="18"/>
      <c r="N17" s="16"/>
      <c r="O17" s="18"/>
      <c r="P17" s="16"/>
      <c r="Q17" s="18"/>
      <c r="R17" s="16"/>
      <c r="S17" s="18"/>
      <c r="T17" s="21"/>
    </row>
    <row r="18" spans="1:20" ht="15.95" customHeight="1" x14ac:dyDescent="0.25">
      <c r="A18" s="18" t="s">
        <v>422</v>
      </c>
      <c r="B18" s="16"/>
      <c r="C18" s="18" t="s">
        <v>2062</v>
      </c>
      <c r="D18" s="16"/>
      <c r="E18" s="18" t="s">
        <v>2781</v>
      </c>
      <c r="F18" s="16"/>
      <c r="G18" s="18" t="s">
        <v>1317</v>
      </c>
      <c r="H18" s="16"/>
      <c r="I18" s="18" t="s">
        <v>3513</v>
      </c>
      <c r="J18" s="16"/>
      <c r="K18" s="18"/>
      <c r="L18" s="16"/>
      <c r="M18" s="18"/>
      <c r="N18" s="16"/>
      <c r="O18" s="18"/>
      <c r="P18" s="16"/>
      <c r="Q18" s="18"/>
      <c r="R18" s="16"/>
      <c r="S18" s="18"/>
      <c r="T18" s="21"/>
    </row>
    <row r="19" spans="1:20" ht="15.95" customHeight="1" x14ac:dyDescent="0.25">
      <c r="A19" s="18" t="s">
        <v>423</v>
      </c>
      <c r="B19" s="16"/>
      <c r="C19" s="18" t="s">
        <v>2063</v>
      </c>
      <c r="D19" s="16"/>
      <c r="E19" s="18" t="s">
        <v>2782</v>
      </c>
      <c r="F19" s="16"/>
      <c r="G19" s="18" t="s">
        <v>1318</v>
      </c>
      <c r="H19" s="16"/>
      <c r="I19" s="18" t="s">
        <v>3514</v>
      </c>
      <c r="J19" s="16"/>
      <c r="K19" s="18"/>
      <c r="L19" s="16"/>
      <c r="M19" s="18"/>
      <c r="N19" s="16"/>
      <c r="O19" s="18"/>
      <c r="P19" s="16"/>
      <c r="Q19" s="18"/>
      <c r="R19" s="16"/>
      <c r="S19" s="18"/>
      <c r="T19" s="21"/>
    </row>
    <row r="20" spans="1:20" ht="15.95" customHeight="1" x14ac:dyDescent="0.25">
      <c r="A20" s="18" t="s">
        <v>424</v>
      </c>
      <c r="B20" s="16"/>
      <c r="C20" s="18" t="s">
        <v>2064</v>
      </c>
      <c r="D20" s="16"/>
      <c r="E20" s="18" t="s">
        <v>2783</v>
      </c>
      <c r="F20" s="16"/>
      <c r="G20" s="18" t="s">
        <v>1319</v>
      </c>
      <c r="H20" s="16"/>
      <c r="I20" s="18" t="s">
        <v>3515</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425</v>
      </c>
      <c r="B22" s="16"/>
      <c r="C22" s="18" t="s">
        <v>2065</v>
      </c>
      <c r="D22" s="16"/>
      <c r="E22" s="18" t="s">
        <v>2784</v>
      </c>
      <c r="F22" s="16"/>
      <c r="G22" s="18" t="s">
        <v>1320</v>
      </c>
      <c r="H22" s="16"/>
      <c r="I22" s="18" t="s">
        <v>3516</v>
      </c>
      <c r="J22" s="16"/>
      <c r="K22" s="18"/>
      <c r="L22" s="16"/>
      <c r="M22" s="18"/>
      <c r="N22" s="16"/>
      <c r="O22" s="18"/>
      <c r="P22" s="16"/>
      <c r="Q22" s="18"/>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J10" sqref="J1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350</v>
      </c>
      <c r="B8" s="16"/>
      <c r="C8" s="18" t="s">
        <v>2070</v>
      </c>
      <c r="D8" s="16"/>
      <c r="E8" s="18" t="s">
        <v>2788</v>
      </c>
      <c r="F8" s="16"/>
      <c r="G8" s="18" t="s">
        <v>350</v>
      </c>
      <c r="H8" s="16"/>
      <c r="I8" s="18" t="s">
        <v>3521</v>
      </c>
      <c r="J8" s="16"/>
      <c r="K8" s="18"/>
      <c r="L8" s="16"/>
      <c r="M8" s="18"/>
      <c r="N8" s="16"/>
      <c r="O8" s="18"/>
      <c r="P8" s="16"/>
      <c r="Q8" s="18"/>
      <c r="R8" s="16"/>
      <c r="S8" s="18"/>
      <c r="T8" s="16"/>
    </row>
    <row r="9" spans="1:20" ht="15.95" customHeight="1" x14ac:dyDescent="0.25">
      <c r="A9" s="18" t="s">
        <v>351</v>
      </c>
      <c r="B9" s="16"/>
      <c r="C9" s="18" t="s">
        <v>2071</v>
      </c>
      <c r="D9" s="16"/>
      <c r="E9" s="18" t="s">
        <v>2789</v>
      </c>
      <c r="F9" s="16"/>
      <c r="G9" s="18" t="s">
        <v>1324</v>
      </c>
      <c r="H9" s="16"/>
      <c r="I9" s="18" t="s">
        <v>3522</v>
      </c>
      <c r="J9" s="16"/>
      <c r="K9" s="18"/>
      <c r="L9" s="16"/>
      <c r="M9" s="18"/>
      <c r="N9" s="16"/>
      <c r="O9" s="18"/>
      <c r="P9" s="16"/>
      <c r="Q9" s="18"/>
      <c r="R9" s="16"/>
      <c r="S9" s="18"/>
      <c r="T9" s="16"/>
    </row>
    <row r="10" spans="1:20" ht="15.95" customHeight="1" x14ac:dyDescent="0.25">
      <c r="A10" s="18" t="s">
        <v>352</v>
      </c>
      <c r="B10" s="16"/>
      <c r="C10" s="18" t="s">
        <v>2072</v>
      </c>
      <c r="D10" s="16"/>
      <c r="E10" s="18" t="s">
        <v>2790</v>
      </c>
      <c r="F10" s="16"/>
      <c r="G10" s="18" t="s">
        <v>1325</v>
      </c>
      <c r="H10" s="16"/>
      <c r="I10" s="18" t="s">
        <v>3523</v>
      </c>
      <c r="J10" s="16"/>
      <c r="K10" s="18"/>
      <c r="L10" s="16"/>
      <c r="M10" s="18"/>
      <c r="N10" s="16"/>
      <c r="O10" s="18"/>
      <c r="P10" s="16"/>
      <c r="Q10" s="18"/>
      <c r="R10" s="16"/>
      <c r="S10" s="18"/>
      <c r="T10" s="16"/>
    </row>
    <row r="11" spans="1:20" ht="15.95" customHeight="1" x14ac:dyDescent="0.25">
      <c r="A11" s="18" t="s">
        <v>353</v>
      </c>
      <c r="B11" s="16"/>
      <c r="C11" s="18" t="s">
        <v>2073</v>
      </c>
      <c r="D11" s="16"/>
      <c r="E11" s="18" t="s">
        <v>2791</v>
      </c>
      <c r="F11" s="16"/>
      <c r="G11" s="18" t="s">
        <v>1326</v>
      </c>
      <c r="H11" s="16"/>
      <c r="I11" s="18" t="s">
        <v>3524</v>
      </c>
      <c r="J11" s="16"/>
      <c r="K11" s="18"/>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354</v>
      </c>
      <c r="B15" s="16"/>
      <c r="C15" s="18" t="s">
        <v>2074</v>
      </c>
      <c r="D15" s="16"/>
      <c r="E15" s="18" t="s">
        <v>2792</v>
      </c>
      <c r="F15" s="16"/>
      <c r="G15" s="18" t="s">
        <v>1327</v>
      </c>
      <c r="H15" s="16"/>
      <c r="I15" s="18" t="s">
        <v>3525</v>
      </c>
      <c r="J15" s="16"/>
      <c r="K15" s="18"/>
      <c r="L15" s="16"/>
      <c r="M15" s="18"/>
      <c r="N15" s="16"/>
      <c r="O15" s="18"/>
      <c r="P15" s="16"/>
      <c r="Q15" s="18"/>
      <c r="R15" s="16"/>
      <c r="S15" s="18"/>
      <c r="T15" s="21"/>
    </row>
    <row r="16" spans="1:20" ht="15.95" customHeight="1" x14ac:dyDescent="0.25">
      <c r="A16" s="18" t="s">
        <v>355</v>
      </c>
      <c r="B16" s="16"/>
      <c r="C16" s="18" t="s">
        <v>355</v>
      </c>
      <c r="D16" s="16"/>
      <c r="E16" s="18" t="s">
        <v>2793</v>
      </c>
      <c r="F16" s="16"/>
      <c r="G16" s="18" t="s">
        <v>1328</v>
      </c>
      <c r="H16" s="16"/>
      <c r="I16" s="18" t="s">
        <v>3526</v>
      </c>
      <c r="J16" s="16"/>
      <c r="K16" s="18"/>
      <c r="L16" s="16"/>
      <c r="M16" s="18"/>
      <c r="N16" s="16"/>
      <c r="O16" s="18"/>
      <c r="P16" s="16"/>
      <c r="Q16" s="18"/>
      <c r="R16" s="16"/>
      <c r="S16" s="18"/>
      <c r="T16" s="21"/>
    </row>
    <row r="17" spans="1:20" ht="15.95" customHeight="1" x14ac:dyDescent="0.25">
      <c r="A17" s="18" t="s">
        <v>356</v>
      </c>
      <c r="B17" s="16"/>
      <c r="C17" s="18" t="s">
        <v>356</v>
      </c>
      <c r="D17" s="16"/>
      <c r="E17" s="18" t="s">
        <v>356</v>
      </c>
      <c r="F17" s="16"/>
      <c r="G17" s="18" t="s">
        <v>356</v>
      </c>
      <c r="H17" s="16"/>
      <c r="I17" s="18" t="s">
        <v>3527</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357</v>
      </c>
      <c r="B19" s="16"/>
      <c r="C19" s="18" t="s">
        <v>2075</v>
      </c>
      <c r="D19" s="16"/>
      <c r="E19" s="18" t="s">
        <v>2794</v>
      </c>
      <c r="F19" s="16"/>
      <c r="G19" s="18" t="s">
        <v>1329</v>
      </c>
      <c r="H19" s="16"/>
      <c r="I19" s="18" t="s">
        <v>3528</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340</v>
      </c>
      <c r="B21" s="16"/>
      <c r="C21" s="18" t="s">
        <v>1909</v>
      </c>
      <c r="D21" s="16"/>
      <c r="E21" s="18" t="s">
        <v>2627</v>
      </c>
      <c r="F21" s="16"/>
      <c r="G21" s="18" t="s">
        <v>1170</v>
      </c>
      <c r="H21" s="16"/>
      <c r="I21" s="18" t="s">
        <v>3352</v>
      </c>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1"/>
    </row>
    <row r="23" spans="1:20" ht="15.95" customHeight="1" x14ac:dyDescent="0.25">
      <c r="A23" s="18" t="s">
        <v>358</v>
      </c>
      <c r="B23" s="16"/>
      <c r="C23" s="18" t="s">
        <v>2076</v>
      </c>
      <c r="D23" s="16"/>
      <c r="E23" s="18" t="s">
        <v>2795</v>
      </c>
      <c r="F23" s="16"/>
      <c r="G23" s="18" t="s">
        <v>1330</v>
      </c>
      <c r="H23" s="16"/>
      <c r="I23" s="18" t="s">
        <v>3529</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359</v>
      </c>
      <c r="B25" s="16"/>
      <c r="C25" s="18" t="s">
        <v>2077</v>
      </c>
      <c r="D25" s="16"/>
      <c r="E25" s="18" t="s">
        <v>2796</v>
      </c>
      <c r="F25" s="16"/>
      <c r="G25" s="18" t="s">
        <v>1331</v>
      </c>
      <c r="H25" s="16"/>
      <c r="I25" s="18" t="s">
        <v>3530</v>
      </c>
      <c r="J25" s="16"/>
      <c r="K25" s="18"/>
      <c r="L25" s="16"/>
      <c r="M25" s="18"/>
      <c r="N25" s="16"/>
      <c r="O25" s="18"/>
      <c r="P25" s="16"/>
      <c r="Q25" s="18"/>
      <c r="R25" s="16"/>
      <c r="S25" s="18"/>
      <c r="T25" s="21"/>
    </row>
    <row r="26" spans="1:20" ht="15.95" customHeight="1" x14ac:dyDescent="0.25">
      <c r="A26" s="18" t="s">
        <v>360</v>
      </c>
      <c r="B26" s="16"/>
      <c r="C26" s="18" t="s">
        <v>2078</v>
      </c>
      <c r="D26" s="16"/>
      <c r="E26" s="18" t="s">
        <v>2797</v>
      </c>
      <c r="F26" s="16"/>
      <c r="G26" s="18" t="s">
        <v>1332</v>
      </c>
      <c r="H26" s="16"/>
      <c r="I26" s="18" t="s">
        <v>3531</v>
      </c>
      <c r="J26" s="16"/>
      <c r="K26" s="18"/>
      <c r="L26" s="16"/>
      <c r="M26" s="18"/>
      <c r="N26" s="16"/>
      <c r="O26" s="18"/>
      <c r="P26" s="16"/>
      <c r="Q26" s="18"/>
      <c r="R26" s="16"/>
      <c r="S26" s="18"/>
      <c r="T26" s="21"/>
    </row>
    <row r="27" spans="1:20" ht="15.95" customHeight="1" x14ac:dyDescent="0.25">
      <c r="A27" s="18" t="s">
        <v>361</v>
      </c>
      <c r="B27" s="16"/>
      <c r="C27" s="18" t="s">
        <v>2079</v>
      </c>
      <c r="D27" s="16"/>
      <c r="E27" s="18" t="s">
        <v>2798</v>
      </c>
      <c r="F27" s="16"/>
      <c r="G27" s="18" t="s">
        <v>1333</v>
      </c>
      <c r="H27" s="16"/>
      <c r="I27" s="18" t="s">
        <v>3532</v>
      </c>
      <c r="J27" s="16"/>
      <c r="K27" s="18"/>
      <c r="L27" s="16"/>
      <c r="M27" s="18"/>
      <c r="N27" s="16"/>
      <c r="O27" s="18"/>
      <c r="P27" s="16"/>
      <c r="Q27" s="18"/>
      <c r="R27" s="16"/>
      <c r="S27" s="18"/>
      <c r="T27" s="21"/>
    </row>
    <row r="28" spans="1:20" ht="15.95" customHeight="1" x14ac:dyDescent="0.25">
      <c r="A28" s="18" t="s">
        <v>362</v>
      </c>
      <c r="B28" s="16"/>
      <c r="C28" s="18" t="s">
        <v>2080</v>
      </c>
      <c r="D28" s="16"/>
      <c r="E28" s="18" t="s">
        <v>2799</v>
      </c>
      <c r="F28" s="16"/>
      <c r="G28" s="18" t="s">
        <v>1334</v>
      </c>
      <c r="H28" s="16"/>
      <c r="I28" s="18" t="s">
        <v>3533</v>
      </c>
      <c r="J28" s="16"/>
      <c r="K28" s="18"/>
      <c r="L28" s="16"/>
      <c r="M28" s="18"/>
      <c r="N28" s="16"/>
      <c r="O28" s="18"/>
      <c r="P28" s="16"/>
      <c r="Q28" s="18"/>
      <c r="R28" s="16"/>
      <c r="S28" s="18"/>
      <c r="T28" s="21"/>
    </row>
    <row r="29" spans="1:20" ht="15.95" customHeight="1" x14ac:dyDescent="0.25">
      <c r="A29" s="18" t="s">
        <v>363</v>
      </c>
      <c r="B29" s="16"/>
      <c r="C29" s="18" t="s">
        <v>2081</v>
      </c>
      <c r="D29" s="16"/>
      <c r="E29" s="18" t="s">
        <v>2800</v>
      </c>
      <c r="F29" s="16"/>
      <c r="G29" s="18" t="s">
        <v>1335</v>
      </c>
      <c r="H29" s="16"/>
      <c r="I29" s="18" t="s">
        <v>3534</v>
      </c>
      <c r="J29" s="16"/>
      <c r="K29" s="18"/>
      <c r="L29" s="16"/>
      <c r="M29" s="18"/>
      <c r="N29" s="16"/>
      <c r="O29" s="18"/>
      <c r="P29" s="16"/>
      <c r="Q29" s="18"/>
      <c r="R29" s="16"/>
      <c r="S29" s="18"/>
      <c r="T29" s="21"/>
    </row>
    <row r="30" spans="1:20" ht="15.95" customHeight="1" x14ac:dyDescent="0.25">
      <c r="A30" s="18" t="s">
        <v>364</v>
      </c>
      <c r="B30" s="16"/>
      <c r="C30" s="18" t="s">
        <v>2082</v>
      </c>
      <c r="D30" s="16"/>
      <c r="E30" s="18" t="s">
        <v>2801</v>
      </c>
      <c r="F30" s="16"/>
      <c r="G30" s="18" t="s">
        <v>1336</v>
      </c>
      <c r="H30" s="16"/>
      <c r="I30" s="18" t="s">
        <v>3535</v>
      </c>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c r="L31" s="16"/>
      <c r="M31" s="18"/>
      <c r="N31" s="16"/>
      <c r="O31" s="18"/>
      <c r="P31" s="16"/>
      <c r="Q31" s="18"/>
      <c r="R31" s="16"/>
      <c r="S31" s="18"/>
      <c r="T31" s="21"/>
    </row>
    <row r="32" spans="1:20" ht="15.95" customHeight="1" x14ac:dyDescent="0.25">
      <c r="A32" s="18" t="s">
        <v>365</v>
      </c>
      <c r="B32" s="16"/>
      <c r="C32" s="18" t="s">
        <v>2083</v>
      </c>
      <c r="D32" s="16"/>
      <c r="E32" s="18" t="s">
        <v>2802</v>
      </c>
      <c r="F32" s="16"/>
      <c r="G32" s="18" t="s">
        <v>1337</v>
      </c>
      <c r="H32" s="16"/>
      <c r="I32" s="18" t="s">
        <v>3536</v>
      </c>
      <c r="J32" s="16"/>
      <c r="K32" s="18"/>
      <c r="L32" s="16"/>
      <c r="M32" s="18"/>
      <c r="N32" s="16"/>
      <c r="O32" s="18"/>
      <c r="P32" s="16"/>
      <c r="Q32" s="18"/>
      <c r="R32" s="16"/>
      <c r="S32" s="18"/>
      <c r="T32" s="21"/>
    </row>
    <row r="33" spans="1:20" ht="15.95" customHeight="1" x14ac:dyDescent="0.25">
      <c r="A33" s="22" t="s">
        <v>366</v>
      </c>
      <c r="B33" s="16"/>
      <c r="C33" s="18" t="s">
        <v>2084</v>
      </c>
      <c r="D33" s="16"/>
      <c r="E33" s="18" t="s">
        <v>2803</v>
      </c>
      <c r="F33" s="16"/>
      <c r="G33" s="18" t="s">
        <v>1338</v>
      </c>
      <c r="H33" s="16"/>
      <c r="I33" s="18" t="s">
        <v>3537</v>
      </c>
      <c r="J33" s="16"/>
      <c r="K33" s="18"/>
      <c r="L33" s="16"/>
      <c r="M33" s="18"/>
      <c r="N33" s="16"/>
      <c r="O33" s="18"/>
      <c r="P33" s="16"/>
      <c r="Q33" s="18"/>
      <c r="R33" s="16"/>
      <c r="S33" s="18"/>
      <c r="T33" s="21"/>
    </row>
    <row r="34" spans="1:20" ht="15.95" customHeight="1" x14ac:dyDescent="0.25">
      <c r="A34" s="18" t="s">
        <v>367</v>
      </c>
      <c r="B34" s="16"/>
      <c r="C34" s="18" t="s">
        <v>2085</v>
      </c>
      <c r="D34" s="16"/>
      <c r="E34" s="18" t="s">
        <v>2804</v>
      </c>
      <c r="F34" s="16"/>
      <c r="G34" s="18" t="s">
        <v>1339</v>
      </c>
      <c r="H34" s="16"/>
      <c r="I34" s="18" t="s">
        <v>3538</v>
      </c>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I3" sqref="I3:I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385</v>
      </c>
      <c r="B8" s="16"/>
      <c r="C8" s="18" t="s">
        <v>2089</v>
      </c>
      <c r="D8" s="16"/>
      <c r="E8" s="18" t="s">
        <v>2808</v>
      </c>
      <c r="F8" s="16"/>
      <c r="G8" s="18" t="s">
        <v>1343</v>
      </c>
      <c r="H8" s="16"/>
      <c r="I8" s="18" t="s">
        <v>3542</v>
      </c>
      <c r="J8" s="16"/>
      <c r="K8" s="18"/>
      <c r="L8" s="16"/>
      <c r="M8" s="18"/>
      <c r="N8" s="16"/>
      <c r="O8" s="18"/>
      <c r="P8" s="16"/>
      <c r="Q8" s="18"/>
      <c r="R8" s="16"/>
      <c r="S8" s="18"/>
      <c r="T8" s="16"/>
    </row>
    <row r="9" spans="1:20" ht="15.95" customHeight="1" x14ac:dyDescent="0.25">
      <c r="A9" s="18" t="s">
        <v>386</v>
      </c>
      <c r="B9" s="16"/>
      <c r="C9" s="18" t="s">
        <v>2090</v>
      </c>
      <c r="D9" s="16"/>
      <c r="E9" s="18" t="s">
        <v>2809</v>
      </c>
      <c r="F9" s="16"/>
      <c r="G9" s="18" t="s">
        <v>1344</v>
      </c>
      <c r="H9" s="16"/>
      <c r="I9" s="18" t="s">
        <v>3543</v>
      </c>
      <c r="J9" s="16"/>
      <c r="K9" s="18"/>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c r="L10" s="16"/>
      <c r="M10" s="18"/>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387</v>
      </c>
      <c r="B14" s="16"/>
      <c r="C14" s="18" t="s">
        <v>1833</v>
      </c>
      <c r="D14" s="16"/>
      <c r="E14" s="18" t="s">
        <v>2552</v>
      </c>
      <c r="F14" s="16"/>
      <c r="G14" s="18" t="s">
        <v>1099</v>
      </c>
      <c r="H14" s="16"/>
      <c r="I14" s="18" t="s">
        <v>3273</v>
      </c>
      <c r="J14" s="16"/>
      <c r="K14" s="18"/>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1"/>
    </row>
    <row r="16" spans="1:20" ht="15.95" customHeight="1" x14ac:dyDescent="0.25">
      <c r="A16" s="18" t="s">
        <v>198</v>
      </c>
      <c r="B16" s="16"/>
      <c r="C16" s="18" t="s">
        <v>1675</v>
      </c>
      <c r="D16" s="16"/>
      <c r="E16" s="18" t="s">
        <v>2395</v>
      </c>
      <c r="F16" s="16"/>
      <c r="G16" s="18" t="s">
        <v>942</v>
      </c>
      <c r="H16" s="16"/>
      <c r="I16" s="18" t="s">
        <v>3110</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388</v>
      </c>
      <c r="B18" s="16"/>
      <c r="C18" s="18" t="s">
        <v>2093</v>
      </c>
      <c r="D18" s="16"/>
      <c r="E18" s="18" t="s">
        <v>2812</v>
      </c>
      <c r="F18" s="16"/>
      <c r="G18" s="18" t="s">
        <v>1347</v>
      </c>
      <c r="H18" s="16"/>
      <c r="I18" s="18" t="s">
        <v>3546</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389</v>
      </c>
      <c r="B20" s="16"/>
      <c r="C20" s="18" t="s">
        <v>2094</v>
      </c>
      <c r="D20" s="16"/>
      <c r="E20" s="18" t="s">
        <v>2813</v>
      </c>
      <c r="F20" s="16"/>
      <c r="G20" s="18" t="s">
        <v>1348</v>
      </c>
      <c r="H20" s="16"/>
      <c r="I20" s="18" t="s">
        <v>3547</v>
      </c>
      <c r="J20" s="16"/>
      <c r="K20" s="18"/>
      <c r="L20" s="16"/>
      <c r="M20" s="18"/>
      <c r="N20" s="16"/>
      <c r="O20" s="18"/>
      <c r="P20" s="16"/>
      <c r="Q20" s="18"/>
      <c r="R20" s="16"/>
      <c r="S20" s="18"/>
      <c r="T20" s="21"/>
    </row>
    <row r="21" spans="1:20" ht="15.95" customHeight="1" x14ac:dyDescent="0.25">
      <c r="A21" s="18" t="s">
        <v>390</v>
      </c>
      <c r="B21" s="16"/>
      <c r="C21" s="18" t="s">
        <v>2095</v>
      </c>
      <c r="D21" s="16"/>
      <c r="E21" s="18" t="s">
        <v>2814</v>
      </c>
      <c r="F21" s="16"/>
      <c r="G21" s="18" t="s">
        <v>1349</v>
      </c>
      <c r="H21" s="16"/>
      <c r="I21" s="18" t="s">
        <v>3548</v>
      </c>
      <c r="J21" s="16"/>
      <c r="K21" s="18"/>
      <c r="L21" s="16"/>
      <c r="M21" s="18"/>
      <c r="N21" s="16"/>
      <c r="O21" s="18"/>
      <c r="P21" s="16"/>
      <c r="Q21" s="18"/>
      <c r="R21" s="16"/>
      <c r="S21" s="18"/>
      <c r="T21" s="21"/>
    </row>
    <row r="22" spans="1:20" ht="15.95" customHeight="1" x14ac:dyDescent="0.25">
      <c r="A22" s="18" t="s">
        <v>391</v>
      </c>
      <c r="B22" s="16"/>
      <c r="C22" s="18" t="s">
        <v>2096</v>
      </c>
      <c r="D22" s="16"/>
      <c r="E22" s="18" t="s">
        <v>2815</v>
      </c>
      <c r="F22" s="16"/>
      <c r="G22" s="18" t="s">
        <v>1350</v>
      </c>
      <c r="H22" s="16"/>
      <c r="I22" s="18" t="s">
        <v>3549</v>
      </c>
      <c r="J22" s="16"/>
      <c r="K22" s="18"/>
      <c r="L22" s="16"/>
      <c r="M22" s="18"/>
      <c r="N22" s="16"/>
      <c r="O22" s="18"/>
      <c r="P22" s="16"/>
      <c r="Q22" s="18"/>
      <c r="R22" s="16"/>
      <c r="S22" s="18"/>
      <c r="T22" s="21"/>
    </row>
    <row r="23" spans="1:20" ht="15.95" customHeight="1" x14ac:dyDescent="0.25">
      <c r="A23" s="18" t="s">
        <v>392</v>
      </c>
      <c r="B23" s="16"/>
      <c r="C23" s="18" t="s">
        <v>2097</v>
      </c>
      <c r="D23" s="16"/>
      <c r="E23" s="18" t="s">
        <v>2816</v>
      </c>
      <c r="F23" s="16"/>
      <c r="G23" s="18" t="s">
        <v>1351</v>
      </c>
      <c r="H23" s="16"/>
      <c r="I23" s="18" t="s">
        <v>3550</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393</v>
      </c>
      <c r="B25" s="16"/>
      <c r="C25" s="18" t="s">
        <v>2098</v>
      </c>
      <c r="D25" s="16"/>
      <c r="E25" s="18" t="s">
        <v>2817</v>
      </c>
      <c r="F25" s="16"/>
      <c r="G25" s="18" t="s">
        <v>1352</v>
      </c>
      <c r="H25" s="16"/>
      <c r="I25" s="18" t="s">
        <v>3551</v>
      </c>
      <c r="J25" s="16"/>
      <c r="K25" s="18"/>
      <c r="L25" s="16"/>
      <c r="M25" s="18"/>
      <c r="N25" s="16"/>
      <c r="O25" s="18"/>
      <c r="P25" s="16"/>
      <c r="Q25" s="18"/>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I3" sqref="I3:I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193</v>
      </c>
      <c r="B8" s="16"/>
      <c r="C8" s="18" t="s">
        <v>2103</v>
      </c>
      <c r="D8" s="16"/>
      <c r="E8" s="18" t="s">
        <v>2821</v>
      </c>
      <c r="F8" s="16"/>
      <c r="G8" s="18" t="s">
        <v>1356</v>
      </c>
      <c r="H8" s="16"/>
      <c r="I8" s="18" t="s">
        <v>3556</v>
      </c>
      <c r="J8" s="16"/>
      <c r="K8" s="18"/>
      <c r="L8" s="16"/>
      <c r="M8" s="18"/>
      <c r="N8" s="16"/>
      <c r="O8" s="18"/>
      <c r="P8" s="16"/>
      <c r="Q8" s="18"/>
      <c r="R8" s="16"/>
      <c r="S8" s="18"/>
      <c r="T8" s="16"/>
    </row>
    <row r="9" spans="1:20" ht="15.95" customHeight="1" x14ac:dyDescent="0.25">
      <c r="A9" s="18" t="s">
        <v>194</v>
      </c>
      <c r="B9" s="16"/>
      <c r="C9" s="18" t="s">
        <v>2104</v>
      </c>
      <c r="D9" s="16"/>
      <c r="E9" s="18" t="s">
        <v>2822</v>
      </c>
      <c r="F9" s="16"/>
      <c r="G9" s="18" t="s">
        <v>1357</v>
      </c>
      <c r="H9" s="16"/>
      <c r="I9" s="18" t="s">
        <v>3557</v>
      </c>
      <c r="J9" s="16"/>
      <c r="K9" s="18"/>
      <c r="L9" s="16"/>
      <c r="M9" s="18"/>
      <c r="N9" s="16"/>
      <c r="O9" s="18"/>
      <c r="P9" s="16"/>
      <c r="Q9" s="18"/>
      <c r="R9" s="16"/>
      <c r="S9" s="18"/>
      <c r="T9" s="16"/>
    </row>
    <row r="10" spans="1:20" ht="15.95" customHeight="1" x14ac:dyDescent="0.25">
      <c r="A10" s="18" t="s">
        <v>195</v>
      </c>
      <c r="B10" s="16"/>
      <c r="C10" s="18" t="s">
        <v>2105</v>
      </c>
      <c r="D10" s="16"/>
      <c r="E10" s="18" t="s">
        <v>2823</v>
      </c>
      <c r="F10" s="16"/>
      <c r="G10" s="18" t="s">
        <v>1358</v>
      </c>
      <c r="H10" s="16"/>
      <c r="I10" s="18" t="s">
        <v>3558</v>
      </c>
      <c r="J10" s="16"/>
      <c r="K10" s="18"/>
      <c r="L10" s="16"/>
      <c r="M10" s="18"/>
      <c r="N10" s="16"/>
      <c r="O10" s="18"/>
      <c r="P10" s="16"/>
      <c r="Q10" s="18"/>
      <c r="R10" s="16"/>
      <c r="S10" s="18"/>
      <c r="T10" s="16"/>
    </row>
    <row r="11" spans="1:20" ht="15.95" customHeight="1" x14ac:dyDescent="0.25">
      <c r="A11" s="18" t="s">
        <v>196</v>
      </c>
      <c r="B11" s="16"/>
      <c r="C11" s="18" t="s">
        <v>2106</v>
      </c>
      <c r="D11" s="16"/>
      <c r="E11" s="18" t="s">
        <v>2824</v>
      </c>
      <c r="F11" s="16"/>
      <c r="G11" s="18" t="s">
        <v>1359</v>
      </c>
      <c r="H11" s="16"/>
      <c r="I11" s="18" t="s">
        <v>3559</v>
      </c>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1"/>
    </row>
    <row r="13" spans="1:20" ht="15.95" customHeight="1" x14ac:dyDescent="0.25">
      <c r="A13" s="18" t="s">
        <v>197</v>
      </c>
      <c r="B13" s="16"/>
      <c r="C13" s="18" t="s">
        <v>1999</v>
      </c>
      <c r="D13" s="16"/>
      <c r="E13" s="18" t="s">
        <v>2720</v>
      </c>
      <c r="F13" s="16"/>
      <c r="G13" s="18" t="s">
        <v>1255</v>
      </c>
      <c r="H13" s="16"/>
      <c r="I13" s="18" t="s">
        <v>3447</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198</v>
      </c>
      <c r="B15" s="16"/>
      <c r="C15" s="18" t="s">
        <v>1675</v>
      </c>
      <c r="D15" s="16"/>
      <c r="E15" s="18" t="s">
        <v>2395</v>
      </c>
      <c r="F15" s="16"/>
      <c r="G15" s="18" t="s">
        <v>942</v>
      </c>
      <c r="H15" s="16"/>
      <c r="I15" s="18" t="s">
        <v>3110</v>
      </c>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1"/>
    </row>
    <row r="17" spans="1:20" ht="15.95" customHeight="1" x14ac:dyDescent="0.25">
      <c r="A17" s="18" t="s">
        <v>199</v>
      </c>
      <c r="B17" s="16"/>
      <c r="C17" s="18" t="s">
        <v>2107</v>
      </c>
      <c r="D17" s="16"/>
      <c r="E17" s="18" t="s">
        <v>2825</v>
      </c>
      <c r="F17" s="16"/>
      <c r="G17" s="18" t="s">
        <v>1360</v>
      </c>
      <c r="H17" s="16"/>
      <c r="I17" s="18" t="s">
        <v>3560</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200</v>
      </c>
      <c r="B19" s="16"/>
      <c r="C19" s="18" t="s">
        <v>2108</v>
      </c>
      <c r="D19" s="16"/>
      <c r="E19" s="18" t="s">
        <v>2826</v>
      </c>
      <c r="F19" s="16"/>
      <c r="G19" s="18" t="s">
        <v>1361</v>
      </c>
      <c r="H19" s="16"/>
      <c r="I19" s="18" t="s">
        <v>3561</v>
      </c>
      <c r="J19" s="16"/>
      <c r="K19" s="18"/>
      <c r="L19" s="16"/>
      <c r="M19" s="18"/>
      <c r="N19" s="16"/>
      <c r="O19" s="18"/>
      <c r="P19" s="16"/>
      <c r="Q19" s="18"/>
      <c r="R19" s="16"/>
      <c r="S19" s="18"/>
      <c r="T19" s="21"/>
    </row>
    <row r="20" spans="1:20" ht="15.95" customHeight="1" x14ac:dyDescent="0.25">
      <c r="A20" s="18" t="s">
        <v>201</v>
      </c>
      <c r="B20" s="16"/>
      <c r="C20" s="18" t="s">
        <v>2109</v>
      </c>
      <c r="D20" s="16"/>
      <c r="E20" s="18" t="s">
        <v>2827</v>
      </c>
      <c r="F20" s="16"/>
      <c r="G20" s="18" t="s">
        <v>1362</v>
      </c>
      <c r="H20" s="16"/>
      <c r="I20" s="18" t="s">
        <v>3562</v>
      </c>
      <c r="J20" s="16"/>
      <c r="K20" s="18"/>
      <c r="L20" s="16"/>
      <c r="M20" s="18"/>
      <c r="N20" s="16"/>
      <c r="O20" s="18"/>
      <c r="P20" s="16"/>
      <c r="Q20" s="18"/>
      <c r="R20" s="16"/>
      <c r="S20" s="18"/>
      <c r="T20" s="21"/>
    </row>
    <row r="21" spans="1:20" ht="15.95" customHeight="1" x14ac:dyDescent="0.25">
      <c r="A21" s="18" t="s">
        <v>202</v>
      </c>
      <c r="B21" s="16"/>
      <c r="C21" s="18" t="s">
        <v>2110</v>
      </c>
      <c r="D21" s="16"/>
      <c r="E21" s="18" t="s">
        <v>2828</v>
      </c>
      <c r="F21" s="16"/>
      <c r="G21" s="18" t="s">
        <v>1363</v>
      </c>
      <c r="H21" s="16"/>
      <c r="I21" s="18" t="s">
        <v>3563</v>
      </c>
      <c r="J21" s="16"/>
      <c r="K21" s="18"/>
      <c r="L21" s="16"/>
      <c r="M21" s="18"/>
      <c r="N21" s="16"/>
      <c r="O21" s="18"/>
      <c r="P21" s="16"/>
      <c r="Q21" s="18"/>
      <c r="R21" s="16"/>
      <c r="S21" s="18"/>
      <c r="T21" s="21"/>
    </row>
    <row r="22" spans="1:20" ht="15.95" customHeight="1" x14ac:dyDescent="0.25">
      <c r="A22" s="18" t="s">
        <v>203</v>
      </c>
      <c r="B22" s="16"/>
      <c r="C22" s="18" t="s">
        <v>2111</v>
      </c>
      <c r="D22" s="16"/>
      <c r="E22" s="18" t="s">
        <v>2829</v>
      </c>
      <c r="F22" s="16"/>
      <c r="G22" s="18" t="s">
        <v>1364</v>
      </c>
      <c r="H22" s="16"/>
      <c r="I22" s="18" t="s">
        <v>3564</v>
      </c>
      <c r="J22" s="16"/>
      <c r="K22" s="18"/>
      <c r="L22" s="16"/>
      <c r="M22" s="18"/>
      <c r="N22" s="16"/>
      <c r="O22" s="18"/>
      <c r="P22" s="16"/>
      <c r="Q22" s="18"/>
      <c r="R22" s="16"/>
      <c r="S22" s="18"/>
      <c r="T22" s="21"/>
    </row>
    <row r="23" spans="1:20" ht="15.95" customHeight="1" x14ac:dyDescent="0.25">
      <c r="A23" s="18" t="s">
        <v>204</v>
      </c>
      <c r="B23" s="16"/>
      <c r="C23" s="18" t="s">
        <v>2112</v>
      </c>
      <c r="D23" s="16"/>
      <c r="E23" s="18" t="s">
        <v>2830</v>
      </c>
      <c r="F23" s="16"/>
      <c r="G23" s="18" t="s">
        <v>1365</v>
      </c>
      <c r="H23" s="16"/>
      <c r="I23" s="18" t="s">
        <v>3565</v>
      </c>
      <c r="J23" s="16"/>
      <c r="K23" s="18"/>
      <c r="L23" s="16"/>
      <c r="M23" s="18"/>
      <c r="N23" s="16"/>
      <c r="O23" s="18"/>
      <c r="P23" s="16"/>
      <c r="Q23" s="18"/>
      <c r="R23" s="16"/>
      <c r="S23" s="18"/>
      <c r="T23" s="21"/>
    </row>
    <row r="24" spans="1:20" ht="15.95" customHeight="1" x14ac:dyDescent="0.25">
      <c r="A24" s="18" t="s">
        <v>205</v>
      </c>
      <c r="B24" s="16"/>
      <c r="C24" s="18" t="s">
        <v>2113</v>
      </c>
      <c r="D24" s="16"/>
      <c r="E24" s="18" t="s">
        <v>2831</v>
      </c>
      <c r="F24" s="16"/>
      <c r="G24" s="18" t="s">
        <v>1366</v>
      </c>
      <c r="H24" s="16"/>
      <c r="I24" s="18" t="s">
        <v>3566</v>
      </c>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c r="L25" s="16"/>
      <c r="M25" s="18"/>
      <c r="N25" s="16"/>
      <c r="O25" s="18"/>
      <c r="P25" s="16"/>
      <c r="Q25" s="18"/>
      <c r="R25" s="16"/>
      <c r="S25" s="18"/>
      <c r="T25" s="21"/>
    </row>
    <row r="26" spans="1:20" ht="15.95" customHeight="1" x14ac:dyDescent="0.25">
      <c r="A26" s="18" t="s">
        <v>206</v>
      </c>
      <c r="B26" s="16"/>
      <c r="C26" s="18" t="s">
        <v>2114</v>
      </c>
      <c r="D26" s="16"/>
      <c r="E26" s="18" t="s">
        <v>2832</v>
      </c>
      <c r="F26" s="16"/>
      <c r="G26" s="18" t="s">
        <v>1367</v>
      </c>
      <c r="H26" s="16"/>
      <c r="I26" s="18" t="s">
        <v>3567</v>
      </c>
      <c r="J26" s="16"/>
      <c r="K26" s="18"/>
      <c r="L26" s="16"/>
      <c r="M26" s="18"/>
      <c r="N26" s="16"/>
      <c r="O26" s="18"/>
      <c r="P26" s="16"/>
      <c r="Q26" s="18"/>
      <c r="R26" s="16"/>
      <c r="S26" s="18"/>
      <c r="T26" s="21"/>
    </row>
    <row r="27" spans="1:20" ht="15.95" customHeight="1" x14ac:dyDescent="0.25">
      <c r="A27" s="18" t="s">
        <v>207</v>
      </c>
      <c r="B27" s="16"/>
      <c r="C27" s="18" t="s">
        <v>2115</v>
      </c>
      <c r="D27" s="16"/>
      <c r="E27" s="18" t="s">
        <v>2833</v>
      </c>
      <c r="F27" s="16"/>
      <c r="G27" s="18" t="s">
        <v>1368</v>
      </c>
      <c r="H27" s="16"/>
      <c r="I27" s="18" t="s">
        <v>3568</v>
      </c>
      <c r="J27" s="16"/>
      <c r="K27" s="18"/>
      <c r="L27" s="16"/>
      <c r="M27" s="18"/>
      <c r="N27" s="16"/>
      <c r="O27" s="18"/>
      <c r="P27" s="16"/>
      <c r="Q27" s="18"/>
      <c r="R27" s="16"/>
      <c r="S27" s="18"/>
      <c r="T27" s="21"/>
    </row>
    <row r="28" spans="1:20" ht="15.95" customHeight="1" x14ac:dyDescent="0.25">
      <c r="A28" s="18" t="s">
        <v>208</v>
      </c>
      <c r="B28" s="16"/>
      <c r="C28" s="18" t="s">
        <v>2116</v>
      </c>
      <c r="D28" s="16"/>
      <c r="E28" s="18" t="s">
        <v>2834</v>
      </c>
      <c r="F28" s="16"/>
      <c r="G28" s="18" t="s">
        <v>1369</v>
      </c>
      <c r="H28" s="16"/>
      <c r="I28" s="18" t="s">
        <v>3569</v>
      </c>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1" priority="2" stopIfTrue="1">
      <formula>NOT(ISERROR(A3))</formula>
    </cfRule>
  </conditionalFormatting>
  <conditionalFormatting sqref="A3:T51">
    <cfRule type="containsErrors" dxfId="80" priority="1" stopIfTrue="1">
      <formula>ISERROR(A3)</formula>
    </cfRule>
    <cfRule type="notContainsBlanks" dxfId="7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I3" sqref="I3:I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398</v>
      </c>
      <c r="B8" s="16"/>
      <c r="C8" s="18" t="s">
        <v>2120</v>
      </c>
      <c r="D8" s="16"/>
      <c r="E8" s="18" t="s">
        <v>2838</v>
      </c>
      <c r="F8" s="16"/>
      <c r="G8" s="18" t="s">
        <v>1373</v>
      </c>
      <c r="H8" s="16"/>
      <c r="I8" s="18" t="s">
        <v>3573</v>
      </c>
      <c r="J8" s="16"/>
      <c r="K8" s="18"/>
      <c r="L8" s="16"/>
      <c r="M8" s="18"/>
      <c r="N8" s="16"/>
      <c r="O8" s="18"/>
      <c r="P8" s="16"/>
      <c r="Q8" s="18"/>
      <c r="R8" s="16"/>
      <c r="S8" s="18"/>
      <c r="T8" s="16"/>
    </row>
    <row r="9" spans="1:20" ht="15.95" customHeight="1" x14ac:dyDescent="0.25">
      <c r="A9" s="18" t="s">
        <v>399</v>
      </c>
      <c r="B9" s="16"/>
      <c r="C9" s="18" t="s">
        <v>2121</v>
      </c>
      <c r="D9" s="16"/>
      <c r="E9" s="18" t="s">
        <v>2839</v>
      </c>
      <c r="F9" s="16"/>
      <c r="G9" s="18" t="s">
        <v>1374</v>
      </c>
      <c r="H9" s="16"/>
      <c r="I9" s="18" t="s">
        <v>3574</v>
      </c>
      <c r="J9" s="16"/>
      <c r="K9" s="18"/>
      <c r="L9" s="16"/>
      <c r="M9" s="18"/>
      <c r="N9" s="16"/>
      <c r="O9" s="18"/>
      <c r="P9" s="16"/>
      <c r="Q9" s="18"/>
      <c r="R9" s="16"/>
      <c r="S9" s="18"/>
      <c r="T9" s="16"/>
    </row>
    <row r="10" spans="1:20" ht="15.95" customHeight="1" x14ac:dyDescent="0.25">
      <c r="A10" s="18" t="s">
        <v>400</v>
      </c>
      <c r="B10" s="16"/>
      <c r="C10" s="18" t="s">
        <v>2122</v>
      </c>
      <c r="D10" s="16"/>
      <c r="E10" s="18" t="s">
        <v>2840</v>
      </c>
      <c r="F10" s="16"/>
      <c r="G10" s="18" t="s">
        <v>1375</v>
      </c>
      <c r="H10" s="16"/>
      <c r="I10" s="18" t="s">
        <v>3575</v>
      </c>
      <c r="J10" s="16"/>
      <c r="K10" s="18"/>
      <c r="L10" s="16"/>
      <c r="M10" s="18"/>
      <c r="N10" s="16"/>
      <c r="O10" s="18"/>
      <c r="P10" s="16"/>
      <c r="Q10" s="18"/>
      <c r="R10" s="16"/>
      <c r="S10" s="18"/>
      <c r="T10" s="16"/>
    </row>
    <row r="11" spans="1:20" ht="15.95" customHeight="1" x14ac:dyDescent="0.25">
      <c r="A11" s="18" t="s">
        <v>401</v>
      </c>
      <c r="B11" s="16"/>
      <c r="C11" s="18" t="s">
        <v>2123</v>
      </c>
      <c r="D11" s="16"/>
      <c r="E11" s="18" t="s">
        <v>2841</v>
      </c>
      <c r="F11" s="16"/>
      <c r="G11" s="18" t="s">
        <v>1376</v>
      </c>
      <c r="H11" s="16"/>
      <c r="I11" s="18" t="s">
        <v>3576</v>
      </c>
      <c r="J11" s="16"/>
      <c r="K11" s="18"/>
      <c r="L11" s="16"/>
      <c r="M11" s="18"/>
      <c r="N11" s="16"/>
      <c r="O11" s="18"/>
      <c r="P11" s="16"/>
      <c r="Q11" s="18"/>
      <c r="R11" s="16"/>
      <c r="S11" s="18"/>
      <c r="T11" s="16"/>
    </row>
    <row r="12" spans="1:20" ht="15.95" customHeight="1" x14ac:dyDescent="0.25">
      <c r="A12" s="18" t="s">
        <v>300</v>
      </c>
      <c r="B12" s="16"/>
      <c r="C12" s="18" t="s">
        <v>2091</v>
      </c>
      <c r="D12" s="16"/>
      <c r="E12" s="18" t="s">
        <v>2810</v>
      </c>
      <c r="F12" s="16"/>
      <c r="G12" s="18" t="s">
        <v>1345</v>
      </c>
      <c r="H12" s="16"/>
      <c r="I12" s="18" t="s">
        <v>3544</v>
      </c>
      <c r="J12" s="16"/>
      <c r="K12" s="18"/>
      <c r="L12" s="16"/>
      <c r="M12" s="18"/>
      <c r="N12" s="16"/>
      <c r="O12" s="18"/>
      <c r="P12" s="16"/>
      <c r="Q12" s="18"/>
      <c r="R12" s="16"/>
      <c r="S12" s="18"/>
      <c r="T12" s="21"/>
    </row>
    <row r="13" spans="1:20" ht="15.95" customHeight="1" x14ac:dyDescent="0.25">
      <c r="A13" s="18" t="s">
        <v>255</v>
      </c>
      <c r="B13" s="16"/>
      <c r="C13" s="18" t="s">
        <v>2092</v>
      </c>
      <c r="D13" s="16"/>
      <c r="E13" s="18" t="s">
        <v>2811</v>
      </c>
      <c r="F13" s="16"/>
      <c r="G13" s="18" t="s">
        <v>1346</v>
      </c>
      <c r="H13" s="16"/>
      <c r="I13" s="18" t="s">
        <v>3545</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c r="L15" s="16"/>
      <c r="M15" s="18"/>
      <c r="N15" s="16"/>
      <c r="O15" s="18"/>
      <c r="P15" s="16"/>
      <c r="Q15" s="18"/>
      <c r="R15" s="16"/>
      <c r="S15" s="18"/>
      <c r="T15" s="21"/>
    </row>
    <row r="16" spans="1:20" ht="15.95" customHeight="1" x14ac:dyDescent="0.25">
      <c r="A16" s="18" t="s">
        <v>301</v>
      </c>
      <c r="B16" s="16"/>
      <c r="C16" s="18" t="s">
        <v>2124</v>
      </c>
      <c r="D16" s="16"/>
      <c r="E16" s="18" t="s">
        <v>2842</v>
      </c>
      <c r="F16" s="16"/>
      <c r="G16" s="18" t="s">
        <v>1377</v>
      </c>
      <c r="H16" s="16"/>
      <c r="I16" s="18" t="s">
        <v>3577</v>
      </c>
      <c r="J16" s="16"/>
      <c r="K16" s="18"/>
      <c r="L16" s="16"/>
      <c r="M16" s="18"/>
      <c r="N16" s="16"/>
      <c r="O16" s="18"/>
      <c r="P16" s="16"/>
      <c r="Q16" s="18"/>
      <c r="R16" s="16"/>
      <c r="S16" s="18"/>
      <c r="T16" s="21"/>
    </row>
    <row r="17" spans="1:20" ht="15.95" customHeight="1" x14ac:dyDescent="0.25">
      <c r="A17" s="18" t="s">
        <v>402</v>
      </c>
      <c r="B17" s="16"/>
      <c r="C17" s="18" t="s">
        <v>402</v>
      </c>
      <c r="D17" s="16"/>
      <c r="E17" s="18" t="s">
        <v>2843</v>
      </c>
      <c r="F17" s="16"/>
      <c r="G17" s="18" t="s">
        <v>1378</v>
      </c>
      <c r="H17" s="16"/>
      <c r="I17" s="18" t="s">
        <v>3578</v>
      </c>
      <c r="J17" s="16"/>
      <c r="K17" s="18"/>
      <c r="L17" s="16"/>
      <c r="M17" s="18"/>
      <c r="N17" s="16"/>
      <c r="O17" s="18"/>
      <c r="P17" s="16"/>
      <c r="Q17" s="18"/>
      <c r="R17" s="16"/>
      <c r="S17" s="18"/>
      <c r="T17" s="21"/>
    </row>
    <row r="18" spans="1:20" ht="15.95" customHeight="1" x14ac:dyDescent="0.25">
      <c r="A18" s="18" t="s">
        <v>403</v>
      </c>
      <c r="B18" s="16"/>
      <c r="C18" s="18" t="s">
        <v>403</v>
      </c>
      <c r="D18" s="16"/>
      <c r="E18" s="18" t="s">
        <v>403</v>
      </c>
      <c r="F18" s="16"/>
      <c r="G18" s="18" t="s">
        <v>403</v>
      </c>
      <c r="H18" s="16"/>
      <c r="I18" s="18" t="s">
        <v>3579</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404</v>
      </c>
      <c r="B20" s="16"/>
      <c r="C20" s="18" t="s">
        <v>1818</v>
      </c>
      <c r="D20" s="16"/>
      <c r="E20" s="18" t="s">
        <v>2537</v>
      </c>
      <c r="F20" s="16"/>
      <c r="G20" s="18" t="s">
        <v>1086</v>
      </c>
      <c r="H20" s="16"/>
      <c r="I20" s="18" t="s">
        <v>3257</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117</v>
      </c>
      <c r="B22" s="16"/>
      <c r="C22" s="18" t="s">
        <v>1742</v>
      </c>
      <c r="D22" s="16"/>
      <c r="E22" s="18" t="s">
        <v>2461</v>
      </c>
      <c r="F22" s="16"/>
      <c r="G22" s="18" t="s">
        <v>1010</v>
      </c>
      <c r="H22" s="16"/>
      <c r="I22" s="18" t="s">
        <v>3179</v>
      </c>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1"/>
    </row>
    <row r="24" spans="1:20" ht="15.95" customHeight="1" x14ac:dyDescent="0.25">
      <c r="A24" s="18" t="s">
        <v>388</v>
      </c>
      <c r="B24" s="16"/>
      <c r="C24" s="18" t="s">
        <v>2093</v>
      </c>
      <c r="D24" s="16"/>
      <c r="E24" s="18" t="s">
        <v>2812</v>
      </c>
      <c r="F24" s="16"/>
      <c r="G24" s="18" t="s">
        <v>1347</v>
      </c>
      <c r="H24" s="16"/>
      <c r="I24" s="18" t="s">
        <v>3546</v>
      </c>
      <c r="J24" s="16"/>
      <c r="K24" s="18"/>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c r="L25" s="16"/>
      <c r="M25" s="18"/>
      <c r="N25" s="16"/>
      <c r="O25" s="18"/>
      <c r="P25" s="16"/>
      <c r="Q25" s="18"/>
      <c r="R25" s="16"/>
      <c r="S25" s="18"/>
      <c r="T25" s="21"/>
    </row>
    <row r="26" spans="1:20" ht="15.95" customHeight="1" x14ac:dyDescent="0.25">
      <c r="A26" s="18" t="s">
        <v>405</v>
      </c>
      <c r="B26" s="16"/>
      <c r="C26" s="18" t="s">
        <v>2125</v>
      </c>
      <c r="D26" s="16"/>
      <c r="E26" s="18" t="s">
        <v>2844</v>
      </c>
      <c r="F26" s="16"/>
      <c r="G26" s="18" t="s">
        <v>1379</v>
      </c>
      <c r="H26" s="16"/>
      <c r="I26" s="18" t="s">
        <v>3580</v>
      </c>
      <c r="J26" s="16"/>
      <c r="K26" s="18"/>
      <c r="L26" s="16"/>
      <c r="M26" s="18"/>
      <c r="N26" s="16"/>
      <c r="O26" s="18"/>
      <c r="P26" s="16"/>
      <c r="Q26" s="18"/>
      <c r="R26" s="16"/>
      <c r="S26" s="18"/>
      <c r="T26" s="21"/>
    </row>
    <row r="27" spans="1:20" ht="15.95" customHeight="1" x14ac:dyDescent="0.25">
      <c r="A27" s="18" t="s">
        <v>406</v>
      </c>
      <c r="B27" s="16"/>
      <c r="C27" s="18" t="s">
        <v>2126</v>
      </c>
      <c r="D27" s="16"/>
      <c r="E27" s="18" t="s">
        <v>2845</v>
      </c>
      <c r="F27" s="16"/>
      <c r="G27" s="18" t="s">
        <v>1380</v>
      </c>
      <c r="H27" s="16"/>
      <c r="I27" s="18" t="s">
        <v>3581</v>
      </c>
      <c r="J27" s="16"/>
      <c r="K27" s="18"/>
      <c r="L27" s="16"/>
      <c r="M27" s="18"/>
      <c r="N27" s="16"/>
      <c r="O27" s="18"/>
      <c r="P27" s="16"/>
      <c r="Q27" s="18"/>
      <c r="R27" s="16"/>
      <c r="S27" s="18"/>
      <c r="T27" s="21"/>
    </row>
    <row r="28" spans="1:20" ht="15.95" customHeight="1" x14ac:dyDescent="0.25">
      <c r="A28" s="18" t="s">
        <v>407</v>
      </c>
      <c r="B28" s="16"/>
      <c r="C28" s="18" t="s">
        <v>2127</v>
      </c>
      <c r="D28" s="16"/>
      <c r="E28" s="18" t="s">
        <v>2846</v>
      </c>
      <c r="F28" s="16"/>
      <c r="G28" s="18" t="s">
        <v>1381</v>
      </c>
      <c r="H28" s="16"/>
      <c r="I28" s="18" t="s">
        <v>3582</v>
      </c>
      <c r="J28" s="16"/>
      <c r="K28" s="18"/>
      <c r="L28" s="16"/>
      <c r="M28" s="18"/>
      <c r="N28" s="16"/>
      <c r="O28" s="18"/>
      <c r="P28" s="16"/>
      <c r="Q28" s="18"/>
      <c r="R28" s="16"/>
      <c r="S28" s="18"/>
      <c r="T28" s="21"/>
    </row>
    <row r="29" spans="1:20" ht="15.95" customHeight="1" x14ac:dyDescent="0.25">
      <c r="A29" s="18" t="s">
        <v>408</v>
      </c>
      <c r="B29" s="16"/>
      <c r="C29" s="18" t="s">
        <v>2128</v>
      </c>
      <c r="D29" s="16"/>
      <c r="E29" s="18" t="s">
        <v>2847</v>
      </c>
      <c r="F29" s="16"/>
      <c r="G29" s="18" t="s">
        <v>1382</v>
      </c>
      <c r="H29" s="16"/>
      <c r="I29" s="18" t="s">
        <v>3583</v>
      </c>
      <c r="J29" s="16"/>
      <c r="K29" s="18"/>
      <c r="L29" s="16"/>
      <c r="M29" s="18"/>
      <c r="N29" s="16"/>
      <c r="O29" s="18"/>
      <c r="P29" s="16"/>
      <c r="Q29" s="18"/>
      <c r="R29" s="16"/>
      <c r="S29" s="18"/>
      <c r="T29" s="21"/>
    </row>
    <row r="30" spans="1:20" ht="15.95" customHeight="1" x14ac:dyDescent="0.25">
      <c r="A30" s="18" t="s">
        <v>409</v>
      </c>
      <c r="B30" s="16"/>
      <c r="C30" s="18" t="s">
        <v>2129</v>
      </c>
      <c r="D30" s="16"/>
      <c r="E30" s="18" t="s">
        <v>2848</v>
      </c>
      <c r="F30" s="16"/>
      <c r="G30" s="18" t="s">
        <v>1383</v>
      </c>
      <c r="H30" s="16"/>
      <c r="I30" s="18" t="s">
        <v>3584</v>
      </c>
      <c r="J30" s="16"/>
      <c r="K30" s="18"/>
      <c r="L30" s="16"/>
      <c r="M30" s="18"/>
      <c r="N30" s="16"/>
      <c r="O30" s="18"/>
      <c r="P30" s="16"/>
      <c r="Q30" s="18"/>
      <c r="R30" s="16"/>
      <c r="S30" s="18"/>
      <c r="T30" s="21"/>
    </row>
    <row r="31" spans="1:20" ht="15.95" customHeight="1" x14ac:dyDescent="0.25">
      <c r="A31" s="18" t="s">
        <v>410</v>
      </c>
      <c r="B31" s="16"/>
      <c r="C31" s="18" t="s">
        <v>2130</v>
      </c>
      <c r="D31" s="16"/>
      <c r="E31" s="18" t="s">
        <v>2849</v>
      </c>
      <c r="F31" s="16"/>
      <c r="G31" s="18" t="s">
        <v>1384</v>
      </c>
      <c r="H31" s="16"/>
      <c r="I31" s="18" t="s">
        <v>3585</v>
      </c>
      <c r="J31" s="16"/>
      <c r="K31" s="18"/>
      <c r="L31" s="16"/>
      <c r="M31" s="18"/>
      <c r="N31" s="16"/>
      <c r="O31" s="18"/>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c r="L32" s="16"/>
      <c r="M32" s="18"/>
      <c r="N32" s="16"/>
      <c r="O32" s="18"/>
      <c r="P32" s="16"/>
      <c r="Q32" s="18"/>
      <c r="R32" s="16"/>
      <c r="S32" s="18"/>
      <c r="T32" s="21"/>
    </row>
    <row r="33" spans="1:20" ht="15.95" customHeight="1" x14ac:dyDescent="0.25">
      <c r="A33" s="22" t="s">
        <v>411</v>
      </c>
      <c r="B33" s="16"/>
      <c r="C33" s="18" t="s">
        <v>2131</v>
      </c>
      <c r="D33" s="16"/>
      <c r="E33" s="18" t="s">
        <v>2850</v>
      </c>
      <c r="F33" s="16"/>
      <c r="G33" s="18" t="s">
        <v>1385</v>
      </c>
      <c r="H33" s="16"/>
      <c r="I33" s="18" t="s">
        <v>3586</v>
      </c>
      <c r="J33" s="16"/>
      <c r="K33" s="18"/>
      <c r="L33" s="16"/>
      <c r="M33" s="18"/>
      <c r="N33" s="16"/>
      <c r="O33" s="18"/>
      <c r="P33" s="16"/>
      <c r="Q33" s="18"/>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c r="L34" s="16"/>
      <c r="M34" s="18"/>
      <c r="N34" s="16"/>
      <c r="O34" s="18"/>
      <c r="P34" s="16"/>
      <c r="Q34" s="18"/>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I3" sqref="I3:I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212</v>
      </c>
      <c r="B8" s="16"/>
      <c r="C8" s="18" t="s">
        <v>2135</v>
      </c>
      <c r="D8" s="16"/>
      <c r="E8" s="18" t="s">
        <v>2853</v>
      </c>
      <c r="F8" s="16"/>
      <c r="G8" s="18" t="s">
        <v>1391</v>
      </c>
      <c r="H8" s="16"/>
      <c r="I8" s="18" t="s">
        <v>3592</v>
      </c>
      <c r="J8" s="16"/>
      <c r="K8" s="18"/>
      <c r="L8" s="16"/>
      <c r="M8" s="18"/>
      <c r="N8" s="16"/>
      <c r="O8" s="18"/>
      <c r="P8" s="16"/>
      <c r="Q8" s="18"/>
      <c r="R8" s="16"/>
      <c r="S8" s="18"/>
      <c r="T8" s="16"/>
    </row>
    <row r="9" spans="1:20" ht="15.95" customHeight="1" x14ac:dyDescent="0.25">
      <c r="A9" s="18" t="s">
        <v>213</v>
      </c>
      <c r="B9" s="16"/>
      <c r="C9" s="18" t="s">
        <v>2136</v>
      </c>
      <c r="D9" s="16"/>
      <c r="E9" s="18" t="s">
        <v>2854</v>
      </c>
      <c r="F9" s="16"/>
      <c r="G9" s="18" t="s">
        <v>1392</v>
      </c>
      <c r="H9" s="16"/>
      <c r="I9" s="18" t="s">
        <v>3593</v>
      </c>
      <c r="J9" s="16"/>
      <c r="K9" s="18"/>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c r="L10" s="16"/>
      <c r="M10" s="18"/>
      <c r="N10" s="16"/>
      <c r="O10" s="18"/>
      <c r="P10" s="16"/>
      <c r="Q10" s="18"/>
      <c r="R10" s="16"/>
      <c r="S10" s="18"/>
      <c r="T10" s="16"/>
    </row>
    <row r="11" spans="1:20" ht="15.95" customHeight="1" x14ac:dyDescent="0.25">
      <c r="A11" s="18" t="s">
        <v>215</v>
      </c>
      <c r="B11" s="16"/>
      <c r="C11" s="18" t="s">
        <v>2138</v>
      </c>
      <c r="D11" s="16"/>
      <c r="E11" s="18" t="s">
        <v>2856</v>
      </c>
      <c r="F11" s="16"/>
      <c r="G11" s="18" t="s">
        <v>1394</v>
      </c>
      <c r="H11" s="16"/>
      <c r="I11" s="18" t="s">
        <v>3595</v>
      </c>
      <c r="J11" s="16"/>
      <c r="K11" s="18"/>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216</v>
      </c>
      <c r="B15" s="16"/>
      <c r="C15" s="18" t="s">
        <v>2139</v>
      </c>
      <c r="D15" s="16"/>
      <c r="E15" s="18" t="s">
        <v>2857</v>
      </c>
      <c r="F15" s="16"/>
      <c r="G15" s="18" t="s">
        <v>1395</v>
      </c>
      <c r="H15" s="16"/>
      <c r="I15" s="18" t="s">
        <v>3596</v>
      </c>
      <c r="J15" s="16"/>
      <c r="K15" s="18"/>
      <c r="L15" s="16"/>
      <c r="M15" s="18"/>
      <c r="N15" s="16"/>
      <c r="O15" s="18"/>
      <c r="P15" s="16"/>
      <c r="Q15" s="18"/>
      <c r="R15" s="16"/>
      <c r="S15" s="18"/>
      <c r="T15" s="21"/>
    </row>
    <row r="16" spans="1:20" ht="15.95" customHeight="1" x14ac:dyDescent="0.25">
      <c r="A16" s="18" t="s">
        <v>217</v>
      </c>
      <c r="B16" s="16"/>
      <c r="C16" s="18" t="s">
        <v>217</v>
      </c>
      <c r="D16" s="16"/>
      <c r="E16" s="18" t="s">
        <v>2858</v>
      </c>
      <c r="F16" s="16"/>
      <c r="G16" s="18" t="s">
        <v>1396</v>
      </c>
      <c r="H16" s="16"/>
      <c r="I16" s="18" t="s">
        <v>3597</v>
      </c>
      <c r="J16" s="16"/>
      <c r="K16" s="18"/>
      <c r="L16" s="16"/>
      <c r="M16" s="18"/>
      <c r="N16" s="16"/>
      <c r="O16" s="18"/>
      <c r="P16" s="16"/>
      <c r="Q16" s="18"/>
      <c r="R16" s="16"/>
      <c r="S16" s="18"/>
      <c r="T16" s="21"/>
    </row>
    <row r="17" spans="1:20" ht="15.95" customHeight="1" x14ac:dyDescent="0.25">
      <c r="A17" s="18" t="s">
        <v>218</v>
      </c>
      <c r="B17" s="16"/>
      <c r="C17" s="18" t="s">
        <v>2140</v>
      </c>
      <c r="D17" s="16"/>
      <c r="E17" s="18" t="s">
        <v>2859</v>
      </c>
      <c r="F17" s="16"/>
      <c r="G17" s="18" t="s">
        <v>218</v>
      </c>
      <c r="H17" s="16"/>
      <c r="I17" s="18" t="s">
        <v>3598</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219</v>
      </c>
      <c r="B19" s="16"/>
      <c r="C19" s="18" t="s">
        <v>2141</v>
      </c>
      <c r="D19" s="16"/>
      <c r="E19" s="18" t="s">
        <v>2860</v>
      </c>
      <c r="F19" s="16"/>
      <c r="G19" s="18" t="s">
        <v>1397</v>
      </c>
      <c r="H19" s="16"/>
      <c r="I19" s="18" t="s">
        <v>3599</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220</v>
      </c>
      <c r="B21" s="16"/>
      <c r="C21" s="18" t="s">
        <v>2142</v>
      </c>
      <c r="D21" s="16"/>
      <c r="E21" s="18" t="s">
        <v>2861</v>
      </c>
      <c r="F21" s="16"/>
      <c r="G21" s="18" t="s">
        <v>1398</v>
      </c>
      <c r="H21" s="16"/>
      <c r="I21" s="18" t="s">
        <v>3600</v>
      </c>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1"/>
    </row>
    <row r="23" spans="1:20" ht="15.95" customHeight="1" x14ac:dyDescent="0.25">
      <c r="A23" s="18" t="s">
        <v>221</v>
      </c>
      <c r="B23" s="16"/>
      <c r="C23" s="18" t="s">
        <v>2143</v>
      </c>
      <c r="D23" s="16"/>
      <c r="E23" s="18" t="s">
        <v>2862</v>
      </c>
      <c r="F23" s="16"/>
      <c r="G23" s="18" t="s">
        <v>1399</v>
      </c>
      <c r="H23" s="16"/>
      <c r="I23" s="18" t="s">
        <v>3601</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222</v>
      </c>
      <c r="B25" s="16"/>
      <c r="C25" s="18" t="s">
        <v>2144</v>
      </c>
      <c r="D25" s="16"/>
      <c r="E25" s="18" t="s">
        <v>2863</v>
      </c>
      <c r="F25" s="16"/>
      <c r="G25" s="18" t="s">
        <v>1400</v>
      </c>
      <c r="H25" s="16"/>
      <c r="I25" s="18" t="s">
        <v>3602</v>
      </c>
      <c r="J25" s="16"/>
      <c r="K25" s="18"/>
      <c r="L25" s="16"/>
      <c r="M25" s="18"/>
      <c r="N25" s="16"/>
      <c r="O25" s="18"/>
      <c r="P25" s="16"/>
      <c r="Q25" s="18"/>
      <c r="R25" s="16"/>
      <c r="S25" s="18"/>
      <c r="T25" s="21"/>
    </row>
    <row r="26" spans="1:20" ht="15.95" customHeight="1" x14ac:dyDescent="0.25">
      <c r="A26" s="18" t="s">
        <v>223</v>
      </c>
      <c r="B26" s="16"/>
      <c r="C26" s="18" t="s">
        <v>2145</v>
      </c>
      <c r="D26" s="16"/>
      <c r="E26" s="18" t="s">
        <v>2864</v>
      </c>
      <c r="F26" s="16"/>
      <c r="G26" s="18" t="s">
        <v>1401</v>
      </c>
      <c r="H26" s="16"/>
      <c r="I26" s="18" t="s">
        <v>3603</v>
      </c>
      <c r="J26" s="16"/>
      <c r="K26" s="18"/>
      <c r="L26" s="16"/>
      <c r="M26" s="18"/>
      <c r="N26" s="16"/>
      <c r="O26" s="18"/>
      <c r="P26" s="16"/>
      <c r="Q26" s="18"/>
      <c r="R26" s="16"/>
      <c r="S26" s="18"/>
      <c r="T26" s="21"/>
    </row>
    <row r="27" spans="1:20" ht="15.95" customHeight="1" x14ac:dyDescent="0.25">
      <c r="A27" s="18" t="s">
        <v>224</v>
      </c>
      <c r="B27" s="16"/>
      <c r="C27" s="18" t="s">
        <v>2146</v>
      </c>
      <c r="D27" s="16"/>
      <c r="E27" s="18" t="s">
        <v>2865</v>
      </c>
      <c r="F27" s="16"/>
      <c r="G27" s="18" t="s">
        <v>1402</v>
      </c>
      <c r="H27" s="16"/>
      <c r="I27" s="18" t="s">
        <v>3604</v>
      </c>
      <c r="J27" s="16"/>
      <c r="K27" s="18"/>
      <c r="L27" s="16"/>
      <c r="M27" s="18"/>
      <c r="N27" s="16"/>
      <c r="O27" s="18"/>
      <c r="P27" s="16"/>
      <c r="Q27" s="18"/>
      <c r="R27" s="16"/>
      <c r="S27" s="18"/>
      <c r="T27" s="21"/>
    </row>
    <row r="28" spans="1:20" ht="15.95" customHeight="1" x14ac:dyDescent="0.25">
      <c r="A28" s="18" t="s">
        <v>225</v>
      </c>
      <c r="B28" s="16"/>
      <c r="C28" s="18" t="s">
        <v>2147</v>
      </c>
      <c r="D28" s="16"/>
      <c r="E28" s="18" t="s">
        <v>2866</v>
      </c>
      <c r="F28" s="16"/>
      <c r="G28" s="18" t="s">
        <v>1403</v>
      </c>
      <c r="H28" s="16"/>
      <c r="I28" s="18" t="s">
        <v>3605</v>
      </c>
      <c r="J28" s="16"/>
      <c r="K28" s="18"/>
      <c r="L28" s="16"/>
      <c r="M28" s="18"/>
      <c r="N28" s="16"/>
      <c r="O28" s="18"/>
      <c r="P28" s="16"/>
      <c r="Q28" s="18"/>
      <c r="R28" s="16"/>
      <c r="S28" s="18"/>
      <c r="T28" s="21"/>
    </row>
    <row r="29" spans="1:20" ht="15.95" customHeight="1" x14ac:dyDescent="0.25">
      <c r="A29" s="18" t="s">
        <v>226</v>
      </c>
      <c r="B29" s="16"/>
      <c r="C29" s="18" t="s">
        <v>2148</v>
      </c>
      <c r="D29" s="16"/>
      <c r="E29" s="18" t="s">
        <v>2867</v>
      </c>
      <c r="F29" s="16"/>
      <c r="G29" s="18" t="s">
        <v>1404</v>
      </c>
      <c r="H29" s="16"/>
      <c r="I29" s="18" t="s">
        <v>3606</v>
      </c>
      <c r="J29" s="16"/>
      <c r="K29" s="18"/>
      <c r="L29" s="16"/>
      <c r="M29" s="18"/>
      <c r="N29" s="16"/>
      <c r="O29" s="18"/>
      <c r="P29" s="16"/>
      <c r="Q29" s="18"/>
      <c r="R29" s="16"/>
      <c r="S29" s="18"/>
      <c r="T29" s="21"/>
    </row>
    <row r="30" spans="1:20" ht="15.95" customHeight="1" x14ac:dyDescent="0.25">
      <c r="A30" s="18" t="s">
        <v>227</v>
      </c>
      <c r="B30" s="16"/>
      <c r="C30" s="18" t="s">
        <v>2149</v>
      </c>
      <c r="D30" s="16"/>
      <c r="E30" s="18" t="s">
        <v>2868</v>
      </c>
      <c r="F30" s="16"/>
      <c r="G30" s="18" t="s">
        <v>1405</v>
      </c>
      <c r="H30" s="16"/>
      <c r="I30" s="18" t="s">
        <v>3607</v>
      </c>
      <c r="J30" s="16"/>
      <c r="K30" s="18"/>
      <c r="L30" s="16"/>
      <c r="M30" s="18"/>
      <c r="N30" s="16"/>
      <c r="O30" s="18"/>
      <c r="P30" s="16"/>
      <c r="Q30" s="18"/>
      <c r="R30" s="16"/>
      <c r="S30" s="18"/>
      <c r="T30" s="21"/>
    </row>
    <row r="31" spans="1:20" ht="15.95" customHeight="1" x14ac:dyDescent="0.25">
      <c r="A31" s="18" t="s">
        <v>228</v>
      </c>
      <c r="B31" s="16"/>
      <c r="C31" s="18" t="s">
        <v>2150</v>
      </c>
      <c r="D31" s="16"/>
      <c r="E31" s="18" t="s">
        <v>2869</v>
      </c>
      <c r="F31" s="16"/>
      <c r="G31" s="18" t="s">
        <v>1406</v>
      </c>
      <c r="H31" s="16"/>
      <c r="I31" s="18" t="s">
        <v>3608</v>
      </c>
      <c r="J31" s="16"/>
      <c r="K31" s="18"/>
      <c r="L31" s="16"/>
      <c r="M31" s="18"/>
      <c r="N31" s="16"/>
      <c r="O31" s="18"/>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c r="L32" s="16"/>
      <c r="M32" s="18"/>
      <c r="N32" s="16"/>
      <c r="O32" s="18"/>
      <c r="P32" s="16"/>
      <c r="Q32" s="18"/>
      <c r="R32" s="16"/>
      <c r="S32" s="18"/>
      <c r="T32" s="21"/>
    </row>
    <row r="33" spans="1:20" ht="15.95" customHeight="1" x14ac:dyDescent="0.25">
      <c r="A33" s="22" t="s">
        <v>229</v>
      </c>
      <c r="B33" s="16"/>
      <c r="C33" s="18" t="s">
        <v>2151</v>
      </c>
      <c r="D33" s="16"/>
      <c r="E33" s="18" t="s">
        <v>2870</v>
      </c>
      <c r="F33" s="16"/>
      <c r="G33" s="18" t="s">
        <v>1407</v>
      </c>
      <c r="H33" s="16"/>
      <c r="I33" s="18" t="s">
        <v>3609</v>
      </c>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I3" sqref="I3:I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212</v>
      </c>
      <c r="B8" s="16"/>
      <c r="C8" s="18" t="s">
        <v>2135</v>
      </c>
      <c r="D8" s="16"/>
      <c r="E8" s="18" t="s">
        <v>2853</v>
      </c>
      <c r="F8" s="16"/>
      <c r="G8" s="18" t="s">
        <v>1391</v>
      </c>
      <c r="H8" s="16"/>
      <c r="I8" s="18" t="s">
        <v>3592</v>
      </c>
      <c r="J8" s="16"/>
      <c r="K8" s="18"/>
      <c r="L8" s="16"/>
      <c r="M8" s="18"/>
      <c r="N8" s="16"/>
      <c r="O8" s="18"/>
      <c r="P8" s="16"/>
      <c r="Q8" s="18"/>
      <c r="R8" s="16"/>
      <c r="S8" s="18"/>
      <c r="T8" s="16"/>
    </row>
    <row r="9" spans="1:20" ht="15.95" customHeight="1" x14ac:dyDescent="0.25">
      <c r="A9" s="18" t="s">
        <v>233</v>
      </c>
      <c r="B9" s="16"/>
      <c r="C9" s="18" t="s">
        <v>2154</v>
      </c>
      <c r="D9" s="16"/>
      <c r="E9" s="18" t="s">
        <v>2873</v>
      </c>
      <c r="F9" s="16"/>
      <c r="G9" s="18" t="s">
        <v>1410</v>
      </c>
      <c r="H9" s="16"/>
      <c r="I9" s="18" t="s">
        <v>3613</v>
      </c>
      <c r="J9" s="16"/>
      <c r="K9" s="18"/>
      <c r="L9" s="16"/>
      <c r="M9" s="18"/>
      <c r="N9" s="16"/>
      <c r="O9" s="18"/>
      <c r="P9" s="16"/>
      <c r="Q9" s="18"/>
      <c r="R9" s="16"/>
      <c r="S9" s="18"/>
      <c r="T9" s="16"/>
    </row>
    <row r="10" spans="1:20" ht="15.95" customHeight="1" x14ac:dyDescent="0.25">
      <c r="A10" s="18" t="s">
        <v>234</v>
      </c>
      <c r="B10" s="16"/>
      <c r="C10" s="18" t="s">
        <v>2155</v>
      </c>
      <c r="D10" s="16"/>
      <c r="E10" s="18" t="s">
        <v>2874</v>
      </c>
      <c r="F10" s="16"/>
      <c r="G10" s="18" t="s">
        <v>1411</v>
      </c>
      <c r="H10" s="16"/>
      <c r="I10" s="18" t="s">
        <v>3614</v>
      </c>
      <c r="J10" s="16"/>
      <c r="K10" s="18"/>
      <c r="L10" s="16"/>
      <c r="M10" s="18"/>
      <c r="N10" s="16"/>
      <c r="O10" s="18"/>
      <c r="P10" s="16"/>
      <c r="Q10" s="18"/>
      <c r="R10" s="16"/>
      <c r="S10" s="18"/>
      <c r="T10" s="16"/>
    </row>
    <row r="11" spans="1:20" ht="15.95" customHeight="1" x14ac:dyDescent="0.25">
      <c r="A11" s="18" t="s">
        <v>235</v>
      </c>
      <c r="B11" s="16"/>
      <c r="C11" s="18" t="s">
        <v>2156</v>
      </c>
      <c r="D11" s="16"/>
      <c r="E11" s="18" t="s">
        <v>2875</v>
      </c>
      <c r="F11" s="16"/>
      <c r="G11" s="18" t="s">
        <v>1412</v>
      </c>
      <c r="H11" s="16"/>
      <c r="I11" s="18" t="s">
        <v>3615</v>
      </c>
      <c r="J11" s="16"/>
      <c r="K11" s="18"/>
      <c r="L11" s="16"/>
      <c r="M11" s="18"/>
      <c r="N11" s="16"/>
      <c r="O11" s="18"/>
      <c r="P11" s="16"/>
      <c r="Q11" s="18"/>
      <c r="R11" s="16"/>
      <c r="S11" s="18"/>
      <c r="T11" s="16"/>
    </row>
    <row r="12" spans="1:20" ht="15.95" customHeight="1" x14ac:dyDescent="0.25">
      <c r="A12" s="18" t="s">
        <v>236</v>
      </c>
      <c r="B12" s="16"/>
      <c r="C12" s="18" t="s">
        <v>2157</v>
      </c>
      <c r="D12" s="16"/>
      <c r="E12" s="18" t="s">
        <v>2876</v>
      </c>
      <c r="F12" s="16"/>
      <c r="G12" s="18" t="s">
        <v>1413</v>
      </c>
      <c r="H12" s="16"/>
      <c r="I12" s="18" t="s">
        <v>3616</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237</v>
      </c>
      <c r="B15" s="16"/>
      <c r="C15" s="18" t="s">
        <v>2158</v>
      </c>
      <c r="D15" s="16"/>
      <c r="E15" s="18" t="s">
        <v>2877</v>
      </c>
      <c r="F15" s="16"/>
      <c r="G15" s="18" t="s">
        <v>1414</v>
      </c>
      <c r="H15" s="16"/>
      <c r="I15" s="18" t="s">
        <v>3617</v>
      </c>
      <c r="J15" s="16"/>
      <c r="K15" s="18"/>
      <c r="L15" s="16"/>
      <c r="M15" s="18"/>
      <c r="N15" s="16"/>
      <c r="O15" s="18"/>
      <c r="P15" s="16"/>
      <c r="Q15" s="18"/>
      <c r="R15" s="16"/>
      <c r="S15" s="18"/>
      <c r="T15" s="21"/>
    </row>
    <row r="16" spans="1:20" ht="15.95" customHeight="1" x14ac:dyDescent="0.25">
      <c r="A16" s="18" t="s">
        <v>238</v>
      </c>
      <c r="B16" s="16"/>
      <c r="C16" s="18" t="s">
        <v>2159</v>
      </c>
      <c r="D16" s="16"/>
      <c r="E16" s="18" t="s">
        <v>2878</v>
      </c>
      <c r="F16" s="16"/>
      <c r="G16" s="18" t="s">
        <v>238</v>
      </c>
      <c r="H16" s="16"/>
      <c r="I16" s="18" t="s">
        <v>3618</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239</v>
      </c>
      <c r="B18" s="16"/>
      <c r="C18" s="18" t="s">
        <v>2160</v>
      </c>
      <c r="D18" s="16"/>
      <c r="E18" s="18" t="s">
        <v>2879</v>
      </c>
      <c r="F18" s="16"/>
      <c r="G18" s="18" t="s">
        <v>1415</v>
      </c>
      <c r="H18" s="16"/>
      <c r="I18" s="18" t="s">
        <v>3619</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240</v>
      </c>
      <c r="B20" s="16"/>
      <c r="C20" s="18" t="s">
        <v>2000</v>
      </c>
      <c r="D20" s="16"/>
      <c r="E20" s="18" t="s">
        <v>2721</v>
      </c>
      <c r="F20" s="16"/>
      <c r="G20" s="18" t="s">
        <v>1256</v>
      </c>
      <c r="H20" s="16"/>
      <c r="I20" s="18" t="s">
        <v>3448</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241</v>
      </c>
      <c r="B22" s="16"/>
      <c r="C22" s="18" t="s">
        <v>2161</v>
      </c>
      <c r="D22" s="16"/>
      <c r="E22" s="18" t="s">
        <v>2880</v>
      </c>
      <c r="F22" s="16"/>
      <c r="G22" s="18" t="s">
        <v>1416</v>
      </c>
      <c r="H22" s="16"/>
      <c r="I22" s="18" t="s">
        <v>3620</v>
      </c>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1"/>
    </row>
    <row r="24" spans="1:20" ht="15.95" customHeight="1" x14ac:dyDescent="0.25">
      <c r="A24" s="18" t="s">
        <v>242</v>
      </c>
      <c r="B24" s="16"/>
      <c r="C24" s="18" t="s">
        <v>2162</v>
      </c>
      <c r="D24" s="16"/>
      <c r="E24" s="18" t="s">
        <v>2881</v>
      </c>
      <c r="F24" s="16"/>
      <c r="G24" s="18" t="s">
        <v>1417</v>
      </c>
      <c r="H24" s="16"/>
      <c r="I24" s="18" t="s">
        <v>3621</v>
      </c>
      <c r="J24" s="16"/>
      <c r="K24" s="18"/>
      <c r="L24" s="16"/>
      <c r="M24" s="18"/>
      <c r="N24" s="16"/>
      <c r="O24" s="18"/>
      <c r="P24" s="16"/>
      <c r="Q24" s="18"/>
      <c r="R24" s="16"/>
      <c r="S24" s="18"/>
      <c r="T24" s="21"/>
    </row>
    <row r="25" spans="1:20" ht="15.95" customHeight="1" x14ac:dyDescent="0.25">
      <c r="A25" s="18" t="s">
        <v>243</v>
      </c>
      <c r="B25" s="16"/>
      <c r="C25" s="18" t="s">
        <v>2163</v>
      </c>
      <c r="D25" s="16"/>
      <c r="E25" s="18" t="s">
        <v>2882</v>
      </c>
      <c r="F25" s="16"/>
      <c r="G25" s="18" t="s">
        <v>1418</v>
      </c>
      <c r="H25" s="16"/>
      <c r="I25" s="18" t="s">
        <v>3622</v>
      </c>
      <c r="J25" s="16"/>
      <c r="K25" s="18"/>
      <c r="L25" s="16"/>
      <c r="M25" s="18"/>
      <c r="N25" s="16"/>
      <c r="O25" s="18"/>
      <c r="P25" s="16"/>
      <c r="Q25" s="18"/>
      <c r="R25" s="16"/>
      <c r="S25" s="18"/>
      <c r="T25" s="21"/>
    </row>
    <row r="26" spans="1:20" ht="15.95" customHeight="1" x14ac:dyDescent="0.25">
      <c r="A26" s="18" t="s">
        <v>244</v>
      </c>
      <c r="B26" s="16"/>
      <c r="C26" s="18" t="s">
        <v>2164</v>
      </c>
      <c r="D26" s="16"/>
      <c r="E26" s="18" t="s">
        <v>2883</v>
      </c>
      <c r="F26" s="16"/>
      <c r="G26" s="18" t="s">
        <v>1419</v>
      </c>
      <c r="H26" s="16"/>
      <c r="I26" s="18" t="s">
        <v>3623</v>
      </c>
      <c r="J26" s="16"/>
      <c r="K26" s="18"/>
      <c r="L26" s="16"/>
      <c r="M26" s="18"/>
      <c r="N26" s="16"/>
      <c r="O26" s="18"/>
      <c r="P26" s="16"/>
      <c r="Q26" s="18"/>
      <c r="R26" s="16"/>
      <c r="S26" s="18"/>
      <c r="T26" s="21"/>
    </row>
    <row r="27" spans="1:20" ht="15.95" customHeight="1" x14ac:dyDescent="0.25">
      <c r="A27" s="18" t="s">
        <v>245</v>
      </c>
      <c r="B27" s="16"/>
      <c r="C27" s="18" t="s">
        <v>2165</v>
      </c>
      <c r="D27" s="16"/>
      <c r="E27" s="18" t="s">
        <v>2884</v>
      </c>
      <c r="F27" s="16"/>
      <c r="G27" s="18" t="s">
        <v>1420</v>
      </c>
      <c r="H27" s="16"/>
      <c r="I27" s="18" t="s">
        <v>3624</v>
      </c>
      <c r="J27" s="16"/>
      <c r="K27" s="18"/>
      <c r="L27" s="16"/>
      <c r="M27" s="18"/>
      <c r="N27" s="16"/>
      <c r="O27" s="18"/>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c r="L28" s="16"/>
      <c r="M28" s="18"/>
      <c r="N28" s="16"/>
      <c r="O28" s="18"/>
      <c r="P28" s="16"/>
      <c r="Q28" s="18"/>
      <c r="R28" s="16"/>
      <c r="S28" s="18"/>
      <c r="T28" s="21"/>
    </row>
    <row r="29" spans="1:20" ht="15.95" customHeight="1" x14ac:dyDescent="0.25">
      <c r="A29" s="18" t="s">
        <v>246</v>
      </c>
      <c r="B29" s="16"/>
      <c r="C29" s="18" t="s">
        <v>2166</v>
      </c>
      <c r="D29" s="16"/>
      <c r="E29" s="18" t="s">
        <v>2885</v>
      </c>
      <c r="F29" s="16"/>
      <c r="G29" s="18" t="s">
        <v>1421</v>
      </c>
      <c r="H29" s="16"/>
      <c r="I29" s="18" t="s">
        <v>3625</v>
      </c>
      <c r="J29" s="16"/>
      <c r="K29" s="18"/>
      <c r="L29" s="16"/>
      <c r="M29" s="18"/>
      <c r="N29" s="16"/>
      <c r="O29" s="18"/>
      <c r="P29" s="16"/>
      <c r="Q29" s="18"/>
      <c r="R29" s="16"/>
      <c r="S29" s="18"/>
      <c r="T29" s="21"/>
    </row>
    <row r="30" spans="1:20" ht="15.95" customHeight="1" x14ac:dyDescent="0.25">
      <c r="A30" s="18" t="s">
        <v>247</v>
      </c>
      <c r="B30" s="16"/>
      <c r="C30" s="18" t="s">
        <v>2167</v>
      </c>
      <c r="D30" s="16"/>
      <c r="E30" s="18" t="s">
        <v>2886</v>
      </c>
      <c r="F30" s="16"/>
      <c r="G30" s="18" t="s">
        <v>1422</v>
      </c>
      <c r="H30" s="16"/>
      <c r="I30" s="18" t="s">
        <v>3626</v>
      </c>
      <c r="J30" s="16"/>
      <c r="K30" s="18"/>
      <c r="L30" s="16"/>
      <c r="M30" s="18"/>
      <c r="N30" s="16"/>
      <c r="O30" s="18"/>
      <c r="P30" s="16"/>
      <c r="Q30" s="18"/>
      <c r="R30" s="16"/>
      <c r="S30" s="18"/>
      <c r="T30" s="21"/>
    </row>
    <row r="31" spans="1:20" ht="15.95" customHeight="1" x14ac:dyDescent="0.25">
      <c r="A31" s="18" t="s">
        <v>248</v>
      </c>
      <c r="B31" s="16"/>
      <c r="C31" s="18" t="s">
        <v>2168</v>
      </c>
      <c r="D31" s="16"/>
      <c r="E31" s="18" t="s">
        <v>2887</v>
      </c>
      <c r="F31" s="16"/>
      <c r="G31" s="18" t="s">
        <v>1423</v>
      </c>
      <c r="H31" s="16"/>
      <c r="I31" s="18" t="s">
        <v>3627</v>
      </c>
      <c r="J31" s="16"/>
      <c r="K31" s="18"/>
      <c r="L31" s="16"/>
      <c r="M31" s="18"/>
      <c r="N31" s="16"/>
      <c r="O31" s="18"/>
      <c r="P31" s="16"/>
      <c r="Q31" s="18"/>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I3" sqref="I3:I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252</v>
      </c>
      <c r="B8" s="16"/>
      <c r="C8" s="18" t="s">
        <v>2172</v>
      </c>
      <c r="D8" s="16"/>
      <c r="E8" s="18" t="s">
        <v>2890</v>
      </c>
      <c r="F8" s="16"/>
      <c r="G8" s="18" t="s">
        <v>1426</v>
      </c>
      <c r="H8" s="16"/>
      <c r="I8" s="18" t="s">
        <v>3631</v>
      </c>
      <c r="J8" s="16"/>
      <c r="K8" s="18"/>
      <c r="L8" s="16"/>
      <c r="M8" s="18"/>
      <c r="N8" s="16"/>
      <c r="O8" s="18"/>
      <c r="P8" s="16"/>
      <c r="Q8" s="18"/>
      <c r="R8" s="16"/>
      <c r="S8" s="18"/>
      <c r="T8" s="16"/>
    </row>
    <row r="9" spans="1:20" ht="15.95" customHeight="1" x14ac:dyDescent="0.25">
      <c r="A9" s="18" t="s">
        <v>253</v>
      </c>
      <c r="B9" s="16"/>
      <c r="C9" s="18" t="s">
        <v>2173</v>
      </c>
      <c r="D9" s="16"/>
      <c r="E9" s="18" t="s">
        <v>2891</v>
      </c>
      <c r="F9" s="16"/>
      <c r="G9" s="18" t="s">
        <v>1427</v>
      </c>
      <c r="H9" s="16"/>
      <c r="I9" s="18" t="s">
        <v>3632</v>
      </c>
      <c r="J9" s="16"/>
      <c r="K9" s="18"/>
      <c r="L9" s="16"/>
      <c r="M9" s="18"/>
      <c r="N9" s="16"/>
      <c r="O9" s="18"/>
      <c r="P9" s="16"/>
      <c r="Q9" s="18"/>
      <c r="R9" s="16"/>
      <c r="S9" s="18"/>
      <c r="T9" s="16"/>
    </row>
    <row r="10" spans="1:20" ht="15.95" customHeight="1" x14ac:dyDescent="0.25">
      <c r="A10" s="18" t="s">
        <v>254</v>
      </c>
      <c r="B10" s="16"/>
      <c r="C10" s="18" t="s">
        <v>2174</v>
      </c>
      <c r="D10" s="16"/>
      <c r="E10" s="18" t="s">
        <v>2892</v>
      </c>
      <c r="F10" s="16"/>
      <c r="G10" s="18" t="s">
        <v>1428</v>
      </c>
      <c r="H10" s="16"/>
      <c r="I10" s="18" t="s">
        <v>3633</v>
      </c>
      <c r="J10" s="16"/>
      <c r="K10" s="18"/>
      <c r="L10" s="16"/>
      <c r="M10" s="18"/>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256</v>
      </c>
      <c r="B15" s="16"/>
      <c r="C15" s="18" t="s">
        <v>2175</v>
      </c>
      <c r="D15" s="16"/>
      <c r="E15" s="18" t="s">
        <v>2893</v>
      </c>
      <c r="F15" s="16"/>
      <c r="G15" s="18" t="s">
        <v>1429</v>
      </c>
      <c r="H15" s="16"/>
      <c r="I15" s="18" t="s">
        <v>3634</v>
      </c>
      <c r="J15" s="16"/>
      <c r="K15" s="18"/>
      <c r="L15" s="16"/>
      <c r="M15" s="18"/>
      <c r="N15" s="16"/>
      <c r="O15" s="18"/>
      <c r="P15" s="16"/>
      <c r="Q15" s="18"/>
      <c r="R15" s="16"/>
      <c r="S15" s="18"/>
      <c r="T15" s="21"/>
    </row>
    <row r="16" spans="1:20" ht="15.95" customHeight="1" x14ac:dyDescent="0.25">
      <c r="A16" s="18" t="s">
        <v>257</v>
      </c>
      <c r="B16" s="16"/>
      <c r="C16" s="18" t="s">
        <v>257</v>
      </c>
      <c r="D16" s="16"/>
      <c r="E16" s="18" t="s">
        <v>2894</v>
      </c>
      <c r="F16" s="16"/>
      <c r="G16" s="18" t="s">
        <v>1430</v>
      </c>
      <c r="H16" s="16"/>
      <c r="I16" s="18" t="s">
        <v>3635</v>
      </c>
      <c r="J16" s="16"/>
      <c r="K16" s="18"/>
      <c r="L16" s="16"/>
      <c r="M16" s="18"/>
      <c r="N16" s="16"/>
      <c r="O16" s="18"/>
      <c r="P16" s="16"/>
      <c r="Q16" s="18"/>
      <c r="R16" s="16"/>
      <c r="S16" s="18"/>
      <c r="T16" s="21"/>
    </row>
    <row r="17" spans="1:20" ht="15.95" customHeight="1" x14ac:dyDescent="0.25">
      <c r="A17" s="18" t="s">
        <v>258</v>
      </c>
      <c r="B17" s="16"/>
      <c r="C17" s="18" t="s">
        <v>1832</v>
      </c>
      <c r="D17" s="16"/>
      <c r="E17" s="18" t="s">
        <v>2551</v>
      </c>
      <c r="F17" s="16"/>
      <c r="G17" s="18" t="s">
        <v>258</v>
      </c>
      <c r="H17" s="16"/>
      <c r="I17" s="18" t="s">
        <v>3271</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260</v>
      </c>
      <c r="B21" s="16"/>
      <c r="C21" s="18" t="s">
        <v>1780</v>
      </c>
      <c r="D21" s="16"/>
      <c r="E21" s="18" t="s">
        <v>2499</v>
      </c>
      <c r="F21" s="16"/>
      <c r="G21" s="18" t="s">
        <v>1048</v>
      </c>
      <c r="H21" s="16"/>
      <c r="I21" s="18" t="s">
        <v>3217</v>
      </c>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1"/>
    </row>
    <row r="23" spans="1:20" ht="15.95" customHeight="1" x14ac:dyDescent="0.25">
      <c r="A23" s="18" t="s">
        <v>261</v>
      </c>
      <c r="B23" s="16"/>
      <c r="C23" s="18" t="s">
        <v>2177</v>
      </c>
      <c r="D23" s="16"/>
      <c r="E23" s="18" t="s">
        <v>2896</v>
      </c>
      <c r="F23" s="16"/>
      <c r="G23" s="18" t="s">
        <v>1432</v>
      </c>
      <c r="H23" s="16"/>
      <c r="I23" s="18" t="s">
        <v>3637</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262</v>
      </c>
      <c r="B25" s="16"/>
      <c r="C25" s="18" t="s">
        <v>2178</v>
      </c>
      <c r="D25" s="16"/>
      <c r="E25" s="18" t="s">
        <v>2897</v>
      </c>
      <c r="F25" s="16"/>
      <c r="G25" s="18" t="s">
        <v>1433</v>
      </c>
      <c r="H25" s="16"/>
      <c r="I25" s="18" t="s">
        <v>3638</v>
      </c>
      <c r="J25" s="16"/>
      <c r="K25" s="18"/>
      <c r="L25" s="16"/>
      <c r="M25" s="18"/>
      <c r="N25" s="16"/>
      <c r="O25" s="18"/>
      <c r="P25" s="16"/>
      <c r="Q25" s="18"/>
      <c r="R25" s="16"/>
      <c r="S25" s="18"/>
      <c r="T25" s="21"/>
    </row>
    <row r="26" spans="1:20" ht="15.95" customHeight="1" x14ac:dyDescent="0.25">
      <c r="A26" s="18" t="s">
        <v>263</v>
      </c>
      <c r="B26" s="16"/>
      <c r="C26" s="18" t="s">
        <v>2179</v>
      </c>
      <c r="D26" s="16"/>
      <c r="E26" s="18" t="s">
        <v>2898</v>
      </c>
      <c r="F26" s="16"/>
      <c r="G26" s="18" t="s">
        <v>1434</v>
      </c>
      <c r="H26" s="16"/>
      <c r="I26" s="18" t="s">
        <v>3639</v>
      </c>
      <c r="J26" s="16"/>
      <c r="K26" s="18"/>
      <c r="L26" s="16"/>
      <c r="M26" s="18"/>
      <c r="N26" s="16"/>
      <c r="O26" s="18"/>
      <c r="P26" s="16"/>
      <c r="Q26" s="18"/>
      <c r="R26" s="16"/>
      <c r="S26" s="18"/>
      <c r="T26" s="21"/>
    </row>
    <row r="27" spans="1:20" ht="15.95" customHeight="1" x14ac:dyDescent="0.25">
      <c r="A27" s="18" t="s">
        <v>264</v>
      </c>
      <c r="B27" s="16"/>
      <c r="C27" s="18" t="s">
        <v>2180</v>
      </c>
      <c r="D27" s="16"/>
      <c r="E27" s="18" t="s">
        <v>2899</v>
      </c>
      <c r="F27" s="16"/>
      <c r="G27" s="18" t="s">
        <v>1435</v>
      </c>
      <c r="H27" s="16"/>
      <c r="I27" s="18" t="s">
        <v>3640</v>
      </c>
      <c r="J27" s="16"/>
      <c r="K27" s="18"/>
      <c r="L27" s="16"/>
      <c r="M27" s="18"/>
      <c r="N27" s="16"/>
      <c r="O27" s="18"/>
      <c r="P27" s="16"/>
      <c r="Q27" s="18"/>
      <c r="R27" s="16"/>
      <c r="S27" s="18"/>
      <c r="T27" s="21"/>
    </row>
    <row r="28" spans="1:20" ht="15.95" customHeight="1" x14ac:dyDescent="0.25">
      <c r="A28" s="18" t="s">
        <v>265</v>
      </c>
      <c r="B28" s="16"/>
      <c r="C28" s="18" t="s">
        <v>2181</v>
      </c>
      <c r="D28" s="16"/>
      <c r="E28" s="18" t="s">
        <v>2900</v>
      </c>
      <c r="F28" s="16"/>
      <c r="G28" s="18" t="s">
        <v>1436</v>
      </c>
      <c r="H28" s="16"/>
      <c r="I28" s="18" t="s">
        <v>3641</v>
      </c>
      <c r="J28" s="16"/>
      <c r="K28" s="18"/>
      <c r="L28" s="16"/>
      <c r="M28" s="18"/>
      <c r="N28" s="16"/>
      <c r="O28" s="18"/>
      <c r="P28" s="16"/>
      <c r="Q28" s="18"/>
      <c r="R28" s="16"/>
      <c r="S28" s="18"/>
      <c r="T28" s="21"/>
    </row>
    <row r="29" spans="1:20" ht="15.95" customHeight="1" x14ac:dyDescent="0.25">
      <c r="A29" s="18" t="s">
        <v>266</v>
      </c>
      <c r="B29" s="16"/>
      <c r="C29" s="18" t="s">
        <v>1851</v>
      </c>
      <c r="D29" s="16"/>
      <c r="E29" s="18" t="s">
        <v>2569</v>
      </c>
      <c r="F29" s="16"/>
      <c r="G29" s="18" t="s">
        <v>1116</v>
      </c>
      <c r="H29" s="16"/>
      <c r="I29" s="18" t="s">
        <v>3292</v>
      </c>
      <c r="J29" s="16"/>
      <c r="K29" s="18"/>
      <c r="L29" s="16"/>
      <c r="M29" s="18"/>
      <c r="N29" s="16"/>
      <c r="O29" s="18"/>
      <c r="P29" s="16"/>
      <c r="Q29" s="18"/>
      <c r="R29" s="16"/>
      <c r="S29" s="18"/>
      <c r="T29" s="21"/>
    </row>
    <row r="30" spans="1:20" ht="15.95" customHeight="1" x14ac:dyDescent="0.25">
      <c r="A30" s="18" t="s">
        <v>267</v>
      </c>
      <c r="B30" s="16"/>
      <c r="C30" s="18" t="s">
        <v>2182</v>
      </c>
      <c r="D30" s="16"/>
      <c r="E30" s="18" t="s">
        <v>2901</v>
      </c>
      <c r="F30" s="16"/>
      <c r="G30" s="18" t="s">
        <v>1437</v>
      </c>
      <c r="H30" s="16"/>
      <c r="I30" s="18" t="s">
        <v>3642</v>
      </c>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c r="L31" s="16"/>
      <c r="M31" s="18"/>
      <c r="N31" s="16"/>
      <c r="O31" s="18"/>
      <c r="P31" s="16"/>
      <c r="Q31" s="18"/>
      <c r="R31" s="16"/>
      <c r="S31" s="18"/>
      <c r="T31" s="21"/>
    </row>
    <row r="32" spans="1:20" ht="15.95" customHeight="1" x14ac:dyDescent="0.25">
      <c r="A32" s="18" t="s">
        <v>268</v>
      </c>
      <c r="B32" s="16"/>
      <c r="C32" s="18" t="s">
        <v>2183</v>
      </c>
      <c r="D32" s="16"/>
      <c r="E32" s="18" t="s">
        <v>2902</v>
      </c>
      <c r="F32" s="16"/>
      <c r="G32" s="18" t="s">
        <v>1438</v>
      </c>
      <c r="H32" s="16"/>
      <c r="I32" s="18" t="s">
        <v>3643</v>
      </c>
      <c r="J32" s="16"/>
      <c r="K32" s="18"/>
      <c r="L32" s="16"/>
      <c r="M32" s="18"/>
      <c r="N32" s="16"/>
      <c r="O32" s="18"/>
      <c r="P32" s="16"/>
      <c r="Q32" s="18"/>
      <c r="R32" s="16"/>
      <c r="S32" s="18"/>
      <c r="T32" s="21"/>
    </row>
    <row r="33" spans="1:20" ht="15.95" customHeight="1" x14ac:dyDescent="0.25">
      <c r="A33" s="22" t="s">
        <v>269</v>
      </c>
      <c r="B33" s="16"/>
      <c r="C33" s="18" t="s">
        <v>2184</v>
      </c>
      <c r="D33" s="16"/>
      <c r="E33" s="18" t="s">
        <v>2903</v>
      </c>
      <c r="F33" s="16"/>
      <c r="G33" s="18" t="s">
        <v>1439</v>
      </c>
      <c r="H33" s="16"/>
      <c r="I33" s="18" t="s">
        <v>3644</v>
      </c>
      <c r="J33" s="16"/>
      <c r="K33" s="18"/>
      <c r="L33" s="16"/>
      <c r="M33" s="18"/>
      <c r="N33" s="16"/>
      <c r="O33" s="18"/>
      <c r="P33" s="16"/>
      <c r="Q33" s="18"/>
      <c r="R33" s="16"/>
      <c r="S33" s="18"/>
      <c r="T33" s="21"/>
    </row>
    <row r="34" spans="1:20" ht="15.95" customHeight="1" x14ac:dyDescent="0.25">
      <c r="A34" s="18" t="s">
        <v>270</v>
      </c>
      <c r="B34" s="16"/>
      <c r="C34" s="18" t="s">
        <v>2185</v>
      </c>
      <c r="D34" s="16"/>
      <c r="E34" s="18" t="s">
        <v>2904</v>
      </c>
      <c r="F34" s="16"/>
      <c r="G34" s="18" t="s">
        <v>1440</v>
      </c>
      <c r="H34" s="16"/>
      <c r="I34" s="18" t="s">
        <v>3645</v>
      </c>
      <c r="J34" s="16"/>
      <c r="K34" s="18"/>
      <c r="L34" s="16"/>
      <c r="M34" s="18"/>
      <c r="N34" s="16"/>
      <c r="O34" s="18"/>
      <c r="P34" s="16"/>
      <c r="Q34" s="18"/>
      <c r="R34" s="16"/>
      <c r="S34" s="18"/>
      <c r="T34" s="21"/>
    </row>
    <row r="35" spans="1:20" ht="15.95" customHeight="1" x14ac:dyDescent="0.25">
      <c r="A35" s="18" t="s">
        <v>271</v>
      </c>
      <c r="B35" s="16"/>
      <c r="C35" s="18" t="s">
        <v>2186</v>
      </c>
      <c r="D35" s="16"/>
      <c r="E35" s="18" t="s">
        <v>2905</v>
      </c>
      <c r="F35" s="16"/>
      <c r="G35" s="18" t="s">
        <v>1441</v>
      </c>
      <c r="H35" s="16"/>
      <c r="I35" s="18" t="s">
        <v>3646</v>
      </c>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I3" sqref="I3:I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275</v>
      </c>
      <c r="B8" s="16"/>
      <c r="C8" s="18" t="s">
        <v>2189</v>
      </c>
      <c r="D8" s="16"/>
      <c r="E8" s="18" t="s">
        <v>2908</v>
      </c>
      <c r="F8" s="16"/>
      <c r="G8" s="18" t="s">
        <v>1444</v>
      </c>
      <c r="H8" s="16"/>
      <c r="I8" s="18" t="s">
        <v>3650</v>
      </c>
      <c r="J8" s="16"/>
      <c r="K8" s="18"/>
      <c r="L8" s="16"/>
      <c r="M8" s="18"/>
      <c r="N8" s="16"/>
      <c r="O8" s="18"/>
      <c r="P8" s="16"/>
      <c r="Q8" s="18"/>
      <c r="R8" s="16"/>
      <c r="S8" s="18"/>
      <c r="T8" s="16"/>
    </row>
    <row r="9" spans="1:20" ht="15.95" customHeight="1" x14ac:dyDescent="0.25">
      <c r="A9" s="18" t="s">
        <v>276</v>
      </c>
      <c r="B9" s="16"/>
      <c r="C9" s="18" t="s">
        <v>2190</v>
      </c>
      <c r="D9" s="16"/>
      <c r="E9" s="18" t="s">
        <v>2909</v>
      </c>
      <c r="F9" s="16"/>
      <c r="G9" s="18" t="s">
        <v>1445</v>
      </c>
      <c r="H9" s="16"/>
      <c r="I9" s="18" t="s">
        <v>3651</v>
      </c>
      <c r="J9" s="16"/>
      <c r="K9" s="18"/>
      <c r="L9" s="16"/>
      <c r="M9" s="18"/>
      <c r="N9" s="16"/>
      <c r="O9" s="18"/>
      <c r="P9" s="16"/>
      <c r="Q9" s="18"/>
      <c r="R9" s="16"/>
      <c r="S9" s="18"/>
      <c r="T9" s="16"/>
    </row>
    <row r="10" spans="1:20" ht="15.95" customHeight="1" x14ac:dyDescent="0.25">
      <c r="A10" s="18" t="s">
        <v>277</v>
      </c>
      <c r="B10" s="16"/>
      <c r="C10" s="18" t="s">
        <v>2191</v>
      </c>
      <c r="D10" s="16"/>
      <c r="E10" s="18" t="s">
        <v>2910</v>
      </c>
      <c r="F10" s="16"/>
      <c r="G10" s="18" t="s">
        <v>1446</v>
      </c>
      <c r="H10" s="16"/>
      <c r="I10" s="18" t="s">
        <v>3652</v>
      </c>
      <c r="J10" s="16"/>
      <c r="K10" s="18"/>
      <c r="L10" s="16"/>
      <c r="M10" s="18"/>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c r="L11" s="16"/>
      <c r="M11" s="18"/>
      <c r="N11" s="16"/>
      <c r="O11" s="18"/>
      <c r="P11" s="16"/>
      <c r="Q11" s="18"/>
      <c r="R11" s="16"/>
      <c r="S11" s="18"/>
      <c r="T11" s="16"/>
    </row>
    <row r="12" spans="1:20" ht="15.95" customHeight="1" x14ac:dyDescent="0.25">
      <c r="A12" s="18" t="s">
        <v>278</v>
      </c>
      <c r="B12" s="16"/>
      <c r="C12" s="18" t="s">
        <v>2192</v>
      </c>
      <c r="D12" s="16"/>
      <c r="E12" s="18" t="s">
        <v>2911</v>
      </c>
      <c r="F12" s="16"/>
      <c r="G12" s="18" t="s">
        <v>1447</v>
      </c>
      <c r="H12" s="16"/>
      <c r="I12" s="18" t="s">
        <v>3653</v>
      </c>
      <c r="J12" s="16"/>
      <c r="K12" s="18"/>
      <c r="L12" s="16"/>
      <c r="M12" s="18"/>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c r="L15" s="16"/>
      <c r="M15" s="18"/>
      <c r="N15" s="16"/>
      <c r="O15" s="18"/>
      <c r="P15" s="16"/>
      <c r="Q15" s="18"/>
      <c r="R15" s="16"/>
      <c r="S15" s="18"/>
      <c r="T15" s="21"/>
    </row>
    <row r="16" spans="1:20" ht="15.95" customHeight="1" x14ac:dyDescent="0.25">
      <c r="A16" s="18" t="s">
        <v>279</v>
      </c>
      <c r="B16" s="16"/>
      <c r="C16" s="18" t="s">
        <v>2193</v>
      </c>
      <c r="D16" s="16"/>
      <c r="E16" s="18" t="s">
        <v>2912</v>
      </c>
      <c r="F16" s="16"/>
      <c r="G16" s="18" t="s">
        <v>1448</v>
      </c>
      <c r="H16" s="16"/>
      <c r="I16" s="18" t="s">
        <v>3654</v>
      </c>
      <c r="J16" s="16"/>
      <c r="K16" s="18"/>
      <c r="L16" s="16"/>
      <c r="M16" s="18"/>
      <c r="N16" s="16"/>
      <c r="O16" s="18"/>
      <c r="P16" s="16"/>
      <c r="Q16" s="18"/>
      <c r="R16" s="16"/>
      <c r="S16" s="18"/>
      <c r="T16" s="21"/>
    </row>
    <row r="17" spans="1:20" ht="15.95" customHeight="1" x14ac:dyDescent="0.25">
      <c r="A17" s="18" t="s">
        <v>280</v>
      </c>
      <c r="B17" s="16"/>
      <c r="C17" s="18" t="s">
        <v>280</v>
      </c>
      <c r="D17" s="16"/>
      <c r="E17" s="18" t="s">
        <v>2913</v>
      </c>
      <c r="F17" s="16"/>
      <c r="G17" s="18" t="s">
        <v>1449</v>
      </c>
      <c r="H17" s="16"/>
      <c r="I17" s="18" t="s">
        <v>3655</v>
      </c>
      <c r="J17" s="16"/>
      <c r="K17" s="18"/>
      <c r="L17" s="16"/>
      <c r="M17" s="18"/>
      <c r="N17" s="16"/>
      <c r="O17" s="18"/>
      <c r="P17" s="16"/>
      <c r="Q17" s="18"/>
      <c r="R17" s="16"/>
      <c r="S17" s="18"/>
      <c r="T17" s="21"/>
    </row>
    <row r="18" spans="1:20" ht="15.95" customHeight="1" x14ac:dyDescent="0.25">
      <c r="A18" s="18" t="s">
        <v>281</v>
      </c>
      <c r="B18" s="16"/>
      <c r="C18" s="18" t="s">
        <v>2194</v>
      </c>
      <c r="D18" s="16"/>
      <c r="E18" s="18" t="s">
        <v>2914</v>
      </c>
      <c r="F18" s="16"/>
      <c r="G18" s="18" t="s">
        <v>281</v>
      </c>
      <c r="H18" s="16"/>
      <c r="I18" s="18" t="s">
        <v>3656</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282</v>
      </c>
      <c r="B20" s="16"/>
      <c r="C20" s="18" t="s">
        <v>2195</v>
      </c>
      <c r="D20" s="16"/>
      <c r="E20" s="18" t="s">
        <v>2915</v>
      </c>
      <c r="F20" s="16"/>
      <c r="G20" s="18" t="s">
        <v>1450</v>
      </c>
      <c r="H20" s="16"/>
      <c r="I20" s="18" t="s">
        <v>3657</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283</v>
      </c>
      <c r="B22" s="16"/>
      <c r="C22" s="18" t="s">
        <v>1759</v>
      </c>
      <c r="D22" s="16"/>
      <c r="E22" s="18" t="s">
        <v>2478</v>
      </c>
      <c r="F22" s="16"/>
      <c r="G22" s="18" t="s">
        <v>1027</v>
      </c>
      <c r="H22" s="16"/>
      <c r="I22" s="18" t="s">
        <v>3196</v>
      </c>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1"/>
    </row>
    <row r="24" spans="1:20" ht="15.95" customHeight="1" x14ac:dyDescent="0.25">
      <c r="A24" s="18" t="s">
        <v>284</v>
      </c>
      <c r="B24" s="16"/>
      <c r="C24" s="18" t="s">
        <v>2196</v>
      </c>
      <c r="D24" s="16"/>
      <c r="E24" s="18" t="s">
        <v>2916</v>
      </c>
      <c r="F24" s="16"/>
      <c r="G24" s="18" t="s">
        <v>1451</v>
      </c>
      <c r="H24" s="16"/>
      <c r="I24" s="18" t="s">
        <v>3658</v>
      </c>
      <c r="J24" s="16"/>
      <c r="K24" s="18"/>
      <c r="L24" s="16"/>
      <c r="M24" s="18"/>
      <c r="N24" s="16"/>
      <c r="O24" s="18"/>
      <c r="P24" s="16"/>
      <c r="Q24" s="18"/>
      <c r="R24" s="16"/>
      <c r="S24" s="18"/>
      <c r="T24" s="21"/>
    </row>
    <row r="25" spans="1:20" ht="15.95" customHeight="1" x14ac:dyDescent="0.25">
      <c r="A25" s="18" t="s">
        <v>285</v>
      </c>
      <c r="B25" s="16"/>
      <c r="C25" s="18" t="s">
        <v>2197</v>
      </c>
      <c r="D25" s="16"/>
      <c r="E25" s="18" t="s">
        <v>2917</v>
      </c>
      <c r="F25" s="16"/>
      <c r="G25" s="18" t="s">
        <v>1452</v>
      </c>
      <c r="H25" s="16"/>
      <c r="I25" s="18" t="s">
        <v>3659</v>
      </c>
      <c r="J25" s="16"/>
      <c r="K25" s="18"/>
      <c r="L25" s="16"/>
      <c r="M25" s="18"/>
      <c r="N25" s="16"/>
      <c r="O25" s="18"/>
      <c r="P25" s="16"/>
      <c r="Q25" s="18"/>
      <c r="R25" s="16"/>
      <c r="S25" s="18"/>
      <c r="T25" s="21"/>
    </row>
    <row r="26" spans="1:20" ht="15.95" customHeight="1" x14ac:dyDescent="0.25">
      <c r="A26" s="18" t="s">
        <v>286</v>
      </c>
      <c r="B26" s="16"/>
      <c r="C26" s="18" t="s">
        <v>2198</v>
      </c>
      <c r="D26" s="16"/>
      <c r="E26" s="18" t="s">
        <v>2918</v>
      </c>
      <c r="F26" s="16"/>
      <c r="G26" s="18" t="s">
        <v>1453</v>
      </c>
      <c r="H26" s="16"/>
      <c r="I26" s="18" t="s">
        <v>3660</v>
      </c>
      <c r="J26" s="16"/>
      <c r="K26" s="18"/>
      <c r="L26" s="16"/>
      <c r="M26" s="18"/>
      <c r="N26" s="16"/>
      <c r="O26" s="18"/>
      <c r="P26" s="16"/>
      <c r="Q26" s="18"/>
      <c r="R26" s="16"/>
      <c r="S26" s="18"/>
      <c r="T26" s="21"/>
    </row>
    <row r="27" spans="1:20" ht="15.95" customHeight="1" x14ac:dyDescent="0.25">
      <c r="A27" s="18" t="s">
        <v>287</v>
      </c>
      <c r="B27" s="16"/>
      <c r="C27" s="18" t="s">
        <v>2199</v>
      </c>
      <c r="D27" s="16"/>
      <c r="E27" s="18" t="s">
        <v>2919</v>
      </c>
      <c r="F27" s="16"/>
      <c r="G27" s="18" t="s">
        <v>1454</v>
      </c>
      <c r="H27" s="16"/>
      <c r="I27" s="18" t="s">
        <v>3661</v>
      </c>
      <c r="J27" s="16"/>
      <c r="K27" s="18"/>
      <c r="L27" s="16"/>
      <c r="M27" s="18"/>
      <c r="N27" s="16"/>
      <c r="O27" s="18"/>
      <c r="P27" s="16"/>
      <c r="Q27" s="18"/>
      <c r="R27" s="16"/>
      <c r="S27" s="18"/>
      <c r="T27" s="21"/>
    </row>
    <row r="28" spans="1:20" ht="15.95" customHeight="1" x14ac:dyDescent="0.25">
      <c r="A28" s="18" t="s">
        <v>288</v>
      </c>
      <c r="B28" s="16"/>
      <c r="C28" s="18" t="s">
        <v>2200</v>
      </c>
      <c r="D28" s="16"/>
      <c r="E28" s="18" t="s">
        <v>2920</v>
      </c>
      <c r="F28" s="16"/>
      <c r="G28" s="18" t="s">
        <v>1455</v>
      </c>
      <c r="H28" s="16"/>
      <c r="I28" s="18" t="s">
        <v>3662</v>
      </c>
      <c r="J28" s="16"/>
      <c r="K28" s="18"/>
      <c r="L28" s="16"/>
      <c r="M28" s="18"/>
      <c r="N28" s="16"/>
      <c r="O28" s="18"/>
      <c r="P28" s="16"/>
      <c r="Q28" s="18"/>
      <c r="R28" s="16"/>
      <c r="S28" s="18"/>
      <c r="T28" s="21"/>
    </row>
    <row r="29" spans="1:20" ht="15.95" customHeight="1" x14ac:dyDescent="0.25">
      <c r="A29" s="18" t="s">
        <v>289</v>
      </c>
      <c r="B29" s="16"/>
      <c r="C29" s="18" t="s">
        <v>2201</v>
      </c>
      <c r="D29" s="16"/>
      <c r="E29" s="18" t="s">
        <v>2921</v>
      </c>
      <c r="F29" s="16"/>
      <c r="G29" s="18" t="s">
        <v>1456</v>
      </c>
      <c r="H29" s="16"/>
      <c r="I29" s="18" t="s">
        <v>3663</v>
      </c>
      <c r="J29" s="16"/>
      <c r="K29" s="18"/>
      <c r="L29" s="16"/>
      <c r="M29" s="18"/>
      <c r="N29" s="16"/>
      <c r="O29" s="18"/>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c r="L30" s="16"/>
      <c r="M30" s="18"/>
      <c r="N30" s="16"/>
      <c r="O30" s="18"/>
      <c r="P30" s="16"/>
      <c r="Q30" s="18"/>
      <c r="R30" s="16"/>
      <c r="S30" s="18"/>
      <c r="T30" s="21"/>
    </row>
    <row r="31" spans="1:20" ht="15.95" customHeight="1" x14ac:dyDescent="0.25">
      <c r="A31" s="18" t="s">
        <v>290</v>
      </c>
      <c r="B31" s="16"/>
      <c r="C31" s="18" t="s">
        <v>2202</v>
      </c>
      <c r="D31" s="16"/>
      <c r="E31" s="18" t="s">
        <v>2922</v>
      </c>
      <c r="F31" s="16"/>
      <c r="G31" s="18" t="s">
        <v>1457</v>
      </c>
      <c r="H31" s="16"/>
      <c r="I31" s="18" t="s">
        <v>3664</v>
      </c>
      <c r="J31" s="16"/>
      <c r="K31" s="18"/>
      <c r="L31" s="16"/>
      <c r="M31" s="18"/>
      <c r="N31" s="16"/>
      <c r="O31" s="18"/>
      <c r="P31" s="16"/>
      <c r="Q31" s="18"/>
      <c r="R31" s="16"/>
      <c r="S31" s="18"/>
      <c r="T31" s="21"/>
    </row>
    <row r="32" spans="1:20" ht="15.95" customHeight="1" x14ac:dyDescent="0.25">
      <c r="A32" s="18" t="s">
        <v>291</v>
      </c>
      <c r="B32" s="16"/>
      <c r="C32" s="18" t="s">
        <v>2203</v>
      </c>
      <c r="D32" s="16"/>
      <c r="E32" s="18" t="s">
        <v>2923</v>
      </c>
      <c r="F32" s="16"/>
      <c r="G32" s="18" t="s">
        <v>1458</v>
      </c>
      <c r="H32" s="16"/>
      <c r="I32" s="18" t="s">
        <v>3665</v>
      </c>
      <c r="J32" s="16"/>
      <c r="K32" s="18"/>
      <c r="L32" s="16"/>
      <c r="M32" s="18"/>
      <c r="N32" s="16"/>
      <c r="O32" s="18"/>
      <c r="P32" s="16"/>
      <c r="Q32" s="18"/>
      <c r="R32" s="16"/>
      <c r="S32" s="18"/>
      <c r="T32" s="21"/>
    </row>
    <row r="33" spans="1:20" ht="15.95" customHeight="1" x14ac:dyDescent="0.25">
      <c r="A33" s="22" t="s">
        <v>292</v>
      </c>
      <c r="B33" s="16"/>
      <c r="C33" s="18" t="s">
        <v>2204</v>
      </c>
      <c r="D33" s="16"/>
      <c r="E33" s="18" t="s">
        <v>2924</v>
      </c>
      <c r="F33" s="16"/>
      <c r="G33" s="18" t="s">
        <v>1459</v>
      </c>
      <c r="H33" s="16"/>
      <c r="I33" s="18" t="s">
        <v>3666</v>
      </c>
      <c r="J33" s="16"/>
      <c r="K33" s="18"/>
      <c r="L33" s="16"/>
      <c r="M33" s="18"/>
      <c r="N33" s="16"/>
      <c r="O33" s="18"/>
      <c r="P33" s="16"/>
      <c r="Q33" s="18"/>
      <c r="R33" s="16"/>
      <c r="S33" s="18"/>
      <c r="T33" s="21"/>
    </row>
    <row r="34" spans="1:20" ht="15.95" customHeight="1" x14ac:dyDescent="0.25">
      <c r="A34" s="18" t="s">
        <v>293</v>
      </c>
      <c r="B34" s="16"/>
      <c r="C34" s="18" t="s">
        <v>2205</v>
      </c>
      <c r="D34" s="16"/>
      <c r="E34" s="18" t="s">
        <v>2925</v>
      </c>
      <c r="F34" s="16"/>
      <c r="G34" s="18" t="s">
        <v>1460</v>
      </c>
      <c r="H34" s="16"/>
      <c r="I34" s="18" t="s">
        <v>3667</v>
      </c>
      <c r="J34" s="16"/>
      <c r="K34" s="18"/>
      <c r="L34" s="16"/>
      <c r="M34" s="18"/>
      <c r="N34" s="16"/>
      <c r="O34" s="18"/>
      <c r="P34" s="16"/>
      <c r="Q34" s="18"/>
      <c r="R34" s="16"/>
      <c r="S34" s="18"/>
      <c r="T34" s="21"/>
    </row>
    <row r="35" spans="1:20" ht="15.95" customHeight="1" x14ac:dyDescent="0.25">
      <c r="A35" s="18" t="s">
        <v>294</v>
      </c>
      <c r="B35" s="16"/>
      <c r="C35" s="18" t="s">
        <v>2206</v>
      </c>
      <c r="D35" s="16"/>
      <c r="E35" s="18" t="s">
        <v>2926</v>
      </c>
      <c r="F35" s="16"/>
      <c r="G35" s="18" t="s">
        <v>1461</v>
      </c>
      <c r="H35" s="16"/>
      <c r="I35" s="18" t="s">
        <v>3668</v>
      </c>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I3" sqref="I3:I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298</v>
      </c>
      <c r="B8" s="16"/>
      <c r="C8" s="18" t="s">
        <v>2210</v>
      </c>
      <c r="D8" s="16"/>
      <c r="E8" s="18" t="s">
        <v>2930</v>
      </c>
      <c r="F8" s="16"/>
      <c r="G8" s="18" t="s">
        <v>1465</v>
      </c>
      <c r="H8" s="16"/>
      <c r="I8" s="18" t="s">
        <v>3672</v>
      </c>
      <c r="J8" s="16"/>
      <c r="K8" s="18"/>
      <c r="L8" s="16"/>
      <c r="M8" s="18"/>
      <c r="N8" s="16"/>
      <c r="O8" s="18"/>
      <c r="P8" s="16"/>
      <c r="Q8" s="18"/>
      <c r="R8" s="16"/>
      <c r="S8" s="18"/>
      <c r="T8" s="16"/>
    </row>
    <row r="9" spans="1:20" ht="15.95" customHeight="1" x14ac:dyDescent="0.25">
      <c r="A9" s="18" t="s">
        <v>299</v>
      </c>
      <c r="B9" s="16"/>
      <c r="C9" s="18" t="s">
        <v>2211</v>
      </c>
      <c r="D9" s="16"/>
      <c r="E9" s="18" t="s">
        <v>2931</v>
      </c>
      <c r="F9" s="16"/>
      <c r="G9" s="18" t="s">
        <v>1466</v>
      </c>
      <c r="H9" s="16"/>
      <c r="I9" s="18" t="s">
        <v>3673</v>
      </c>
      <c r="J9" s="16"/>
      <c r="K9" s="18"/>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c r="L10" s="16"/>
      <c r="M10" s="18"/>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301</v>
      </c>
      <c r="B15" s="16"/>
      <c r="C15" s="18" t="s">
        <v>2124</v>
      </c>
      <c r="D15" s="16"/>
      <c r="E15" s="18" t="s">
        <v>2842</v>
      </c>
      <c r="F15" s="16"/>
      <c r="G15" s="18" t="s">
        <v>1377</v>
      </c>
      <c r="H15" s="16"/>
      <c r="I15" s="18" t="s">
        <v>3577</v>
      </c>
      <c r="J15" s="16"/>
      <c r="K15" s="18"/>
      <c r="L15" s="16"/>
      <c r="M15" s="18"/>
      <c r="N15" s="16"/>
      <c r="O15" s="18"/>
      <c r="P15" s="16"/>
      <c r="Q15" s="18"/>
      <c r="R15" s="16"/>
      <c r="S15" s="18"/>
      <c r="T15" s="21"/>
    </row>
    <row r="16" spans="1:20" ht="15.95" customHeight="1" x14ac:dyDescent="0.25">
      <c r="A16" s="18" t="s">
        <v>302</v>
      </c>
      <c r="B16" s="16"/>
      <c r="C16" s="18" t="s">
        <v>302</v>
      </c>
      <c r="D16" s="16"/>
      <c r="E16" s="18" t="s">
        <v>2932</v>
      </c>
      <c r="F16" s="16"/>
      <c r="G16" s="18" t="s">
        <v>1467</v>
      </c>
      <c r="H16" s="16"/>
      <c r="I16" s="18" t="s">
        <v>3674</v>
      </c>
      <c r="J16" s="16"/>
      <c r="K16" s="18"/>
      <c r="L16" s="16"/>
      <c r="M16" s="18"/>
      <c r="N16" s="16"/>
      <c r="O16" s="18"/>
      <c r="P16" s="16"/>
      <c r="Q16" s="18"/>
      <c r="R16" s="16"/>
      <c r="S16" s="18"/>
      <c r="T16" s="21"/>
    </row>
    <row r="17" spans="1:20" ht="15.95" customHeight="1" x14ac:dyDescent="0.25">
      <c r="A17" s="18" t="s">
        <v>303</v>
      </c>
      <c r="B17" s="16"/>
      <c r="C17" s="18" t="s">
        <v>2212</v>
      </c>
      <c r="D17" s="16"/>
      <c r="E17" s="18" t="s">
        <v>2933</v>
      </c>
      <c r="F17" s="16"/>
      <c r="G17" s="18" t="s">
        <v>303</v>
      </c>
      <c r="H17" s="16"/>
      <c r="I17" s="18" t="s">
        <v>3675</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198</v>
      </c>
      <c r="B21" s="16"/>
      <c r="C21" s="18" t="s">
        <v>1675</v>
      </c>
      <c r="D21" s="16"/>
      <c r="E21" s="18" t="s">
        <v>2395</v>
      </c>
      <c r="F21" s="16"/>
      <c r="G21" s="18" t="s">
        <v>942</v>
      </c>
      <c r="H21" s="16"/>
      <c r="I21" s="18" t="s">
        <v>3110</v>
      </c>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1"/>
    </row>
    <row r="23" spans="1:20" ht="15.95" customHeight="1" x14ac:dyDescent="0.25">
      <c r="A23" s="18" t="s">
        <v>304</v>
      </c>
      <c r="B23" s="16"/>
      <c r="C23" s="18" t="s">
        <v>2213</v>
      </c>
      <c r="D23" s="16"/>
      <c r="E23" s="18" t="s">
        <v>2934</v>
      </c>
      <c r="F23" s="16"/>
      <c r="G23" s="18" t="s">
        <v>1468</v>
      </c>
      <c r="H23" s="16"/>
      <c r="I23" s="18" t="s">
        <v>3676</v>
      </c>
      <c r="J23" s="16"/>
      <c r="K23" s="18"/>
      <c r="L23" s="16"/>
      <c r="M23" s="18"/>
      <c r="N23" s="16"/>
      <c r="O23" s="18"/>
      <c r="P23" s="16"/>
      <c r="Q23" s="18"/>
      <c r="R23" s="16"/>
      <c r="S23" s="18"/>
      <c r="T23" s="21"/>
    </row>
    <row r="24" spans="1:20" ht="15.95" customHeight="1" x14ac:dyDescent="0.25">
      <c r="A24" s="18" t="s">
        <v>305</v>
      </c>
      <c r="B24" s="16"/>
      <c r="C24" s="18" t="s">
        <v>2214</v>
      </c>
      <c r="D24" s="16"/>
      <c r="E24" s="18" t="s">
        <v>2935</v>
      </c>
      <c r="F24" s="16"/>
      <c r="G24" s="18" t="s">
        <v>1469</v>
      </c>
      <c r="H24" s="16"/>
      <c r="I24" s="18" t="s">
        <v>3677</v>
      </c>
      <c r="J24" s="16"/>
      <c r="K24" s="18"/>
      <c r="L24" s="16"/>
      <c r="M24" s="18"/>
      <c r="N24" s="16"/>
      <c r="O24" s="18"/>
      <c r="P24" s="16"/>
      <c r="Q24" s="18"/>
      <c r="R24" s="16"/>
      <c r="S24" s="18"/>
      <c r="T24" s="21"/>
    </row>
    <row r="25" spans="1:20" ht="15.95" customHeight="1" x14ac:dyDescent="0.25">
      <c r="A25" s="18" t="s">
        <v>306</v>
      </c>
      <c r="B25" s="16"/>
      <c r="C25" s="18" t="s">
        <v>2215</v>
      </c>
      <c r="D25" s="16"/>
      <c r="E25" s="18" t="s">
        <v>2936</v>
      </c>
      <c r="F25" s="16"/>
      <c r="G25" s="18" t="s">
        <v>1470</v>
      </c>
      <c r="H25" s="16"/>
      <c r="I25" s="18" t="s">
        <v>3678</v>
      </c>
      <c r="J25" s="16"/>
      <c r="K25" s="18"/>
      <c r="L25" s="16"/>
      <c r="M25" s="18"/>
      <c r="N25" s="16"/>
      <c r="O25" s="18"/>
      <c r="P25" s="16"/>
      <c r="Q25" s="18"/>
      <c r="R25" s="16"/>
      <c r="S25" s="18"/>
      <c r="T25" s="21"/>
    </row>
    <row r="26" spans="1:20" ht="15.95" customHeight="1" x14ac:dyDescent="0.25">
      <c r="A26" s="18" t="s">
        <v>307</v>
      </c>
      <c r="B26" s="16"/>
      <c r="C26" s="18" t="s">
        <v>2216</v>
      </c>
      <c r="D26" s="16"/>
      <c r="E26" s="18" t="s">
        <v>2937</v>
      </c>
      <c r="F26" s="16"/>
      <c r="G26" s="18" t="s">
        <v>1471</v>
      </c>
      <c r="H26" s="16"/>
      <c r="I26" s="18" t="s">
        <v>3679</v>
      </c>
      <c r="J26" s="16"/>
      <c r="K26" s="18"/>
      <c r="L26" s="16"/>
      <c r="M26" s="18"/>
      <c r="N26" s="16"/>
      <c r="O26" s="18"/>
      <c r="P26" s="16"/>
      <c r="Q26" s="18"/>
      <c r="R26" s="16"/>
      <c r="S26" s="18"/>
      <c r="T26" s="21"/>
    </row>
    <row r="27" spans="1:20" ht="15.95" customHeight="1" x14ac:dyDescent="0.25">
      <c r="A27" s="18" t="s">
        <v>308</v>
      </c>
      <c r="B27" s="16"/>
      <c r="C27" s="18" t="s">
        <v>2217</v>
      </c>
      <c r="D27" s="16"/>
      <c r="E27" s="18" t="s">
        <v>2938</v>
      </c>
      <c r="F27" s="16"/>
      <c r="G27" s="18" t="s">
        <v>1472</v>
      </c>
      <c r="H27" s="16"/>
      <c r="I27" s="18" t="s">
        <v>3680</v>
      </c>
      <c r="J27" s="16"/>
      <c r="K27" s="18"/>
      <c r="L27" s="16"/>
      <c r="M27" s="18"/>
      <c r="N27" s="16"/>
      <c r="O27" s="18"/>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c r="L28" s="16"/>
      <c r="M28" s="18"/>
      <c r="N28" s="16"/>
      <c r="O28" s="18"/>
      <c r="P28" s="16"/>
      <c r="Q28" s="18"/>
      <c r="R28" s="16"/>
      <c r="S28" s="18"/>
      <c r="T28" s="21"/>
    </row>
    <row r="29" spans="1:20" ht="15.95" customHeight="1" x14ac:dyDescent="0.25">
      <c r="A29" s="18" t="s">
        <v>309</v>
      </c>
      <c r="B29" s="16"/>
      <c r="C29" s="18" t="s">
        <v>2218</v>
      </c>
      <c r="D29" s="16"/>
      <c r="E29" s="18" t="s">
        <v>2939</v>
      </c>
      <c r="F29" s="16"/>
      <c r="G29" s="18" t="s">
        <v>1473</v>
      </c>
      <c r="H29" s="16"/>
      <c r="I29" s="18" t="s">
        <v>3681</v>
      </c>
      <c r="J29" s="16"/>
      <c r="K29" s="18"/>
      <c r="L29" s="16"/>
      <c r="M29" s="18"/>
      <c r="N29" s="16"/>
      <c r="O29" s="18"/>
      <c r="P29" s="16"/>
      <c r="Q29" s="18"/>
      <c r="R29" s="16"/>
      <c r="S29" s="18"/>
      <c r="T29" s="21"/>
    </row>
    <row r="30" spans="1:20" ht="15.95" customHeight="1" x14ac:dyDescent="0.25">
      <c r="A30" s="18" t="s">
        <v>310</v>
      </c>
      <c r="B30" s="16"/>
      <c r="C30" s="18" t="s">
        <v>2219</v>
      </c>
      <c r="D30" s="16"/>
      <c r="E30" s="18" t="s">
        <v>2940</v>
      </c>
      <c r="F30" s="16"/>
      <c r="G30" s="18" t="s">
        <v>1474</v>
      </c>
      <c r="H30" s="16"/>
      <c r="I30" s="18" t="s">
        <v>3682</v>
      </c>
      <c r="J30" s="16"/>
      <c r="K30" s="18"/>
      <c r="L30" s="16"/>
      <c r="M30" s="18"/>
      <c r="N30" s="16"/>
      <c r="O30" s="18"/>
      <c r="P30" s="16"/>
      <c r="Q30" s="18"/>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3" priority="2" stopIfTrue="1">
      <formula>NOT(ISERROR(A3))</formula>
    </cfRule>
  </conditionalFormatting>
  <conditionalFormatting sqref="A3:T51">
    <cfRule type="containsErrors" dxfId="62" priority="1" stopIfTrue="1">
      <formula>ISERROR(A3)</formula>
    </cfRule>
    <cfRule type="notContainsBlanks" dxfId="6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I3" sqref="I3:I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314</v>
      </c>
      <c r="B8" s="16"/>
      <c r="C8" s="18" t="s">
        <v>2225</v>
      </c>
      <c r="D8" s="16"/>
      <c r="E8" s="18" t="s">
        <v>2944</v>
      </c>
      <c r="F8" s="16"/>
      <c r="G8" s="18" t="s">
        <v>1478</v>
      </c>
      <c r="H8" s="16"/>
      <c r="I8" s="18" t="s">
        <v>3686</v>
      </c>
      <c r="J8" s="16"/>
      <c r="K8" s="18"/>
      <c r="L8" s="16"/>
      <c r="M8" s="18"/>
      <c r="N8" s="16"/>
      <c r="O8" s="18"/>
      <c r="P8" s="16"/>
      <c r="Q8" s="18"/>
      <c r="R8" s="16"/>
      <c r="S8" s="18"/>
      <c r="T8" s="16"/>
    </row>
    <row r="9" spans="1:20" ht="15.95" customHeight="1" x14ac:dyDescent="0.25">
      <c r="A9" s="18" t="s">
        <v>315</v>
      </c>
      <c r="B9" s="16"/>
      <c r="C9" s="18" t="s">
        <v>2226</v>
      </c>
      <c r="D9" s="16"/>
      <c r="E9" s="18" t="s">
        <v>2945</v>
      </c>
      <c r="F9" s="16"/>
      <c r="G9" s="18" t="s">
        <v>1479</v>
      </c>
      <c r="H9" s="16"/>
      <c r="I9" s="18" t="s">
        <v>3687</v>
      </c>
      <c r="J9" s="16"/>
      <c r="K9" s="18"/>
      <c r="L9" s="16"/>
      <c r="M9" s="18"/>
      <c r="N9" s="16"/>
      <c r="O9" s="18"/>
      <c r="P9" s="16"/>
      <c r="Q9" s="18"/>
      <c r="R9" s="16"/>
      <c r="S9" s="18"/>
      <c r="T9" s="16"/>
    </row>
    <row r="10" spans="1:20" ht="15.95" customHeight="1" x14ac:dyDescent="0.25">
      <c r="A10" s="18" t="s">
        <v>316</v>
      </c>
      <c r="B10" s="16"/>
      <c r="C10" s="18" t="s">
        <v>2227</v>
      </c>
      <c r="D10" s="16"/>
      <c r="E10" s="18" t="s">
        <v>2946</v>
      </c>
      <c r="F10" s="16"/>
      <c r="G10" s="18" t="s">
        <v>1480</v>
      </c>
      <c r="H10" s="16"/>
      <c r="I10" s="18" t="s">
        <v>3688</v>
      </c>
      <c r="J10" s="16"/>
      <c r="K10" s="18"/>
      <c r="L10" s="16"/>
      <c r="M10" s="18"/>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c r="L11" s="16"/>
      <c r="M11" s="18"/>
      <c r="N11" s="16"/>
      <c r="O11" s="18"/>
      <c r="P11" s="16"/>
      <c r="Q11" s="18"/>
      <c r="R11" s="16"/>
      <c r="S11" s="18"/>
      <c r="T11" s="16"/>
    </row>
    <row r="12" spans="1:20" ht="15.95" customHeight="1" x14ac:dyDescent="0.25">
      <c r="A12" s="18" t="s">
        <v>317</v>
      </c>
      <c r="B12" s="16"/>
      <c r="C12" s="18" t="s">
        <v>2228</v>
      </c>
      <c r="D12" s="16"/>
      <c r="E12" s="18" t="s">
        <v>2947</v>
      </c>
      <c r="F12" s="16"/>
      <c r="G12" s="18" t="s">
        <v>1481</v>
      </c>
      <c r="H12" s="16"/>
      <c r="I12" s="18" t="s">
        <v>3689</v>
      </c>
      <c r="J12" s="16"/>
      <c r="K12" s="18"/>
      <c r="L12" s="16"/>
      <c r="M12" s="18"/>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c r="L15" s="16"/>
      <c r="M15" s="18"/>
      <c r="N15" s="16"/>
      <c r="O15" s="18"/>
      <c r="P15" s="16"/>
      <c r="Q15" s="18"/>
      <c r="R15" s="16"/>
      <c r="S15" s="18"/>
      <c r="T15" s="21"/>
    </row>
    <row r="16" spans="1:20" ht="15.95" customHeight="1" x14ac:dyDescent="0.25">
      <c r="A16" s="18" t="s">
        <v>318</v>
      </c>
      <c r="B16" s="16"/>
      <c r="C16" s="18" t="s">
        <v>1771</v>
      </c>
      <c r="D16" s="16"/>
      <c r="E16" s="18" t="s">
        <v>2490</v>
      </c>
      <c r="F16" s="16"/>
      <c r="G16" s="18" t="s">
        <v>1039</v>
      </c>
      <c r="H16" s="16"/>
      <c r="I16" s="18" t="s">
        <v>3208</v>
      </c>
      <c r="J16" s="16"/>
      <c r="K16" s="18"/>
      <c r="L16" s="16"/>
      <c r="M16" s="18"/>
      <c r="N16" s="16"/>
      <c r="O16" s="18"/>
      <c r="P16" s="16"/>
      <c r="Q16" s="18"/>
      <c r="R16" s="16"/>
      <c r="S16" s="18"/>
      <c r="T16" s="21"/>
    </row>
    <row r="17" spans="1:20" ht="15.95" customHeight="1" x14ac:dyDescent="0.25">
      <c r="A17" s="18" t="s">
        <v>319</v>
      </c>
      <c r="B17" s="16"/>
      <c r="C17" s="18" t="s">
        <v>319</v>
      </c>
      <c r="D17" s="16"/>
      <c r="E17" s="18" t="s">
        <v>2948</v>
      </c>
      <c r="F17" s="16"/>
      <c r="G17" s="18" t="s">
        <v>1482</v>
      </c>
      <c r="H17" s="16"/>
      <c r="I17" s="18" t="s">
        <v>3690</v>
      </c>
      <c r="J17" s="16"/>
      <c r="K17" s="18"/>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1"/>
    </row>
    <row r="19" spans="1:20" ht="15.95" customHeight="1" x14ac:dyDescent="0.25">
      <c r="A19" s="18" t="s">
        <v>320</v>
      </c>
      <c r="B19" s="16"/>
      <c r="C19" s="18" t="s">
        <v>1848</v>
      </c>
      <c r="D19" s="16"/>
      <c r="E19" s="18" t="s">
        <v>2566</v>
      </c>
      <c r="F19" s="16"/>
      <c r="G19" s="18" t="s">
        <v>1113</v>
      </c>
      <c r="H19" s="16"/>
      <c r="I19" s="18" t="s">
        <v>3289</v>
      </c>
      <c r="J19" s="16"/>
      <c r="K19" s="18"/>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c r="L20" s="16"/>
      <c r="M20" s="18"/>
      <c r="N20" s="16"/>
      <c r="O20" s="18"/>
      <c r="P20" s="16"/>
      <c r="Q20" s="18"/>
      <c r="R20" s="16"/>
      <c r="S20" s="18"/>
      <c r="T20" s="21"/>
    </row>
    <row r="21" spans="1:20" ht="15.95" customHeight="1" x14ac:dyDescent="0.25">
      <c r="A21" s="18" t="s">
        <v>321</v>
      </c>
      <c r="B21" s="16"/>
      <c r="C21" s="18" t="s">
        <v>1772</v>
      </c>
      <c r="D21" s="16"/>
      <c r="E21" s="18" t="s">
        <v>2491</v>
      </c>
      <c r="F21" s="16"/>
      <c r="G21" s="18" t="s">
        <v>1040</v>
      </c>
      <c r="H21" s="16"/>
      <c r="I21" s="18" t="s">
        <v>3209</v>
      </c>
      <c r="J21" s="16"/>
      <c r="K21" s="18"/>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1"/>
    </row>
    <row r="23" spans="1:20" ht="15.95" customHeight="1" x14ac:dyDescent="0.25">
      <c r="A23" s="18" t="s">
        <v>322</v>
      </c>
      <c r="B23" s="16"/>
      <c r="C23" s="18" t="s">
        <v>2229</v>
      </c>
      <c r="D23" s="16"/>
      <c r="E23" s="18" t="s">
        <v>2949</v>
      </c>
      <c r="F23" s="16"/>
      <c r="G23" s="18" t="s">
        <v>1483</v>
      </c>
      <c r="H23" s="16"/>
      <c r="I23" s="18" t="s">
        <v>3691</v>
      </c>
      <c r="J23" s="16"/>
      <c r="K23" s="18"/>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c r="L24" s="16"/>
      <c r="M24" s="18"/>
      <c r="N24" s="16"/>
      <c r="O24" s="18"/>
      <c r="P24" s="16"/>
      <c r="Q24" s="18"/>
      <c r="R24" s="16"/>
      <c r="S24" s="18"/>
      <c r="T24" s="21"/>
    </row>
    <row r="25" spans="1:20" ht="15.95" customHeight="1" x14ac:dyDescent="0.25">
      <c r="A25" s="18" t="s">
        <v>323</v>
      </c>
      <c r="B25" s="16"/>
      <c r="C25" s="18" t="s">
        <v>2230</v>
      </c>
      <c r="D25" s="16"/>
      <c r="E25" s="18" t="s">
        <v>2950</v>
      </c>
      <c r="F25" s="16"/>
      <c r="G25" s="18" t="s">
        <v>1484</v>
      </c>
      <c r="H25" s="16"/>
      <c r="I25" s="18" t="s">
        <v>3692</v>
      </c>
      <c r="J25" s="16"/>
      <c r="K25" s="18"/>
      <c r="L25" s="16"/>
      <c r="M25" s="18"/>
      <c r="N25" s="16"/>
      <c r="O25" s="18"/>
      <c r="P25" s="16"/>
      <c r="Q25" s="18"/>
      <c r="R25" s="16"/>
      <c r="S25" s="18"/>
      <c r="T25" s="21"/>
    </row>
    <row r="26" spans="1:20" ht="15.95" customHeight="1" x14ac:dyDescent="0.25">
      <c r="A26" s="18" t="s">
        <v>324</v>
      </c>
      <c r="B26" s="16"/>
      <c r="C26" s="18" t="s">
        <v>2231</v>
      </c>
      <c r="D26" s="16"/>
      <c r="E26" s="18" t="s">
        <v>2951</v>
      </c>
      <c r="F26" s="16"/>
      <c r="G26" s="18" t="s">
        <v>1485</v>
      </c>
      <c r="H26" s="16"/>
      <c r="I26" s="18" t="s">
        <v>3693</v>
      </c>
      <c r="J26" s="16"/>
      <c r="K26" s="18"/>
      <c r="L26" s="16"/>
      <c r="M26" s="18"/>
      <c r="N26" s="16"/>
      <c r="O26" s="18"/>
      <c r="P26" s="16"/>
      <c r="Q26" s="18"/>
      <c r="R26" s="16"/>
      <c r="S26" s="18"/>
      <c r="T26" s="21"/>
    </row>
    <row r="27" spans="1:20" ht="15.95" customHeight="1" x14ac:dyDescent="0.25">
      <c r="A27" s="18" t="s">
        <v>325</v>
      </c>
      <c r="B27" s="16"/>
      <c r="C27" s="18" t="s">
        <v>2232</v>
      </c>
      <c r="D27" s="16"/>
      <c r="E27" s="18" t="s">
        <v>2952</v>
      </c>
      <c r="F27" s="16"/>
      <c r="G27" s="18" t="s">
        <v>1486</v>
      </c>
      <c r="H27" s="16"/>
      <c r="I27" s="18" t="s">
        <v>3694</v>
      </c>
      <c r="J27" s="16"/>
      <c r="K27" s="18"/>
      <c r="L27" s="16"/>
      <c r="M27" s="18"/>
      <c r="N27" s="16"/>
      <c r="O27" s="18"/>
      <c r="P27" s="16"/>
      <c r="Q27" s="18"/>
      <c r="R27" s="16"/>
      <c r="S27" s="18"/>
      <c r="T27" s="21"/>
    </row>
    <row r="28" spans="1:20" ht="15.95" customHeight="1" x14ac:dyDescent="0.25">
      <c r="A28" s="18" t="s">
        <v>326</v>
      </c>
      <c r="B28" s="16"/>
      <c r="C28" s="18" t="s">
        <v>2233</v>
      </c>
      <c r="D28" s="16"/>
      <c r="E28" s="18" t="s">
        <v>2953</v>
      </c>
      <c r="F28" s="16"/>
      <c r="G28" s="18" t="s">
        <v>1487</v>
      </c>
      <c r="H28" s="16"/>
      <c r="I28" s="18" t="s">
        <v>3695</v>
      </c>
      <c r="J28" s="16"/>
      <c r="K28" s="18"/>
      <c r="L28" s="16"/>
      <c r="M28" s="18"/>
      <c r="N28" s="16"/>
      <c r="O28" s="18"/>
      <c r="P28" s="16"/>
      <c r="Q28" s="18"/>
      <c r="R28" s="16"/>
      <c r="S28" s="18"/>
      <c r="T28" s="21"/>
    </row>
    <row r="29" spans="1:20" ht="15.95" customHeight="1" x14ac:dyDescent="0.25">
      <c r="A29" s="18" t="s">
        <v>327</v>
      </c>
      <c r="B29" s="16"/>
      <c r="C29" s="18" t="s">
        <v>2234</v>
      </c>
      <c r="D29" s="16"/>
      <c r="E29" s="18" t="s">
        <v>2954</v>
      </c>
      <c r="F29" s="16"/>
      <c r="G29" s="18" t="s">
        <v>1488</v>
      </c>
      <c r="H29" s="16"/>
      <c r="I29" s="18" t="s">
        <v>3696</v>
      </c>
      <c r="J29" s="16"/>
      <c r="K29" s="18"/>
      <c r="L29" s="16"/>
      <c r="M29" s="18"/>
      <c r="N29" s="16"/>
      <c r="O29" s="18"/>
      <c r="P29" s="16"/>
      <c r="Q29" s="18"/>
      <c r="R29" s="16"/>
      <c r="S29" s="18"/>
      <c r="T29" s="21"/>
    </row>
    <row r="30" spans="1:20" ht="15.95" customHeight="1" x14ac:dyDescent="0.25">
      <c r="A30" s="18" t="s">
        <v>328</v>
      </c>
      <c r="B30" s="16"/>
      <c r="C30" s="18" t="s">
        <v>2235</v>
      </c>
      <c r="D30" s="16"/>
      <c r="E30" s="18" t="s">
        <v>2955</v>
      </c>
      <c r="F30" s="16"/>
      <c r="G30" s="18" t="s">
        <v>1489</v>
      </c>
      <c r="H30" s="16"/>
      <c r="I30" s="18" t="s">
        <v>3697</v>
      </c>
      <c r="J30" s="16"/>
      <c r="K30" s="18"/>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c r="L31" s="16"/>
      <c r="M31" s="18"/>
      <c r="N31" s="16"/>
      <c r="O31" s="18"/>
      <c r="P31" s="16"/>
      <c r="Q31" s="18"/>
      <c r="R31" s="16"/>
      <c r="S31" s="18"/>
      <c r="T31" s="21"/>
    </row>
    <row r="32" spans="1:20" ht="15.95" customHeight="1" x14ac:dyDescent="0.25">
      <c r="A32" s="18" t="s">
        <v>329</v>
      </c>
      <c r="B32" s="16"/>
      <c r="C32" s="18" t="s">
        <v>2236</v>
      </c>
      <c r="D32" s="16"/>
      <c r="E32" s="18" t="s">
        <v>2956</v>
      </c>
      <c r="F32" s="16"/>
      <c r="G32" s="18" t="s">
        <v>1490</v>
      </c>
      <c r="H32" s="16"/>
      <c r="I32" s="18" t="s">
        <v>3698</v>
      </c>
      <c r="J32" s="16"/>
      <c r="K32" s="18"/>
      <c r="L32" s="16"/>
      <c r="M32" s="18"/>
      <c r="N32" s="16"/>
      <c r="O32" s="18"/>
      <c r="P32" s="16"/>
      <c r="Q32" s="18"/>
      <c r="R32" s="16"/>
      <c r="S32" s="18"/>
      <c r="T32" s="21"/>
    </row>
    <row r="33" spans="1:20" ht="15.95" customHeight="1" x14ac:dyDescent="0.25">
      <c r="A33" s="22" t="s">
        <v>330</v>
      </c>
      <c r="B33" s="16"/>
      <c r="C33" s="18" t="s">
        <v>2237</v>
      </c>
      <c r="D33" s="16"/>
      <c r="E33" s="18" t="s">
        <v>2957</v>
      </c>
      <c r="F33" s="16"/>
      <c r="G33" s="18" t="s">
        <v>1491</v>
      </c>
      <c r="H33" s="16"/>
      <c r="I33" s="18" t="s">
        <v>3699</v>
      </c>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I3" sqref="I3:I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334</v>
      </c>
      <c r="B8" s="16"/>
      <c r="C8" s="18" t="s">
        <v>2241</v>
      </c>
      <c r="D8" s="16"/>
      <c r="E8" s="18" t="s">
        <v>2961</v>
      </c>
      <c r="F8" s="16"/>
      <c r="G8" s="18" t="s">
        <v>1495</v>
      </c>
      <c r="H8" s="16"/>
      <c r="I8" s="18" t="s">
        <v>3703</v>
      </c>
      <c r="J8" s="16"/>
      <c r="K8" s="18"/>
      <c r="L8" s="16"/>
      <c r="M8" s="18"/>
      <c r="N8" s="16"/>
      <c r="O8" s="18"/>
      <c r="P8" s="16"/>
      <c r="Q8" s="18"/>
      <c r="R8" s="16"/>
      <c r="S8" s="18"/>
      <c r="T8" s="16"/>
    </row>
    <row r="9" spans="1:20" ht="15.95" customHeight="1" x14ac:dyDescent="0.25">
      <c r="A9" s="18" t="s">
        <v>335</v>
      </c>
      <c r="B9" s="16"/>
      <c r="C9" s="18" t="s">
        <v>2242</v>
      </c>
      <c r="D9" s="16"/>
      <c r="E9" s="18" t="s">
        <v>2962</v>
      </c>
      <c r="F9" s="16"/>
      <c r="G9" s="18" t="s">
        <v>1496</v>
      </c>
      <c r="H9" s="16"/>
      <c r="I9" s="18" t="s">
        <v>3704</v>
      </c>
      <c r="J9" s="16"/>
      <c r="K9" s="18"/>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c r="L10" s="16"/>
      <c r="M10" s="18"/>
      <c r="N10" s="16"/>
      <c r="O10" s="18"/>
      <c r="P10" s="16"/>
      <c r="Q10" s="18"/>
      <c r="R10" s="16"/>
      <c r="S10" s="18"/>
      <c r="T10" s="16"/>
    </row>
    <row r="11" spans="1:20" ht="15.95" customHeight="1" x14ac:dyDescent="0.25">
      <c r="A11" s="18" t="s">
        <v>336</v>
      </c>
      <c r="B11" s="16"/>
      <c r="C11" s="18" t="s">
        <v>2243</v>
      </c>
      <c r="D11" s="16"/>
      <c r="E11" s="18" t="s">
        <v>2963</v>
      </c>
      <c r="F11" s="16"/>
      <c r="G11" s="18" t="s">
        <v>1497</v>
      </c>
      <c r="H11" s="16"/>
      <c r="I11" s="18" t="s">
        <v>3705</v>
      </c>
      <c r="J11" s="16"/>
      <c r="K11" s="18"/>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c r="L14" s="16"/>
      <c r="M14" s="18"/>
      <c r="N14" s="16"/>
      <c r="O14" s="18"/>
      <c r="P14" s="16"/>
      <c r="Q14" s="18"/>
      <c r="R14" s="16"/>
      <c r="S14" s="18"/>
      <c r="T14" s="21"/>
    </row>
    <row r="15" spans="1:20" ht="15.95" customHeight="1" x14ac:dyDescent="0.25">
      <c r="A15" s="18" t="s">
        <v>337</v>
      </c>
      <c r="B15" s="16"/>
      <c r="C15" s="18" t="s">
        <v>1882</v>
      </c>
      <c r="D15" s="16"/>
      <c r="E15" s="18" t="s">
        <v>2600</v>
      </c>
      <c r="F15" s="16"/>
      <c r="G15" s="18" t="s">
        <v>1145</v>
      </c>
      <c r="H15" s="16"/>
      <c r="I15" s="18" t="s">
        <v>3324</v>
      </c>
      <c r="J15" s="16"/>
      <c r="K15" s="18"/>
      <c r="L15" s="16"/>
      <c r="M15" s="18"/>
      <c r="N15" s="16"/>
      <c r="O15" s="18"/>
      <c r="P15" s="16"/>
      <c r="Q15" s="18"/>
      <c r="R15" s="16"/>
      <c r="S15" s="18"/>
      <c r="T15" s="21"/>
    </row>
    <row r="16" spans="1:20" ht="15.95" customHeight="1" x14ac:dyDescent="0.25">
      <c r="A16" s="18" t="s">
        <v>338</v>
      </c>
      <c r="B16" s="16"/>
      <c r="C16" s="18" t="s">
        <v>338</v>
      </c>
      <c r="D16" s="16"/>
      <c r="E16" s="18" t="s">
        <v>2964</v>
      </c>
      <c r="F16" s="16"/>
      <c r="G16" s="18" t="s">
        <v>1498</v>
      </c>
      <c r="H16" s="16"/>
      <c r="I16" s="18" t="s">
        <v>3706</v>
      </c>
      <c r="J16" s="16"/>
      <c r="K16" s="18"/>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1"/>
    </row>
    <row r="18" spans="1:20" ht="15.95" customHeight="1" x14ac:dyDescent="0.25">
      <c r="A18" s="18" t="s">
        <v>339</v>
      </c>
      <c r="B18" s="16"/>
      <c r="C18" s="18" t="s">
        <v>2244</v>
      </c>
      <c r="D18" s="16"/>
      <c r="E18" s="18" t="s">
        <v>2965</v>
      </c>
      <c r="F18" s="16"/>
      <c r="G18" s="18" t="s">
        <v>1499</v>
      </c>
      <c r="H18" s="16"/>
      <c r="I18" s="18" t="s">
        <v>3707</v>
      </c>
      <c r="J18" s="16"/>
      <c r="K18" s="18"/>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1"/>
    </row>
    <row r="20" spans="1:20" ht="15.95" customHeight="1" x14ac:dyDescent="0.25">
      <c r="A20" s="18" t="s">
        <v>340</v>
      </c>
      <c r="B20" s="16"/>
      <c r="C20" s="18" t="s">
        <v>1909</v>
      </c>
      <c r="D20" s="16"/>
      <c r="E20" s="18" t="s">
        <v>2627</v>
      </c>
      <c r="F20" s="16"/>
      <c r="G20" s="18" t="s">
        <v>1170</v>
      </c>
      <c r="H20" s="16"/>
      <c r="I20" s="18" t="s">
        <v>3352</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341</v>
      </c>
      <c r="B22" s="16"/>
      <c r="C22" s="18" t="s">
        <v>2245</v>
      </c>
      <c r="D22" s="16"/>
      <c r="E22" s="18" t="s">
        <v>2966</v>
      </c>
      <c r="F22" s="16"/>
      <c r="G22" s="18" t="s">
        <v>1500</v>
      </c>
      <c r="H22" s="16"/>
      <c r="I22" s="18" t="s">
        <v>3708</v>
      </c>
      <c r="J22" s="16"/>
      <c r="K22" s="18"/>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1"/>
    </row>
    <row r="24" spans="1:20" ht="15.95" customHeight="1" x14ac:dyDescent="0.25">
      <c r="A24" s="18" t="s">
        <v>342</v>
      </c>
      <c r="B24" s="16"/>
      <c r="C24" s="18" t="s">
        <v>2246</v>
      </c>
      <c r="D24" s="16"/>
      <c r="E24" s="18" t="s">
        <v>2967</v>
      </c>
      <c r="F24" s="16"/>
      <c r="G24" s="18" t="s">
        <v>1501</v>
      </c>
      <c r="H24" s="16"/>
      <c r="I24" s="18" t="s">
        <v>3709</v>
      </c>
      <c r="J24" s="16"/>
      <c r="K24" s="18"/>
      <c r="L24" s="16"/>
      <c r="M24" s="18"/>
      <c r="N24" s="16"/>
      <c r="O24" s="18"/>
      <c r="P24" s="16"/>
      <c r="Q24" s="18"/>
      <c r="R24" s="16"/>
      <c r="S24" s="18"/>
      <c r="T24" s="21"/>
    </row>
    <row r="25" spans="1:20" ht="15.95" customHeight="1" x14ac:dyDescent="0.25">
      <c r="A25" s="18" t="s">
        <v>343</v>
      </c>
      <c r="B25" s="16"/>
      <c r="C25" s="18" t="s">
        <v>2247</v>
      </c>
      <c r="D25" s="16"/>
      <c r="E25" s="18" t="s">
        <v>2968</v>
      </c>
      <c r="F25" s="16"/>
      <c r="G25" s="18" t="s">
        <v>1502</v>
      </c>
      <c r="H25" s="16"/>
      <c r="I25" s="18" t="s">
        <v>3710</v>
      </c>
      <c r="J25" s="16"/>
      <c r="K25" s="18"/>
      <c r="L25" s="16"/>
      <c r="M25" s="18"/>
      <c r="N25" s="16"/>
      <c r="O25" s="18"/>
      <c r="P25" s="16"/>
      <c r="Q25" s="18"/>
      <c r="R25" s="16"/>
      <c r="S25" s="18"/>
      <c r="T25" s="21"/>
    </row>
    <row r="26" spans="1:20" ht="15.95" customHeight="1" x14ac:dyDescent="0.25">
      <c r="A26" s="18" t="s">
        <v>344</v>
      </c>
      <c r="B26" s="16"/>
      <c r="C26" s="18" t="s">
        <v>2248</v>
      </c>
      <c r="D26" s="16"/>
      <c r="E26" s="18" t="s">
        <v>2969</v>
      </c>
      <c r="F26" s="16"/>
      <c r="G26" s="18" t="s">
        <v>1503</v>
      </c>
      <c r="H26" s="16"/>
      <c r="I26" s="18" t="s">
        <v>3711</v>
      </c>
      <c r="J26" s="16"/>
      <c r="K26" s="18"/>
      <c r="L26" s="16"/>
      <c r="M26" s="18"/>
      <c r="N26" s="16"/>
      <c r="O26" s="18"/>
      <c r="P26" s="16"/>
      <c r="Q26" s="18"/>
      <c r="R26" s="16"/>
      <c r="S26" s="18"/>
      <c r="T26" s="21"/>
    </row>
    <row r="27" spans="1:20" ht="15.95" customHeight="1" x14ac:dyDescent="0.25">
      <c r="A27" s="18" t="s">
        <v>345</v>
      </c>
      <c r="B27" s="16"/>
      <c r="C27" s="18" t="s">
        <v>2249</v>
      </c>
      <c r="D27" s="16"/>
      <c r="E27" s="18" t="s">
        <v>2970</v>
      </c>
      <c r="F27" s="16"/>
      <c r="G27" s="18" t="s">
        <v>1504</v>
      </c>
      <c r="H27" s="16"/>
      <c r="I27" s="18" t="s">
        <v>3712</v>
      </c>
      <c r="J27" s="16"/>
      <c r="K27" s="18"/>
      <c r="L27" s="16"/>
      <c r="M27" s="18"/>
      <c r="N27" s="16"/>
      <c r="O27" s="18"/>
      <c r="P27" s="16"/>
      <c r="Q27" s="18"/>
      <c r="R27" s="16"/>
      <c r="S27" s="18"/>
      <c r="T27" s="21"/>
    </row>
    <row r="28" spans="1:20" ht="15.95" customHeight="1" x14ac:dyDescent="0.25">
      <c r="A28" s="18" t="s">
        <v>112</v>
      </c>
      <c r="B28" s="16"/>
      <c r="C28" s="18" t="s">
        <v>2250</v>
      </c>
      <c r="D28" s="16"/>
      <c r="E28" s="18" t="s">
        <v>2971</v>
      </c>
      <c r="F28" s="16"/>
      <c r="G28" s="18" t="s">
        <v>1505</v>
      </c>
      <c r="H28" s="16"/>
      <c r="I28" s="18" t="s">
        <v>3713</v>
      </c>
      <c r="J28" s="16"/>
      <c r="K28" s="18"/>
      <c r="L28" s="16"/>
      <c r="M28" s="18"/>
      <c r="N28" s="16"/>
      <c r="O28" s="18"/>
      <c r="P28" s="16"/>
      <c r="Q28" s="18"/>
      <c r="R28" s="16"/>
      <c r="S28" s="18"/>
      <c r="T28" s="21"/>
    </row>
    <row r="29" spans="1:20" ht="15.95" customHeight="1" x14ac:dyDescent="0.25">
      <c r="A29" s="18" t="s">
        <v>4</v>
      </c>
      <c r="B29" s="16"/>
      <c r="C29" s="18" t="s">
        <v>4</v>
      </c>
      <c r="D29" s="16"/>
      <c r="E29" s="18" t="s">
        <v>4</v>
      </c>
      <c r="F29" s="16"/>
      <c r="G29" s="18" t="s">
        <v>4</v>
      </c>
      <c r="H29" s="16"/>
      <c r="I29" s="18" t="s">
        <v>4</v>
      </c>
      <c r="J29" s="16"/>
      <c r="K29" s="18"/>
      <c r="L29" s="16"/>
      <c r="M29" s="18"/>
      <c r="N29" s="16"/>
      <c r="O29" s="18"/>
      <c r="P29" s="16"/>
      <c r="Q29" s="18"/>
      <c r="R29" s="16"/>
      <c r="S29" s="18"/>
      <c r="T29" s="21"/>
    </row>
    <row r="30" spans="1:20" ht="15.95" customHeight="1" x14ac:dyDescent="0.25">
      <c r="A30" s="18" t="s">
        <v>346</v>
      </c>
      <c r="B30" s="16"/>
      <c r="C30" s="18" t="s">
        <v>2251</v>
      </c>
      <c r="D30" s="16"/>
      <c r="E30" s="18" t="s">
        <v>2972</v>
      </c>
      <c r="F30" s="16"/>
      <c r="G30" s="18" t="s">
        <v>1506</v>
      </c>
      <c r="H30" s="16"/>
      <c r="I30" s="18" t="s">
        <v>3714</v>
      </c>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I3" sqref="I3:I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16"/>
    </row>
    <row r="8" spans="1:20" ht="15.95" customHeight="1" x14ac:dyDescent="0.25">
      <c r="A8" s="18" t="s">
        <v>516</v>
      </c>
      <c r="B8" s="16"/>
      <c r="C8" s="18" t="s">
        <v>2255</v>
      </c>
      <c r="D8" s="16"/>
      <c r="E8" s="18" t="s">
        <v>2976</v>
      </c>
      <c r="F8" s="16"/>
      <c r="G8" s="18" t="s">
        <v>1510</v>
      </c>
      <c r="H8" s="16"/>
      <c r="I8" s="18" t="s">
        <v>3718</v>
      </c>
      <c r="J8" s="16"/>
      <c r="K8" s="18"/>
      <c r="L8" s="16"/>
      <c r="M8" s="18"/>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16"/>
    </row>
    <row r="11" spans="1:20" ht="15.95" customHeight="1" x14ac:dyDescent="0.25">
      <c r="A11" s="18" t="s">
        <v>517</v>
      </c>
      <c r="B11" s="16"/>
      <c r="C11" s="18" t="s">
        <v>2256</v>
      </c>
      <c r="D11" s="16"/>
      <c r="E11" s="18" t="s">
        <v>2977</v>
      </c>
      <c r="F11" s="16"/>
      <c r="G11" s="18" t="s">
        <v>1511</v>
      </c>
      <c r="H11" s="16"/>
      <c r="I11" s="18" t="s">
        <v>3719</v>
      </c>
      <c r="J11" s="16"/>
      <c r="K11" s="18"/>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1"/>
    </row>
    <row r="13" spans="1:20" ht="15.95" customHeight="1" x14ac:dyDescent="0.25">
      <c r="A13" s="18" t="s">
        <v>462</v>
      </c>
      <c r="B13" s="16"/>
      <c r="C13" s="18" t="s">
        <v>1728</v>
      </c>
      <c r="D13" s="16"/>
      <c r="E13" s="18" t="s">
        <v>2447</v>
      </c>
      <c r="F13" s="16"/>
      <c r="G13" s="18" t="s">
        <v>996</v>
      </c>
      <c r="H13" s="16"/>
      <c r="I13" s="18" t="s">
        <v>3165</v>
      </c>
      <c r="J13" s="16"/>
      <c r="K13" s="18"/>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1"/>
    </row>
    <row r="15" spans="1:20" ht="15.95" customHeight="1" x14ac:dyDescent="0.25">
      <c r="A15" s="18" t="s">
        <v>518</v>
      </c>
      <c r="B15" s="16"/>
      <c r="C15" s="18" t="s">
        <v>2257</v>
      </c>
      <c r="D15" s="16"/>
      <c r="E15" s="18" t="s">
        <v>2978</v>
      </c>
      <c r="F15" s="16"/>
      <c r="G15" s="18" t="s">
        <v>1512</v>
      </c>
      <c r="H15" s="16"/>
      <c r="I15" s="18" t="s">
        <v>3720</v>
      </c>
      <c r="J15" s="16"/>
      <c r="K15" s="18"/>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1"/>
    </row>
    <row r="17" spans="1:20" ht="15.95" customHeight="1" x14ac:dyDescent="0.25">
      <c r="A17" s="18" t="s">
        <v>519</v>
      </c>
      <c r="B17" s="16"/>
      <c r="C17" s="18" t="s">
        <v>2258</v>
      </c>
      <c r="D17" s="16"/>
      <c r="E17" s="18" t="s">
        <v>2979</v>
      </c>
      <c r="F17" s="16"/>
      <c r="G17" s="18" t="s">
        <v>1513</v>
      </c>
      <c r="H17" s="16"/>
      <c r="I17" s="18" t="s">
        <v>3721</v>
      </c>
      <c r="J17" s="16"/>
      <c r="K17" s="18"/>
      <c r="L17" s="16"/>
      <c r="M17" s="18"/>
      <c r="N17" s="16"/>
      <c r="O17" s="18"/>
      <c r="P17" s="16"/>
      <c r="Q17" s="18"/>
      <c r="R17" s="16"/>
      <c r="S17" s="18"/>
      <c r="T17" s="21"/>
    </row>
    <row r="18" spans="1:20" ht="15.95" customHeight="1" x14ac:dyDescent="0.25">
      <c r="A18" s="18" t="s">
        <v>520</v>
      </c>
      <c r="B18" s="16"/>
      <c r="C18" s="18" t="s">
        <v>2259</v>
      </c>
      <c r="D18" s="16"/>
      <c r="E18" s="18" t="s">
        <v>2980</v>
      </c>
      <c r="F18" s="16"/>
      <c r="G18" s="18" t="s">
        <v>1514</v>
      </c>
      <c r="H18" s="16"/>
      <c r="I18" s="18" t="s">
        <v>3722</v>
      </c>
      <c r="J18" s="16"/>
      <c r="K18" s="18"/>
      <c r="L18" s="16"/>
      <c r="M18" s="18"/>
      <c r="N18" s="16"/>
      <c r="O18" s="18"/>
      <c r="P18" s="16"/>
      <c r="Q18" s="18"/>
      <c r="R18" s="16"/>
      <c r="S18" s="18"/>
      <c r="T18" s="21"/>
    </row>
    <row r="19" spans="1:20" ht="15.95" customHeight="1" x14ac:dyDescent="0.25">
      <c r="A19" s="18" t="s">
        <v>521</v>
      </c>
      <c r="B19" s="16"/>
      <c r="C19" s="18" t="s">
        <v>2260</v>
      </c>
      <c r="D19" s="16"/>
      <c r="E19" s="18" t="s">
        <v>2981</v>
      </c>
      <c r="F19" s="16"/>
      <c r="G19" s="18" t="s">
        <v>1515</v>
      </c>
      <c r="H19" s="16"/>
      <c r="I19" s="18" t="s">
        <v>3723</v>
      </c>
      <c r="J19" s="16"/>
      <c r="K19" s="18"/>
      <c r="L19" s="16"/>
      <c r="M19" s="18"/>
      <c r="N19" s="16"/>
      <c r="O19" s="18"/>
      <c r="P19" s="16"/>
      <c r="Q19" s="18"/>
      <c r="R19" s="16"/>
      <c r="S19" s="18"/>
      <c r="T19" s="21"/>
    </row>
    <row r="20" spans="1:20" ht="15.95" customHeight="1" x14ac:dyDescent="0.25">
      <c r="A20" s="18" t="s">
        <v>522</v>
      </c>
      <c r="B20" s="16"/>
      <c r="C20" s="18" t="s">
        <v>2261</v>
      </c>
      <c r="D20" s="16"/>
      <c r="E20" s="18" t="s">
        <v>2982</v>
      </c>
      <c r="F20" s="16"/>
      <c r="G20" s="18" t="s">
        <v>1516</v>
      </c>
      <c r="H20" s="16"/>
      <c r="I20" s="18" t="s">
        <v>3724</v>
      </c>
      <c r="J20" s="16"/>
      <c r="K20" s="18"/>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1"/>
    </row>
    <row r="22" spans="1:20" ht="15.95" customHeight="1" x14ac:dyDescent="0.25">
      <c r="A22" s="18" t="s">
        <v>523</v>
      </c>
      <c r="B22" s="16"/>
      <c r="C22" s="18" t="s">
        <v>2262</v>
      </c>
      <c r="D22" s="16"/>
      <c r="E22" s="18" t="s">
        <v>2983</v>
      </c>
      <c r="F22" s="16"/>
      <c r="G22" s="18" t="s">
        <v>1517</v>
      </c>
      <c r="H22" s="16"/>
      <c r="I22" s="18" t="s">
        <v>3725</v>
      </c>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I3" sqref="I3:I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516</v>
      </c>
      <c r="B8" s="16"/>
      <c r="C8" s="18" t="s">
        <v>2255</v>
      </c>
      <c r="D8" s="16"/>
      <c r="E8" s="18" t="s">
        <v>2976</v>
      </c>
      <c r="F8" s="16"/>
      <c r="G8" s="18" t="s">
        <v>1510</v>
      </c>
      <c r="H8" s="16"/>
      <c r="I8" s="18" t="s">
        <v>3718</v>
      </c>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20"/>
    </row>
    <row r="11" spans="1:20" ht="15.95" customHeight="1" x14ac:dyDescent="0.25">
      <c r="A11" s="18" t="s">
        <v>758</v>
      </c>
      <c r="B11" s="16"/>
      <c r="C11" s="18" t="s">
        <v>2266</v>
      </c>
      <c r="D11" s="16"/>
      <c r="E11" s="18" t="s">
        <v>2987</v>
      </c>
      <c r="F11" s="16"/>
      <c r="G11" s="18" t="s">
        <v>1521</v>
      </c>
      <c r="H11" s="16"/>
      <c r="I11" s="18" t="s">
        <v>3729</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117</v>
      </c>
      <c r="B13" s="16"/>
      <c r="C13" s="18" t="s">
        <v>1742</v>
      </c>
      <c r="D13" s="16"/>
      <c r="E13" s="18" t="s">
        <v>2461</v>
      </c>
      <c r="F13" s="16"/>
      <c r="G13" s="18" t="s">
        <v>1010</v>
      </c>
      <c r="H13" s="16"/>
      <c r="I13" s="18" t="s">
        <v>3179</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759</v>
      </c>
      <c r="B15" s="16"/>
      <c r="C15" s="18" t="s">
        <v>2267</v>
      </c>
      <c r="D15" s="16"/>
      <c r="E15" s="18" t="s">
        <v>2988</v>
      </c>
      <c r="F15" s="16"/>
      <c r="G15" s="18" t="s">
        <v>1522</v>
      </c>
      <c r="H15" s="16"/>
      <c r="I15" s="18" t="s">
        <v>3730</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760</v>
      </c>
      <c r="B17" s="16"/>
      <c r="C17" s="18" t="s">
        <v>2268</v>
      </c>
      <c r="D17" s="16"/>
      <c r="E17" s="18" t="s">
        <v>2989</v>
      </c>
      <c r="F17" s="16"/>
      <c r="G17" s="18" t="s">
        <v>1523</v>
      </c>
      <c r="H17" s="16"/>
      <c r="I17" s="18" t="s">
        <v>3731</v>
      </c>
      <c r="J17" s="16"/>
      <c r="K17" s="18"/>
      <c r="L17" s="16"/>
      <c r="M17" s="18"/>
      <c r="N17" s="16"/>
      <c r="O17" s="18"/>
      <c r="P17" s="16"/>
      <c r="Q17" s="18"/>
      <c r="R17" s="16"/>
      <c r="S17" s="18"/>
      <c r="T17" s="20"/>
    </row>
    <row r="18" spans="1:20" ht="15.95" customHeight="1" x14ac:dyDescent="0.25">
      <c r="A18" s="18" t="s">
        <v>761</v>
      </c>
      <c r="B18" s="16"/>
      <c r="C18" s="18" t="s">
        <v>2269</v>
      </c>
      <c r="D18" s="16"/>
      <c r="E18" s="18" t="s">
        <v>2990</v>
      </c>
      <c r="F18" s="16"/>
      <c r="G18" s="18" t="s">
        <v>1524</v>
      </c>
      <c r="H18" s="16"/>
      <c r="I18" s="18" t="s">
        <v>3732</v>
      </c>
      <c r="J18" s="16"/>
      <c r="K18" s="18"/>
      <c r="L18" s="16"/>
      <c r="M18" s="18"/>
      <c r="N18" s="16"/>
      <c r="O18" s="18"/>
      <c r="P18" s="16"/>
      <c r="Q18" s="18"/>
      <c r="R18" s="16"/>
      <c r="S18" s="18"/>
      <c r="T18" s="20"/>
    </row>
    <row r="19" spans="1:20" ht="15.95" customHeight="1" x14ac:dyDescent="0.25">
      <c r="A19" s="18" t="s">
        <v>762</v>
      </c>
      <c r="B19" s="16"/>
      <c r="C19" s="18" t="s">
        <v>2270</v>
      </c>
      <c r="D19" s="16"/>
      <c r="E19" s="18" t="s">
        <v>2991</v>
      </c>
      <c r="F19" s="16"/>
      <c r="G19" s="18" t="s">
        <v>1525</v>
      </c>
      <c r="H19" s="16"/>
      <c r="I19" s="18" t="s">
        <v>3733</v>
      </c>
      <c r="J19" s="16"/>
      <c r="K19" s="18"/>
      <c r="L19" s="16"/>
      <c r="M19" s="18"/>
      <c r="N19" s="16"/>
      <c r="O19" s="18"/>
      <c r="P19" s="16"/>
      <c r="Q19" s="18"/>
      <c r="R19" s="16"/>
      <c r="S19" s="18"/>
      <c r="T19" s="20"/>
    </row>
    <row r="20" spans="1:20" ht="15.95" customHeight="1" x14ac:dyDescent="0.25">
      <c r="A20" s="18" t="s">
        <v>521</v>
      </c>
      <c r="B20" s="16"/>
      <c r="C20" s="18" t="s">
        <v>2260</v>
      </c>
      <c r="D20" s="16"/>
      <c r="E20" s="18" t="s">
        <v>2981</v>
      </c>
      <c r="F20" s="16"/>
      <c r="G20" s="18" t="s">
        <v>1515</v>
      </c>
      <c r="H20" s="16"/>
      <c r="I20" s="18" t="s">
        <v>3723</v>
      </c>
      <c r="J20" s="16"/>
      <c r="K20" s="18"/>
      <c r="L20" s="16"/>
      <c r="M20" s="18"/>
      <c r="N20" s="16"/>
      <c r="O20" s="18"/>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I3" sqref="I3:I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516</v>
      </c>
      <c r="B8" s="16"/>
      <c r="C8" s="18" t="s">
        <v>2255</v>
      </c>
      <c r="D8" s="16"/>
      <c r="E8" s="18" t="s">
        <v>2976</v>
      </c>
      <c r="F8" s="16"/>
      <c r="G8" s="18" t="s">
        <v>1510</v>
      </c>
      <c r="H8" s="16"/>
      <c r="I8" s="18" t="s">
        <v>3718</v>
      </c>
      <c r="J8" s="16"/>
      <c r="K8" s="18"/>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c r="L10" s="16"/>
      <c r="M10" s="18"/>
      <c r="N10" s="16"/>
      <c r="O10" s="18"/>
      <c r="P10" s="16"/>
      <c r="Q10" s="18"/>
      <c r="R10" s="16"/>
      <c r="S10" s="18"/>
      <c r="T10" s="20"/>
    </row>
    <row r="11" spans="1:20" ht="15.95" customHeight="1" x14ac:dyDescent="0.25">
      <c r="A11" s="18" t="s">
        <v>517</v>
      </c>
      <c r="B11" s="16"/>
      <c r="C11" s="18" t="s">
        <v>2256</v>
      </c>
      <c r="D11" s="16"/>
      <c r="E11" s="18" t="s">
        <v>2977</v>
      </c>
      <c r="F11" s="16"/>
      <c r="G11" s="18" t="s">
        <v>1511</v>
      </c>
      <c r="H11" s="16"/>
      <c r="I11" s="18" t="s">
        <v>3719</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749</v>
      </c>
      <c r="B13" s="16"/>
      <c r="C13" s="18" t="s">
        <v>2274</v>
      </c>
      <c r="D13" s="16"/>
      <c r="E13" s="18" t="s">
        <v>2995</v>
      </c>
      <c r="F13" s="16"/>
      <c r="G13" s="18" t="s">
        <v>1529</v>
      </c>
      <c r="H13" s="16"/>
      <c r="I13" s="18" t="s">
        <v>3737</v>
      </c>
      <c r="J13" s="16"/>
      <c r="K13" s="18"/>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c r="L14" s="16"/>
      <c r="M14" s="18"/>
      <c r="N14" s="16"/>
      <c r="O14" s="18"/>
      <c r="P14" s="16"/>
      <c r="Q14" s="18"/>
      <c r="R14" s="16"/>
      <c r="S14" s="18"/>
      <c r="T14" s="20"/>
    </row>
    <row r="15" spans="1:20" ht="15.95" customHeight="1" x14ac:dyDescent="0.25">
      <c r="A15" s="18" t="s">
        <v>750</v>
      </c>
      <c r="B15" s="16"/>
      <c r="C15" s="18" t="s">
        <v>2275</v>
      </c>
      <c r="D15" s="16"/>
      <c r="E15" s="18" t="s">
        <v>2996</v>
      </c>
      <c r="F15" s="16"/>
      <c r="G15" s="18" t="s">
        <v>1530</v>
      </c>
      <c r="H15" s="16"/>
      <c r="I15" s="18" t="s">
        <v>3738</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751</v>
      </c>
      <c r="B17" s="16"/>
      <c r="C17" s="18" t="s">
        <v>2276</v>
      </c>
      <c r="D17" s="16"/>
      <c r="E17" s="18" t="s">
        <v>2997</v>
      </c>
      <c r="F17" s="16"/>
      <c r="G17" s="18" t="s">
        <v>1531</v>
      </c>
      <c r="H17" s="16"/>
      <c r="I17" s="18" t="s">
        <v>3739</v>
      </c>
      <c r="J17" s="16"/>
      <c r="K17" s="18"/>
      <c r="L17" s="16"/>
      <c r="M17" s="18"/>
      <c r="N17" s="16"/>
      <c r="O17" s="18"/>
      <c r="P17" s="16"/>
      <c r="Q17" s="18"/>
      <c r="R17" s="16"/>
      <c r="S17" s="18"/>
      <c r="T17" s="20"/>
    </row>
    <row r="18" spans="1:20" ht="15.95" customHeight="1" x14ac:dyDescent="0.25">
      <c r="A18" s="18" t="s">
        <v>752</v>
      </c>
      <c r="B18" s="16"/>
      <c r="C18" s="18" t="s">
        <v>2277</v>
      </c>
      <c r="D18" s="16"/>
      <c r="E18" s="18" t="s">
        <v>2998</v>
      </c>
      <c r="F18" s="16"/>
      <c r="G18" s="18" t="s">
        <v>1532</v>
      </c>
      <c r="H18" s="16"/>
      <c r="I18" s="18" t="s">
        <v>3740</v>
      </c>
      <c r="J18" s="16"/>
      <c r="K18" s="18"/>
      <c r="L18" s="16"/>
      <c r="M18" s="18"/>
      <c r="N18" s="16"/>
      <c r="O18" s="18"/>
      <c r="P18" s="16"/>
      <c r="Q18" s="18"/>
      <c r="R18" s="16"/>
      <c r="S18" s="18"/>
      <c r="T18" s="20"/>
    </row>
    <row r="19" spans="1:20" ht="15.95" customHeight="1" x14ac:dyDescent="0.25">
      <c r="A19" s="18" t="s">
        <v>753</v>
      </c>
      <c r="B19" s="16"/>
      <c r="C19" s="18" t="s">
        <v>2278</v>
      </c>
      <c r="D19" s="16"/>
      <c r="E19" s="18" t="s">
        <v>2999</v>
      </c>
      <c r="F19" s="16"/>
      <c r="G19" s="18" t="s">
        <v>1533</v>
      </c>
      <c r="H19" s="16"/>
      <c r="I19" s="18" t="s">
        <v>3741</v>
      </c>
      <c r="J19" s="16"/>
      <c r="K19" s="18"/>
      <c r="L19" s="16"/>
      <c r="M19" s="18"/>
      <c r="N19" s="16"/>
      <c r="O19" s="18"/>
      <c r="P19" s="16"/>
      <c r="Q19" s="18"/>
      <c r="R19" s="16"/>
      <c r="S19" s="18"/>
      <c r="T19" s="20"/>
    </row>
    <row r="20" spans="1:20" ht="15.95" customHeight="1" x14ac:dyDescent="0.25">
      <c r="A20" s="18" t="s">
        <v>754</v>
      </c>
      <c r="B20" s="16"/>
      <c r="C20" s="18" t="s">
        <v>2279</v>
      </c>
      <c r="D20" s="16"/>
      <c r="E20" s="18" t="s">
        <v>3000</v>
      </c>
      <c r="F20" s="16"/>
      <c r="G20" s="18" t="s">
        <v>1534</v>
      </c>
      <c r="H20" s="16"/>
      <c r="I20" s="18" t="s">
        <v>3742</v>
      </c>
      <c r="J20" s="16"/>
      <c r="K20" s="18"/>
      <c r="L20" s="16"/>
      <c r="M20" s="18"/>
      <c r="N20" s="16"/>
      <c r="O20" s="18"/>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c r="L21" s="16"/>
      <c r="M21" s="18"/>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4:A51 E3:E51 G3:G51 I3:I51 K3:K51 M3:M51 O3:O51 Q3:Q51 S3:S51 C3:C51">
    <cfRule type="notContainsErrors" dxfId="48" priority="6" stopIfTrue="1">
      <formula>NOT(ISERROR(A3))</formula>
    </cfRule>
  </conditionalFormatting>
  <conditionalFormatting sqref="A4:T51 B3:T3">
    <cfRule type="containsErrors" dxfId="47" priority="5" stopIfTrue="1">
      <formula>ISERROR(A3)</formula>
    </cfRule>
    <cfRule type="notContainsBlanks" dxfId="46" priority="7">
      <formula>LEN(TRIM(A3))&gt;0</formula>
    </cfRule>
  </conditionalFormatting>
  <conditionalFormatting sqref="A3">
    <cfRule type="cellIs" dxfId="45" priority="1" stopIfTrue="1" operator="equal">
      <formula>"-"</formula>
    </cfRule>
    <cfRule type="cellIs" dxfId="44" priority="2" operator="between">
      <formula>"(Lowest value)"</formula>
      <formula>0</formula>
    </cfRule>
    <cfRule type="containsBlanks" dxfId="43" priority="3">
      <formula>LEN(TRIM(A3))=0</formula>
    </cfRule>
    <cfRule type="notContainsBlanks" dxfId="42" priority="4">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c r="L8" s="16"/>
      <c r="M8" s="18"/>
      <c r="N8" s="16"/>
      <c r="O8" s="18"/>
      <c r="P8" s="16"/>
      <c r="Q8" s="18"/>
      <c r="R8" s="16"/>
      <c r="S8" s="18"/>
      <c r="T8" s="20"/>
    </row>
    <row r="9" spans="1:20" ht="15.95" customHeight="1" x14ac:dyDescent="0.25">
      <c r="A9" s="18" t="s">
        <v>766</v>
      </c>
      <c r="B9" s="16"/>
      <c r="C9" s="18" t="s">
        <v>2283</v>
      </c>
      <c r="D9" s="16"/>
      <c r="E9" s="18" t="s">
        <v>3004</v>
      </c>
      <c r="F9" s="16"/>
      <c r="G9" s="18" t="s">
        <v>1538</v>
      </c>
      <c r="H9" s="16"/>
      <c r="I9" s="18" t="s">
        <v>3746</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1539</v>
      </c>
      <c r="H10" s="16"/>
      <c r="I10" s="18" t="s">
        <v>4</v>
      </c>
      <c r="J10" s="16"/>
      <c r="K10" s="18"/>
      <c r="L10" s="16"/>
      <c r="M10" s="18"/>
      <c r="N10" s="16"/>
      <c r="O10" s="18"/>
      <c r="P10" s="16"/>
      <c r="Q10" s="18"/>
      <c r="R10" s="16"/>
      <c r="S10" s="18"/>
      <c r="T10" s="20"/>
    </row>
    <row r="11" spans="1:20" ht="15.95" customHeight="1" x14ac:dyDescent="0.25">
      <c r="A11" s="18" t="s">
        <v>767</v>
      </c>
      <c r="B11" s="16"/>
      <c r="C11" s="18" t="s">
        <v>2284</v>
      </c>
      <c r="D11" s="16"/>
      <c r="E11" s="18" t="s">
        <v>3005</v>
      </c>
      <c r="F11" s="16"/>
      <c r="G11" s="18" t="s">
        <v>4</v>
      </c>
      <c r="H11" s="16"/>
      <c r="I11" s="18" t="s">
        <v>3747</v>
      </c>
      <c r="J11" s="16"/>
      <c r="K11" s="18"/>
      <c r="L11" s="16"/>
      <c r="M11" s="18"/>
      <c r="N11" s="16"/>
      <c r="O11" s="18"/>
      <c r="P11" s="16"/>
      <c r="Q11" s="18"/>
      <c r="R11" s="16"/>
      <c r="S11" s="18"/>
      <c r="T11" s="20"/>
    </row>
    <row r="12" spans="1:20" ht="15.95" customHeight="1" x14ac:dyDescent="0.25">
      <c r="A12" s="18"/>
      <c r="B12" s="16"/>
      <c r="C12" s="18"/>
      <c r="D12" s="16"/>
      <c r="E12" s="18"/>
      <c r="F12" s="16"/>
      <c r="G12" s="18" t="s">
        <v>1540</v>
      </c>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1" priority="2" stopIfTrue="1">
      <formula>NOT(ISERROR(A3))</formula>
    </cfRule>
  </conditionalFormatting>
  <conditionalFormatting sqref="A3:T51">
    <cfRule type="containsErrors" dxfId="40" priority="1" stopIfTrue="1">
      <formula>ISERROR(A3)</formula>
    </cfRule>
    <cfRule type="notContainsBlanks" dxfId="3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I3" sqref="I3:I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737</v>
      </c>
      <c r="B8" s="16"/>
      <c r="C8" s="18" t="s">
        <v>2288</v>
      </c>
      <c r="D8" s="16"/>
      <c r="E8" s="18" t="s">
        <v>3009</v>
      </c>
      <c r="F8" s="16"/>
      <c r="G8" s="18" t="s">
        <v>1544</v>
      </c>
      <c r="H8" s="16"/>
      <c r="I8" s="18" t="s">
        <v>3751</v>
      </c>
      <c r="J8" s="16"/>
      <c r="K8" s="18"/>
      <c r="L8" s="16"/>
      <c r="M8" s="18"/>
      <c r="N8" s="16"/>
      <c r="O8" s="18"/>
      <c r="P8" s="16"/>
      <c r="Q8" s="18"/>
      <c r="R8" s="16"/>
      <c r="S8" s="18"/>
      <c r="T8" s="20"/>
    </row>
    <row r="9" spans="1:20" ht="15.95" customHeight="1" x14ac:dyDescent="0.25">
      <c r="A9" s="18" t="s">
        <v>738</v>
      </c>
      <c r="B9" s="16"/>
      <c r="C9" s="18" t="s">
        <v>2289</v>
      </c>
      <c r="D9" s="16"/>
      <c r="E9" s="18" t="s">
        <v>3010</v>
      </c>
      <c r="F9" s="16"/>
      <c r="G9" s="18" t="s">
        <v>1545</v>
      </c>
      <c r="H9" s="16"/>
      <c r="I9" s="18" t="s">
        <v>3752</v>
      </c>
      <c r="J9" s="16"/>
      <c r="K9" s="18"/>
      <c r="L9" s="16"/>
      <c r="M9" s="18"/>
      <c r="N9" s="16"/>
      <c r="O9" s="18"/>
      <c r="P9" s="16"/>
      <c r="Q9" s="18"/>
      <c r="R9" s="16"/>
      <c r="S9" s="18"/>
      <c r="T9" s="20"/>
    </row>
    <row r="10" spans="1:20" ht="15.95" customHeight="1" x14ac:dyDescent="0.25">
      <c r="A10" s="18" t="s">
        <v>739</v>
      </c>
      <c r="B10" s="16"/>
      <c r="C10" s="18" t="s">
        <v>2290</v>
      </c>
      <c r="D10" s="16"/>
      <c r="E10" s="18" t="s">
        <v>3011</v>
      </c>
      <c r="F10" s="16"/>
      <c r="G10" s="18" t="s">
        <v>1546</v>
      </c>
      <c r="H10" s="16"/>
      <c r="I10" s="18" t="s">
        <v>3753</v>
      </c>
      <c r="J10" s="16"/>
      <c r="K10" s="18"/>
      <c r="L10" s="16"/>
      <c r="M10" s="18"/>
      <c r="N10" s="16"/>
      <c r="O10" s="18"/>
      <c r="P10" s="16"/>
      <c r="Q10" s="18"/>
      <c r="R10" s="16"/>
      <c r="S10" s="18"/>
      <c r="T10" s="20"/>
    </row>
    <row r="11" spans="1:20" ht="15.95" customHeight="1" x14ac:dyDescent="0.25">
      <c r="A11" s="18" t="s">
        <v>740</v>
      </c>
      <c r="B11" s="16"/>
      <c r="C11" s="18" t="s">
        <v>2291</v>
      </c>
      <c r="D11" s="16"/>
      <c r="E11" s="18" t="s">
        <v>3012</v>
      </c>
      <c r="F11" s="16"/>
      <c r="G11" s="18" t="s">
        <v>1547</v>
      </c>
      <c r="H11" s="16"/>
      <c r="I11" s="18" t="s">
        <v>3754</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c r="L13" s="16"/>
      <c r="M13" s="18"/>
      <c r="N13" s="16"/>
      <c r="O13" s="18"/>
      <c r="P13" s="16"/>
      <c r="Q13" s="18"/>
      <c r="R13" s="16"/>
      <c r="S13" s="18"/>
      <c r="T13" s="20"/>
    </row>
    <row r="14" spans="1:20" ht="15.95" customHeight="1" x14ac:dyDescent="0.25">
      <c r="A14" s="18" t="s">
        <v>741</v>
      </c>
      <c r="B14" s="16"/>
      <c r="C14" s="18" t="s">
        <v>2292</v>
      </c>
      <c r="D14" s="16"/>
      <c r="E14" s="18" t="s">
        <v>3013</v>
      </c>
      <c r="F14" s="16"/>
      <c r="G14" s="18" t="s">
        <v>1548</v>
      </c>
      <c r="H14" s="16"/>
      <c r="I14" s="18" t="s">
        <v>3755</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653</v>
      </c>
      <c r="B16" s="16"/>
      <c r="C16" s="18" t="s">
        <v>1801</v>
      </c>
      <c r="D16" s="16"/>
      <c r="E16" s="18" t="s">
        <v>2520</v>
      </c>
      <c r="F16" s="16"/>
      <c r="G16" s="18" t="s">
        <v>1069</v>
      </c>
      <c r="H16" s="16"/>
      <c r="I16" s="18" t="s">
        <v>3239</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742</v>
      </c>
      <c r="B18" s="16"/>
      <c r="C18" s="18" t="s">
        <v>2293</v>
      </c>
      <c r="D18" s="16"/>
      <c r="E18" s="18" t="s">
        <v>3014</v>
      </c>
      <c r="F18" s="16"/>
      <c r="G18" s="18" t="s">
        <v>1549</v>
      </c>
      <c r="H18" s="16"/>
      <c r="I18" s="18" t="s">
        <v>3756</v>
      </c>
      <c r="J18" s="16"/>
      <c r="K18" s="18"/>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c r="L19" s="16"/>
      <c r="M19" s="18"/>
      <c r="N19" s="16"/>
      <c r="O19" s="18"/>
      <c r="P19" s="16"/>
      <c r="Q19" s="18"/>
      <c r="R19" s="16"/>
      <c r="S19" s="18"/>
      <c r="T19" s="20"/>
    </row>
    <row r="20" spans="1:20" ht="15.95" customHeight="1" x14ac:dyDescent="0.25">
      <c r="A20" s="18" t="s">
        <v>743</v>
      </c>
      <c r="B20" s="16"/>
      <c r="C20" s="18" t="s">
        <v>2294</v>
      </c>
      <c r="D20" s="16"/>
      <c r="E20" s="18" t="s">
        <v>3015</v>
      </c>
      <c r="F20" s="16"/>
      <c r="G20" s="18" t="s">
        <v>1550</v>
      </c>
      <c r="H20" s="16"/>
      <c r="I20" s="18" t="s">
        <v>3757</v>
      </c>
      <c r="J20" s="16"/>
      <c r="K20" s="18"/>
      <c r="L20" s="16"/>
      <c r="M20" s="18"/>
      <c r="N20" s="16"/>
      <c r="O20" s="18"/>
      <c r="P20" s="16"/>
      <c r="Q20" s="18"/>
      <c r="R20" s="16"/>
      <c r="S20" s="18"/>
      <c r="T20" s="20"/>
    </row>
    <row r="21" spans="1:20" ht="15.95" customHeight="1" x14ac:dyDescent="0.25">
      <c r="A21" s="18" t="s">
        <v>744</v>
      </c>
      <c r="B21" s="16"/>
      <c r="C21" s="18" t="s">
        <v>2295</v>
      </c>
      <c r="D21" s="16"/>
      <c r="E21" s="18" t="s">
        <v>3016</v>
      </c>
      <c r="F21" s="16"/>
      <c r="G21" s="18" t="s">
        <v>1551</v>
      </c>
      <c r="H21" s="16"/>
      <c r="I21" s="18" t="s">
        <v>3758</v>
      </c>
      <c r="J21" s="16"/>
      <c r="K21" s="18"/>
      <c r="L21" s="16"/>
      <c r="M21" s="18"/>
      <c r="N21" s="16"/>
      <c r="O21" s="18"/>
      <c r="P21" s="16"/>
      <c r="Q21" s="18"/>
      <c r="R21" s="16"/>
      <c r="S21" s="18"/>
      <c r="T21" s="20"/>
    </row>
    <row r="22" spans="1:20" ht="15.95" customHeight="1" x14ac:dyDescent="0.25">
      <c r="A22" s="18" t="s">
        <v>745</v>
      </c>
      <c r="B22" s="16"/>
      <c r="C22" s="18" t="s">
        <v>2296</v>
      </c>
      <c r="D22" s="16"/>
      <c r="E22" s="18" t="s">
        <v>3017</v>
      </c>
      <c r="F22" s="16"/>
      <c r="G22" s="18" t="s">
        <v>1552</v>
      </c>
      <c r="H22" s="16"/>
      <c r="I22" s="18" t="s">
        <v>3759</v>
      </c>
      <c r="J22" s="16"/>
      <c r="K22" s="18"/>
      <c r="L22" s="16"/>
      <c r="M22" s="18"/>
      <c r="N22" s="16"/>
      <c r="O22" s="18"/>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c r="L23" s="16"/>
      <c r="M23" s="18"/>
      <c r="N23" s="16"/>
      <c r="O23" s="18"/>
      <c r="P23" s="16"/>
      <c r="Q23" s="18"/>
      <c r="R23" s="16"/>
      <c r="S23" s="18"/>
      <c r="T23" s="20"/>
    </row>
    <row r="24" spans="1:20" ht="15.95" customHeight="1" x14ac:dyDescent="0.25">
      <c r="A24" s="18" t="s">
        <v>523</v>
      </c>
      <c r="B24" s="16"/>
      <c r="C24" s="18" t="s">
        <v>2262</v>
      </c>
      <c r="D24" s="16"/>
      <c r="E24" s="18" t="s">
        <v>2983</v>
      </c>
      <c r="F24" s="16"/>
      <c r="G24" s="18" t="s">
        <v>1517</v>
      </c>
      <c r="H24" s="16"/>
      <c r="I24" s="18" t="s">
        <v>3725</v>
      </c>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8" priority="2" stopIfTrue="1">
      <formula>NOT(ISERROR(A3))</formula>
    </cfRule>
  </conditionalFormatting>
  <conditionalFormatting sqref="A3:T51">
    <cfRule type="containsErrors" dxfId="37" priority="1" stopIfTrue="1">
      <formula>ISERROR(A3)</formula>
    </cfRule>
    <cfRule type="notContainsBlanks" dxfId="3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I3" sqref="I3:I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c r="L8" s="16"/>
      <c r="M8" s="18"/>
      <c r="N8" s="16"/>
      <c r="O8" s="18"/>
      <c r="P8" s="16"/>
      <c r="Q8" s="18"/>
      <c r="R8" s="16"/>
      <c r="S8" s="18"/>
      <c r="T8" s="20"/>
    </row>
    <row r="9" spans="1:20" ht="15.95" customHeight="1" x14ac:dyDescent="0.25">
      <c r="A9" s="18" t="s">
        <v>1558</v>
      </c>
      <c r="B9" s="16"/>
      <c r="C9" s="18" t="s">
        <v>2300</v>
      </c>
      <c r="D9" s="16"/>
      <c r="E9" s="18" t="s">
        <v>3021</v>
      </c>
      <c r="F9" s="16"/>
      <c r="G9" s="18" t="s">
        <v>1577</v>
      </c>
      <c r="H9" s="16"/>
      <c r="I9" s="18" t="s">
        <v>3763</v>
      </c>
      <c r="J9" s="16"/>
      <c r="K9" s="18"/>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c r="L10" s="16"/>
      <c r="M10" s="18"/>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c r="L12" s="16"/>
      <c r="M12" s="18"/>
      <c r="N12" s="16"/>
      <c r="O12" s="18"/>
      <c r="P12" s="16"/>
      <c r="Q12" s="18"/>
      <c r="R12" s="16"/>
      <c r="S12" s="18"/>
      <c r="T12" s="20"/>
    </row>
    <row r="13" spans="1:20" ht="15.95" customHeight="1" x14ac:dyDescent="0.25">
      <c r="A13" s="18" t="s">
        <v>1559</v>
      </c>
      <c r="B13" s="16"/>
      <c r="C13" s="18" t="s">
        <v>2301</v>
      </c>
      <c r="D13" s="16"/>
      <c r="E13" s="18" t="s">
        <v>3022</v>
      </c>
      <c r="F13" s="16"/>
      <c r="G13" s="18" t="s">
        <v>1578</v>
      </c>
      <c r="H13" s="16"/>
      <c r="I13" s="18" t="s">
        <v>3764</v>
      </c>
      <c r="J13" s="16"/>
      <c r="K13" s="18"/>
      <c r="L13" s="16"/>
      <c r="M13" s="18"/>
      <c r="N13" s="16"/>
      <c r="O13" s="18"/>
      <c r="P13" s="16"/>
      <c r="Q13" s="18"/>
      <c r="R13" s="16"/>
      <c r="S13" s="18"/>
      <c r="T13" s="20"/>
    </row>
    <row r="14" spans="1:20" ht="15.95" customHeight="1" x14ac:dyDescent="0.25">
      <c r="A14" s="18" t="s">
        <v>1560</v>
      </c>
      <c r="B14" s="16"/>
      <c r="C14" s="18" t="s">
        <v>2302</v>
      </c>
      <c r="D14" s="16"/>
      <c r="E14" s="18" t="s">
        <v>3023</v>
      </c>
      <c r="F14" s="16"/>
      <c r="G14" s="18" t="s">
        <v>1579</v>
      </c>
      <c r="H14" s="16"/>
      <c r="I14" s="18" t="s">
        <v>3765</v>
      </c>
      <c r="J14" s="16"/>
      <c r="K14" s="18"/>
      <c r="L14" s="16"/>
      <c r="M14" s="18"/>
      <c r="N14" s="16"/>
      <c r="O14" s="18"/>
      <c r="P14" s="16"/>
      <c r="Q14" s="18"/>
      <c r="R14" s="16"/>
      <c r="S14" s="18"/>
      <c r="T14" s="20"/>
    </row>
    <row r="15" spans="1:20" ht="15.95" customHeight="1" x14ac:dyDescent="0.25">
      <c r="A15" s="18" t="s">
        <v>1561</v>
      </c>
      <c r="B15" s="16"/>
      <c r="C15" s="18" t="s">
        <v>2303</v>
      </c>
      <c r="D15" s="16"/>
      <c r="E15" s="18" t="s">
        <v>3024</v>
      </c>
      <c r="F15" s="16"/>
      <c r="G15" s="18" t="s">
        <v>1580</v>
      </c>
      <c r="H15" s="16"/>
      <c r="I15" s="18" t="s">
        <v>3766</v>
      </c>
      <c r="J15" s="16"/>
      <c r="K15" s="18"/>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c r="L16" s="16"/>
      <c r="M16" s="18"/>
      <c r="N16" s="16"/>
      <c r="O16" s="18"/>
      <c r="P16" s="16"/>
      <c r="Q16" s="18"/>
      <c r="R16" s="16"/>
      <c r="S16" s="18"/>
      <c r="T16" s="20"/>
    </row>
    <row r="17" spans="1:20" ht="15.95" customHeight="1" x14ac:dyDescent="0.25">
      <c r="A17" s="18" t="s">
        <v>1562</v>
      </c>
      <c r="B17" s="16"/>
      <c r="C17" s="18" t="s">
        <v>2304</v>
      </c>
      <c r="D17" s="16"/>
      <c r="E17" s="18" t="s">
        <v>3025</v>
      </c>
      <c r="F17" s="16"/>
      <c r="G17" s="18" t="s">
        <v>1581</v>
      </c>
      <c r="H17" s="16"/>
      <c r="I17" s="18" t="s">
        <v>3767</v>
      </c>
      <c r="J17" s="16"/>
      <c r="K17" s="18"/>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c r="L18" s="16"/>
      <c r="M18" s="18"/>
      <c r="N18" s="16"/>
      <c r="O18" s="18"/>
      <c r="P18" s="16"/>
      <c r="Q18" s="18"/>
      <c r="R18" s="16"/>
      <c r="S18" s="18"/>
      <c r="T18" s="20"/>
    </row>
    <row r="19" spans="1:20" ht="15.95" customHeight="1" x14ac:dyDescent="0.25">
      <c r="A19" s="18" t="s">
        <v>78</v>
      </c>
      <c r="B19" s="16"/>
      <c r="C19" s="18" t="s">
        <v>1640</v>
      </c>
      <c r="D19" s="16"/>
      <c r="E19" s="18" t="s">
        <v>2345</v>
      </c>
      <c r="F19" s="16"/>
      <c r="G19" s="18" t="s">
        <v>914</v>
      </c>
      <c r="H19" s="16"/>
      <c r="I19" s="18" t="s">
        <v>3055</v>
      </c>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 priority="2" stopIfTrue="1">
      <formula>NOT(ISERROR(A3))</formula>
    </cfRule>
  </conditionalFormatting>
  <conditionalFormatting sqref="A3:T51">
    <cfRule type="containsErrors" dxfId="34" priority="1" stopIfTrue="1">
      <formula>ISERROR(A3)</formula>
    </cfRule>
    <cfRule type="notContainsBlanks" dxfId="3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c r="L7" s="16"/>
      <c r="M7" s="18"/>
      <c r="N7" s="16"/>
      <c r="O7" s="18"/>
      <c r="P7" s="16"/>
      <c r="Q7" s="18"/>
      <c r="R7" s="16"/>
      <c r="S7" s="18"/>
      <c r="T7" s="20"/>
    </row>
    <row r="8" spans="1:20" ht="15.95" customHeight="1" x14ac:dyDescent="0.25">
      <c r="A8" s="18" t="s">
        <v>1565</v>
      </c>
      <c r="B8" s="16"/>
      <c r="C8" s="18" t="s">
        <v>2307</v>
      </c>
      <c r="D8" s="16"/>
      <c r="E8" s="18" t="s">
        <v>3028</v>
      </c>
      <c r="F8" s="16"/>
      <c r="G8" s="18" t="s">
        <v>1584</v>
      </c>
      <c r="H8" s="16"/>
      <c r="I8" s="18" t="s">
        <v>3770</v>
      </c>
      <c r="J8" s="16"/>
      <c r="K8" s="18"/>
      <c r="L8" s="16"/>
      <c r="M8" s="18"/>
      <c r="N8" s="16"/>
      <c r="O8" s="18"/>
      <c r="P8" s="16"/>
      <c r="Q8" s="18"/>
      <c r="R8" s="16"/>
      <c r="S8" s="18"/>
      <c r="T8" s="20"/>
    </row>
    <row r="9" spans="1:20" ht="15.95" customHeight="1" x14ac:dyDescent="0.25">
      <c r="A9" s="18" t="s">
        <v>1566</v>
      </c>
      <c r="B9" s="16"/>
      <c r="C9" s="18" t="s">
        <v>2308</v>
      </c>
      <c r="D9" s="16"/>
      <c r="E9" s="18" t="s">
        <v>3029</v>
      </c>
      <c r="F9" s="16"/>
      <c r="G9" s="18" t="s">
        <v>1585</v>
      </c>
      <c r="H9" s="16"/>
      <c r="I9" s="18" t="s">
        <v>3771</v>
      </c>
      <c r="J9" s="16"/>
      <c r="K9" s="18"/>
      <c r="L9" s="16"/>
      <c r="M9" s="18"/>
      <c r="N9" s="16"/>
      <c r="O9" s="18"/>
      <c r="P9" s="16"/>
      <c r="Q9" s="18"/>
      <c r="R9" s="16"/>
      <c r="S9" s="18"/>
      <c r="T9" s="20"/>
    </row>
    <row r="10" spans="1:20" ht="15.95" customHeight="1" x14ac:dyDescent="0.25">
      <c r="A10" s="18" t="s">
        <v>214</v>
      </c>
      <c r="B10" s="16"/>
      <c r="C10" s="18" t="s">
        <v>2137</v>
      </c>
      <c r="D10" s="16"/>
      <c r="E10" s="18" t="s">
        <v>2855</v>
      </c>
      <c r="F10" s="16"/>
      <c r="G10" s="18" t="s">
        <v>1393</v>
      </c>
      <c r="H10" s="16"/>
      <c r="I10" s="18" t="s">
        <v>3594</v>
      </c>
      <c r="J10" s="16"/>
      <c r="K10" s="18"/>
      <c r="L10" s="16"/>
      <c r="M10" s="18"/>
      <c r="N10" s="16"/>
      <c r="O10" s="18"/>
      <c r="P10" s="16"/>
      <c r="Q10" s="18"/>
      <c r="R10" s="16"/>
      <c r="S10" s="18"/>
      <c r="T10" s="20"/>
    </row>
    <row r="11" spans="1:20" ht="15.95" customHeight="1" x14ac:dyDescent="0.25">
      <c r="A11" s="18" t="s">
        <v>1567</v>
      </c>
      <c r="B11" s="16"/>
      <c r="C11" s="18" t="s">
        <v>2309</v>
      </c>
      <c r="D11" s="16"/>
      <c r="E11" s="18" t="s">
        <v>3030</v>
      </c>
      <c r="F11" s="16"/>
      <c r="G11" s="18" t="s">
        <v>1586</v>
      </c>
      <c r="H11" s="16"/>
      <c r="I11" s="18" t="s">
        <v>3772</v>
      </c>
      <c r="J11" s="16"/>
      <c r="K11" s="18"/>
      <c r="L11" s="16"/>
      <c r="M11" s="18"/>
      <c r="N11" s="16"/>
      <c r="O11" s="18"/>
      <c r="P11" s="16"/>
      <c r="Q11" s="18"/>
      <c r="R11" s="16"/>
      <c r="S11" s="18"/>
      <c r="T11" s="20"/>
    </row>
    <row r="12" spans="1:20" ht="15.95" customHeight="1" x14ac:dyDescent="0.25">
      <c r="A12" s="18" t="s">
        <v>255</v>
      </c>
      <c r="B12" s="16"/>
      <c r="C12" s="18" t="s">
        <v>2092</v>
      </c>
      <c r="D12" s="16"/>
      <c r="E12" s="18" t="s">
        <v>2811</v>
      </c>
      <c r="F12" s="16"/>
      <c r="G12" s="18" t="s">
        <v>1346</v>
      </c>
      <c r="H12" s="16"/>
      <c r="I12" s="18" t="s">
        <v>3545</v>
      </c>
      <c r="J12" s="16"/>
      <c r="K12" s="18"/>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c r="L13" s="16"/>
      <c r="M13" s="18"/>
      <c r="N13" s="16"/>
      <c r="O13" s="18"/>
      <c r="P13" s="16"/>
      <c r="Q13" s="18"/>
      <c r="R13" s="16"/>
      <c r="S13" s="18"/>
      <c r="T13" s="20"/>
    </row>
    <row r="14" spans="1:20" ht="15.95" customHeight="1" x14ac:dyDescent="0.25">
      <c r="A14" s="18" t="s">
        <v>160</v>
      </c>
      <c r="B14" s="16"/>
      <c r="C14" s="18" t="s">
        <v>1869</v>
      </c>
      <c r="D14" s="16"/>
      <c r="E14" s="18" t="s">
        <v>2587</v>
      </c>
      <c r="F14" s="16"/>
      <c r="G14" s="18" t="s">
        <v>1132</v>
      </c>
      <c r="H14" s="16"/>
      <c r="I14" s="18" t="s">
        <v>3311</v>
      </c>
      <c r="J14" s="16"/>
      <c r="K14" s="18"/>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c r="L15" s="16"/>
      <c r="M15" s="18"/>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c r="L17" s="16"/>
      <c r="M17" s="18"/>
      <c r="N17" s="16"/>
      <c r="O17" s="18"/>
      <c r="P17" s="16"/>
      <c r="Q17" s="18"/>
      <c r="R17" s="16"/>
      <c r="S17" s="18"/>
      <c r="T17" s="20"/>
    </row>
    <row r="18" spans="1:20" ht="15.95" customHeight="1" x14ac:dyDescent="0.25">
      <c r="A18" s="18" t="s">
        <v>1568</v>
      </c>
      <c r="B18" s="16"/>
      <c r="C18" s="18" t="s">
        <v>2310</v>
      </c>
      <c r="D18" s="16"/>
      <c r="E18" s="18" t="s">
        <v>3031</v>
      </c>
      <c r="F18" s="16"/>
      <c r="G18" s="18" t="s">
        <v>1587</v>
      </c>
      <c r="H18" s="16"/>
      <c r="I18" s="18" t="s">
        <v>3773</v>
      </c>
      <c r="J18" s="16"/>
      <c r="K18" s="18"/>
      <c r="L18" s="16"/>
      <c r="M18" s="18"/>
      <c r="N18" s="16"/>
      <c r="O18" s="18"/>
      <c r="P18" s="16"/>
      <c r="Q18" s="18"/>
      <c r="R18" s="16"/>
      <c r="S18" s="18"/>
      <c r="T18" s="20"/>
    </row>
    <row r="19" spans="1:20" ht="15.95" customHeight="1" x14ac:dyDescent="0.25">
      <c r="A19" s="18" t="s">
        <v>1569</v>
      </c>
      <c r="B19" s="16"/>
      <c r="C19" s="18" t="s">
        <v>2311</v>
      </c>
      <c r="D19" s="16"/>
      <c r="E19" s="18" t="s">
        <v>3032</v>
      </c>
      <c r="F19" s="16"/>
      <c r="G19" s="18" t="s">
        <v>1588</v>
      </c>
      <c r="H19" s="16"/>
      <c r="I19" s="18" t="s">
        <v>3774</v>
      </c>
      <c r="J19" s="16"/>
      <c r="K19" s="18"/>
      <c r="L19" s="16"/>
      <c r="M19" s="18"/>
      <c r="N19" s="16"/>
      <c r="O19" s="18"/>
      <c r="P19" s="16"/>
      <c r="Q19" s="18"/>
      <c r="R19" s="16"/>
      <c r="S19" s="18"/>
      <c r="T19" s="20"/>
    </row>
    <row r="20" spans="1:20" ht="15.95" customHeight="1" x14ac:dyDescent="0.25">
      <c r="A20" s="18" t="s">
        <v>1570</v>
      </c>
      <c r="B20" s="16"/>
      <c r="C20" s="18" t="s">
        <v>2312</v>
      </c>
      <c r="D20" s="16"/>
      <c r="E20" s="18" t="s">
        <v>3033</v>
      </c>
      <c r="F20" s="16"/>
      <c r="G20" s="18" t="s">
        <v>1589</v>
      </c>
      <c r="H20" s="16"/>
      <c r="I20" s="18" t="s">
        <v>3775</v>
      </c>
      <c r="J20" s="16"/>
      <c r="K20" s="18"/>
      <c r="L20" s="16"/>
      <c r="M20" s="18"/>
      <c r="N20" s="16"/>
      <c r="O20" s="18"/>
      <c r="P20" s="16"/>
      <c r="Q20" s="18"/>
      <c r="R20" s="16"/>
      <c r="S20" s="18"/>
      <c r="T20" s="20"/>
    </row>
    <row r="21" spans="1:20" ht="15.95" customHeight="1" x14ac:dyDescent="0.25">
      <c r="A21" s="18" t="s">
        <v>1571</v>
      </c>
      <c r="B21" s="16"/>
      <c r="C21" s="18" t="s">
        <v>2313</v>
      </c>
      <c r="D21" s="16"/>
      <c r="E21" s="18" t="s">
        <v>3034</v>
      </c>
      <c r="F21" s="16"/>
      <c r="G21" s="18" t="s">
        <v>1590</v>
      </c>
      <c r="H21" s="16"/>
      <c r="I21" s="18" t="s">
        <v>3776</v>
      </c>
      <c r="J21" s="16"/>
      <c r="K21" s="18"/>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c r="L22" s="16"/>
      <c r="M22" s="18"/>
      <c r="N22" s="16"/>
      <c r="O22" s="18"/>
      <c r="P22" s="16"/>
      <c r="Q22" s="18"/>
      <c r="R22" s="16"/>
      <c r="S22" s="18"/>
      <c r="T22" s="20"/>
    </row>
    <row r="23" spans="1:20" ht="15.95" customHeight="1" x14ac:dyDescent="0.25">
      <c r="A23" s="18" t="s">
        <v>1572</v>
      </c>
      <c r="B23" s="16"/>
      <c r="C23" s="18" t="s">
        <v>2314</v>
      </c>
      <c r="D23" s="16"/>
      <c r="E23" s="18" t="s">
        <v>3035</v>
      </c>
      <c r="F23" s="16"/>
      <c r="G23" s="18" t="s">
        <v>1591</v>
      </c>
      <c r="H23" s="16"/>
      <c r="I23" s="18" t="s">
        <v>3777</v>
      </c>
      <c r="J23" s="16"/>
      <c r="K23" s="18"/>
      <c r="L23" s="16"/>
      <c r="M23" s="18"/>
      <c r="N23" s="16"/>
      <c r="O23" s="18"/>
      <c r="P23" s="16"/>
      <c r="Q23" s="18"/>
      <c r="R23" s="16"/>
      <c r="S23" s="18"/>
      <c r="T23" s="20"/>
    </row>
    <row r="24" spans="1:20" ht="15.95" customHeight="1" x14ac:dyDescent="0.25">
      <c r="A24" s="18" t="s">
        <v>1573</v>
      </c>
      <c r="B24" s="16"/>
      <c r="C24" s="18" t="s">
        <v>2315</v>
      </c>
      <c r="D24" s="16"/>
      <c r="E24" s="18" t="s">
        <v>3036</v>
      </c>
      <c r="F24" s="16"/>
      <c r="G24" s="18" t="s">
        <v>1592</v>
      </c>
      <c r="H24" s="16"/>
      <c r="I24" s="18" t="s">
        <v>3778</v>
      </c>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2" priority="2" stopIfTrue="1">
      <formula>NOT(ISERROR(A3))</formula>
    </cfRule>
  </conditionalFormatting>
  <conditionalFormatting sqref="A3:T51">
    <cfRule type="containsErrors" dxfId="31" priority="1" stopIfTrue="1">
      <formula>ISERROR(A3)</formula>
    </cfRule>
    <cfRule type="notContainsBlanks" dxfId="3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2023-11-13T05:53:00Z</dcterms:modified>
</cp:coreProperties>
</file>