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D5D7BBBD-7353-4E22-8EA4-47BF2CF0C2AD}"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7" i="20" l="1" a="1"/>
  <c r="O37" i="20"/>
  <c r="O26" i="19" a="1"/>
  <c r="O26" i="19"/>
  <c r="O23" i="21"/>
  <c r="O17" i="46" a="1"/>
  <c r="O17" i="46"/>
  <c r="O33" i="4"/>
  <c r="O30" i="22"/>
  <c r="O29" i="24" a="1"/>
  <c r="O29" i="24" s="1"/>
  <c r="P7" i="43"/>
  <c r="P8" i="43"/>
  <c r="P7" i="47"/>
  <c r="M33" i="4"/>
  <c r="M34" i="20" a="1"/>
  <c r="M34" i="20" s="1"/>
  <c r="M26" i="19" a="1"/>
  <c r="M26" i="19"/>
  <c r="M23" i="21"/>
  <c r="M15" i="46"/>
  <c r="M29" i="22"/>
  <c r="M28" i="24" a="1"/>
  <c r="M28" i="24" s="1"/>
  <c r="N7" i="43"/>
  <c r="N7" i="47"/>
  <c r="N10" i="29"/>
  <c r="K34" i="20" a="1"/>
  <c r="K34" i="20" s="1"/>
  <c r="K23" i="21" a="1"/>
  <c r="K23" i="21" s="1"/>
  <c r="K15" i="46" a="1"/>
  <c r="K15" i="46" s="1"/>
  <c r="K29" i="22" a="1"/>
  <c r="K29" i="22"/>
  <c r="J8" i="30"/>
  <c r="E34" i="20" a="1"/>
  <c r="E34" i="20" s="1"/>
  <c r="E26" i="19" a="1"/>
  <c r="E26" i="19" s="1"/>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57" i="2"/>
  <c r="R56" i="2"/>
  <c r="R55" i="2"/>
  <c r="R54" i="2"/>
  <c r="R53" i="2"/>
  <c r="R52" i="2"/>
  <c r="R50" i="2"/>
  <c r="R49" i="2"/>
  <c r="R48" i="2"/>
  <c r="R47" i="2"/>
  <c r="R46" i="2"/>
  <c r="R45" i="2"/>
  <c r="R43" i="2"/>
  <c r="R42" i="2"/>
  <c r="R41" i="2"/>
  <c r="R40" i="2"/>
  <c r="R39" i="2"/>
  <c r="R38" i="2"/>
  <c r="R37" i="2"/>
  <c r="R36" i="2"/>
  <c r="R35" i="2"/>
  <c r="R34" i="2"/>
  <c r="R33" i="2"/>
  <c r="R32" i="2"/>
  <c r="R31" i="2"/>
  <c r="R30" i="2"/>
  <c r="R29" i="2"/>
  <c r="R28" i="2"/>
  <c r="R27" i="2"/>
  <c r="R26" i="2"/>
  <c r="R25" i="2"/>
  <c r="R24" i="2"/>
  <c r="R23" i="2"/>
  <c r="R22" i="2"/>
  <c r="R20" i="2"/>
  <c r="R19" i="2"/>
  <c r="R18" i="2"/>
  <c r="R17" i="2"/>
  <c r="R16" i="2"/>
  <c r="R15" i="2"/>
  <c r="R14" i="2"/>
  <c r="R12" i="2"/>
  <c r="R11" i="2"/>
  <c r="R10" i="2"/>
  <c r="R9" i="2"/>
  <c r="R7" i="2"/>
  <c r="R5" i="2"/>
  <c r="R4" i="2"/>
  <c r="P105" i="2"/>
  <c r="P99" i="2"/>
  <c r="P82" i="2"/>
  <c r="P81" i="2"/>
  <c r="P77" i="2"/>
  <c r="P71" i="2"/>
  <c r="P65" i="2"/>
  <c r="P62" i="2"/>
  <c r="P61" i="2"/>
  <c r="P42" i="2"/>
  <c r="P26" i="2"/>
  <c r="P18" i="2"/>
  <c r="P12" i="2"/>
  <c r="P11" i="2"/>
  <c r="P10" i="2"/>
  <c r="P9" i="2"/>
  <c r="P7" i="2"/>
  <c r="P5" i="2"/>
  <c r="P4" i="2"/>
  <c r="N112" i="2"/>
  <c r="N107" i="2"/>
  <c r="N103" i="2"/>
  <c r="N102" i="2"/>
  <c r="N99" i="2"/>
  <c r="N96" i="2"/>
  <c r="N95" i="2"/>
  <c r="N93" i="2"/>
  <c r="N67" i="2"/>
  <c r="N53" i="2"/>
  <c r="N46" i="2"/>
  <c r="N43" i="2"/>
  <c r="N29" i="2"/>
  <c r="N24" i="2"/>
  <c r="N12" i="2"/>
  <c r="N11" i="2"/>
  <c r="N10" i="2"/>
  <c r="N9" i="2"/>
  <c r="N7" i="2"/>
  <c r="N5" i="2"/>
  <c r="N4" i="2"/>
  <c r="L107" i="2"/>
  <c r="L103" i="2"/>
  <c r="L99" i="2"/>
  <c r="L98" i="2"/>
  <c r="L83" i="2"/>
  <c r="L77" i="2"/>
  <c r="L75" i="2"/>
  <c r="L72" i="2"/>
  <c r="L66" i="2"/>
  <c r="L43" i="2"/>
  <c r="L39" i="2"/>
  <c r="L25" i="2"/>
  <c r="L14" i="2"/>
  <c r="L12" i="2"/>
  <c r="L11" i="2"/>
  <c r="L10" i="2"/>
  <c r="L9" i="2"/>
  <c r="L7" i="2"/>
  <c r="L5" i="2"/>
  <c r="L4" i="2"/>
  <c r="J112" i="2"/>
  <c r="J110" i="2"/>
  <c r="J107" i="2"/>
  <c r="J103" i="2"/>
  <c r="J91" i="2"/>
  <c r="J55" i="2"/>
  <c r="J33" i="2"/>
  <c r="J19"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57" i="2"/>
  <c r="Q56" i="2"/>
  <c r="Q55" i="2"/>
  <c r="Q54" i="2"/>
  <c r="Q53" i="2"/>
  <c r="Q52" i="2"/>
  <c r="Q50" i="2"/>
  <c r="Q49" i="2"/>
  <c r="Q48" i="2"/>
  <c r="Q47" i="2"/>
  <c r="Q46" i="2"/>
  <c r="Q45" i="2"/>
  <c r="Q43" i="2"/>
  <c r="Q42" i="2"/>
  <c r="Q41" i="2"/>
  <c r="Q40" i="2"/>
  <c r="Q39" i="2"/>
  <c r="Q38" i="2"/>
  <c r="Q37" i="2"/>
  <c r="Q36" i="2"/>
  <c r="Q35" i="2"/>
  <c r="Q34" i="2"/>
  <c r="Q33" i="2"/>
  <c r="Q32" i="2"/>
  <c r="Q31" i="2"/>
  <c r="Q30" i="2"/>
  <c r="Q29" i="2"/>
  <c r="Q28" i="2"/>
  <c r="Q27" i="2"/>
  <c r="Q26" i="2"/>
  <c r="Q25" i="2"/>
  <c r="Q24" i="2"/>
  <c r="Q23" i="2"/>
  <c r="Q22" i="2"/>
  <c r="Q20" i="2"/>
  <c r="Q19" i="2"/>
  <c r="Q18" i="2"/>
  <c r="Q17" i="2"/>
  <c r="Q16" i="2"/>
  <c r="Q15" i="2"/>
  <c r="Q14" i="2"/>
  <c r="O105" i="2"/>
  <c r="O99" i="2"/>
  <c r="O97" i="2"/>
  <c r="P97" i="2" s="1"/>
  <c r="O96" i="2"/>
  <c r="P96" i="2" s="1"/>
  <c r="O92" i="2"/>
  <c r="P92" i="2" s="1"/>
  <c r="O91" i="2"/>
  <c r="P91" i="2" s="1"/>
  <c r="O89" i="2"/>
  <c r="P89" i="2" s="1"/>
  <c r="O86" i="2"/>
  <c r="P86" i="2" s="1"/>
  <c r="O83" i="2"/>
  <c r="P83" i="2" s="1"/>
  <c r="O82" i="2"/>
  <c r="O81" i="2"/>
  <c r="O77" i="2"/>
  <c r="O71" i="2"/>
  <c r="O68" i="2"/>
  <c r="P68" i="2" s="1"/>
  <c r="O65" i="2"/>
  <c r="O62" i="2"/>
  <c r="O61" i="2"/>
  <c r="O54" i="2"/>
  <c r="P54" i="2" s="1"/>
  <c r="O53" i="2"/>
  <c r="P53" i="2" s="1"/>
  <c r="O52" i="2"/>
  <c r="P52" i="2" s="1"/>
  <c r="O48" i="2"/>
  <c r="P48" i="2" s="1"/>
  <c r="O46" i="2"/>
  <c r="P46" i="2" s="1"/>
  <c r="O43" i="2"/>
  <c r="P43" i="2" s="1"/>
  <c r="O42" i="2"/>
  <c r="O41" i="2"/>
  <c r="P41" i="2" s="1"/>
  <c r="O39" i="2"/>
  <c r="P39" i="2" s="1"/>
  <c r="O38" i="2"/>
  <c r="P38" i="2" s="1"/>
  <c r="O37" i="2"/>
  <c r="P37" i="2" s="1"/>
  <c r="O33" i="2"/>
  <c r="P33" i="2" s="1"/>
  <c r="O32" i="2"/>
  <c r="P32" i="2" s="1"/>
  <c r="O27" i="2"/>
  <c r="P27" i="2" s="1"/>
  <c r="O26" i="2"/>
  <c r="O25" i="2"/>
  <c r="P25" i="2" s="1"/>
  <c r="O23" i="2"/>
  <c r="P23" i="2" s="1"/>
  <c r="O19" i="2"/>
  <c r="P19" i="2" s="1"/>
  <c r="O18" i="2"/>
  <c r="O16" i="2"/>
  <c r="P16" i="2" s="1"/>
  <c r="M112" i="2"/>
  <c r="M111" i="2"/>
  <c r="N111" i="2" s="1"/>
  <c r="M110" i="2"/>
  <c r="N110" i="2" s="1"/>
  <c r="M107" i="2"/>
  <c r="M105" i="2"/>
  <c r="N105" i="2" s="1"/>
  <c r="M104" i="2"/>
  <c r="N104" i="2" s="1"/>
  <c r="M103" i="2"/>
  <c r="M102" i="2"/>
  <c r="M100" i="2"/>
  <c r="N100" i="2" s="1"/>
  <c r="M99" i="2"/>
  <c r="M97" i="2"/>
  <c r="N97" i="2" s="1"/>
  <c r="M96" i="2"/>
  <c r="M95" i="2"/>
  <c r="M93" i="2"/>
  <c r="M91" i="2"/>
  <c r="N91" i="2" s="1"/>
  <c r="M90" i="2"/>
  <c r="N90" i="2" s="1"/>
  <c r="M86" i="2"/>
  <c r="N86" i="2" s="1"/>
  <c r="M85" i="2"/>
  <c r="N85" i="2" s="1"/>
  <c r="M82" i="2"/>
  <c r="N82" i="2" s="1"/>
  <c r="M79" i="2"/>
  <c r="N79" i="2" s="1"/>
  <c r="M75" i="2"/>
  <c r="N75" i="2" s="1"/>
  <c r="M74" i="2"/>
  <c r="N74" i="2" s="1"/>
  <c r="M71" i="2"/>
  <c r="N71" i="2" s="1"/>
  <c r="M67" i="2"/>
  <c r="M63" i="2"/>
  <c r="N63" i="2" s="1"/>
  <c r="M62" i="2"/>
  <c r="N62" i="2" s="1"/>
  <c r="M53" i="2"/>
  <c r="M52" i="2"/>
  <c r="N52" i="2" s="1"/>
  <c r="M50" i="2"/>
  <c r="N50" i="2" s="1"/>
  <c r="M49" i="2"/>
  <c r="N49" i="2" s="1"/>
  <c r="M48" i="2"/>
  <c r="N48" i="2" s="1"/>
  <c r="M47" i="2"/>
  <c r="N47" i="2" s="1"/>
  <c r="M46" i="2"/>
  <c r="M45" i="2"/>
  <c r="N45" i="2" s="1"/>
  <c r="M43" i="2"/>
  <c r="M42" i="2"/>
  <c r="N42" i="2" s="1"/>
  <c r="M41" i="2"/>
  <c r="N41" i="2" s="1"/>
  <c r="M40" i="2"/>
  <c r="N40" i="2" s="1"/>
  <c r="M39" i="2"/>
  <c r="N39" i="2" s="1"/>
  <c r="M35" i="2"/>
  <c r="N35" i="2" s="1"/>
  <c r="M33" i="2"/>
  <c r="N33" i="2" s="1"/>
  <c r="M29" i="2"/>
  <c r="M26" i="2"/>
  <c r="N26" i="2" s="1"/>
  <c r="M25" i="2"/>
  <c r="N25" i="2" s="1"/>
  <c r="M24" i="2"/>
  <c r="M22" i="2"/>
  <c r="N22" i="2" s="1"/>
  <c r="M20" i="2"/>
  <c r="N20" i="2" s="1"/>
  <c r="M18" i="2"/>
  <c r="N18" i="2" s="1"/>
  <c r="M15" i="2"/>
  <c r="N15" i="2" s="1"/>
  <c r="K110" i="2"/>
  <c r="L110" i="2" s="1"/>
  <c r="K108" i="2"/>
  <c r="L108" i="2" s="1"/>
  <c r="K107" i="2"/>
  <c r="K105" i="2"/>
  <c r="L105" i="2" s="1"/>
  <c r="K103" i="2"/>
  <c r="K99" i="2"/>
  <c r="K98" i="2"/>
  <c r="K96" i="2"/>
  <c r="L96" i="2" s="1"/>
  <c r="K94" i="2"/>
  <c r="L94" i="2" s="1"/>
  <c r="K92" i="2"/>
  <c r="L92" i="2" s="1"/>
  <c r="K91" i="2"/>
  <c r="L91" i="2" s="1"/>
  <c r="K90" i="2"/>
  <c r="L90" i="2" s="1"/>
  <c r="K83" i="2"/>
  <c r="K79" i="2"/>
  <c r="L79" i="2" s="1"/>
  <c r="K77" i="2"/>
  <c r="K75" i="2"/>
  <c r="K72" i="2"/>
  <c r="K71" i="2"/>
  <c r="L71" i="2" s="1"/>
  <c r="K70" i="2"/>
  <c r="L70" i="2" s="1"/>
  <c r="K69" i="2"/>
  <c r="L69" i="2" s="1"/>
  <c r="K68" i="2"/>
  <c r="L68" i="2" s="1"/>
  <c r="K66" i="2"/>
  <c r="K64" i="2"/>
  <c r="L64" i="2" s="1"/>
  <c r="K63" i="2"/>
  <c r="L63" i="2" s="1"/>
  <c r="K61" i="2"/>
  <c r="L61" i="2" s="1"/>
  <c r="K57" i="2"/>
  <c r="L57" i="2" s="1"/>
  <c r="K55" i="2"/>
  <c r="L55" i="2" s="1"/>
  <c r="K52" i="2"/>
  <c r="L52" i="2" s="1"/>
  <c r="K50" i="2"/>
  <c r="L50" i="2" s="1"/>
  <c r="K47" i="2"/>
  <c r="L47" i="2" s="1"/>
  <c r="K43" i="2"/>
  <c r="K42" i="2"/>
  <c r="L42" i="2" s="1"/>
  <c r="K39" i="2"/>
  <c r="K37" i="2"/>
  <c r="L37" i="2" s="1"/>
  <c r="K33" i="2"/>
  <c r="L33" i="2" s="1"/>
  <c r="K32" i="2"/>
  <c r="L32" i="2" s="1"/>
  <c r="K28" i="2"/>
  <c r="L28" i="2" s="1"/>
  <c r="K27" i="2"/>
  <c r="L27" i="2" s="1"/>
  <c r="K25" i="2"/>
  <c r="K23" i="2"/>
  <c r="L23" i="2" s="1"/>
  <c r="K22" i="2"/>
  <c r="L22" i="2" s="1"/>
  <c r="K14" i="2"/>
  <c r="I112" i="2"/>
  <c r="I110" i="2"/>
  <c r="I107" i="2"/>
  <c r="I105" i="2"/>
  <c r="J105" i="2" s="1"/>
  <c r="I103" i="2"/>
  <c r="I102" i="2"/>
  <c r="J102" i="2" s="1"/>
  <c r="I101" i="2"/>
  <c r="J101" i="2" s="1"/>
  <c r="I99" i="2"/>
  <c r="J99" i="2" s="1"/>
  <c r="I98" i="2"/>
  <c r="J98" i="2" s="1"/>
  <c r="I91" i="2"/>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I52" i="2"/>
  <c r="J52" i="2" s="1"/>
  <c r="I50" i="2"/>
  <c r="J50" i="2" s="1"/>
  <c r="I49" i="2"/>
  <c r="J49" i="2" s="1"/>
  <c r="I38" i="2"/>
  <c r="J38" i="2" s="1"/>
  <c r="I35" i="2"/>
  <c r="J35" i="2" s="1"/>
  <c r="I34" i="2"/>
  <c r="J34" i="2" s="1"/>
  <c r="I33" i="2"/>
  <c r="I32" i="2"/>
  <c r="J32" i="2" s="1"/>
  <c r="I30" i="2"/>
  <c r="J30" i="2" s="1"/>
  <c r="I28" i="2"/>
  <c r="J28" i="2" s="1"/>
  <c r="I27" i="2"/>
  <c r="J27" i="2" s="1"/>
  <c r="I25" i="2"/>
  <c r="J25" i="2" s="1"/>
  <c r="I19" i="2"/>
  <c r="I17" i="2"/>
  <c r="J17" i="2" s="1"/>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O103" i="2" s="1"/>
  <c r="P103" i="2" s="1"/>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O109" i="2" s="1"/>
  <c r="P109" i="2" s="1"/>
  <c r="N4" i="65"/>
  <c r="M109" i="2" s="1"/>
  <c r="N109" i="2" s="1"/>
  <c r="L4" i="65"/>
  <c r="K109" i="2" s="1"/>
  <c r="L109" i="2" s="1"/>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P4" i="64"/>
  <c r="O112" i="2" s="1"/>
  <c r="P112" i="2" s="1"/>
  <c r="N4" i="64"/>
  <c r="L4" i="64"/>
  <c r="K112" i="2" s="1"/>
  <c r="L112" i="2" s="1"/>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P4" i="63"/>
  <c r="O108" i="2" s="1"/>
  <c r="P108" i="2" s="1"/>
  <c r="N4" i="63"/>
  <c r="M108" i="2" s="1"/>
  <c r="N108" i="2" s="1"/>
  <c r="L4" i="63"/>
  <c r="J4" i="63"/>
  <c r="I108" i="2" s="1"/>
  <c r="J108" i="2" s="1"/>
  <c r="H4" i="63"/>
  <c r="F4" i="63"/>
  <c r="D4" i="63"/>
  <c r="B4" i="63"/>
  <c r="T3" i="63"/>
  <c r="R3" i="63"/>
  <c r="P3" i="63"/>
  <c r="N3" i="63"/>
  <c r="L3" i="63"/>
  <c r="J3" i="63"/>
  <c r="H3" i="63"/>
  <c r="F3" i="63"/>
  <c r="D3" i="63"/>
  <c r="B3" i="63"/>
  <c r="A1" i="63"/>
  <c r="T20" i="57"/>
  <c r="R20" i="57"/>
  <c r="P20" i="57"/>
  <c r="N20" i="57"/>
  <c r="M54" i="2" s="1"/>
  <c r="N54" i="2" s="1"/>
  <c r="L20" i="57"/>
  <c r="K54" i="2" s="1"/>
  <c r="L54" i="2" s="1"/>
  <c r="J20" i="57"/>
  <c r="I54" i="2" s="1"/>
  <c r="J54" i="2" s="1"/>
  <c r="H20" i="57"/>
  <c r="F20" i="57"/>
  <c r="D20" i="57"/>
  <c r="C54" i="2" s="1"/>
  <c r="D54" i="2" s="1"/>
  <c r="B20" i="57"/>
  <c r="T21" i="58"/>
  <c r="R21" i="58"/>
  <c r="P21" i="58"/>
  <c r="O56" i="2" s="1"/>
  <c r="P56" i="2" s="1"/>
  <c r="N21" i="58"/>
  <c r="M56" i="2" s="1"/>
  <c r="N56" i="2" s="1"/>
  <c r="L21" i="58"/>
  <c r="K56" i="2" s="1"/>
  <c r="L56" i="2" s="1"/>
  <c r="J21" i="58"/>
  <c r="I56" i="2" s="1"/>
  <c r="J56" i="2" s="1"/>
  <c r="H21" i="58"/>
  <c r="F21" i="58"/>
  <c r="E56" i="2" s="1"/>
  <c r="F56" i="2" s="1"/>
  <c r="D21" i="58"/>
  <c r="C56" i="2" s="1"/>
  <c r="D56" i="2" s="1"/>
  <c r="B21" i="58"/>
  <c r="T27" i="60"/>
  <c r="R27" i="60"/>
  <c r="P27" i="60"/>
  <c r="N27" i="60"/>
  <c r="L27" i="60"/>
  <c r="K53" i="2" s="1"/>
  <c r="L53" i="2" s="1"/>
  <c r="J27" i="60"/>
  <c r="I53" i="2" s="1"/>
  <c r="J53" i="2" s="1"/>
  <c r="H27" i="60"/>
  <c r="F27" i="60"/>
  <c r="E53" i="2" s="1"/>
  <c r="F53" i="2" s="1"/>
  <c r="D27" i="60"/>
  <c r="C53" i="2" s="1"/>
  <c r="D53" i="2" s="1"/>
  <c r="B27" i="60"/>
  <c r="T23" i="62"/>
  <c r="R23" i="62"/>
  <c r="P23" i="62"/>
  <c r="O55" i="2" s="1"/>
  <c r="P55" i="2" s="1"/>
  <c r="N23" i="62"/>
  <c r="M55" i="2" s="1"/>
  <c r="N55" i="2" s="1"/>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O57" i="2" s="1"/>
  <c r="P57" i="2" s="1"/>
  <c r="N24" i="59"/>
  <c r="M57" i="2" s="1"/>
  <c r="N57" i="2" s="1"/>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P4" i="56"/>
  <c r="O111" i="2" s="1"/>
  <c r="P111" i="2" s="1"/>
  <c r="N4" i="56"/>
  <c r="L4" i="56"/>
  <c r="K111" i="2" s="1"/>
  <c r="L111" i="2" s="1"/>
  <c r="J4" i="56"/>
  <c r="I111" i="2" s="1"/>
  <c r="J111" i="2" s="1"/>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P4" i="55"/>
  <c r="O106" i="2" s="1"/>
  <c r="P106" i="2" s="1"/>
  <c r="N4" i="55"/>
  <c r="M106" i="2" s="1"/>
  <c r="N106" i="2" s="1"/>
  <c r="L4" i="55"/>
  <c r="K106" i="2" s="1"/>
  <c r="L106" i="2" s="1"/>
  <c r="J4" i="55"/>
  <c r="I106" i="2" s="1"/>
  <c r="J106" i="2" s="1"/>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P4" i="54"/>
  <c r="O85" i="2" s="1"/>
  <c r="P85" i="2" s="1"/>
  <c r="N4" i="54"/>
  <c r="L4" i="54"/>
  <c r="K85" i="2" s="1"/>
  <c r="L85" i="2" s="1"/>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O67" i="2" s="1"/>
  <c r="P67" i="2" s="1"/>
  <c r="N4" i="53"/>
  <c r="L4" i="53"/>
  <c r="K67" i="2" s="1"/>
  <c r="L67" i="2" s="1"/>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O104" i="2" s="1"/>
  <c r="P104" i="2" s="1"/>
  <c r="N4" i="52"/>
  <c r="L4" i="52"/>
  <c r="K104" i="2" s="1"/>
  <c r="L104" i="2" s="1"/>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O107" i="2" s="1"/>
  <c r="P107" i="2" s="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K86" i="2" s="1"/>
  <c r="L86" i="2" s="1"/>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P4" i="49"/>
  <c r="O87" i="2" s="1"/>
  <c r="P87" i="2" s="1"/>
  <c r="N4" i="49"/>
  <c r="M87" i="2" s="1"/>
  <c r="N87" i="2" s="1"/>
  <c r="L4" i="49"/>
  <c r="K87" i="2" s="1"/>
  <c r="L87" i="2" s="1"/>
  <c r="J4" i="49"/>
  <c r="I87" i="2" s="1"/>
  <c r="J87" i="2" s="1"/>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P4" i="48"/>
  <c r="O84" i="2" s="1"/>
  <c r="P84" i="2" s="1"/>
  <c r="N4" i="48"/>
  <c r="M84" i="2" s="1"/>
  <c r="N84" i="2" s="1"/>
  <c r="L4" i="48"/>
  <c r="K84" i="2" s="1"/>
  <c r="L84" i="2" s="1"/>
  <c r="J4" i="48"/>
  <c r="H4" i="48"/>
  <c r="F4" i="48"/>
  <c r="D4" i="48"/>
  <c r="B4" i="48"/>
  <c r="T3" i="48"/>
  <c r="R3" i="48"/>
  <c r="P3" i="48"/>
  <c r="N3" i="48"/>
  <c r="L3" i="48"/>
  <c r="J3" i="48"/>
  <c r="H3" i="48"/>
  <c r="F3" i="48"/>
  <c r="D3" i="48"/>
  <c r="B3" i="48"/>
  <c r="A1" i="48"/>
  <c r="A23" i="2"/>
  <c r="T8" i="43"/>
  <c r="R8" i="43"/>
  <c r="N8" i="43"/>
  <c r="M23" i="2" s="1"/>
  <c r="N23" i="2" s="1"/>
  <c r="L8" i="43"/>
  <c r="J8" i="43"/>
  <c r="I23" i="2" s="1"/>
  <c r="J23" i="2" s="1"/>
  <c r="H8" i="43"/>
  <c r="F8" i="43"/>
  <c r="E23" i="2" s="1"/>
  <c r="F23" i="2" s="1"/>
  <c r="D8" i="43"/>
  <c r="C23" i="2" s="1"/>
  <c r="D23" i="2" s="1"/>
  <c r="B8" i="43"/>
  <c r="T10" i="29"/>
  <c r="R10" i="29"/>
  <c r="P10" i="29"/>
  <c r="K46" i="2"/>
  <c r="L46" i="2" s="1"/>
  <c r="I46" i="2"/>
  <c r="J46" i="2" s="1"/>
  <c r="E46" i="2"/>
  <c r="F46" i="2" s="1"/>
  <c r="D10" i="29"/>
  <c r="A46" i="2"/>
  <c r="T10" i="34"/>
  <c r="T9" i="34"/>
  <c r="T8" i="34"/>
  <c r="R10" i="34"/>
  <c r="R9" i="34"/>
  <c r="R8" i="34"/>
  <c r="P10" i="34"/>
  <c r="P9" i="34"/>
  <c r="O40" i="2" s="1"/>
  <c r="P40" i="2" s="1"/>
  <c r="P8" i="34"/>
  <c r="N10" i="34"/>
  <c r="N9" i="34"/>
  <c r="N8" i="34"/>
  <c r="L10" i="34"/>
  <c r="K41" i="2" s="1"/>
  <c r="L41" i="2" s="1"/>
  <c r="L9" i="34"/>
  <c r="K40" i="2" s="1"/>
  <c r="L40" i="2" s="1"/>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O45" i="2"/>
  <c r="P45" i="2" s="1"/>
  <c r="K45" i="2"/>
  <c r="L45" i="2" s="1"/>
  <c r="I45" i="2"/>
  <c r="J45" i="2" s="1"/>
  <c r="C45" i="2"/>
  <c r="D45" i="2" s="1"/>
  <c r="B7" i="43"/>
  <c r="A45" i="2" s="1"/>
  <c r="A47" i="2"/>
  <c r="T7" i="47"/>
  <c r="R7" i="47"/>
  <c r="O47" i="2"/>
  <c r="P47" i="2" s="1"/>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O64" i="2" s="1"/>
  <c r="P64" i="2" s="1"/>
  <c r="N4" i="46"/>
  <c r="M64" i="2" s="1"/>
  <c r="N64" i="2" s="1"/>
  <c r="L4" i="46"/>
  <c r="J4" i="46"/>
  <c r="I64" i="2" s="1"/>
  <c r="J64" i="2" s="1"/>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P4" i="45"/>
  <c r="O79" i="2" s="1"/>
  <c r="P79" i="2" s="1"/>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O78" i="2" s="1"/>
  <c r="P78" i="2" s="1"/>
  <c r="N4" i="44"/>
  <c r="M78" i="2" s="1"/>
  <c r="N78" i="2" s="1"/>
  <c r="L4" i="44"/>
  <c r="K78" i="2" s="1"/>
  <c r="L78" i="2" s="1"/>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M77" i="2" s="1"/>
  <c r="N77" i="2" s="1"/>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M68" i="2" s="1"/>
  <c r="N68" i="2" s="1"/>
  <c r="L4" i="42"/>
  <c r="J4" i="42"/>
  <c r="I68" i="2" s="1"/>
  <c r="J68" i="2" s="1"/>
  <c r="H4" i="42"/>
  <c r="F4" i="42"/>
  <c r="D4" i="42"/>
  <c r="B4" i="42"/>
  <c r="T3" i="42"/>
  <c r="R3" i="42"/>
  <c r="P3" i="42"/>
  <c r="N3" i="42"/>
  <c r="L3" i="42"/>
  <c r="J3" i="42"/>
  <c r="H3" i="42"/>
  <c r="F3" i="42"/>
  <c r="D3" i="42"/>
  <c r="B3" i="42"/>
  <c r="A1" i="42"/>
  <c r="A50" i="2"/>
  <c r="T7" i="30"/>
  <c r="R7" i="30"/>
  <c r="P7" i="30"/>
  <c r="O50" i="2" s="1"/>
  <c r="P50" i="2" s="1"/>
  <c r="N7" i="30"/>
  <c r="E50" i="2"/>
  <c r="F50" i="2" s="1"/>
  <c r="B7" i="30"/>
  <c r="T27" i="41"/>
  <c r="R27" i="41"/>
  <c r="P27" i="41"/>
  <c r="N27" i="41"/>
  <c r="L27" i="41"/>
  <c r="K26" i="2" s="1"/>
  <c r="L26" i="2" s="1"/>
  <c r="J27" i="41"/>
  <c r="I26" i="2" s="1"/>
  <c r="J26" i="2" s="1"/>
  <c r="H27" i="41"/>
  <c r="F27" i="41"/>
  <c r="E26" i="2" s="1"/>
  <c r="F26" i="2" s="1"/>
  <c r="D27" i="41"/>
  <c r="C26" i="2" s="1"/>
  <c r="D26" i="2" s="1"/>
  <c r="B27" i="41"/>
  <c r="A26" i="2" s="1"/>
  <c r="B26" i="2" s="1"/>
  <c r="A29" i="2"/>
  <c r="B29" i="2" s="1"/>
  <c r="T28" i="30"/>
  <c r="R28" i="30"/>
  <c r="P28" i="30"/>
  <c r="O29" i="2" s="1"/>
  <c r="P29" i="2" s="1"/>
  <c r="N28" i="30"/>
  <c r="L28" i="30"/>
  <c r="K29" i="2" s="1"/>
  <c r="L29" i="2" s="1"/>
  <c r="J28" i="30"/>
  <c r="I29" i="2" s="1"/>
  <c r="J29" i="2" s="1"/>
  <c r="H28" i="30"/>
  <c r="F28" i="30"/>
  <c r="D28" i="30"/>
  <c r="C29" i="2" s="1"/>
  <c r="D29" i="2" s="1"/>
  <c r="B28" i="30"/>
  <c r="A48" i="2"/>
  <c r="T7" i="41"/>
  <c r="R7" i="41"/>
  <c r="P7" i="41"/>
  <c r="N7" i="41"/>
  <c r="K48" i="2"/>
  <c r="L48" i="2" s="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O66" i="2" s="1"/>
  <c r="P66" i="2" s="1"/>
  <c r="N4" i="40"/>
  <c r="M66" i="2" s="1"/>
  <c r="N66" i="2" s="1"/>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P4" i="38"/>
  <c r="N4" i="38"/>
  <c r="M65" i="2" s="1"/>
  <c r="N65" i="2" s="1"/>
  <c r="L4" i="38"/>
  <c r="K65" i="2" s="1"/>
  <c r="L65" i="2" s="1"/>
  <c r="J4" i="38"/>
  <c r="I65" i="2" s="1"/>
  <c r="J65" i="2" s="1"/>
  <c r="H4" i="38"/>
  <c r="F4" i="38"/>
  <c r="E65" i="2" s="1"/>
  <c r="F65" i="2" s="1"/>
  <c r="D4" i="38"/>
  <c r="C65" i="2" s="1"/>
  <c r="D65" i="2" s="1"/>
  <c r="B4" i="38"/>
  <c r="T3" i="38"/>
  <c r="R3" i="38"/>
  <c r="P3" i="38"/>
  <c r="N3" i="38"/>
  <c r="L3" i="38"/>
  <c r="J3" i="38"/>
  <c r="H3" i="38"/>
  <c r="F3" i="38"/>
  <c r="D3" i="38"/>
  <c r="B3" i="38"/>
  <c r="A49" i="2"/>
  <c r="T7" i="15"/>
  <c r="R7" i="15"/>
  <c r="P7" i="15"/>
  <c r="O49" i="2" s="1"/>
  <c r="P49" i="2" s="1"/>
  <c r="N7" i="15"/>
  <c r="K49" i="2"/>
  <c r="L49" i="2" s="1"/>
  <c r="B7" i="15"/>
  <c r="T10" i="15"/>
  <c r="R10" i="15"/>
  <c r="P10" i="15"/>
  <c r="O24" i="2" s="1"/>
  <c r="P24" i="2" s="1"/>
  <c r="N10" i="15"/>
  <c r="L10" i="15"/>
  <c r="K24" i="2" s="1"/>
  <c r="L24" i="2" s="1"/>
  <c r="J10" i="15"/>
  <c r="I24" i="2" s="1"/>
  <c r="J24" i="2" s="1"/>
  <c r="H10" i="15"/>
  <c r="F10" i="15"/>
  <c r="E24" i="2" s="1"/>
  <c r="F24" i="2" s="1"/>
  <c r="D10" i="15"/>
  <c r="C24" i="2" s="1"/>
  <c r="D24" i="2" s="1"/>
  <c r="B10" i="15"/>
  <c r="A24" i="2" s="1"/>
  <c r="B24" i="2" s="1"/>
  <c r="B10" i="29"/>
  <c r="A43" i="2"/>
  <c r="B43" i="2" s="1"/>
  <c r="A110" i="2"/>
  <c r="A17" i="2"/>
  <c r="B17" i="2" s="1"/>
  <c r="T8" i="30"/>
  <c r="R8" i="30"/>
  <c r="P8" i="30"/>
  <c r="N8" i="30"/>
  <c r="L8" i="30"/>
  <c r="H8" i="30"/>
  <c r="D8" i="30"/>
  <c r="C25" i="2" s="1"/>
  <c r="D25" i="2" s="1"/>
  <c r="T7" i="36"/>
  <c r="R7" i="36"/>
  <c r="P7" i="36"/>
  <c r="N7" i="36"/>
  <c r="L7" i="36"/>
  <c r="J7" i="36"/>
  <c r="I43" i="2" s="1"/>
  <c r="J43" i="2" s="1"/>
  <c r="H7" i="36"/>
  <c r="F7" i="36"/>
  <c r="D7" i="36"/>
  <c r="B7" i="36"/>
  <c r="T6" i="36"/>
  <c r="R6" i="36"/>
  <c r="P6" i="36"/>
  <c r="O17" i="2" s="1"/>
  <c r="P17" i="2" s="1"/>
  <c r="N6" i="36"/>
  <c r="M17" i="2" s="1"/>
  <c r="N17" i="2" s="1"/>
  <c r="L6" i="36"/>
  <c r="K17" i="2" s="1"/>
  <c r="L17" i="2" s="1"/>
  <c r="J6" i="36"/>
  <c r="H6" i="36"/>
  <c r="F6" i="36"/>
  <c r="D6" i="36"/>
  <c r="C17" i="2" s="1"/>
  <c r="D17" i="2" s="1"/>
  <c r="B6" i="36"/>
  <c r="T5" i="36"/>
  <c r="R5" i="36"/>
  <c r="P5" i="36"/>
  <c r="N5" i="36"/>
  <c r="L5" i="36"/>
  <c r="J5" i="36"/>
  <c r="H5" i="36"/>
  <c r="F5" i="36"/>
  <c r="D5" i="36"/>
  <c r="B5" i="36"/>
  <c r="T4" i="36"/>
  <c r="R4" i="36"/>
  <c r="P4" i="36"/>
  <c r="O110" i="2" s="1"/>
  <c r="P110" i="2" s="1"/>
  <c r="N4" i="36"/>
  <c r="L4" i="36"/>
  <c r="J4" i="36"/>
  <c r="H4" i="36"/>
  <c r="F4" i="36"/>
  <c r="E110" i="2" s="1"/>
  <c r="F110" i="2" s="1"/>
  <c r="D4" i="36"/>
  <c r="B4" i="36"/>
  <c r="T3" i="36"/>
  <c r="R3" i="36"/>
  <c r="P3" i="36"/>
  <c r="N3" i="36"/>
  <c r="L3" i="36"/>
  <c r="J3" i="36"/>
  <c r="H3" i="36"/>
  <c r="F3" i="36"/>
  <c r="D3" i="36"/>
  <c r="B3" i="36"/>
  <c r="A63" i="2"/>
  <c r="T6" i="35"/>
  <c r="R6" i="35"/>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P4" i="35"/>
  <c r="O63" i="2" s="1"/>
  <c r="P63" i="2" s="1"/>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P4" i="34"/>
  <c r="N4" i="34"/>
  <c r="M83" i="2" s="1"/>
  <c r="N83" i="2" s="1"/>
  <c r="L4" i="34"/>
  <c r="J4" i="34"/>
  <c r="I83" i="2" s="1"/>
  <c r="J83" i="2" s="1"/>
  <c r="H4" i="34"/>
  <c r="F4" i="34"/>
  <c r="E83" i="2" s="1"/>
  <c r="F83" i="2" s="1"/>
  <c r="D4" i="34"/>
  <c r="C83" i="2" s="1"/>
  <c r="D83" i="2" s="1"/>
  <c r="B4" i="34"/>
  <c r="A83" i="2" s="1"/>
  <c r="T3" i="34"/>
  <c r="R3" i="34"/>
  <c r="P3" i="34"/>
  <c r="N3" i="34"/>
  <c r="L3" i="34"/>
  <c r="J3" i="34"/>
  <c r="H3" i="34"/>
  <c r="F3" i="34"/>
  <c r="D3" i="34"/>
  <c r="B3" i="34"/>
  <c r="T11" i="33"/>
  <c r="R11" i="33"/>
  <c r="P11" i="33"/>
  <c r="O22" i="2" s="1"/>
  <c r="P22" i="2" s="1"/>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O69" i="2" s="1"/>
  <c r="P69" i="2" s="1"/>
  <c r="N4" i="33"/>
  <c r="M69" i="2" s="1"/>
  <c r="N69" i="2" s="1"/>
  <c r="L4" i="33"/>
  <c r="J4" i="33"/>
  <c r="I69" i="2" s="1"/>
  <c r="J69" i="2" s="1"/>
  <c r="H4" i="33"/>
  <c r="F4" i="33"/>
  <c r="D4" i="33"/>
  <c r="C69" i="2" s="1"/>
  <c r="D69" i="2" s="1"/>
  <c r="B4" i="33"/>
  <c r="A69" i="2" s="1"/>
  <c r="T3" i="33"/>
  <c r="R3" i="33"/>
  <c r="P3" i="33"/>
  <c r="N3" i="33"/>
  <c r="L3" i="33"/>
  <c r="J3" i="33"/>
  <c r="H3" i="33"/>
  <c r="F3" i="33"/>
  <c r="D3" i="33"/>
  <c r="B3" i="33"/>
  <c r="A20" i="2"/>
  <c r="B20" i="2" s="1"/>
  <c r="A62" i="2"/>
  <c r="T6" i="32"/>
  <c r="R6" i="32"/>
  <c r="P6" i="32"/>
  <c r="O20" i="2" s="1"/>
  <c r="P20" i="2" s="1"/>
  <c r="N6" i="32"/>
  <c r="L6" i="32"/>
  <c r="K20" i="2" s="1"/>
  <c r="L20" i="2" s="1"/>
  <c r="J6" i="32"/>
  <c r="I20" i="2" s="1"/>
  <c r="J20" i="2" s="1"/>
  <c r="H6" i="32"/>
  <c r="F6" i="32"/>
  <c r="D6" i="32"/>
  <c r="C20" i="2" s="1"/>
  <c r="D20" i="2" s="1"/>
  <c r="B6" i="32"/>
  <c r="T5" i="32"/>
  <c r="R5" i="32"/>
  <c r="P5" i="32"/>
  <c r="N5" i="32"/>
  <c r="L5" i="32"/>
  <c r="J5" i="32"/>
  <c r="H5" i="32"/>
  <c r="F5" i="32"/>
  <c r="D5" i="32"/>
  <c r="B5" i="32"/>
  <c r="T4" i="32"/>
  <c r="R4" i="32"/>
  <c r="P4" i="32"/>
  <c r="N4" i="32"/>
  <c r="L4" i="32"/>
  <c r="K62" i="2" s="1"/>
  <c r="L62" i="2" s="1"/>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P6" i="30"/>
  <c r="N6" i="30"/>
  <c r="M19" i="2" s="1"/>
  <c r="N19" i="2" s="1"/>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P4" i="30"/>
  <c r="N4" i="30"/>
  <c r="M81" i="2" s="1"/>
  <c r="N81" i="2" s="1"/>
  <c r="L4" i="30"/>
  <c r="K81" i="2" s="1"/>
  <c r="L81" i="2" s="1"/>
  <c r="J4" i="30"/>
  <c r="I81" i="2" s="1"/>
  <c r="J81" i="2" s="1"/>
  <c r="H4" i="30"/>
  <c r="F4" i="30"/>
  <c r="E81" i="2" s="1"/>
  <c r="F81" i="2" s="1"/>
  <c r="D4" i="30"/>
  <c r="B4" i="30"/>
  <c r="A81" i="2" s="1"/>
  <c r="T3" i="30"/>
  <c r="R3" i="30"/>
  <c r="P3" i="30"/>
  <c r="N3" i="30"/>
  <c r="L3" i="30"/>
  <c r="J3" i="30"/>
  <c r="H3" i="30"/>
  <c r="F3" i="30"/>
  <c r="D3" i="30"/>
  <c r="B3" i="30"/>
  <c r="T7" i="29"/>
  <c r="R7" i="29"/>
  <c r="P7" i="29"/>
  <c r="N7" i="29"/>
  <c r="M38" i="2" s="1"/>
  <c r="N38" i="2" s="1"/>
  <c r="L7" i="29"/>
  <c r="K38" i="2" s="1"/>
  <c r="L38" i="2" s="1"/>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O15" i="2" s="1"/>
  <c r="P15" i="2" s="1"/>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6" i="2" s="1"/>
  <c r="N16" i="2" s="1"/>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P4" i="27"/>
  <c r="O80" i="2" s="1"/>
  <c r="P80" i="2" s="1"/>
  <c r="N4" i="27"/>
  <c r="M80" i="2" s="1"/>
  <c r="N80" i="2" s="1"/>
  <c r="L4" i="27"/>
  <c r="K80" i="2" s="1"/>
  <c r="L80" i="2" s="1"/>
  <c r="J4" i="27"/>
  <c r="H4" i="27"/>
  <c r="F4" i="27"/>
  <c r="E80" i="2" s="1"/>
  <c r="F80" i="2" s="1"/>
  <c r="D4" i="27"/>
  <c r="B4" i="27"/>
  <c r="A80" i="2" s="1"/>
  <c r="T3" i="27"/>
  <c r="R3" i="27"/>
  <c r="P3" i="27"/>
  <c r="N3" i="27"/>
  <c r="L3" i="27"/>
  <c r="J3" i="27"/>
  <c r="H3" i="27"/>
  <c r="F3" i="27"/>
  <c r="D3" i="27"/>
  <c r="B3" i="27"/>
  <c r="A75" i="2"/>
  <c r="T8" i="26"/>
  <c r="R8" i="26"/>
  <c r="P8" i="26"/>
  <c r="O35" i="2" s="1"/>
  <c r="P35" i="2" s="1"/>
  <c r="N8" i="26"/>
  <c r="L8" i="26"/>
  <c r="K35" i="2" s="1"/>
  <c r="L35" i="2" s="1"/>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O75" i="2" s="1"/>
  <c r="P75" i="2" s="1"/>
  <c r="N4" i="26"/>
  <c r="L4" i="26"/>
  <c r="J4" i="26"/>
  <c r="H4" i="26"/>
  <c r="F4" i="26"/>
  <c r="E75" i="2" s="1"/>
  <c r="F75" i="2" s="1"/>
  <c r="D4" i="26"/>
  <c r="B4" i="26"/>
  <c r="T3" i="26"/>
  <c r="R3" i="26"/>
  <c r="P3" i="26"/>
  <c r="N3" i="26"/>
  <c r="L3" i="26"/>
  <c r="J3" i="26"/>
  <c r="H3" i="26"/>
  <c r="F3" i="26"/>
  <c r="D3" i="26"/>
  <c r="B3" i="26"/>
  <c r="A33" i="2"/>
  <c r="B33" i="2" s="1"/>
  <c r="A74" i="2"/>
  <c r="T9" i="24"/>
  <c r="T8" i="24"/>
  <c r="R9" i="24"/>
  <c r="R8" i="24"/>
  <c r="P9" i="24"/>
  <c r="P8" i="24"/>
  <c r="O34" i="2" s="1"/>
  <c r="P34" i="2" s="1"/>
  <c r="N9" i="24"/>
  <c r="M32" i="2" s="1"/>
  <c r="N32" i="2" s="1"/>
  <c r="N8" i="24"/>
  <c r="M34" i="2" s="1"/>
  <c r="N34" i="2" s="1"/>
  <c r="L9" i="24"/>
  <c r="L8" i="24"/>
  <c r="K34" i="2" s="1"/>
  <c r="L34" i="2" s="1"/>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O74" i="2" s="1"/>
  <c r="P74" i="2" s="1"/>
  <c r="N4" i="25"/>
  <c r="L4" i="25"/>
  <c r="K74" i="2" s="1"/>
  <c r="L74" i="2" s="1"/>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P4" i="24"/>
  <c r="O73" i="2" s="1"/>
  <c r="P73" i="2" s="1"/>
  <c r="N4" i="24"/>
  <c r="M73" i="2" s="1"/>
  <c r="N73" i="2" s="1"/>
  <c r="L4" i="24"/>
  <c r="K73" i="2" s="1"/>
  <c r="L73" i="2" s="1"/>
  <c r="J4" i="24"/>
  <c r="I73" i="2" s="1"/>
  <c r="J73" i="2" s="1"/>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P4" i="23"/>
  <c r="O72" i="2" s="1"/>
  <c r="P72" i="2" s="1"/>
  <c r="N4" i="23"/>
  <c r="M72" i="2" s="1"/>
  <c r="N72" i="2" s="1"/>
  <c r="L4" i="23"/>
  <c r="J4" i="23"/>
  <c r="I72" i="2" s="1"/>
  <c r="J72" i="2" s="1"/>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P4" i="21"/>
  <c r="O76" i="2" s="1"/>
  <c r="P76" i="2" s="1"/>
  <c r="N4" i="21"/>
  <c r="M76" i="2" s="1"/>
  <c r="N76" i="2" s="1"/>
  <c r="L4" i="21"/>
  <c r="K76" i="2" s="1"/>
  <c r="L76" i="2" s="1"/>
  <c r="J4" i="21"/>
  <c r="I76" i="2" s="1"/>
  <c r="J76" i="2" s="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O102" i="2" s="1"/>
  <c r="P102" i="2" s="1"/>
  <c r="N4" i="20"/>
  <c r="L4" i="20"/>
  <c r="K102" i="2" s="1"/>
  <c r="L102" i="2" s="1"/>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P4" i="19"/>
  <c r="N4" i="19"/>
  <c r="L4" i="19"/>
  <c r="J4" i="19"/>
  <c r="I96" i="2" s="1"/>
  <c r="J96" i="2" s="1"/>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O95" i="2" s="1"/>
  <c r="P95" i="2" s="1"/>
  <c r="N4" i="18"/>
  <c r="L4" i="18"/>
  <c r="K95" i="2" s="1"/>
  <c r="L95" i="2" s="1"/>
  <c r="J4" i="18"/>
  <c r="I95" i="2" s="1"/>
  <c r="J95" i="2" s="1"/>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P4" i="17"/>
  <c r="O100" i="2" s="1"/>
  <c r="P100" i="2" s="1"/>
  <c r="N4" i="17"/>
  <c r="L4" i="17"/>
  <c r="K100" i="2" s="1"/>
  <c r="L100" i="2" s="1"/>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R20" i="5"/>
  <c r="R15" i="5"/>
  <c r="P22" i="5"/>
  <c r="O28" i="2" s="1"/>
  <c r="P28" i="2" s="1"/>
  <c r="P20" i="5"/>
  <c r="P15" i="5"/>
  <c r="N22" i="5"/>
  <c r="M28" i="2" s="1"/>
  <c r="N28" i="2" s="1"/>
  <c r="N20" i="5"/>
  <c r="M27" i="2" s="1"/>
  <c r="N27" i="2" s="1"/>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R11" i="5"/>
  <c r="R10" i="5"/>
  <c r="R9" i="5"/>
  <c r="R6" i="5"/>
  <c r="R5" i="5"/>
  <c r="R4" i="5"/>
  <c r="R3" i="5"/>
  <c r="P12" i="5"/>
  <c r="O36" i="2" s="1"/>
  <c r="P36" i="2" s="1"/>
  <c r="P11" i="5"/>
  <c r="P10" i="5"/>
  <c r="O31" i="2" s="1"/>
  <c r="P31" i="2" s="1"/>
  <c r="P9" i="5"/>
  <c r="O30" i="2" s="1"/>
  <c r="P30" i="2" s="1"/>
  <c r="P6" i="5"/>
  <c r="P5" i="5"/>
  <c r="P4" i="5"/>
  <c r="O101" i="2" s="1"/>
  <c r="P101" i="2" s="1"/>
  <c r="P3" i="5"/>
  <c r="N12" i="5"/>
  <c r="M36" i="2" s="1"/>
  <c r="N36" i="2" s="1"/>
  <c r="N11" i="5"/>
  <c r="M37" i="2" s="1"/>
  <c r="N37" i="2" s="1"/>
  <c r="N10" i="5"/>
  <c r="M31" i="2" s="1"/>
  <c r="N31" i="2" s="1"/>
  <c r="N9" i="5"/>
  <c r="M30" i="2" s="1"/>
  <c r="N30" i="2" s="1"/>
  <c r="N6" i="5"/>
  <c r="N5" i="5"/>
  <c r="N4" i="5"/>
  <c r="M101" i="2" s="1"/>
  <c r="N101" i="2" s="1"/>
  <c r="N3" i="5"/>
  <c r="L12" i="5"/>
  <c r="K36" i="2" s="1"/>
  <c r="L36" i="2" s="1"/>
  <c r="L11" i="5"/>
  <c r="L10" i="5"/>
  <c r="K31" i="2" s="1"/>
  <c r="L31" i="2" s="1"/>
  <c r="L9" i="5"/>
  <c r="K30" i="2" s="1"/>
  <c r="L30" i="2" s="1"/>
  <c r="L6" i="5"/>
  <c r="L5" i="5"/>
  <c r="L4" i="5"/>
  <c r="K101" i="2" s="1"/>
  <c r="L101" i="2" s="1"/>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K82" i="2" s="1"/>
  <c r="L82" i="2" s="1"/>
  <c r="J4" i="15"/>
  <c r="I82" i="2" s="1"/>
  <c r="J82" i="2" s="1"/>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O94" i="2" s="1"/>
  <c r="P94" i="2" s="1"/>
  <c r="N4" i="13"/>
  <c r="M94" i="2" s="1"/>
  <c r="N94" i="2" s="1"/>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O98" i="2" s="1"/>
  <c r="P98" i="2" s="1"/>
  <c r="N4" i="12"/>
  <c r="M98" i="2" s="1"/>
  <c r="N98" i="2" s="1"/>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P4" i="11"/>
  <c r="O93" i="2" s="1"/>
  <c r="P93" i="2" s="1"/>
  <c r="N4" i="11"/>
  <c r="L4" i="11"/>
  <c r="K93" i="2" s="1"/>
  <c r="L93" i="2" s="1"/>
  <c r="J4" i="11"/>
  <c r="I93" i="2" s="1"/>
  <c r="J93" i="2" s="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P4" i="10"/>
  <c r="N4" i="10"/>
  <c r="L4" i="10"/>
  <c r="K97" i="2" s="1"/>
  <c r="L97" i="2" s="1"/>
  <c r="J4" i="10"/>
  <c r="I97" i="2" s="1"/>
  <c r="J97" i="2" s="1"/>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P4" i="9"/>
  <c r="N4" i="9"/>
  <c r="M92" i="2" s="1"/>
  <c r="N92" i="2" s="1"/>
  <c r="L4" i="9"/>
  <c r="J4" i="9"/>
  <c r="I92" i="2" s="1"/>
  <c r="J92" i="2" s="1"/>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P4" i="7"/>
  <c r="O90" i="2" s="1"/>
  <c r="P90" i="2" s="1"/>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P4" i="6"/>
  <c r="N4" i="6"/>
  <c r="M89" i="2" s="1"/>
  <c r="N89" i="2" s="1"/>
  <c r="L4" i="6"/>
  <c r="K89" i="2" s="1"/>
  <c r="L89" i="2" s="1"/>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P4" i="4"/>
  <c r="O88" i="2" s="1"/>
  <c r="P88" i="2" s="1"/>
  <c r="N4" i="4"/>
  <c r="M88" i="2" s="1"/>
  <c r="N88" i="2" s="1"/>
  <c r="L4" i="4"/>
  <c r="K88" i="2" s="1"/>
  <c r="L88" i="2" s="1"/>
  <c r="J4" i="4"/>
  <c r="I88" i="2" s="1"/>
  <c r="J88" i="2" s="1"/>
  <c r="H4" i="4"/>
  <c r="F4" i="4"/>
  <c r="E88" i="2" s="1"/>
  <c r="F88" i="2" s="1"/>
  <c r="D4" i="4"/>
  <c r="C88" i="2" s="1"/>
  <c r="D88" i="2" s="1"/>
  <c r="T3" i="4"/>
  <c r="R3" i="4"/>
  <c r="P3" i="4"/>
  <c r="N3" i="4"/>
  <c r="L3" i="4"/>
  <c r="J3" i="4"/>
  <c r="H3" i="4"/>
  <c r="F3" i="4"/>
  <c r="D3" i="4"/>
  <c r="T6" i="1"/>
  <c r="T5" i="1"/>
  <c r="T4" i="1"/>
  <c r="T3" i="1"/>
  <c r="R6" i="1"/>
  <c r="R5" i="1"/>
  <c r="R4" i="1"/>
  <c r="R3" i="1"/>
  <c r="P6" i="1"/>
  <c r="O14" i="2" s="1"/>
  <c r="P14" i="2" s="1"/>
  <c r="P5" i="1"/>
  <c r="P4" i="1"/>
  <c r="O70" i="2" s="1"/>
  <c r="P70" i="2" s="1"/>
  <c r="P3" i="1"/>
  <c r="N6" i="1"/>
  <c r="M14" i="2" s="1"/>
  <c r="N14" i="2" s="1"/>
  <c r="N5" i="1"/>
  <c r="N4" i="1"/>
  <c r="M70" i="2" s="1"/>
  <c r="N70" i="2" s="1"/>
  <c r="N3" i="1"/>
  <c r="M61" i="2" s="1"/>
  <c r="N61" i="2" s="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<sst xmlns="http://schemas.openxmlformats.org/spreadsheetml/2006/main" count="11801" uniqueCount="5939">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</sst>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341">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1593</v>
      </c>
      <c r="B1" s="30"/>
      <c r="C1" s="30"/>
      <c r="E1" s="30" t="s">
        <v>1595</v>
      </c>
      <c r="F1" s="30"/>
      <c r="G1" s="30"/>
      <c r="I1" s="30" t="s">
        <v>1598</v>
      </c>
      <c r="J1" s="30"/>
      <c r="K1" s="30"/>
      <c r="M1" s="30" t="s">
        <v>101</v>
      </c>
      <c r="N1" s="30"/>
      <c r="O1" s="30"/>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1" t="s">
        <v>1594</v>
      </c>
      <c r="B6" s="32"/>
      <c r="C6" s="33"/>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E7" s="30" t="s">
        <v>1596</v>
      </c>
      <c r="F7" s="30"/>
      <c r="G7" s="30"/>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25">
        <v>25</v>
      </c>
      <c r="F8" s="27" t="str" cm="1">
        <f t="array" ref="F8">INDEX(LISTSHEETS,E8)</f>
        <v>Foiled Amulet</v>
      </c>
      <c r="G8" s="28" t="str">
        <f t="shared" ref="G8:G13" si="3">HYPERLINK(_xlfn.CONCAT("#'", F8, "'!A1"), "Go to Sheet")</f>
        <v>Go to Sheet</v>
      </c>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26</v>
      </c>
      <c r="F9" s="27" t="str" cm="1">
        <f t="array" ref="F9">INDEX(LISTSHEETS,E9)</f>
        <v>Unidentified ring</v>
      </c>
      <c r="G9" s="28" t="str">
        <f t="shared" si="3"/>
        <v>Go to Sheet</v>
      </c>
      <c r="I9" s="25">
        <v>44</v>
      </c>
      <c r="J9" s="27" t="str" cm="1">
        <f t="array" ref="J9">INDEX(LISTSHEETS,I9)</f>
        <v>Jewel</v>
      </c>
      <c r="K9" s="28" t="str">
        <f t="shared" si="1"/>
        <v>Go to Sheet</v>
      </c>
      <c r="M9" s="30" t="s">
        <v>1599</v>
      </c>
      <c r="N9" s="30"/>
      <c r="O9" s="30"/>
    </row>
    <row r="10" spans="1:15" ht="21" customHeight="1" x14ac:dyDescent="0.25">
      <c r="E10" s="25">
        <v>27</v>
      </c>
      <c r="F10" s="27" t="str" cm="1">
        <f t="array" ref="F10">INDEX(LISTSHEETS,E10)</f>
        <v>Abyssus</v>
      </c>
      <c r="G10" s="28" t="str">
        <f t="shared" si="3"/>
        <v>Go to Sheet</v>
      </c>
      <c r="I10" s="25">
        <v>45</v>
      </c>
      <c r="J10" s="27" t="str" cm="1">
        <f t="array" ref="J10">INDEX(LISTSHEETS,I10)</f>
        <v>Quiver</v>
      </c>
      <c r="K10" s="28" t="str">
        <f t="shared" si="1"/>
        <v>Go to Sheet</v>
      </c>
      <c r="M10" s="25">
        <v>63</v>
      </c>
      <c r="N10" s="27" t="str" cm="1">
        <f t="array" ref="N10">INDEX(LISTSHEETS,M10)</f>
        <v>Fishing Rod</v>
      </c>
      <c r="O10" s="28" t="str">
        <f>HYPERLINK(_xlfn.CONCAT("#'", N10, "'!A1"), "Go to Sheet")</f>
        <v>Go to Sheet</v>
      </c>
    </row>
    <row r="11" spans="1:15" ht="21" customHeight="1" x14ac:dyDescent="0.25">
      <c r="A11" s="31" t="s">
        <v>769</v>
      </c>
      <c r="B11" s="32"/>
      <c r="C11" s="33"/>
      <c r="E11" s="25">
        <v>28</v>
      </c>
      <c r="F11" s="27" t="str" cm="1">
        <f t="array" ref="F11">INDEX(LISTSHEETS,E11)</f>
        <v>Carcass Jack</v>
      </c>
      <c r="G11" s="28" t="str">
        <f t="shared" si="3"/>
        <v>Go to Sheet</v>
      </c>
      <c r="I11" s="25">
        <v>46</v>
      </c>
      <c r="J11" s="27" t="str" cm="1">
        <f t="array" ref="J11">INDEX(LISTSHEETS,I11)</f>
        <v>Sceptre</v>
      </c>
      <c r="K11" s="28" t="str">
        <f t="shared" si="1"/>
        <v>Go to Sheet</v>
      </c>
    </row>
    <row r="12" spans="1:15" ht="21" customHeight="1" x14ac:dyDescent="0.25">
      <c r="A12" s="25">
        <v>7</v>
      </c>
      <c r="B12" s="27" t="str" cm="1">
        <f t="array" ref="B12">INDEX(LISTSHEETS,A12)</f>
        <v>Chaos Orb</v>
      </c>
      <c r="C12" s="28" t="str">
        <f>HYPERLINK(_xlfn.CONCAT("#'", B12, "'!A1"), "Go to Sheet")</f>
        <v>Go to Sheet</v>
      </c>
      <c r="E12" s="25">
        <v>29</v>
      </c>
      <c r="F12" s="27" t="str" cm="1">
        <f t="array" ref="F12">INDEX(LISTSHEETS,E12)</f>
        <v>Mistwall</v>
      </c>
      <c r="G12" s="28" t="str">
        <f t="shared" si="3"/>
        <v>Go to Sheet</v>
      </c>
      <c r="I12" s="25">
        <v>47</v>
      </c>
      <c r="J12" s="27" t="str" cm="1">
        <f t="array" ref="J12">INDEX(LISTSHEETS,I12)</f>
        <v>Staff</v>
      </c>
      <c r="K12" s="28" t="str">
        <f t="shared" si="1"/>
        <v>Go to Sheet</v>
      </c>
    </row>
    <row r="13" spans="1:15" ht="21" customHeight="1" x14ac:dyDescent="0.25">
      <c r="A13" s="25">
        <v>8</v>
      </c>
      <c r="B13" s="27" t="str" cm="1">
        <f t="array" ref="B13">INDEX(LISTSHEETS,A13)</f>
        <v>Resonator</v>
      </c>
      <c r="C13" s="28" t="str">
        <f>HYPERLINK(_xlfn.CONCAT("#'", B13, "'!A1"), "Go to Sheet")</f>
        <v>Go to Sheet</v>
      </c>
      <c r="E13" s="25">
        <v>30</v>
      </c>
      <c r="F13" s="27" t="str" cm="1">
        <f t="array" ref="F13">INDEX(LISTSHEETS,E13)</f>
        <v>White Wind</v>
      </c>
      <c r="G13" s="28" t="str">
        <f t="shared" si="3"/>
        <v>Go to Sheet</v>
      </c>
      <c r="I13" s="25">
        <v>48</v>
      </c>
      <c r="J13" s="27" t="str" cm="1">
        <f t="array" ref="J13">INDEX(LISTSHEETS,I13)</f>
        <v>Wand</v>
      </c>
      <c r="K13" s="28" t="str">
        <f t="shared" si="1"/>
        <v>Go to Sheet</v>
      </c>
    </row>
    <row r="14" spans="1:15" ht="21" customHeight="1" x14ac:dyDescent="0.25">
      <c r="A14" s="25">
        <v>9</v>
      </c>
      <c r="B14" s="27" t="str" cm="1">
        <f t="array" ref="B14">INDEX(LISTSHEETS,A14)</f>
        <v>Card</v>
      </c>
      <c r="C14" s="28" t="str">
        <f>HYPERLINK(_xlfn.CONCAT("#'", B14, "'!A1"), "Go to Sheet")</f>
        <v>Go to Sheet</v>
      </c>
      <c r="I14" s="25">
        <v>49</v>
      </c>
      <c r="J14" s="27" t="str" cm="1">
        <f t="array" ref="J14">INDEX(LISTSHEETS,I14)</f>
        <v>Warstaff</v>
      </c>
      <c r="K14" s="28" t="str">
        <f t="shared" si="1"/>
        <v>Go to Sheet</v>
      </c>
    </row>
    <row r="15" spans="1:15" ht="21" customHeight="1" x14ac:dyDescent="0.25">
      <c r="A15" s="25">
        <v>10</v>
      </c>
      <c r="B15" s="27" t="str" cm="1">
        <f t="array" ref="B15">INDEX(LISTSHEETS,A15)</f>
        <v>Metamorph Sample</v>
      </c>
      <c r="C15" s="28" t="str">
        <f>HYPERLINK(_xlfn.CONCAT("#'", B15, "'!A1"), "Go to Sheet")</f>
        <v>Go to Sheet</v>
      </c>
      <c r="D15" s="29"/>
      <c r="E15" s="30" t="s">
        <v>1597</v>
      </c>
      <c r="F15" s="30"/>
      <c r="G15" s="30"/>
      <c r="I15" s="25">
        <v>50</v>
      </c>
      <c r="J15" s="27" t="str" cm="1">
        <f t="array" ref="J15">INDEX(LISTSHEETS,I15)</f>
        <v>1H Sword</v>
      </c>
      <c r="K15" s="28" t="str">
        <f t="shared" si="1"/>
        <v>Go to Sheet</v>
      </c>
    </row>
    <row r="16" spans="1:15" ht="21" customHeight="1" x14ac:dyDescent="0.25">
      <c r="E16" s="25">
        <v>31</v>
      </c>
      <c r="F16" s="27" t="str" cm="1">
        <f t="array" ref="F16">INDEX(LISTSHEETS,E16)</f>
        <v>Crusader</v>
      </c>
      <c r="G16" s="28" t="str">
        <f t="shared" ref="G16:G21" si="4">HYPERLINK(_xlfn.CONCAT("#'", F16, "'!A1"), "Go to Sheet")</f>
        <v>Go to Sheet</v>
      </c>
      <c r="I16" s="25">
        <v>51</v>
      </c>
      <c r="J16" s="27" t="str" cm="1">
        <f t="array" ref="J16">INDEX(LISTSHEETS,I16)</f>
        <v>1H Thrusting Sword</v>
      </c>
      <c r="K16" s="28" t="str">
        <f t="shared" si="1"/>
        <v>Go to Sheet</v>
      </c>
    </row>
    <row r="17" spans="1:11" ht="21" customHeight="1" x14ac:dyDescent="0.25">
      <c r="A17" s="31" t="s">
        <v>780</v>
      </c>
      <c r="B17" s="32"/>
      <c r="C17" s="33"/>
      <c r="E17" s="25">
        <v>32</v>
      </c>
      <c r="F17" s="27" t="str" cm="1">
        <f t="array" ref="F17">INDEX(LISTSHEETS,E17)</f>
        <v>Elder</v>
      </c>
      <c r="G17" s="28" t="str">
        <f t="shared" si="4"/>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33</v>
      </c>
      <c r="F18" s="27" t="str" cm="1">
        <f t="array" ref="F18">INDEX(LISTSHEETS,E18)</f>
        <v>Hunter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34</v>
      </c>
      <c r="F19" s="27" t="str" cm="1">
        <f t="array" ref="F19">INDEX(LISTSHEETS,E19)</f>
        <v>Redeemer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35</v>
      </c>
      <c r="F20" s="27" t="str" cm="1">
        <f t="array" ref="F20">INDEX(LISTSHEETS,E20)</f>
        <v>Shaper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36</v>
      </c>
      <c r="F21" s="27" t="str" cm="1">
        <f t="array" ref="F21">INDEX(LISTSHEETS,E21)</f>
        <v>Warlord</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row>
    <row r="23" spans="1:11" ht="21" customHeight="1" x14ac:dyDescent="0.25">
      <c r="A23" s="25">
        <v>16</v>
      </c>
      <c r="B23" s="27" t="str" cm="1">
        <f t="array" ref="B23">INDEX(LISTSHEETS,A23)</f>
        <v>Map</v>
      </c>
      <c r="C23" s="28" t="str">
        <f t="shared" si="5"/>
        <v>Go to Sheet</v>
      </c>
    </row>
    <row r="24" spans="1:11" ht="21" customHeight="1" x14ac:dyDescent="0.25">
      <c r="A24" s="25">
        <v>17</v>
      </c>
      <c r="B24" s="27" t="str" cm="1">
        <f t="array" ref="B24">INDEX(LISTSHEETS,A24)</f>
        <v>Map Fragment</v>
      </c>
      <c r="C24" s="28" t="str">
        <f t="shared" si="5"/>
        <v>Go to Sheet</v>
      </c>
    </row>
    <row r="25" spans="1:11" ht="21" customHeight="1" x14ac:dyDescent="0.25">
      <c r="A25" s="25">
        <v>18</v>
      </c>
      <c r="B25" s="27" t="str" cm="1">
        <f t="array" ref="B25">INDEX(LISTSHEETS,A25)</f>
        <v>Memory</v>
      </c>
      <c r="C25" s="28" t="str">
        <f t="shared" si="5"/>
        <v>Go to Sheet</v>
      </c>
    </row>
    <row r="26" spans="1:11" ht="21" customHeight="1" x14ac:dyDescent="0.25">
      <c r="A26" s="25">
        <v>19</v>
      </c>
      <c r="B26" s="27" t="str" cm="1">
        <f t="array" ref="B26">INDEX(LISTSHEETS,A26)</f>
        <v>Misc Map Item</v>
      </c>
      <c r="C26" s="28" t="str">
        <f t="shared" si="5"/>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topLeftCell="A67" workbookViewId="0">
      <selection activeCell="P2" sqref="P2:P115"/>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str">
        <f>Belt!N6</f>
        <v>Único</v>
      </c>
      <c r="N14" s="11" t="str">
        <f>_xlfn.CONCAT("        public string RarityUnique =&gt; """, M14, """;")</f>
        <v xml:space="preserve">        public string RarityUnique =&gt; "Único";</v>
      </c>
      <c r="O14" s="13" t="str">
        <f>Belt!P6</f>
        <v>Уникальный</v>
      </c>
      <c r="P14" s="11" t="str">
        <f>_xlfn.CONCAT("        public string RarityUnique =&gt; """, O14, """;")</f>
        <v xml:space="preserve">        public string RarityUnique =&gt; "Уникальный";</v>
      </c>
      <c r="Q14" s="13" t="e">
        <f>Belt!R6</f>
        <v>#N/A</v>
      </c>
      <c r="R14" s="11" t="e">
        <f>_xlfn.CONCAT("        public string RarityUnique =&gt; """, Q14, """;")</f>
        <v>#N/A</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str">
        <f>'Heist Brooch'!N6</f>
        <v>Raro</v>
      </c>
      <c r="N15" s="11" t="str">
        <f>_xlfn.CONCAT("        public string RarityRare =&gt; """, M15, """;")</f>
        <v xml:space="preserve">        public string RarityRare =&gt; "Raro";</v>
      </c>
      <c r="O15" s="13" t="str">
        <f>'Heist Brooch'!P6</f>
        <v>Редкий</v>
      </c>
      <c r="P15" s="11" t="str">
        <f>_xlfn.CONCAT("        public string RarityRare =&gt; """, O15, """;")</f>
        <v xml:space="preserve">        public string RarityRare =&gt; "Редкий";</v>
      </c>
      <c r="Q15" s="13" t="e">
        <f>'Heist Brooch'!R6</f>
        <v>#N/A</v>
      </c>
      <c r="R15" s="11" t="e">
        <f>_xlfn.CONCAT("        public string RarityRare =&gt; """, Q15, """;")</f>
        <v>#N/A</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str">
        <f>'Magic Utility Flask'!N6</f>
        <v>Mágico</v>
      </c>
      <c r="N16" s="11" t="str">
        <f>_xlfn.CONCAT("        public string RarityMagic =&gt; """, M16, """;")</f>
        <v xml:space="preserve">        public string RarityMagic =&gt; "Mágico";</v>
      </c>
      <c r="O16" s="13" t="str">
        <f>'Magic Utility Flask'!P6</f>
        <v>Волшебный</v>
      </c>
      <c r="P16" s="11" t="str">
        <f>_xlfn.CONCAT("        public string RarityMagic =&gt; """, O16, """;")</f>
        <v xml:space="preserve">        public string RarityMagic =&gt; "Волшебный";</v>
      </c>
      <c r="Q16" s="13" t="e">
        <f>'Magic Utility Flask'!R6</f>
        <v>#N/A</v>
      </c>
      <c r="R16" s="11" t="e">
        <f>_xlfn.CONCAT("        public string RarityMagic =&gt; """, Q16, """;")</f>
        <v>#N/A</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str">
        <f>Logbook!N6</f>
        <v>Normal</v>
      </c>
      <c r="N17" s="11" t="str">
        <f>_xlfn.CONCAT("        public string RarityNormal =&gt; """, M17, """;")</f>
        <v xml:space="preserve">        public string RarityNormal =&gt; "Normal";</v>
      </c>
      <c r="O17" s="13" t="str">
        <f>Logbook!P6</f>
        <v>Обычный</v>
      </c>
      <c r="P17" s="11" t="str">
        <f>_xlfn.CONCAT("        public string RarityNormal =&gt; """, O17, """;")</f>
        <v xml:space="preserve">        public string RarityNormal =&gt; "Обычный";</v>
      </c>
      <c r="Q17" s="13" t="e">
        <f>Logbook!R6</f>
        <v>#N/A</v>
      </c>
      <c r="R17" s="11" t="e">
        <f>_xlfn.CONCAT("        public string RarityNormal =&gt; """, Q17, """;")</f>
        <v>#N/A</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str">
        <f>'Chaos Orb'!N6</f>
        <v>Moeda</v>
      </c>
      <c r="N18" s="11" t="str">
        <f>_xlfn.CONCAT("        public string RarityCurrency =&gt; """, M18, """;")</f>
        <v xml:space="preserve">        public string RarityCurrency =&gt; "Moeda";</v>
      </c>
      <c r="O18" s="13" t="str">
        <f>'Chaos Orb'!P6</f>
        <v>Валюта</v>
      </c>
      <c r="P18" s="11" t="str">
        <f>_xlfn.CONCAT("        public string RarityCurrency =&gt; """, O18, """;")</f>
        <v xml:space="preserve">        public string RarityCurrency =&gt; "Валюта";</v>
      </c>
      <c r="Q18" s="13" t="e">
        <f>'Chaos Orb'!R6</f>
        <v>#N/A</v>
      </c>
      <c r="R18" s="11" t="e">
        <f>_xlfn.CONCAT("        public string RarityCurrency =&gt; """, Q18, """;")</f>
        <v>#N/A</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str">
        <f>'Phantasmal Gem'!L6</f>
        <v>젬</v>
      </c>
      <c r="L19" s="11" t="str">
        <f>_xlfn.CONCAT("        public string RarityGem =&gt; """, K19, """;")</f>
        <v xml:space="preserve">        public string RarityGem =&gt; "젬";</v>
      </c>
      <c r="M19" s="13" t="str">
        <f>'Phantasmal Gem'!N6</f>
        <v>Gema</v>
      </c>
      <c r="N19" s="11" t="str">
        <f>_xlfn.CONCAT("        public string RarityGem =&gt; """, M19, """;")</f>
        <v xml:space="preserve">        public string RarityGem =&gt; "Gema";</v>
      </c>
      <c r="O19" s="13" t="str">
        <f>'Phantasmal Gem'!P6</f>
        <v>Камень</v>
      </c>
      <c r="P19" s="11" t="str">
        <f>_xlfn.CONCAT("        public string RarityGem =&gt; """, O19, """;")</f>
        <v xml:space="preserve">        public string RarityGem =&gt; "Камень";</v>
      </c>
      <c r="Q19" s="13" t="e">
        <f>'Phantasmal Gem'!R6</f>
        <v>#N/A</v>
      </c>
      <c r="R19" s="11" t="e">
        <f>_xlfn.CONCAT("        public string RarityGem =&gt; """, Q19, """;")</f>
        <v>#N/A</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str">
        <f>Card!N6</f>
        <v>Carta de Adivinhação</v>
      </c>
      <c r="N20" s="11" t="str">
        <f>_xlfn.CONCAT("        public string RarityDivinationCard =&gt; """, M20, """;")</f>
        <v xml:space="preserve">        public string RarityDivinationCard =&gt; "Carta de Adivinhação";</v>
      </c>
      <c r="O20" s="13" t="str">
        <f>Card!P6</f>
        <v>Гадальная карта</v>
      </c>
      <c r="P20" s="11" t="str">
        <f>_xlfn.CONCAT("        public string RarityDivinationCard =&gt; """, O20, """;")</f>
        <v xml:space="preserve">        public string RarityDivinationCard =&gt; "Гадальная карта";</v>
      </c>
      <c r="Q20" s="13" t="e">
        <f>Card!R6</f>
        <v>#N/A</v>
      </c>
      <c r="R20" s="11" t="e">
        <f>_xlfn.CONCAT("        public string RarityDivinationCard =&gt; """, Q20, """;")</f>
        <v>#N/A</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t="str">
        <f>'Unidentified ring'!L11</f>
        <v>미확인</v>
      </c>
      <c r="L22" s="11" t="str">
        <f>_xlfn.CONCAT("        public string DescriptionUnidentified =&gt; """, K22, """;")</f>
        <v xml:space="preserve">        public string DescriptionUnidentified =&gt; "미확인";</v>
      </c>
      <c r="M22" s="13" t="str">
        <f>'Unidentified ring'!N11</f>
        <v>Não Identificado</v>
      </c>
      <c r="N22" s="11" t="str">
        <f>_xlfn.CONCAT("        public string DescriptionUnidentified =&gt; """, M22, """;")</f>
        <v xml:space="preserve">        public string DescriptionUnidentified =&gt; "Não Identificado";</v>
      </c>
      <c r="O22" s="13" t="str">
        <f>'Unidentified ring'!P11</f>
        <v>Неопознано</v>
      </c>
      <c r="P22" s="11" t="str">
        <f>_xlfn.CONCAT("        public string DescriptionUnidentified =&gt; """, O22, """;")</f>
        <v xml:space="preserve">        public string DescriptionUnidentified =&gt; "Неопознано";</v>
      </c>
      <c r="Q22" s="13">
        <f>'Unidentified ring'!R11</f>
        <v>0</v>
      </c>
      <c r="R22" s="11" t="str">
        <f>_xlfn.CONCAT("        public string DescriptionUnidentified =&gt; """, Q22, """;")</f>
        <v xml:space="preserve">        public string DescriptionUnidentified =&gt; "0";</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str">
        <f>'Life Flask'!L8</f>
        <v>퀄리티</v>
      </c>
      <c r="L23" s="11" t="str">
        <f>_xlfn.CONCAT("        public string DescriptionQuality =&gt; """, K23, """;")</f>
        <v xml:space="preserve">        public string DescriptionQuality =&gt; "퀄리티";</v>
      </c>
      <c r="M23" s="13" t="str">
        <f>'Life Flask'!N8</f>
        <v>Qualidade</v>
      </c>
      <c r="N23" s="11" t="str">
        <f>_xlfn.CONCAT("        public string DescriptionQuality =&gt; """, M23, """;")</f>
        <v xml:space="preserve">        public string DescriptionQuality =&gt; "Qualidade";</v>
      </c>
      <c r="O23" s="13" t="str">
        <f>'Life Flask'!P8</f>
        <v>Качество</v>
      </c>
      <c r="P23" s="11" t="str">
        <f>_xlfn.CONCAT("        public string DescriptionQuality =&gt; """, O23, """;")</f>
        <v xml:space="preserve">        public string DescriptionQuality =&gt; "Качество";</v>
      </c>
      <c r="Q23" s="13" t="e">
        <f>'Life Flask'!R8</f>
        <v>#N/A</v>
      </c>
      <c r="R23" s="11" t="e">
        <f>_xlfn.CONCAT("        public string DescriptionQuality =&gt; """, Q23, """;")</f>
        <v>#N/A</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t="str">
        <f>'Divergent Support Gem'!L10</f>
        <v>대체 퀄리티</v>
      </c>
      <c r="L24" s="11" t="str">
        <f>_xlfn.CONCAT("        public string DescriptionAlternateQuality =&gt; """, K24, """;")</f>
        <v xml:space="preserve">        public string DescriptionAlternateQuality =&gt; "대체 퀄리티";</v>
      </c>
      <c r="M24" s="13" t="str">
        <f>'Divergent Support Gem'!N10</f>
        <v>Qualidade Alternativa</v>
      </c>
      <c r="N24" s="11" t="str">
        <f>_xlfn.CONCAT("        public string DescriptionAlternateQuality =&gt; """, M24, """;")</f>
        <v xml:space="preserve">        public string DescriptionAlternateQuality =&gt; "Qualidade Alternativa";</v>
      </c>
      <c r="O24" s="13" t="str">
        <f>'Divergent Support Gem'!P10</f>
        <v>Изменённый эффект качества</v>
      </c>
      <c r="P24" s="11" t="str">
        <f>_xlfn.CONCAT("        public string DescriptionAlternateQuality =&gt; """, O24, """;")</f>
        <v xml:space="preserve">        public string DescriptionAlternateQuality =&gt; "Изменённый эффект качества";</v>
      </c>
      <c r="Q24" s="13">
        <f>'Divergent Support Gem'!R10</f>
        <v>0</v>
      </c>
      <c r="R24" s="11" t="str">
        <f>_xlfn.CONCAT("        public string DescriptionAlternateQuality =&gt; """, Q24, """;")</f>
        <v xml:space="preserve">        public string DescriptionAlternateQuality =&gt; "0";</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str">
        <f>'Phantasmal Gem'!L8</f>
        <v>레벨</v>
      </c>
      <c r="L25" s="11" t="str">
        <f>_xlfn.CONCAT("        public string DescriptionLevel =&gt; """, K25, """;")</f>
        <v xml:space="preserve">        public string DescriptionLevel =&gt; "레벨";</v>
      </c>
      <c r="M25" s="13" t="str">
        <f>'Phantasmal Gem'!N8</f>
        <v>Nível</v>
      </c>
      <c r="N25" s="11" t="str">
        <f>_xlfn.CONCAT("        public string DescriptionLevel =&gt; """, M25, """;")</f>
        <v xml:space="preserve">        public string DescriptionLevel =&gt; "Nível";</v>
      </c>
      <c r="O25" s="13" t="str">
        <f>'Phantasmal Gem'!P8</f>
        <v>Уровень</v>
      </c>
      <c r="P25" s="11" t="str">
        <f>_xlfn.CONCAT("        public string DescriptionLevel =&gt; """, O25, """;")</f>
        <v xml:space="preserve">        public string DescriptionLevel =&gt; "Уровень";</v>
      </c>
      <c r="Q25" s="13" t="e">
        <f>'Phantasmal Gem'!R8</f>
        <v>#N/A</v>
      </c>
      <c r="R25" s="11" t="e">
        <f>_xlfn.CONCAT("        public string DescriptionLevel =&gt; """, Q25, """;")</f>
        <v>#N/A</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t="str">
        <f>'Anomalous Gem'!L27</f>
        <v>타락</v>
      </c>
      <c r="L26" s="11" t="str">
        <f>_xlfn.CONCAT("        public string DescriptionCorrupted =&gt; """, K26, """;")</f>
        <v xml:space="preserve">        public string DescriptionCorrupted =&gt; "타락";</v>
      </c>
      <c r="M26" s="13" t="str">
        <f>'Anomalous Gem'!N27</f>
        <v>Corrompido</v>
      </c>
      <c r="N26" s="11" t="str">
        <f>_xlfn.CONCAT("        public string DescriptionCorrupted =&gt; """, M26, """;")</f>
        <v xml:space="preserve">        public string DescriptionCorrupted =&gt; "Corrompido";</v>
      </c>
      <c r="O26" s="13" t="str">
        <f>'Anomalous Gem'!P27</f>
        <v>Осквернено</v>
      </c>
      <c r="P26" s="11" t="str">
        <f>_xlfn.CONCAT("        public string DescriptionCorrupted =&gt; """, O26, """;")</f>
        <v xml:space="preserve">        public string DescriptionCorrupted =&gt; "Осквернено";</v>
      </c>
      <c r="Q26" s="13">
        <f>'Anomalous Gem'!R27</f>
        <v>0</v>
      </c>
      <c r="R26" s="11" t="str">
        <f>_xlfn.CONCAT("        public string DescriptionCorrupted =&gt; """, Q26, """;")</f>
        <v xml:space="preserve">        public string DescriptionCorrupted =&gt; "0";</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e">
        <f>'White Wind'!R20</f>
        <v>#N/A</v>
      </c>
      <c r="R27" s="11" t="e">
        <f>_xlfn.CONCAT("        public string DescriptionSockets =&gt; """, Q27, """;")</f>
        <v>#N/A</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e">
        <f>'White Wind'!R22</f>
        <v>#N/A</v>
      </c>
      <c r="R28" s="11" t="e">
        <f>_xlfn.CONCAT("        public string DescriptionItemLevel =&gt; """, Q28, """;")</f>
        <v>#N/A</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str">
        <f>'Phantasmal Gem'!L28</f>
        <v>경험치</v>
      </c>
      <c r="L29" s="11" t="str">
        <f>_xlfn.CONCAT("        public string DescriptionExperience =&gt; """, K29, """;")</f>
        <v xml:space="preserve">        public string DescriptionExperience =&gt; "경험치";</v>
      </c>
      <c r="M29" s="13" t="str">
        <f>'Phantasmal Gem'!N28</f>
        <v>Experiência</v>
      </c>
      <c r="N29" s="11" t="str">
        <f>_xlfn.CONCAT("        public string DescriptionExperience =&gt; """, M29, """;")</f>
        <v xml:space="preserve">        public string DescriptionExperience =&gt; "Experiência";</v>
      </c>
      <c r="O29" s="13" t="str">
        <f>'Phantasmal Gem'!P28</f>
        <v>Опыт</v>
      </c>
      <c r="P29" s="11" t="str">
        <f>_xlfn.CONCAT("        public string DescriptionExperience =&gt; """, O29, """;")</f>
        <v xml:space="preserve">        public string DescriptionExperience =&gt; "Опыт";</v>
      </c>
      <c r="Q29" s="13" t="e">
        <f>'Phantasmal Gem'!R28</f>
        <v>#N/A</v>
      </c>
      <c r="R29" s="11" t="e">
        <f>_xlfn.CONCAT("        public string DescriptionExperience =&gt; """, Q29, """;")</f>
        <v>#N/A</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e">
        <f>'White Wind'!R9</f>
        <v>#N/A</v>
      </c>
      <c r="R30" s="11" t="e">
        <f>_xlfn.CONCAT("        public string DescriptionPhysicalDamage =&gt; """, Q30, """;")</f>
        <v>#N/A</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e">
        <f>'White Wind'!R10</f>
        <v>#N/A</v>
      </c>
      <c r="R31" s="11" t="e">
        <f>_xlfn.CONCAT("        public string DescriptionElementalDamage =&gt; """, Q31, """;")</f>
        <v>#N/A</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str">
        <f>'Carcass Jack'!L9</f>
        <v>에너지 보호막</v>
      </c>
      <c r="L32" s="11" t="str">
        <f>_xlfn.CONCAT("        public string DescriptionEnergyShield =&gt; """, K32, """;")</f>
        <v xml:space="preserve">        public string DescriptionEnergyShield =&gt; "에너지 보호막";</v>
      </c>
      <c r="M32" s="13" t="str">
        <f>'Carcass Jack'!N9</f>
        <v>Escudo de Energia</v>
      </c>
      <c r="N32" s="11" t="str">
        <f>_xlfn.CONCAT("        public string DescriptionEnergyShield =&gt; """, M32, """;")</f>
        <v xml:space="preserve">        public string DescriptionEnergyShield =&gt; "Escudo de Energia";</v>
      </c>
      <c r="O32" s="13" t="str">
        <f>'Carcass Jack'!P9</f>
        <v>Энерг. щит</v>
      </c>
      <c r="P32" s="11" t="str">
        <f>_xlfn.CONCAT("        public string DescriptionEnergyShield =&gt; """, O32, """;")</f>
        <v xml:space="preserve">        public string DescriptionEnergyShield =&gt; "Энерг. щит";</v>
      </c>
      <c r="Q32" s="13" t="e">
        <f>'Carcass Jack'!R9</f>
        <v>#N/A</v>
      </c>
      <c r="R32" s="11" t="e">
        <f>_xlfn.CONCAT("        public string DescriptionEnergyShield =&gt; """, Q32, """;")</f>
        <v>#N/A</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str">
        <f>Abyssus!L8</f>
        <v>방어도</v>
      </c>
      <c r="L33" s="11" t="str">
        <f>_xlfn.CONCAT("        public string DescriptionArmour =&gt; """, K33, """;")</f>
        <v xml:space="preserve">        public string DescriptionArmour =&gt; "방어도";</v>
      </c>
      <c r="M33" s="13" t="str">
        <f>Abyssus!N8</f>
        <v>Armadura</v>
      </c>
      <c r="N33" s="11" t="str">
        <f>_xlfn.CONCAT("        public string DescriptionArmour =&gt; """, M33, """;")</f>
        <v xml:space="preserve">        public string DescriptionArmour =&gt; "Armadura";</v>
      </c>
      <c r="O33" s="13" t="str">
        <f>Abyssus!P8</f>
        <v>Броня</v>
      </c>
      <c r="P33" s="11" t="str">
        <f>_xlfn.CONCAT("        public string DescriptionArmour =&gt; """, O33, """;")</f>
        <v xml:space="preserve">        public string DescriptionArmour =&gt; "Броня";</v>
      </c>
      <c r="Q33" s="13" t="e">
        <f>Abyssus!R8</f>
        <v>#N/A</v>
      </c>
      <c r="R33" s="11" t="e">
        <f>_xlfn.CONCAT("        public string DescriptionArmour =&gt; """, Q33, """;")</f>
        <v>#N/A</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str">
        <f>'Carcass Jack'!L8</f>
        <v>회피</v>
      </c>
      <c r="L34" s="11" t="str">
        <f>_xlfn.CONCAT("        public string DescriptionEvasion =&gt; """, K34, """;")</f>
        <v xml:space="preserve">        public string DescriptionEvasion =&gt; "회피";</v>
      </c>
      <c r="M34" s="13" t="str">
        <f>'Carcass Jack'!N8</f>
        <v>Evasão</v>
      </c>
      <c r="N34" s="11" t="str">
        <f>_xlfn.CONCAT("        public string DescriptionEvasion =&gt; """, M34, """;")</f>
        <v xml:space="preserve">        public string DescriptionEvasion =&gt; "Evasão";</v>
      </c>
      <c r="O34" s="13" t="str">
        <f>'Carcass Jack'!P8</f>
        <v>Уклонение</v>
      </c>
      <c r="P34" s="11" t="str">
        <f>_xlfn.CONCAT("        public string DescriptionEvasion =&gt; """, O34, """;")</f>
        <v xml:space="preserve">        public string DescriptionEvasion =&gt; "Уклонение";</v>
      </c>
      <c r="Q34" s="13" t="e">
        <f>'Carcass Jack'!R8</f>
        <v>#N/A</v>
      </c>
      <c r="R34" s="11" t="e">
        <f>_xlfn.CONCAT("        public string DescriptionEvasion =&gt; """, Q34, """;")</f>
        <v>#N/A</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str">
        <f>Mistwall!L8</f>
        <v>막기 확률</v>
      </c>
      <c r="L35" s="11" t="str">
        <f>_xlfn.CONCAT("        public string DescriptionChanceToBlock =&gt; """, K35, """;")</f>
        <v xml:space="preserve">        public string DescriptionChanceToBlock =&gt; "막기 확률";</v>
      </c>
      <c r="M35" s="13" t="str">
        <f>Mistwall!N8</f>
        <v>Chance de Bloquear</v>
      </c>
      <c r="N35" s="11" t="str">
        <f>_xlfn.CONCAT("        public string DescriptionChanceToBlock =&gt; """, M35, """;")</f>
        <v xml:space="preserve">        public string DescriptionChanceToBlock =&gt; "Chance de Bloquear";</v>
      </c>
      <c r="O35" s="13" t="str">
        <f>Mistwall!P8</f>
        <v>Шанс заблокировать удар</v>
      </c>
      <c r="P35" s="11" t="str">
        <f>_xlfn.CONCAT("        public string DescriptionChanceToBlock =&gt; """, O35, """;")</f>
        <v xml:space="preserve">        public string DescriptionChanceToBlock =&gt; "Шанс заблокировать удар";</v>
      </c>
      <c r="Q35" s="13" t="e">
        <f>Mistwall!R8</f>
        <v>#N/A</v>
      </c>
      <c r="R35" s="11" t="e">
        <f>_xlfn.CONCAT("        public string DescriptionChanceToBlock =&gt; """, Q35, """;")</f>
        <v>#N/A</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str">
        <f>'White Wind'!L12</f>
        <v>초당 공격 횟수</v>
      </c>
      <c r="L36" s="11" t="str">
        <f>_xlfn.CONCAT("        public string DescriptionAttacksPerSecond =&gt; """, K36, """;")</f>
        <v xml:space="preserve">        public string DescriptionAttacksPerSecond =&gt; "초당 공격 횟수";</v>
      </c>
      <c r="M36" s="13" t="str">
        <f>'White Wind'!N12</f>
        <v>Ataques por Segundo</v>
      </c>
      <c r="N36" s="11" t="str">
        <f>_xlfn.CONCAT("        public string DescriptionAttacksPerSecond =&gt; """, M36, """;")</f>
        <v xml:space="preserve">        public string DescriptionAttacksPerSecond =&gt; "Ataques por Segundo";</v>
      </c>
      <c r="O36" s="13" t="str">
        <f>'White Wind'!P12</f>
        <v>Атак в секунду</v>
      </c>
      <c r="P36" s="11" t="str">
        <f>_xlfn.CONCAT("        public string DescriptionAttacksPerSecond =&gt; """, O36, """;")</f>
        <v xml:space="preserve">        public string DescriptionAttacksPerSecond =&gt; "Атак в секунду";</v>
      </c>
      <c r="Q36" s="13" t="e">
        <f>'White Wind'!R12</f>
        <v>#N/A</v>
      </c>
      <c r="R36" s="11" t="e">
        <f>_xlfn.CONCAT("        public string DescriptionAttacksPerSecond =&gt; """, Q36, """;")</f>
        <v>#N/A</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str">
        <f>'White Wind'!L11</f>
        <v>치명타 확률</v>
      </c>
      <c r="L37" s="11" t="str">
        <f>_xlfn.CONCAT("        public string DescriptionCriticalStrikeChance =&gt; """, K37, """;")</f>
        <v xml:space="preserve">        public string DescriptionCriticalStrikeChance =&gt; "치명타 확률";</v>
      </c>
      <c r="M37" s="13" t="str">
        <f>'White Wind'!N11</f>
        <v>Chance de Crítico</v>
      </c>
      <c r="N37" s="11" t="str">
        <f>_xlfn.CONCAT("        public string DescriptionCriticalStrikeChance =&gt; """, M37, """;")</f>
        <v xml:space="preserve">        public string DescriptionCriticalStrikeChance =&gt; "Chance de Crítico";</v>
      </c>
      <c r="O37" s="13" t="str">
        <f>'White Wind'!P11</f>
        <v>Шанс критического удара</v>
      </c>
      <c r="P37" s="11" t="str">
        <f>_xlfn.CONCAT("        public string DescriptionCriticalStrikeChance =&gt; """, O37, """;")</f>
        <v xml:space="preserve">        public string DescriptionCriticalStrikeChance =&gt; "Шанс критического удара";</v>
      </c>
      <c r="Q37" s="13" t="e">
        <f>'White Wind'!R11</f>
        <v>#N/A</v>
      </c>
      <c r="R37" s="11" t="e">
        <f>_xlfn.CONCAT("        public string DescriptionCriticalStrikeChance =&gt; """, Q37, """;")</f>
        <v>#N/A</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str">
        <f>'Blighted Map'!L7</f>
        <v>지도 등급</v>
      </c>
      <c r="L38" s="11" t="str">
        <f>_xlfn.CONCAT("        public string DescriptionMapTier =&gt; """, K38, """;")</f>
        <v xml:space="preserve">        public string DescriptionMapTier =&gt; "지도 등급";</v>
      </c>
      <c r="M38" s="13" t="str">
        <f>'Blighted Map'!N7</f>
        <v>Tier do Mapa</v>
      </c>
      <c r="N38" s="11" t="str">
        <f>_xlfn.CONCAT("        public string DescriptionMapTier =&gt; """, M38, """;")</f>
        <v xml:space="preserve">        public string DescriptionMapTier =&gt; "Tier do Mapa";</v>
      </c>
      <c r="O38" s="13" t="str">
        <f>'Blighted Map'!P7</f>
        <v>Уровень карты</v>
      </c>
      <c r="P38" s="11" t="str">
        <f>_xlfn.CONCAT("        public string DescriptionMapTier =&gt; """, O38, """;")</f>
        <v xml:space="preserve">        public string DescriptionMapTier =&gt; "Уровень карты";</v>
      </c>
      <c r="Q38" s="13" t="e">
        <f>'Blighted Map'!R7</f>
        <v>#N/A</v>
      </c>
      <c r="R38" s="11" t="e">
        <f>_xlfn.CONCAT("        public string DescriptionMapTier =&gt; """, Q38, """;")</f>
        <v>#N/A</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str">
        <f>Map!L8</f>
        <v>아이템 수량</v>
      </c>
      <c r="L39" s="11" t="str">
        <f>_xlfn.CONCAT("        public string DescriptionItemQuantity =&gt; """, K39, """;")</f>
        <v xml:space="preserve">        public string DescriptionItemQuantity =&gt; "아이템 수량";</v>
      </c>
      <c r="M39" s="13" t="str">
        <f>Map!N8</f>
        <v>Quantidade de Itens</v>
      </c>
      <c r="N39" s="11" t="str">
        <f>_xlfn.CONCAT("        public string DescriptionItemQuantity =&gt; """, M39, """;")</f>
        <v xml:space="preserve">        public string DescriptionItemQuantity =&gt; "Quantidade de Itens";</v>
      </c>
      <c r="O39" s="13" t="str">
        <f>Map!P8</f>
        <v>Количество предметов</v>
      </c>
      <c r="P39" s="11" t="str">
        <f>_xlfn.CONCAT("        public string DescriptionItemQuantity =&gt; """, O39, """;")</f>
        <v xml:space="preserve">        public string DescriptionItemQuantity =&gt; "Количество предметов";</v>
      </c>
      <c r="Q39" s="13" t="e">
        <f>Map!R8</f>
        <v>#N/A</v>
      </c>
      <c r="R39" s="11" t="e">
        <f>_xlfn.CONCAT("        public string DescriptionItemQuantity =&gt; """, Q39, """;")</f>
        <v>#N/A</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str">
        <f>Map!L9</f>
        <v>아이템 희귀도</v>
      </c>
      <c r="L40" s="11" t="str">
        <f>_xlfn.CONCAT("        public string DescriptionItemRarity =&gt; """, K40, """;")</f>
        <v xml:space="preserve">        public string DescriptionItemRarity =&gt; "아이템 희귀도";</v>
      </c>
      <c r="M40" s="13" t="str">
        <f>Map!N9</f>
        <v>Raridade de Itens</v>
      </c>
      <c r="N40" s="11" t="str">
        <f>_xlfn.CONCAT("        public string DescriptionItemRarity =&gt; """, M40, """;")</f>
        <v xml:space="preserve">        public string DescriptionItemRarity =&gt; "Raridade de Itens";</v>
      </c>
      <c r="O40" s="13" t="str">
        <f>Map!P9</f>
        <v>Редкость предметов</v>
      </c>
      <c r="P40" s="11" t="str">
        <f>_xlfn.CONCAT("        public string DescriptionItemRarity =&gt; """, O40, """;")</f>
        <v xml:space="preserve">        public string DescriptionItemRarity =&gt; "Редкость предметов";</v>
      </c>
      <c r="Q40" s="13" t="e">
        <f>Map!R9</f>
        <v>#N/A</v>
      </c>
      <c r="R40" s="11" t="e">
        <f>_xlfn.CONCAT("        public string DescriptionItemRarity =&gt; """, Q40, """;")</f>
        <v>#N/A</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str">
        <f>Map!L10</f>
        <v>몬스터 무리 규모</v>
      </c>
      <c r="L41" s="11" t="str">
        <f>_xlfn.CONCAT("        public string DescriptionMonsterPackSize =&gt; """, K41, """;")</f>
        <v xml:space="preserve">        public string DescriptionMonsterPackSize =&gt; "몬스터 무리 규모";</v>
      </c>
      <c r="M41" s="13" t="str">
        <f>Map!N10</f>
        <v>Tamanho do Grupo de Monstros</v>
      </c>
      <c r="N41" s="11" t="str">
        <f>_xlfn.CONCAT("        public string DescriptionMonsterPackSize =&gt; """, M41, """;")</f>
        <v xml:space="preserve">        public string DescriptionMonsterPackSize =&gt; "Tamanho do Grupo de Monstros";</v>
      </c>
      <c r="O41" s="13" t="str">
        <f>Map!P10</f>
        <v>Размер групп монстров</v>
      </c>
      <c r="P41" s="11" t="str">
        <f>_xlfn.CONCAT("        public string DescriptionMonsterPackSize =&gt; """, O41, """;")</f>
        <v xml:space="preserve">        public string DescriptionMonsterPackSize =&gt; "Размер групп монстров";</v>
      </c>
      <c r="Q41" s="13" t="e">
        <f>Map!R10</f>
        <v>#N/A</v>
      </c>
      <c r="R41" s="11" t="e">
        <f>_xlfn.CONCAT("        public string DescriptionMonsterPackSize =&gt; """, Q41, """;")</f>
        <v>#N/A</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str">
        <f>'White Wind'!L15</f>
        <v>요구사항</v>
      </c>
      <c r="L42" s="11" t="str">
        <f>_xlfn.CONCAT("        public string DescriptionRequirements =&gt; """, K42, """;")</f>
        <v xml:space="preserve">        public string DescriptionRequirements =&gt; "요구사항";</v>
      </c>
      <c r="M42" s="13" t="str">
        <f>'White Wind'!N15</f>
        <v>Requisitos</v>
      </c>
      <c r="N42" s="11" t="str">
        <f>_xlfn.CONCAT("        public string DescriptionRequirements =&gt; """, M42, """;")</f>
        <v xml:space="preserve">        public string DescriptionRequirements =&gt; "Requisitos";</v>
      </c>
      <c r="O42" s="13" t="str">
        <f>'White Wind'!P15</f>
        <v>Требования</v>
      </c>
      <c r="P42" s="11" t="str">
        <f>_xlfn.CONCAT("        public string DescriptionRequirements =&gt; """, O42, """;")</f>
        <v xml:space="preserve">        public string DescriptionRequirements =&gt; "Требования";</v>
      </c>
      <c r="Q42" s="13" t="e">
        <f>'White Wind'!R15</f>
        <v>#N/A</v>
      </c>
      <c r="R42" s="11" t="e">
        <f>_xlfn.CONCAT("        public string DescriptionRequirements =&gt; """, Q42, """;")</f>
        <v>#N/A</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str">
        <f>Logbook!L7</f>
        <v>지역 레벨</v>
      </c>
      <c r="L43" s="11" t="str">
        <f>_xlfn.CONCAT("        public string DescriptionAreaLevel =&gt; """, K43, """;")</f>
        <v xml:space="preserve">        public string DescriptionAreaLevel =&gt; "지역 레벨";</v>
      </c>
      <c r="M43" s="13" t="str">
        <f>Logbook!N7</f>
        <v>Nível da Área</v>
      </c>
      <c r="N43" s="11" t="str">
        <f>_xlfn.CONCAT("        public string DescriptionAreaLevel =&gt; """, M43, """;")</f>
        <v xml:space="preserve">        public string DescriptionAreaLevel =&gt; "Nível da Área";</v>
      </c>
      <c r="O43" s="13" t="str">
        <f>Logbook!P7</f>
        <v>Уровень области</v>
      </c>
      <c r="P43" s="11" t="str">
        <f>_xlfn.CONCAT("        public string DescriptionAreaLevel =&gt; """, O43, """;")</f>
        <v xml:space="preserve">        public string DescriptionAreaLevel =&gt; "Уровень области";</v>
      </c>
      <c r="Q43" s="13" t="e">
        <f>Logbook!R7</f>
        <v>#N/A</v>
      </c>
      <c r="R43" s="11" t="e">
        <f>_xlfn.CONCAT("        public string DescriptionAreaLevel =&gt; """, Q43, """;")</f>
        <v>#N/A</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str">
        <f>'Life Flask'!L7</f>
        <v>상</v>
      </c>
      <c r="L45" s="11" t="str">
        <f>_xlfn.CONCAT("        public string AffixSuperior =&gt; """, K45, """;")</f>
        <v xml:space="preserve">        public string AffixSuperior =&gt; "상";</v>
      </c>
      <c r="M45" s="13" t="str">
        <f>'Life Flask'!N7</f>
        <v>Superior</v>
      </c>
      <c r="N45" s="11" t="str">
        <f>_xlfn.CONCAT("        public string AffixSuperior =&gt; """, M45, """;")</f>
        <v xml:space="preserve">        public string AffixSuperior =&gt; "Superior";</v>
      </c>
      <c r="O45" s="13" t="str">
        <f>'Life Flask'!P7</f>
        <v>высокого качества</v>
      </c>
      <c r="P45" s="11" t="str">
        <f>_xlfn.CONCAT("        public string AffixSuperior =&gt; """, O45, """;")</f>
        <v xml:space="preserve">        public string AffixSuperior =&gt; "высокого качества";</v>
      </c>
      <c r="Q45" s="13" t="e">
        <f>'Life Flask'!R7</f>
        <v>#N/A</v>
      </c>
      <c r="R45" s="11" t="e">
        <f>_xlfn.CONCAT("        public string AffixSuperior =&gt; """, Q45, """;")</f>
        <v>#N/A</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str">
        <f>'Blighted Map'!L10</f>
        <v>역병</v>
      </c>
      <c r="L46" s="11" t="str">
        <f>_xlfn.CONCAT("        public string AffixBlighted =&gt; """, K46, """;")</f>
        <v xml:space="preserve">        public string AffixBlighted =&gt; "역병";</v>
      </c>
      <c r="M46" s="13" t="str">
        <f>'Blighted Map'!N10</f>
        <v>Infestado</v>
      </c>
      <c r="N46" s="11" t="str">
        <f>_xlfn.CONCAT("        public string AffixBlighted =&gt; """, M46, """;")</f>
        <v xml:space="preserve">        public string AffixBlighted =&gt; "Infestado";</v>
      </c>
      <c r="O46" s="13" t="str">
        <f>'Blighted Map'!P10</f>
        <v>Заражённая</v>
      </c>
      <c r="P46" s="11" t="str">
        <f>_xlfn.CONCAT("        public string AffixBlighted =&gt; """, O46, """;")</f>
        <v xml:space="preserve">        public string AffixBlighted =&gt; "Заражённая";</v>
      </c>
      <c r="Q46" s="13" t="e">
        <f>'Blighted Map'!R10</f>
        <v>#N/A</v>
      </c>
      <c r="R46" s="11" t="e">
        <f>_xlfn.CONCAT("        public string AffixBlighted =&gt; """, Q46, """;")</f>
        <v>#N/A</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str">
        <f>'Blight-ravaged Map'!L7</f>
        <v>역병에 유린당한</v>
      </c>
      <c r="L47" s="11" t="str">
        <f>_xlfn.CONCAT("        public string AffixBlightRavaged =&gt; """, K47, """;")</f>
        <v xml:space="preserve">        public string AffixBlightRavaged =&gt; "역병에 유린당한";</v>
      </c>
      <c r="M47" s="13" t="str">
        <f>'Blight-ravaged Map'!N7</f>
        <v>Devastado</v>
      </c>
      <c r="N47" s="11" t="str">
        <f>_xlfn.CONCAT("        public string AffixBlightRavaged =&gt; """, M47, """;")</f>
        <v xml:space="preserve">        public string AffixBlightRavaged =&gt; "Devastado";</v>
      </c>
      <c r="O47" s="13" t="str">
        <f>'Blight-ravaged Map'!P7</f>
        <v>Разорённая Скверной</v>
      </c>
      <c r="P47" s="11" t="str">
        <f>_xlfn.CONCAT("        public string AffixBlightRavaged =&gt; """, O47, """;")</f>
        <v xml:space="preserve">        public string AffixBlightRavaged =&gt; "Разорённая Скверной";</v>
      </c>
      <c r="Q47" s="13" t="e">
        <f>'Blight-ravaged Map'!R7</f>
        <v>#N/A</v>
      </c>
      <c r="R47" s="11" t="e">
        <f>_xlfn.CONCAT("        public string AffixBlightRavaged =&gt; """, Q47, """;")</f>
        <v>#N/A</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str">
        <f>'Anomalous Gem'!L7</f>
        <v>기묘한</v>
      </c>
      <c r="L48" s="11" t="str">
        <f>_xlfn.CONCAT("        public string AffixAnomalous =&gt; """, K48, """;")</f>
        <v xml:space="preserve">        public string AffixAnomalous =&gt; "기묘한";</v>
      </c>
      <c r="M48" s="13" t="str">
        <f>'Anomalous Gem'!N7</f>
        <v>Anômalo</v>
      </c>
      <c r="N48" s="11" t="str">
        <f>_xlfn.CONCAT("        public string AffixAnomalous =&gt; """, M48, """;")</f>
        <v xml:space="preserve">        public string AffixAnomalous =&gt; "Anômalo";</v>
      </c>
      <c r="O48" s="13" t="str">
        <f>'Anomalous Gem'!P7</f>
        <v>Аномальный:</v>
      </c>
      <c r="P48" s="11" t="str">
        <f>_xlfn.CONCAT("        public string AffixAnomalous =&gt; """, O48, """;")</f>
        <v xml:space="preserve">        public string AffixAnomalous =&gt; "Аномальный:";</v>
      </c>
      <c r="Q48" s="13" t="e">
        <f>'Anomalous Gem'!R7</f>
        <v>#N/A</v>
      </c>
      <c r="R48" s="11" t="e">
        <f>_xlfn.CONCAT("        public string AffixAnomalous =&gt; """, Q48, """;")</f>
        <v>#N/A</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str">
        <f>'Divergent Support Gem'!L7</f>
        <v>분기하는</v>
      </c>
      <c r="L49" s="11" t="str">
        <f>_xlfn.CONCAT("        public string AffixDivergent =&gt; """, K49, """;")</f>
        <v xml:space="preserve">        public string AffixDivergent =&gt; "분기하는";</v>
      </c>
      <c r="M49" s="13" t="str">
        <f>'Divergent Support Gem'!N7</f>
        <v>Divergente</v>
      </c>
      <c r="N49" s="11" t="str">
        <f>_xlfn.CONCAT("        public string AffixDivergent =&gt; """, M49, """;")</f>
        <v xml:space="preserve">        public string AffixDivergent =&gt; "Divergente";</v>
      </c>
      <c r="O49" s="13" t="str">
        <f>'Divergent Support Gem'!P7</f>
        <v>Искривлённый:</v>
      </c>
      <c r="P49" s="11" t="str">
        <f>_xlfn.CONCAT("        public string AffixDivergent =&gt; """, O49, """;")</f>
        <v xml:space="preserve">        public string AffixDivergent =&gt; "Искривлённый:";</v>
      </c>
      <c r="Q49" s="13" t="e">
        <f>'Divergent Support Gem'!R7</f>
        <v>#N/A</v>
      </c>
      <c r="R49" s="11" t="e">
        <f>_xlfn.CONCAT("        public string AffixDivergent =&gt; """, Q49, """;")</f>
        <v>#N/A</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str">
        <f>'Phantasmal Gem'!L7</f>
        <v>환영의</v>
      </c>
      <c r="L50" s="11" t="str">
        <f>_xlfn.CONCAT("        public string AffixPhantasmal =&gt; """, K50, """;")</f>
        <v xml:space="preserve">        public string AffixPhantasmal =&gt; "환영의";</v>
      </c>
      <c r="M50" s="13" t="str">
        <f>'Phantasmal Gem'!N7</f>
        <v>Fantasmal</v>
      </c>
      <c r="N50" s="11" t="str">
        <f>_xlfn.CONCAT("        public string AffixPhantasmal =&gt; """, M50, """;")</f>
        <v xml:space="preserve">        public string AffixPhantasmal =&gt; "Fantasmal";</v>
      </c>
      <c r="O50" s="13" t="str">
        <f>'Phantasmal Gem'!P7</f>
        <v>Фантомный:</v>
      </c>
      <c r="P50" s="11" t="str">
        <f>_xlfn.CONCAT("        public string AffixPhantasmal =&gt; """, O50, """;")</f>
        <v xml:space="preserve">        public string AffixPhantasmal =&gt; "Фантомный:";</v>
      </c>
      <c r="Q50" s="13" t="e">
        <f>'Phantasmal Gem'!R7</f>
        <v>#N/A</v>
      </c>
      <c r="R50" s="11" t="e">
        <f>_xlfn.CONCAT("        public string AffixPhantasmal =&gt; """, Q50, """;")</f>
        <v>#N/A</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t="str">
        <f>Shaper!L23</f>
        <v>쉐이퍼 아이템</v>
      </c>
      <c r="L52" s="11" t="str">
        <f>_xlfn.CONCAT("        public string InfluenceShaper =&gt; """, K52, """;")</f>
        <v xml:space="preserve">        public string InfluenceShaper =&gt; "쉐이퍼 아이템";</v>
      </c>
      <c r="M52" s="13" t="str">
        <f>Shaper!N23</f>
        <v>Item do Criador</v>
      </c>
      <c r="N52" s="11" t="str">
        <f>_xlfn.CONCAT("        public string InfluenceShaper =&gt; """, M52, """;")</f>
        <v xml:space="preserve">        public string InfluenceShaper =&gt; "Item do Criador";</v>
      </c>
      <c r="O52" s="13" t="str">
        <f>Shaper!P23</f>
        <v>Предмет Создателя</v>
      </c>
      <c r="P52" s="11" t="str">
        <f>_xlfn.CONCAT("        public string InfluenceShaper =&gt; """, O52, """;")</f>
        <v xml:space="preserve">        public string InfluenceShaper =&gt; "Предмет Создателя";</v>
      </c>
      <c r="Q52" s="13">
        <f>Shaper!R23</f>
        <v>0</v>
      </c>
      <c r="R52" s="11" t="str">
        <f>_xlfn.CONCAT("        public string InfluenceShaper =&gt; """, Q52, """;")</f>
        <v xml:space="preserve">        public string InfluenceShaper =&gt; "0";</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t="str">
        <f>Elder!L27</f>
        <v>엘더 아이템</v>
      </c>
      <c r="L53" s="11" t="str">
        <f>_xlfn.CONCAT("        public string InfluenceElder =&gt; """, K53, """;")</f>
        <v xml:space="preserve">        public string InfluenceElder =&gt; "엘더 아이템";</v>
      </c>
      <c r="M53" s="13" t="str">
        <f>Elder!N27</f>
        <v>Item do Ancião</v>
      </c>
      <c r="N53" s="11" t="str">
        <f>_xlfn.CONCAT("        public string InfluenceElder =&gt; """, M53, """;")</f>
        <v xml:space="preserve">        public string InfluenceElder =&gt; "Item do Ancião";</v>
      </c>
      <c r="O53" s="13" t="str">
        <f>Elder!P27</f>
        <v>Древний предмет</v>
      </c>
      <c r="P53" s="11" t="str">
        <f>_xlfn.CONCAT("        public string InfluenceElder =&gt; """, O53, """;")</f>
        <v xml:space="preserve">        public string InfluenceElder =&gt; "Древний предмет";</v>
      </c>
      <c r="Q53" s="13">
        <f>Elder!R27</f>
        <v>0</v>
      </c>
      <c r="R53" s="11" t="str">
        <f>_xlfn.CONCAT("        public string InfluenceElder =&gt; """, Q53, """;")</f>
        <v xml:space="preserve">        public string InfluenceElder =&gt; "0";</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t="str">
        <f>Crusader!L20</f>
        <v>십자군 아이템</v>
      </c>
      <c r="L54" s="11" t="str">
        <f>_xlfn.CONCAT("        public string InfluenceCrusader =&gt; """, K54, """;")</f>
        <v xml:space="preserve">        public string InfluenceCrusader =&gt; "십자군 아이템";</v>
      </c>
      <c r="M54" s="13" t="str">
        <f>Crusader!N20</f>
        <v>Item do Cruzado</v>
      </c>
      <c r="N54" s="11" t="str">
        <f>_xlfn.CONCAT("        public string InfluenceCrusader =&gt; """, M54, """;")</f>
        <v xml:space="preserve">        public string InfluenceCrusader =&gt; "Item do Cruzado";</v>
      </c>
      <c r="O54" s="13" t="str">
        <f>Crusader!P20</f>
        <v>Предмет Крестоносца</v>
      </c>
      <c r="P54" s="11" t="str">
        <f>_xlfn.CONCAT("        public string InfluenceCrusader =&gt; """, O54, """;")</f>
        <v xml:space="preserve">        public string InfluenceCrusader =&gt; "Предмет Крестоносца";</v>
      </c>
      <c r="Q54" s="13">
        <f>Crusader!R20</f>
        <v>0</v>
      </c>
      <c r="R54" s="11" t="str">
        <f>_xlfn.CONCAT("        public string InfluenceCrusader =&gt; """, Q54, """;")</f>
        <v xml:space="preserve">        public string InfluenceCrusader =&gt; "0";</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t="str">
        <f>Hunter!L23</f>
        <v>사냥꾼 아이템</v>
      </c>
      <c r="L55" s="11" t="str">
        <f>_xlfn.CONCAT("        public string InfluenceHunter =&gt; """, K55, """;")</f>
        <v xml:space="preserve">        public string InfluenceHunter =&gt; "사냥꾼 아이템";</v>
      </c>
      <c r="M55" s="13" t="str">
        <f>Hunter!N23</f>
        <v>Item do Caçador</v>
      </c>
      <c r="N55" s="11" t="str">
        <f>_xlfn.CONCAT("        public string InfluenceHunter =&gt; """, M55, """;")</f>
        <v xml:space="preserve">        public string InfluenceHunter =&gt; "Item do Caçador";</v>
      </c>
      <c r="O55" s="13" t="str">
        <f>Hunter!P23</f>
        <v>Предмет Охотника</v>
      </c>
      <c r="P55" s="11" t="str">
        <f>_xlfn.CONCAT("        public string InfluenceHunter =&gt; """, O55, """;")</f>
        <v xml:space="preserve">        public string InfluenceHunter =&gt; "Предмет Охотника";</v>
      </c>
      <c r="Q55" s="13">
        <f>Hunter!R23</f>
        <v>0</v>
      </c>
      <c r="R55" s="11" t="str">
        <f>_xlfn.CONCAT("        public string InfluenceHunter =&gt; """, Q55, """;")</f>
        <v xml:space="preserve">        public string InfluenceHunter =&gt; "0";</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t="str">
        <f>Redeemer!L21</f>
        <v>대속자 아이템</v>
      </c>
      <c r="L56" s="11" t="str">
        <f>_xlfn.CONCAT("        public string InfluenceRedeemer =&gt; """, K56, """;")</f>
        <v xml:space="preserve">        public string InfluenceRedeemer =&gt; "대속자 아이템";</v>
      </c>
      <c r="M56" s="13" t="str">
        <f>Redeemer!N21</f>
        <v>Item do Redentor</v>
      </c>
      <c r="N56" s="11" t="str">
        <f>_xlfn.CONCAT("        public string InfluenceRedeemer =&gt; """, M56, """;")</f>
        <v xml:space="preserve">        public string InfluenceRedeemer =&gt; "Item do Redentor";</v>
      </c>
      <c r="O56" s="13" t="str">
        <f>Redeemer!P21</f>
        <v>Предмет Избавительницы</v>
      </c>
      <c r="P56" s="11" t="str">
        <f>_xlfn.CONCAT("        public string InfluenceRedeemer =&gt; """, O56, """;")</f>
        <v xml:space="preserve">        public string InfluenceRedeemer =&gt; "Предмет Избавительницы";</v>
      </c>
      <c r="Q56" s="13">
        <f>Redeemer!R21</f>
        <v>0</v>
      </c>
      <c r="R56" s="11" t="str">
        <f>_xlfn.CONCAT("        public string InfluenceRedeemer =&gt; """, Q56, """;")</f>
        <v xml:space="preserve">        public string InfluenceRedeemer =&gt; "0";</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t="str">
        <f>Warlord!L24</f>
        <v>전쟁군주 아이템</v>
      </c>
      <c r="L57" s="11" t="str">
        <f>_xlfn.CONCAT("        public string InfluenceWarlord =&gt; """, K57, """;")</f>
        <v xml:space="preserve">        public string InfluenceWarlord =&gt; "전쟁군주 아이템";</v>
      </c>
      <c r="M57" s="13" t="str">
        <f>Warlord!N24</f>
        <v>Item do Senhor da Guerra</v>
      </c>
      <c r="N57" s="11" t="str">
        <f>_xlfn.CONCAT("        public string InfluenceWarlord =&gt; """, M57, """;")</f>
        <v xml:space="preserve">        public string InfluenceWarlord =&gt; "Item do Senhor da Guerra";</v>
      </c>
      <c r="O57" s="13" t="str">
        <f>Warlord!P24</f>
        <v>Предмет Вождя</v>
      </c>
      <c r="P57" s="11" t="str">
        <f>_xlfn.CONCAT("        public string InfluenceWarlord =&gt; """, O57, """;")</f>
        <v xml:space="preserve">        public string InfluenceWarlord =&gt; "Предмет Вождя";</v>
      </c>
      <c r="Q57" s="13">
        <f>Warlord!R24</f>
        <v>0</v>
      </c>
      <c r="R57" s="11" t="str">
        <f>_xlfn.CONCAT("        public string InfluenceWarlord =&gt; """, Q57, """;")</f>
        <v xml:space="preserve">        public string InfluenceWarlord =&gt; "0";</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str">
        <f>Belt!L3</f>
        <v>아이템 종류</v>
      </c>
      <c r="L61" s="11" t="str">
        <f>_xlfn.CONCAT("            Prefix = """, K61, """,")</f>
        <v xml:space="preserve">            Prefix = "아이템 종류",</v>
      </c>
      <c r="M61" s="19" t="str">
        <f>Belt!N3</f>
        <v>Classe do Item</v>
      </c>
      <c r="N61" s="11" t="str">
        <f>_xlfn.CONCAT("            Prefix = """, M61, """,")</f>
        <v xml:space="preserve">            Prefix = "Classe do Item",</v>
      </c>
      <c r="O61" s="19" t="str">
        <f>Belt!P3</f>
        <v>Класс предмета</v>
      </c>
      <c r="P61" s="11" t="str">
        <f>_xlfn.CONCAT("            Prefix = """, O61, """,")</f>
        <v xml:space="preserve">            Prefix = "Класс предмета",</v>
      </c>
      <c r="Q61" s="19" t="e">
        <f>Belt!R3</f>
        <v>#N/A</v>
      </c>
      <c r="R61" s="11" t="e">
        <f>_xlfn.CONCAT("            Prefix = """, Q61, """,")</f>
        <v>#N/A</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str">
        <f>Card!L4</f>
        <v>점술 카드</v>
      </c>
      <c r="L62" s="11" t="str">
        <f>_xlfn.CONCAT("            DivinationCard = """, K62, """,")</f>
        <v xml:space="preserve">            DivinationCard = "점술 카드",</v>
      </c>
      <c r="M62" s="19" t="str">
        <f>Card!N4</f>
        <v>Cartas de Adivinhação</v>
      </c>
      <c r="N62" s="11" t="str">
        <f>_xlfn.CONCAT("            DivinationCard = """, M62, """,")</f>
        <v xml:space="preserve">            DivinationCard = "Cartas de Adivinhação",</v>
      </c>
      <c r="O62" s="19" t="str">
        <f>Card!P4</f>
        <v>Гадальные карты</v>
      </c>
      <c r="P62" s="11" t="str">
        <f>_xlfn.CONCAT("            DivinationCard = """, O62, """,")</f>
        <v xml:space="preserve">            DivinationCard = "Гадальные карты",</v>
      </c>
      <c r="Q62" s="19" t="e">
        <f>Card!R4</f>
        <v>#N/A</v>
      </c>
      <c r="R62" s="11" t="e">
        <f>_xlfn.CONCAT("            DivinationCard = """, Q62, """,")</f>
        <v>#N/A</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str">
        <f>'Chaos Orb'!L4</f>
        <v>중첩 가능 화폐</v>
      </c>
      <c r="L63" s="11" t="str">
        <f>_xlfn.CONCAT("            StackableCurrency = """, K63, """,")</f>
        <v xml:space="preserve">            StackableCurrency = "중첩 가능 화폐",</v>
      </c>
      <c r="M63" s="19" t="str">
        <f>'Chaos Orb'!N4</f>
        <v>Moedas Empilháveis</v>
      </c>
      <c r="N63" s="11" t="str">
        <f>_xlfn.CONCAT("            StackableCurrency = """, M63, """,")</f>
        <v xml:space="preserve">            StackableCurrency = "Moedas Empilháveis",</v>
      </c>
      <c r="O63" s="19" t="str">
        <f>'Chaos Orb'!P4</f>
        <v>Валюта</v>
      </c>
      <c r="P63" s="11" t="str">
        <f>_xlfn.CONCAT("            StackableCurrency = """, O63, """,")</f>
        <v xml:space="preserve">            StackableCurrency = "Валюта",</v>
      </c>
      <c r="Q63" s="19" t="e">
        <f>'Chaos Orb'!R4</f>
        <v>#N/A</v>
      </c>
      <c r="R63" s="11" t="e">
        <f>_xlfn.CONCAT("            StackableCurrency = """, Q63, """,")</f>
        <v>#N/A</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str">
        <f>Jewel!L4</f>
        <v>주얼</v>
      </c>
      <c r="L64" s="11" t="str">
        <f>_xlfn.CONCAT("            Jewel = """, K64, """,")</f>
        <v xml:space="preserve">            Jewel = "주얼",</v>
      </c>
      <c r="M64" s="19" t="str">
        <f>Jewel!N4</f>
        <v>Joias</v>
      </c>
      <c r="N64" s="11" t="str">
        <f>_xlfn.CONCAT("            Jewel = """, M64, """,")</f>
        <v xml:space="preserve">            Jewel = "Joias",</v>
      </c>
      <c r="O64" s="19" t="str">
        <f>Jewel!P4</f>
        <v>Самоцветы</v>
      </c>
      <c r="P64" s="11" t="str">
        <f>_xlfn.CONCAT("            Jewel = """, O64, """,")</f>
        <v xml:space="preserve">            Jewel = "Самоцветы",</v>
      </c>
      <c r="Q64" s="19" t="e">
        <f>Jewel!R4</f>
        <v>#N/A</v>
      </c>
      <c r="R64" s="11" t="e">
        <f>_xlfn.CONCAT("            Jewel = """, Q64, """,")</f>
        <v>#N/A</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str">
        <f>Resonator!L4</f>
        <v>탐광 중첩 및 결합형 화폐</v>
      </c>
      <c r="L65" s="11" t="str">
        <f>_xlfn.CONCAT("            DelveStackableSocketableCurrency = """, K65, """,")</f>
        <v xml:space="preserve">            DelveStackableSocketableCurrency = "탐광 중첩 및 결합형 화폐",</v>
      </c>
      <c r="M65" s="19" t="str">
        <f>Resonator!N4</f>
        <v>Item Monetário Aglomerável e Encaixável Delve</v>
      </c>
      <c r="N65" s="11" t="str">
        <f>_xlfn.CONCAT("            DelveStackableSocketableCurrency = """, M65, """,")</f>
        <v xml:space="preserve">            DelveStackableSocketableCurrency = "Item Monetário Aglomerável e Encaixável Delve",</v>
      </c>
      <c r="O65" s="19" t="str">
        <f>Resonator!P4</f>
        <v>Валюта Спуска</v>
      </c>
      <c r="P65" s="11" t="str">
        <f>_xlfn.CONCAT("            DelveStackableSocketableCurrency = """, O65, """,")</f>
        <v xml:space="preserve">            DelveStackableSocketableCurrency = "Валюта Спуска",</v>
      </c>
      <c r="Q65" s="19" t="e">
        <f>Resonator!R4</f>
        <v>#N/A</v>
      </c>
      <c r="R65" s="11" t="e">
        <f>_xlfn.CONCAT("            DelveStackableSocketableCurrency = """, Q65, """,")</f>
        <v>#N/A</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str">
        <f>'Metamorph Sample'!L4</f>
        <v>변형 샘플</v>
      </c>
      <c r="L66" s="11" t="str">
        <f>_xlfn.CONCAT("            MetamorphSample = """, K66, """,")</f>
        <v xml:space="preserve">            MetamorphSample = "변형 샘플",</v>
      </c>
      <c r="M66" s="19" t="str">
        <f>'Metamorph Sample'!N4</f>
        <v>Amostras Metamorfas</v>
      </c>
      <c r="N66" s="11" t="str">
        <f>_xlfn.CONCAT("            MetamorphSample = """, M66, """,")</f>
        <v xml:space="preserve">            MetamorphSample = "Amostras Metamorfas",</v>
      </c>
      <c r="O66" s="19" t="str">
        <f>'Metamorph Sample'!P4</f>
        <v>Образцы Метаморфа</v>
      </c>
      <c r="P66" s="11" t="str">
        <f>_xlfn.CONCAT("            MetamorphSample = """, O66, """,")</f>
        <v xml:space="preserve">            MetamorphSample = "Образцы Метаморфа",</v>
      </c>
      <c r="Q66" s="19" t="e">
        <f>'Metamorph Sample'!R4</f>
        <v>#N/A</v>
      </c>
      <c r="R66" s="11" t="e">
        <f>_xlfn.CONCAT("            MetamorphSample = """, Q66, """,")</f>
        <v>#N/A</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str">
        <f>'Heist Tool'!L4</f>
        <v>강탈 도구</v>
      </c>
      <c r="L67" s="11" t="str">
        <f>_xlfn.CONCAT("            HeistTool = """, K67, """,")</f>
        <v xml:space="preserve">            HeistTool = "강탈 도구",</v>
      </c>
      <c r="M67" s="19" t="str">
        <f>'Heist Tool'!N4</f>
        <v>Ferramentas Heist</v>
      </c>
      <c r="N67" s="11" t="str">
        <f>_xlfn.CONCAT("            HeistTool = """, M67, """,")</f>
        <v xml:space="preserve">            HeistTool = "Ferramentas Heist",</v>
      </c>
      <c r="O67" s="19" t="str">
        <f>'Heist Tool'!P4</f>
        <v>Разбойничий инструмент</v>
      </c>
      <c r="P67" s="11" t="str">
        <f>_xlfn.CONCAT("            HeistTool = """, O67, """,")</f>
        <v xml:space="preserve">            HeistTool = "Разбойничий инструмент",</v>
      </c>
      <c r="Q67" s="19" t="e">
        <f>'Heist Tool'!R4</f>
        <v>#N/A</v>
      </c>
      <c r="R67" s="11" t="e">
        <f>_xlfn.CONCAT("            HeistTool = """, Q67, """,")</f>
        <v>#N/A</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str">
        <f>'Foiled Amulet'!L4</f>
        <v>목걸이</v>
      </c>
      <c r="L68" s="11" t="str">
        <f>_xlfn.CONCAT("            Amulet = """, K68, """,")</f>
        <v xml:space="preserve">            Amulet = "목걸이",</v>
      </c>
      <c r="M68" s="19" t="str">
        <f>'Foiled Amulet'!N4</f>
        <v>Amuletos</v>
      </c>
      <c r="N68" s="11" t="str">
        <f>_xlfn.CONCAT("            Amulet = """, M68, """,")</f>
        <v xml:space="preserve">            Amulet = "Amuletos",</v>
      </c>
      <c r="O68" s="19" t="str">
        <f>'Foiled Amulet'!P4</f>
        <v>Амулеты</v>
      </c>
      <c r="P68" s="11" t="str">
        <f>_xlfn.CONCAT("            Amulet = """, O68, """,")</f>
        <v xml:space="preserve">            Amulet = "Амулеты",</v>
      </c>
      <c r="Q68" s="19" t="e">
        <f>'Foiled Amulet'!R4</f>
        <v>#N/A</v>
      </c>
      <c r="R68" s="11" t="e">
        <f>_xlfn.CONCAT("            Amulet = """, Q68, """,")</f>
        <v>#N/A</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str">
        <f>'Unidentified ring'!L4</f>
        <v>반지</v>
      </c>
      <c r="L69" s="11" t="str">
        <f>_xlfn.CONCAT("            Ring = """, K69, """,")</f>
        <v xml:space="preserve">            Ring = "반지",</v>
      </c>
      <c r="M69" s="19" t="str">
        <f>'Unidentified ring'!N4</f>
        <v>Anéis</v>
      </c>
      <c r="N69" s="11" t="str">
        <f>_xlfn.CONCAT("            Ring = """, M69, """,")</f>
        <v xml:space="preserve">            Ring = "Anéis",</v>
      </c>
      <c r="O69" s="19" t="str">
        <f>'Unidentified ring'!P4</f>
        <v>Кольца</v>
      </c>
      <c r="P69" s="11" t="str">
        <f>_xlfn.CONCAT("            Ring = """, O69, """,")</f>
        <v xml:space="preserve">            Ring = "Кольца",</v>
      </c>
      <c r="Q69" s="19" t="e">
        <f>'Unidentified ring'!R4</f>
        <v>#N/A</v>
      </c>
      <c r="R69" s="11" t="e">
        <f>_xlfn.CONCAT("            Ring = """, Q69, """,")</f>
        <v>#N/A</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str">
        <f>Belt!L4</f>
        <v>허리띠</v>
      </c>
      <c r="L70" s="11" t="str">
        <f>_xlfn.CONCAT("            Belt = """, K70, """,")</f>
        <v xml:space="preserve">            Belt = "허리띠",</v>
      </c>
      <c r="M70" s="19" t="str">
        <f>Belt!N4</f>
        <v>Cintos</v>
      </c>
      <c r="N70" s="11" t="str">
        <f>_xlfn.CONCAT("            Belt = """, M70, """,")</f>
        <v xml:space="preserve">            Belt = "Cintos",</v>
      </c>
      <c r="O70" s="19" t="str">
        <f>Belt!P4</f>
        <v>Пояса</v>
      </c>
      <c r="P70" s="11" t="str">
        <f>_xlfn.CONCAT("            Belt = """, O70, """,")</f>
        <v xml:space="preserve">            Belt = "Пояса",</v>
      </c>
      <c r="Q70" s="19" t="e">
        <f>Belt!R4</f>
        <v>#N/A</v>
      </c>
      <c r="R70" s="11" t="e">
        <f>_xlfn.CONCAT("            Belt = """, Q70, """,")</f>
        <v>#N/A</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str">
        <f>Gloves!L4</f>
        <v>장갑</v>
      </c>
      <c r="L71" s="11" t="str">
        <f>_xlfn.CONCAT("            Gloves = """, K71, """,")</f>
        <v xml:space="preserve">            Gloves = "장갑",</v>
      </c>
      <c r="M71" s="19" t="str">
        <f>Gloves!N4</f>
        <v>Luvas</v>
      </c>
      <c r="N71" s="11" t="str">
        <f>_xlfn.CONCAT("            Gloves = """, M71, """,")</f>
        <v xml:space="preserve">            Gloves = "Luvas",</v>
      </c>
      <c r="O71" s="19" t="str">
        <f>Gloves!P4</f>
        <v>Перчатки</v>
      </c>
      <c r="P71" s="11" t="str">
        <f>_xlfn.CONCAT("            Gloves = """, O71, """,")</f>
        <v xml:space="preserve">            Gloves = "Перчатки",</v>
      </c>
      <c r="Q71" s="19" t="e">
        <f>Gloves!R4</f>
        <v>#N/A</v>
      </c>
      <c r="R71" s="11" t="e">
        <f>_xlfn.CONCAT("            Gloves = """, Q71, """,")</f>
        <v>#N/A</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str">
        <f>Boots!L4</f>
        <v>장화</v>
      </c>
      <c r="L72" s="11" t="str">
        <f>_xlfn.CONCAT("            Boots = """, K72, """,")</f>
        <v xml:space="preserve">            Boots = "장화",</v>
      </c>
      <c r="M72" s="19" t="str">
        <f>Boots!N4</f>
        <v>Botas</v>
      </c>
      <c r="N72" s="11" t="str">
        <f>_xlfn.CONCAT("            Boots = """, M72, """,")</f>
        <v xml:space="preserve">            Boots = "Botas",</v>
      </c>
      <c r="O72" s="19" t="str">
        <f>Boots!P4</f>
        <v>Обувь</v>
      </c>
      <c r="P72" s="11" t="str">
        <f>_xlfn.CONCAT("            Boots = """, O72, """,")</f>
        <v xml:space="preserve">            Boots = "Обувь",</v>
      </c>
      <c r="Q72" s="19" t="e">
        <f>Boots!R4</f>
        <v>#N/A</v>
      </c>
      <c r="R72" s="11" t="e">
        <f>_xlfn.CONCAT("            Boots = """, Q72, """,")</f>
        <v>#N/A</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str">
        <f>'Carcass Jack'!L4</f>
        <v>갑옷</v>
      </c>
      <c r="L73" s="11" t="str">
        <f>_xlfn.CONCAT("            BodyArmours = """, K73, """,")</f>
        <v xml:space="preserve">            BodyArmours = "갑옷",</v>
      </c>
      <c r="M73" s="19" t="str">
        <f>'Carcass Jack'!N4</f>
        <v>Peitorais</v>
      </c>
      <c r="N73" s="11" t="str">
        <f>_xlfn.CONCAT("            BodyArmours = """, M73, """,")</f>
        <v xml:space="preserve">            BodyArmours = "Peitorais",</v>
      </c>
      <c r="O73" s="19" t="str">
        <f>'Carcass Jack'!P4</f>
        <v>Доспехи</v>
      </c>
      <c r="P73" s="11" t="str">
        <f>_xlfn.CONCAT("            BodyArmours = """, O73, """,")</f>
        <v xml:space="preserve">            BodyArmours = "Доспехи",</v>
      </c>
      <c r="Q73" s="19" t="e">
        <f>'Carcass Jack'!R4</f>
        <v>#N/A</v>
      </c>
      <c r="R73" s="11" t="e">
        <f>_xlfn.CONCAT("            BodyArmours = """, Q73, """,")</f>
        <v>#N/A</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str">
        <f>Abyssus!L4</f>
        <v>투구</v>
      </c>
      <c r="L74" s="11" t="str">
        <f>_xlfn.CONCAT("            Helmets = """, K74, """,")</f>
        <v xml:space="preserve">            Helmets = "투구",</v>
      </c>
      <c r="M74" s="19" t="str">
        <f>Abyssus!N4</f>
        <v>Elmos</v>
      </c>
      <c r="N74" s="11" t="str">
        <f>_xlfn.CONCAT("            Helmets = """, M74, """,")</f>
        <v xml:space="preserve">            Helmets = "Elmos",</v>
      </c>
      <c r="O74" s="19" t="str">
        <f>Abyssus!P4</f>
        <v>Шлемы</v>
      </c>
      <c r="P74" s="11" t="str">
        <f>_xlfn.CONCAT("            Helmets = """, O74, """,")</f>
        <v xml:space="preserve">            Helmets = "Шлемы",</v>
      </c>
      <c r="Q74" s="19" t="e">
        <f>Abyssus!R4</f>
        <v>#N/A</v>
      </c>
      <c r="R74" s="11" t="e">
        <f>_xlfn.CONCAT("            Helmets = """, Q74, """,")</f>
        <v>#N/A</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str">
        <f>Mistwall!L4</f>
        <v>방패</v>
      </c>
      <c r="L75" s="11" t="str">
        <f>_xlfn.CONCAT("            Shields = """, K75, """,")</f>
        <v xml:space="preserve">            Shields = "방패",</v>
      </c>
      <c r="M75" s="19" t="str">
        <f>Mistwall!N4</f>
        <v>Escudos</v>
      </c>
      <c r="N75" s="11" t="str">
        <f>_xlfn.CONCAT("            Shields = """, M75, """,")</f>
        <v xml:space="preserve">            Shields = "Escudos",</v>
      </c>
      <c r="O75" s="19" t="str">
        <f>Mistwall!P4</f>
        <v>Щиты</v>
      </c>
      <c r="P75" s="11" t="str">
        <f>_xlfn.CONCAT("            Shields = """, O75, """,")</f>
        <v xml:space="preserve">            Shields = "Щиты",</v>
      </c>
      <c r="Q75" s="19" t="e">
        <f>Mistwall!R4</f>
        <v>#N/A</v>
      </c>
      <c r="R75" s="11" t="e">
        <f>_xlfn.CONCAT("            Shields = """, Q75, """,")</f>
        <v>#N/A</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str">
        <f>Quiver!L4</f>
        <v>화살통</v>
      </c>
      <c r="L76" s="11" t="str">
        <f>_xlfn.CONCAT("            Quivers = """, K76, """,")</f>
        <v xml:space="preserve">            Quivers = "화살통",</v>
      </c>
      <c r="M76" s="19" t="str">
        <f>Quiver!N4</f>
        <v>Aljavas</v>
      </c>
      <c r="N76" s="11" t="str">
        <f>_xlfn.CONCAT("            Quivers = """, M76, """,")</f>
        <v xml:space="preserve">            Quivers = "Aljavas",</v>
      </c>
      <c r="O76" s="19" t="str">
        <f>Quiver!P4</f>
        <v>Колчаны</v>
      </c>
      <c r="P76" s="11" t="str">
        <f>_xlfn.CONCAT("            Quivers = """, O76, """,")</f>
        <v xml:space="preserve">            Quivers = "Колчаны",</v>
      </c>
      <c r="Q76" s="19" t="e">
        <f>Quiver!R4</f>
        <v>#N/A</v>
      </c>
      <c r="R76" s="11" t="e">
        <f>_xlfn.CONCAT("            Quivers = """, Q76, """,")</f>
        <v>#N/A</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str">
        <f>'Life Flask'!L4</f>
        <v>생명력 플라스크</v>
      </c>
      <c r="L77" s="11" t="str">
        <f>_xlfn.CONCAT("            LifeFlasks = """, K77, """,")</f>
        <v xml:space="preserve">            LifeFlasks = "생명력 플라스크",</v>
      </c>
      <c r="M77" s="19" t="str">
        <f>'Life Flask'!N4</f>
        <v>Frascos de Vida</v>
      </c>
      <c r="N77" s="11" t="str">
        <f>_xlfn.CONCAT("            LifeFlasks = """, M77, """,")</f>
        <v xml:space="preserve">            LifeFlasks = "Frascos de Vida",</v>
      </c>
      <c r="O77" s="19" t="str">
        <f>'Life Flask'!P4</f>
        <v>Флаконы жизни</v>
      </c>
      <c r="P77" s="11" t="str">
        <f>_xlfn.CONCAT("            LifeFlasks = """, O77, """,")</f>
        <v xml:space="preserve">            LifeFlasks = "Флаконы жизни",</v>
      </c>
      <c r="Q77" s="19" t="e">
        <f>'Life Flask'!R4</f>
        <v>#N/A</v>
      </c>
      <c r="R77" s="11" t="e">
        <f>_xlfn.CONCAT("            LifeFlasks = """, Q77, """,")</f>
        <v>#N/A</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str">
        <f>'Mana Flask'!L4</f>
        <v>마나 플라스크</v>
      </c>
      <c r="L78" s="11" t="str">
        <f>_xlfn.CONCAT("            ManaFlasks = """, K78, """,")</f>
        <v xml:space="preserve">            ManaFlasks = "마나 플라스크",</v>
      </c>
      <c r="M78" s="19" t="str">
        <f>'Mana Flask'!N4</f>
        <v>Frascos de Mana</v>
      </c>
      <c r="N78" s="11" t="str">
        <f>_xlfn.CONCAT("            ManaFlasks = """, M78, """,")</f>
        <v xml:space="preserve">            ManaFlasks = "Frascos de Mana",</v>
      </c>
      <c r="O78" s="19" t="str">
        <f>'Mana Flask'!P4</f>
        <v>Флаконы маны</v>
      </c>
      <c r="P78" s="11" t="str">
        <f>_xlfn.CONCAT("            ManaFlasks = """, O78, """,")</f>
        <v xml:space="preserve">            ManaFlasks = "Флаконы маны",</v>
      </c>
      <c r="Q78" s="19" t="e">
        <f>'Mana Flask'!R4</f>
        <v>#N/A</v>
      </c>
      <c r="R78" s="11" t="e">
        <f>_xlfn.CONCAT("            ManaFlasks = """, Q78, """,")</f>
        <v>#N/A</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str">
        <f>'Hybrid Flask'!L4</f>
        <v>하이브리드 플라스크</v>
      </c>
      <c r="L79" s="11" t="str">
        <f>_xlfn.CONCAT("            HybridFlasks = """, K79, """,")</f>
        <v xml:space="preserve">            HybridFlasks = "하이브리드 플라스크",</v>
      </c>
      <c r="M79" s="19" t="str">
        <f>'Hybrid Flask'!N4</f>
        <v>Frascos Híbridos</v>
      </c>
      <c r="N79" s="11" t="str">
        <f>_xlfn.CONCAT("            HybridFlasks = """, M79, """,")</f>
        <v xml:space="preserve">            HybridFlasks = "Frascos Híbridos",</v>
      </c>
      <c r="O79" s="19" t="str">
        <f>'Hybrid Flask'!P4</f>
        <v>Флаконы равновесия</v>
      </c>
      <c r="P79" s="11" t="str">
        <f>_xlfn.CONCAT("            HybridFlasks = """, O79, """,")</f>
        <v xml:space="preserve">            HybridFlasks = "Флаконы равновесия",</v>
      </c>
      <c r="Q79" s="19" t="e">
        <f>'Hybrid Flask'!R4</f>
        <v>#N/A</v>
      </c>
      <c r="R79" s="11" t="e">
        <f>_xlfn.CONCAT("            HybridFlasks = """, Q79, """,")</f>
        <v>#N/A</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str">
        <f>'Magic Utility Flask'!L4</f>
        <v>특수 플라스크</v>
      </c>
      <c r="L80" s="11" t="str">
        <f>_xlfn.CONCAT("            UtilityFlasks = """, K80, """,")</f>
        <v xml:space="preserve">            UtilityFlasks = "특수 플라스크",</v>
      </c>
      <c r="M80" s="19" t="str">
        <f>'Magic Utility Flask'!N4</f>
        <v>Frascos de Utilidade</v>
      </c>
      <c r="N80" s="11" t="str">
        <f>_xlfn.CONCAT("            UtilityFlasks = """, M80, """,")</f>
        <v xml:space="preserve">            UtilityFlasks = "Frascos de Utilidade",</v>
      </c>
      <c r="O80" s="19" t="str">
        <f>'Magic Utility Flask'!P4</f>
        <v>Особые флаконы</v>
      </c>
      <c r="P80" s="11" t="str">
        <f>_xlfn.CONCAT("            UtilityFlasks = """, O80, """,")</f>
        <v xml:space="preserve">            UtilityFlasks = "Особые флаконы",</v>
      </c>
      <c r="Q80" s="19" t="e">
        <f>'Magic Utility Flask'!R4</f>
        <v>#N/A</v>
      </c>
      <c r="R80" s="11" t="e">
        <f>_xlfn.CONCAT("            UtilityFlasks = """, Q80, """,")</f>
        <v>#N/A</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str">
        <f>'Phantasmal Gem'!L4</f>
        <v>스킬 젬</v>
      </c>
      <c r="L81" s="11" t="str">
        <f>_xlfn.CONCAT("            ActiveSkillGems = """, K81, """,")</f>
        <v xml:space="preserve">            ActiveSkillGems = "스킬 젬",</v>
      </c>
      <c r="M81" s="19" t="str">
        <f>'Phantasmal Gem'!N4</f>
        <v>Gemas de Habilidades</v>
      </c>
      <c r="N81" s="11" t="str">
        <f>_xlfn.CONCAT("            ActiveSkillGems = """, M81, """,")</f>
        <v xml:space="preserve">            ActiveSkillGems = "Gemas de Habilidades",</v>
      </c>
      <c r="O81" s="19" t="str">
        <f>'Phantasmal Gem'!P4</f>
        <v>Камни умений</v>
      </c>
      <c r="P81" s="11" t="str">
        <f>_xlfn.CONCAT("            ActiveSkillGems = """, O81, """,")</f>
        <v xml:space="preserve">            ActiveSkillGems = "Камни умений",</v>
      </c>
      <c r="Q81" s="19" t="e">
        <f>'Phantasmal Gem'!R4</f>
        <v>#N/A</v>
      </c>
      <c r="R81" s="11" t="e">
        <f>_xlfn.CONCAT("            ActiveSkillGems = """, Q81, """,")</f>
        <v>#N/A</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str">
        <f>'Divergent Support Gem'!L4</f>
        <v>보조 젬</v>
      </c>
      <c r="L82" s="11" t="str">
        <f>_xlfn.CONCAT("            SupportSkillGems = """, K82, """,")</f>
        <v xml:space="preserve">            SupportSkillGems = "보조 젬",</v>
      </c>
      <c r="M82" s="19" t="str">
        <f>'Divergent Support Gem'!N4</f>
        <v>Gemas de Suporte</v>
      </c>
      <c r="N82" s="11" t="str">
        <f>_xlfn.CONCAT("            SupportSkillGems = """, M82, """,")</f>
        <v xml:space="preserve">            SupportSkillGems = "Gemas de Suporte",</v>
      </c>
      <c r="O82" s="19" t="str">
        <f>'Divergent Support Gem'!P4</f>
        <v>Камни поддержки</v>
      </c>
      <c r="P82" s="11" t="str">
        <f>_xlfn.CONCAT("            SupportSkillGems = """, O82, """,")</f>
        <v xml:space="preserve">            SupportSkillGems = "Камни поддержки",</v>
      </c>
      <c r="Q82" s="19" t="e">
        <f>'Divergent Support Gem'!R4</f>
        <v>#N/A</v>
      </c>
      <c r="R82" s="11" t="e">
        <f>_xlfn.CONCAT("            SupportSkillGems = """, Q82, """,")</f>
        <v>#N/A</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str">
        <f>Map!L4</f>
        <v>지도</v>
      </c>
      <c r="L83" s="11" t="str">
        <f>_xlfn.CONCAT("            Maps = """, K83, """,")</f>
        <v xml:space="preserve">            Maps = "지도",</v>
      </c>
      <c r="M83" s="19" t="str">
        <f>Map!N4</f>
        <v>Mapas</v>
      </c>
      <c r="N83" s="11" t="str">
        <f>_xlfn.CONCAT("            Maps = """, M83, """,")</f>
        <v xml:space="preserve">            Maps = "Mapas",</v>
      </c>
      <c r="O83" s="19" t="str">
        <f>Map!P4</f>
        <v>Карты</v>
      </c>
      <c r="P83" s="11" t="str">
        <f>_xlfn.CONCAT("            Maps = """, O83, """,")</f>
        <v xml:space="preserve">            Maps = "Карты",</v>
      </c>
      <c r="Q83" s="19" t="e">
        <f>Map!R4</f>
        <v>#N/A</v>
      </c>
      <c r="R83" s="11" t="e">
        <f>_xlfn.CONCAT("            Maps = """, Q83, """,")</f>
        <v>#N/A</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str">
        <f>'Map Fragment'!L4</f>
        <v>지도 조각</v>
      </c>
      <c r="L84" s="11" t="str">
        <f>_xlfn.CONCAT("            MapFragments = """, K84, """,")</f>
        <v xml:space="preserve">            MapFragments = "지도 조각",</v>
      </c>
      <c r="M84" s="19" t="str">
        <f>'Map Fragment'!N4</f>
        <v>Fragmentos de Mapas</v>
      </c>
      <c r="N84" s="11" t="str">
        <f>_xlfn.CONCAT("            MapFragments = """, M84, """,")</f>
        <v xml:space="preserve">            MapFragments = "Fragmentos de Mapas",</v>
      </c>
      <c r="O84" s="19" t="str">
        <f>'Map Fragment'!P4</f>
        <v>Обрывки карт</v>
      </c>
      <c r="P84" s="11" t="str">
        <f>_xlfn.CONCAT("            MapFragments = """, O84, """,")</f>
        <v xml:space="preserve">            MapFragments = "Обрывки карт",</v>
      </c>
      <c r="Q84" s="19" t="e">
        <f>'Map Fragment'!R4</f>
        <v>#N/A</v>
      </c>
      <c r="R84" s="11" t="e">
        <f>_xlfn.CONCAT("            MapFragments = """, Q84, """,")</f>
        <v>#N/A</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str">
        <f>Contract!L4</f>
        <v>계약</v>
      </c>
      <c r="L85" s="11" t="str">
        <f>_xlfn.CONCAT("            Contract = """, K85, """,")</f>
        <v xml:space="preserve">            Contract = "계약",</v>
      </c>
      <c r="M85" s="19" t="str">
        <f>Contract!N4</f>
        <v>Contratos</v>
      </c>
      <c r="N85" s="11" t="str">
        <f>_xlfn.CONCAT("            Contract = """, M85, """,")</f>
        <v xml:space="preserve">            Contract = "Contratos",</v>
      </c>
      <c r="O85" s="19" t="str">
        <f>Contract!P4</f>
        <v>Контракты</v>
      </c>
      <c r="P85" s="11" t="str">
        <f>_xlfn.CONCAT("            Contract = """, O85, """,")</f>
        <v xml:space="preserve">            Contract = "Контракты",</v>
      </c>
      <c r="Q85" s="19" t="e">
        <f>Contract!R4</f>
        <v>#N/A</v>
      </c>
      <c r="R85" s="11" t="e">
        <f>_xlfn.CONCAT("            Contract = """, Q85, """,")</f>
        <v>#N/A</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str">
        <f>Blueprint!L4</f>
        <v>도면</v>
      </c>
      <c r="L86" s="11" t="str">
        <f>_xlfn.CONCAT("            Blueprint = """, K86, """,")</f>
        <v xml:space="preserve">            Blueprint = "도면",</v>
      </c>
      <c r="M86" s="19" t="str">
        <f>Blueprint!N4</f>
        <v>Plantas</v>
      </c>
      <c r="N86" s="11" t="str">
        <f>_xlfn.CONCAT("            Blueprint = """, M86, """,")</f>
        <v xml:space="preserve">            Blueprint = "Plantas",</v>
      </c>
      <c r="O86" s="19" t="str">
        <f>Blueprint!P4</f>
        <v>Чертежи</v>
      </c>
      <c r="P86" s="11" t="str">
        <f>_xlfn.CONCAT("            Blueprint = """, O86, """,")</f>
        <v xml:space="preserve">            Blueprint = "Чертежи",</v>
      </c>
      <c r="Q86" s="19" t="e">
        <f>Blueprint!R4</f>
        <v>#N/A</v>
      </c>
      <c r="R86" s="11" t="e">
        <f>_xlfn.CONCAT("            Blueprint = """, Q86, """,")</f>
        <v>#N/A</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str">
        <f>'Misc Map Item'!L4</f>
        <v>기타 지도 아이템</v>
      </c>
      <c r="L87" s="11" t="str">
        <f>_xlfn.CONCAT("            MiscMapItems = """, K87, """,")</f>
        <v xml:space="preserve">            MiscMapItems = "기타 지도 아이템",</v>
      </c>
      <c r="M87" s="19" t="str">
        <f>'Misc Map Item'!N4</f>
        <v>Itens Mapas Variados</v>
      </c>
      <c r="N87" s="11" t="str">
        <f>_xlfn.CONCAT("            MiscMapItems = """, M87, """,")</f>
        <v xml:space="preserve">            MiscMapItems = "Itens Mapas Variados",</v>
      </c>
      <c r="O87" s="19" t="str">
        <f>'Misc Map Item'!P4</f>
        <v>Прочие предметы карт</v>
      </c>
      <c r="P87" s="11" t="str">
        <f>_xlfn.CONCAT("            MiscMapItems = """, O87, """,")</f>
        <v xml:space="preserve">            MiscMapItems = "Прочие предметы карт",</v>
      </c>
      <c r="Q87" s="19" t="e">
        <f>'Misc Map Item'!R4</f>
        <v>#N/A</v>
      </c>
      <c r="R87" s="11" t="e">
        <f>_xlfn.CONCAT("            MiscMapItems = """, Q87, """,")</f>
        <v>#N/A</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str">
        <f>Claw!L4</f>
        <v>클로</v>
      </c>
      <c r="L88" s="11" t="str">
        <f>_xlfn.CONCAT("            Claws = """, K88, """,")</f>
        <v xml:space="preserve">            Claws = "클로",</v>
      </c>
      <c r="M88" s="19" t="str">
        <f>Claw!N4</f>
        <v>Garras</v>
      </c>
      <c r="N88" s="11" t="str">
        <f>_xlfn.CONCAT("            Claws = """, M88, """,")</f>
        <v xml:space="preserve">            Claws = "Garras",</v>
      </c>
      <c r="O88" s="19" t="str">
        <f>Claw!P4</f>
        <v>Когти</v>
      </c>
      <c r="P88" s="11" t="str">
        <f>_xlfn.CONCAT("            Claws = """, O88, """,")</f>
        <v xml:space="preserve">            Claws = "Когти",</v>
      </c>
      <c r="Q88" s="19" t="e">
        <f>Claw!R4</f>
        <v>#N/A</v>
      </c>
      <c r="R88" s="11" t="e">
        <f>_xlfn.CONCAT("            Claws = """, Q88, """,")</f>
        <v>#N/A</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str">
        <f>Dagger!L4</f>
        <v>단검</v>
      </c>
      <c r="L89" s="11" t="str">
        <f>_xlfn.CONCAT("            Daggers = """, K89, """,")</f>
        <v xml:space="preserve">            Daggers = "단검",</v>
      </c>
      <c r="M89" s="19" t="str">
        <f>Dagger!N4</f>
        <v>Adagas</v>
      </c>
      <c r="N89" s="11" t="str">
        <f>_xlfn.CONCAT("            Daggers = """, M89, """,")</f>
        <v xml:space="preserve">            Daggers = "Adagas",</v>
      </c>
      <c r="O89" s="19" t="str">
        <f>Dagger!P4</f>
        <v>Кинжалы</v>
      </c>
      <c r="P89" s="11" t="str">
        <f>_xlfn.CONCAT("            Daggers = """, O89, """,")</f>
        <v xml:space="preserve">            Daggers = "Кинжалы",</v>
      </c>
      <c r="Q89" s="19" t="e">
        <f>Dagger!R4</f>
        <v>#N/A</v>
      </c>
      <c r="R89" s="11" t="e">
        <f>_xlfn.CONCAT("            Daggers = """, Q89, """,")</f>
        <v>#N/A</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str">
        <f>Wand!L4</f>
        <v>마법봉</v>
      </c>
      <c r="L90" s="11" t="str">
        <f>_xlfn.CONCAT("            Wands = """, K90, """,")</f>
        <v xml:space="preserve">            Wands = "마법봉",</v>
      </c>
      <c r="M90" s="19" t="str">
        <f>Wand!N4</f>
        <v>Varinhas</v>
      </c>
      <c r="N90" s="11" t="str">
        <f>_xlfn.CONCAT("            Wands = """, M90, """,")</f>
        <v xml:space="preserve">            Wands = "Varinhas",</v>
      </c>
      <c r="O90" s="19" t="str">
        <f>Wand!P4</f>
        <v>Жезлы</v>
      </c>
      <c r="P90" s="11" t="str">
        <f>_xlfn.CONCAT("            Wands = """, O90, """,")</f>
        <v xml:space="preserve">            Wands = "Жезлы",</v>
      </c>
      <c r="Q90" s="19" t="e">
        <f>Wand!R4</f>
        <v>#N/A</v>
      </c>
      <c r="R90" s="11" t="e">
        <f>_xlfn.CONCAT("            Wands = """, Q90, """,")</f>
        <v>#N/A</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str">
        <f>'1H Sword'!L4</f>
        <v>한손 검</v>
      </c>
      <c r="L91" s="11" t="str">
        <f>_xlfn.CONCAT("            OneHandSwords = """, K91, """,")</f>
        <v xml:space="preserve">            OneHandSwords = "한손 검",</v>
      </c>
      <c r="M91" s="19" t="str">
        <f>'1H Sword'!N4</f>
        <v>Espadas de Uma Mão</v>
      </c>
      <c r="N91" s="11" t="str">
        <f>_xlfn.CONCAT("            OneHandSwords = """, M91, """,")</f>
        <v xml:space="preserve">            OneHandSwords = "Espadas de Uma Mão",</v>
      </c>
      <c r="O91" s="19" t="str">
        <f>'1H Sword'!P4</f>
        <v>Одноручные мечи</v>
      </c>
      <c r="P91" s="11" t="str">
        <f>_xlfn.CONCAT("            OneHandSwords = """, O91, """,")</f>
        <v xml:space="preserve">            OneHandSwords = "Одноручные мечи",</v>
      </c>
      <c r="Q91" s="19" t="e">
        <f>'1H Sword'!R4</f>
        <v>#N/A</v>
      </c>
      <c r="R91" s="11" t="e">
        <f>_xlfn.CONCAT("            OneHandSwords = """, Q91, """,")</f>
        <v>#N/A</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str">
        <f>'1H Thrusting Sword'!L4</f>
        <v>날카로운 한손 검</v>
      </c>
      <c r="L92" s="11" t="str">
        <f>_xlfn.CONCAT("            ThrustingOneHandSwords = """, K92, """,")</f>
        <v xml:space="preserve">            ThrustingOneHandSwords = "날카로운 한손 검",</v>
      </c>
      <c r="M92" s="19" t="str">
        <f>'1H Thrusting Sword'!N4</f>
        <v>Espadas de Estocada de Uma Mão</v>
      </c>
      <c r="N92" s="11" t="str">
        <f>_xlfn.CONCAT("            ThrustingOneHandSwords = """, M92, """,")</f>
        <v xml:space="preserve">            ThrustingOneHandSwords = "Espadas de Estocada de Uma Mão",</v>
      </c>
      <c r="O92" s="19" t="str">
        <f>'1H Thrusting Sword'!P4</f>
        <v>Шпаги</v>
      </c>
      <c r="P92" s="11" t="str">
        <f>_xlfn.CONCAT("            ThrustingOneHandSwords = """, O92, """,")</f>
        <v xml:space="preserve">            ThrustingOneHandSwords = "Шпаги",</v>
      </c>
      <c r="Q92" s="19" t="e">
        <f>'1H Thrusting Sword'!R4</f>
        <v>#N/A</v>
      </c>
      <c r="R92" s="11" t="e">
        <f>_xlfn.CONCAT("            ThrustingOneHandSwords = """, Q92, """,")</f>
        <v>#N/A</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str">
        <f>'1H Axe'!L4</f>
        <v>한손 도끼</v>
      </c>
      <c r="L93" s="11" t="str">
        <f>_xlfn.CONCAT("            OneHandAxes = """, K93, """,")</f>
        <v xml:space="preserve">            OneHandAxes = "한손 도끼",</v>
      </c>
      <c r="M93" s="19" t="str">
        <f>'1H Axe'!N4</f>
        <v>Machados de Uma Mão</v>
      </c>
      <c r="N93" s="11" t="str">
        <f>_xlfn.CONCAT("            OneHandAxes = """, M93, """,")</f>
        <v xml:space="preserve">            OneHandAxes = "Machados de Uma Mão",</v>
      </c>
      <c r="O93" s="19" t="str">
        <f>'1H Axe'!P4</f>
        <v>Одноручные топоры</v>
      </c>
      <c r="P93" s="11" t="str">
        <f>_xlfn.CONCAT("            OneHandAxes = """, O93, """,")</f>
        <v xml:space="preserve">            OneHandAxes = "Одноручные топоры",</v>
      </c>
      <c r="Q93" s="19" t="e">
        <f>'1H Axe'!R4</f>
        <v>#N/A</v>
      </c>
      <c r="R93" s="11" t="e">
        <f>_xlfn.CONCAT("            OneHandAxes = """, Q93, """,")</f>
        <v>#N/A</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str">
        <f>'1H Mace'!L4</f>
        <v>한손 철퇴</v>
      </c>
      <c r="L94" s="11" t="str">
        <f>_xlfn.CONCAT("            OneHandMaces = """, K94, """,")</f>
        <v xml:space="preserve">            OneHandMaces = "한손 철퇴",</v>
      </c>
      <c r="M94" s="19" t="str">
        <f>'1H Mace'!N4</f>
        <v>Maças de Uma Mão</v>
      </c>
      <c r="N94" s="11" t="str">
        <f>_xlfn.CONCAT("            OneHandMaces = """, M94, """,")</f>
        <v xml:space="preserve">            OneHandMaces = "Maças de Uma Mão",</v>
      </c>
      <c r="O94" s="19" t="str">
        <f>'1H Mace'!P4</f>
        <v>Одноручные булавы</v>
      </c>
      <c r="P94" s="11" t="str">
        <f>_xlfn.CONCAT("            OneHandMaces = """, O94, """,")</f>
        <v xml:space="preserve">            OneHandMaces = "Одноручные булавы",</v>
      </c>
      <c r="Q94" s="19" t="e">
        <f>'1H Mace'!R4</f>
        <v>#N/A</v>
      </c>
      <c r="R94" s="11" t="e">
        <f>_xlfn.CONCAT("            OneHandMaces = """, Q94, """,")</f>
        <v>#N/A</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str">
        <f>Bow!L4</f>
        <v>활</v>
      </c>
      <c r="L95" s="11" t="str">
        <f>_xlfn.CONCAT("            Bows = """, K95, """,")</f>
        <v xml:space="preserve">            Bows = "활",</v>
      </c>
      <c r="M95" s="19" t="str">
        <f>Bow!N4</f>
        <v>Arcos</v>
      </c>
      <c r="N95" s="11" t="str">
        <f>_xlfn.CONCAT("            Bows = """, M95, """,")</f>
        <v xml:space="preserve">            Bows = "Arcos",</v>
      </c>
      <c r="O95" s="19" t="str">
        <f>Bow!P4</f>
        <v>Луки</v>
      </c>
      <c r="P95" s="11" t="str">
        <f>_xlfn.CONCAT("            Bows = """, O95, """,")</f>
        <v xml:space="preserve">            Bows = "Луки",</v>
      </c>
      <c r="Q95" s="19" t="e">
        <f>Bow!R4</f>
        <v>#N/A</v>
      </c>
      <c r="R95" s="11" t="e">
        <f>_xlfn.CONCAT("            Bows = """, Q95, """,")</f>
        <v>#N/A</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str">
        <f>Staff!L4</f>
        <v>지팡이</v>
      </c>
      <c r="L96" s="11" t="str">
        <f>_xlfn.CONCAT("            Staves = """, K96, """,")</f>
        <v xml:space="preserve">            Staves = "지팡이",</v>
      </c>
      <c r="M96" s="19" t="str">
        <f>Staff!N4</f>
        <v>Cajados</v>
      </c>
      <c r="N96" s="11" t="str">
        <f>_xlfn.CONCAT("            Staves = """, M96, """,")</f>
        <v xml:space="preserve">            Staves = "Cajados",</v>
      </c>
      <c r="O96" s="19" t="str">
        <f>Staff!P4</f>
        <v>Посохи</v>
      </c>
      <c r="P96" s="11" t="str">
        <f>_xlfn.CONCAT("            Staves = """, O96, """,")</f>
        <v xml:space="preserve">            Staves = "Посохи",</v>
      </c>
      <c r="Q96" s="19" t="e">
        <f>Staff!R4</f>
        <v>#N/A</v>
      </c>
      <c r="R96" s="11" t="e">
        <f>_xlfn.CONCAT("            Staves = """, Q96, """,")</f>
        <v>#N/A</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str">
        <f>'2H Sword'!L4</f>
        <v>양손 검</v>
      </c>
      <c r="L97" s="11" t="str">
        <f>_xlfn.CONCAT("            TwoHandSwords = """, K97, """,")</f>
        <v xml:space="preserve">            TwoHandSwords = "양손 검",</v>
      </c>
      <c r="M97" s="19" t="str">
        <f>'2H Sword'!N4</f>
        <v>Espadas de Duas Mãos</v>
      </c>
      <c r="N97" s="11" t="str">
        <f>_xlfn.CONCAT("            TwoHandSwords = """, M97, """,")</f>
        <v xml:space="preserve">            TwoHandSwords = "Espadas de Duas Mãos",</v>
      </c>
      <c r="O97" s="19" t="str">
        <f>'2H Sword'!P4</f>
        <v>Двуручные мечи</v>
      </c>
      <c r="P97" s="11" t="str">
        <f>_xlfn.CONCAT("            TwoHandSwords = """, O97, """,")</f>
        <v xml:space="preserve">            TwoHandSwords = "Двуручные мечи",</v>
      </c>
      <c r="Q97" s="19" t="e">
        <f>'2H Sword'!R4</f>
        <v>#N/A</v>
      </c>
      <c r="R97" s="11" t="e">
        <f>_xlfn.CONCAT("            TwoHandSwords = """, Q97, """,")</f>
        <v>#N/A</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str">
        <f>'2H Axe'!L4</f>
        <v>양손 도끼</v>
      </c>
      <c r="L98" s="11" t="str">
        <f>_xlfn.CONCAT("            TwoHandAxes = """, K98, """,")</f>
        <v xml:space="preserve">            TwoHandAxes = "양손 도끼",</v>
      </c>
      <c r="M98" s="19" t="str">
        <f>'2H Axe'!N4</f>
        <v>Machados de Duas Mãos</v>
      </c>
      <c r="N98" s="11" t="str">
        <f>_xlfn.CONCAT("            TwoHandAxes = """, M98, """,")</f>
        <v xml:space="preserve">            TwoHandAxes = "Machados de Duas Mãos",</v>
      </c>
      <c r="O98" s="19" t="str">
        <f>'2H Axe'!P4</f>
        <v>Двуручные топоры</v>
      </c>
      <c r="P98" s="11" t="str">
        <f>_xlfn.CONCAT("            TwoHandAxes = """, O98, """,")</f>
        <v xml:space="preserve">            TwoHandAxes = "Двуручные топоры",</v>
      </c>
      <c r="Q98" s="19" t="e">
        <f>'2H Axe'!R4</f>
        <v>#N/A</v>
      </c>
      <c r="R98" s="11" t="e">
        <f>_xlfn.CONCAT("            TwoHandAxes = """, Q98, """,")</f>
        <v>#N/A</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str">
        <f>'2H Mace'!L4</f>
        <v>양손 철퇴</v>
      </c>
      <c r="L99" s="11" t="str">
        <f>_xlfn.CONCAT("            TwoHandMaces = """, K99, """,")</f>
        <v xml:space="preserve">            TwoHandMaces = "양손 철퇴",</v>
      </c>
      <c r="M99" s="19" t="str">
        <f>'2H Mace'!N4</f>
        <v>Maças de Duas Mãos</v>
      </c>
      <c r="N99" s="11" t="str">
        <f>_xlfn.CONCAT("            TwoHandMaces = """, M99, """,")</f>
        <v xml:space="preserve">            TwoHandMaces = "Maças de Duas Mãos",</v>
      </c>
      <c r="O99" s="19" t="str">
        <f>'2H Mace'!P4</f>
        <v>Двуручные булавы</v>
      </c>
      <c r="P99" s="11" t="str">
        <f>_xlfn.CONCAT("            TwoHandMaces = """, O99, """,")</f>
        <v xml:space="preserve">            TwoHandMaces = "Двуручные булавы",</v>
      </c>
      <c r="Q99" s="19" t="e">
        <f>'2H Mace'!R4</f>
        <v>#N/A</v>
      </c>
      <c r="R99" s="11" t="e">
        <f>_xlfn.CONCAT("            TwoHandMaces = """, Q99, """,")</f>
        <v>#N/A</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str">
        <f>Sceptre!L4</f>
        <v>셉터</v>
      </c>
      <c r="L100" s="11" t="str">
        <f>_xlfn.CONCAT("            Sceptres = """, K100, """,")</f>
        <v xml:space="preserve">            Sceptres = "셉터",</v>
      </c>
      <c r="M100" s="19" t="str">
        <f>Sceptre!N4</f>
        <v>Cetros</v>
      </c>
      <c r="N100" s="11" t="str">
        <f>_xlfn.CONCAT("            Sceptres = """, M100, """,")</f>
        <v xml:space="preserve">            Sceptres = "Cetros",</v>
      </c>
      <c r="O100" s="19" t="str">
        <f>Sceptre!P4</f>
        <v>Скипетры</v>
      </c>
      <c r="P100" s="11" t="str">
        <f>_xlfn.CONCAT("            Sceptres = """, O100, """,")</f>
        <v xml:space="preserve">            Sceptres = "Скипетры",</v>
      </c>
      <c r="Q100" s="19" t="e">
        <f>Sceptre!R4</f>
        <v>#N/A</v>
      </c>
      <c r="R100" s="11" t="e">
        <f>_xlfn.CONCAT("            Sceptres = """, Q100, """,")</f>
        <v>#N/A</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str">
        <f>'White Wind'!L4</f>
        <v>룬 단검</v>
      </c>
      <c r="L101" s="11" t="str">
        <f>_xlfn.CONCAT("            RuneDaggers = """, K101, """,")</f>
        <v xml:space="preserve">            RuneDaggers = "룬 단검",</v>
      </c>
      <c r="M101" s="19" t="str">
        <f>'White Wind'!N4</f>
        <v>Adagas Rúnicas</v>
      </c>
      <c r="N101" s="11" t="str">
        <f>_xlfn.CONCAT("            RuneDaggers = """, M101, """,")</f>
        <v xml:space="preserve">            RuneDaggers = "Adagas Rúnicas",</v>
      </c>
      <c r="O101" s="19" t="str">
        <f>'White Wind'!P4</f>
        <v>Рунические кинжалы</v>
      </c>
      <c r="P101" s="11" t="str">
        <f>_xlfn.CONCAT("            RuneDaggers = """, O101, """,")</f>
        <v xml:space="preserve">            RuneDaggers = "Рунические кинжалы",</v>
      </c>
      <c r="Q101" s="19" t="e">
        <f>'White Wind'!R4</f>
        <v>#N/A</v>
      </c>
      <c r="R101" s="11" t="e">
        <f>_xlfn.CONCAT("            RuneDaggers = """, Q101, """,")</f>
        <v>#N/A</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str">
        <f>Warstaff!L4</f>
        <v>전쟁지팡이</v>
      </c>
      <c r="L102" s="11" t="str">
        <f>_xlfn.CONCAT("            Warstaves = """, K102, """,")</f>
        <v xml:space="preserve">            Warstaves = "전쟁지팡이",</v>
      </c>
      <c r="M102" s="19" t="str">
        <f>Warstaff!N4</f>
        <v>Cajados de Guerra</v>
      </c>
      <c r="N102" s="11" t="str">
        <f>_xlfn.CONCAT("            Warstaves = """, M102, """,")</f>
        <v xml:space="preserve">            Warstaves = "Cajados de Guerra",</v>
      </c>
      <c r="O102" s="19" t="str">
        <f>Warstaff!P4</f>
        <v>Воинские посохи</v>
      </c>
      <c r="P102" s="11" t="str">
        <f>_xlfn.CONCAT("            Warstaves = """, O102, """,")</f>
        <v xml:space="preserve">            Warstaves = "Воинские посохи",</v>
      </c>
      <c r="Q102" s="19" t="e">
        <f>Warstaff!R4</f>
        <v>#N/A</v>
      </c>
      <c r="R102" s="11" t="e">
        <f>_xlfn.CONCAT("            Warstaves = """, Q102, """,")</f>
        <v>#N/A</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str">
        <f>'Fishing Rod'!L4</f>
        <v>낚싯대</v>
      </c>
      <c r="L103" s="11" t="str">
        <f>_xlfn.CONCAT("            FishingRods = """, K103, """,")</f>
        <v xml:space="preserve">            FishingRods = "낚싯대",</v>
      </c>
      <c r="M103" s="19" t="str">
        <f>'Fishing Rod'!N4</f>
        <v>Varas de Pescar</v>
      </c>
      <c r="N103" s="11" t="str">
        <f>_xlfn.CONCAT("            FishingRods = """, M103, """,")</f>
        <v xml:space="preserve">            FishingRods = "Varas de Pescar",</v>
      </c>
      <c r="O103" s="19" t="str">
        <f>'Fishing Rod'!P4</f>
        <v>Удочки</v>
      </c>
      <c r="P103" s="11" t="str">
        <f>_xlfn.CONCAT("            FishingRods = """, O103, """,")</f>
        <v xml:space="preserve">            FishingRods = "Удочки",</v>
      </c>
      <c r="Q103" s="19" t="e">
        <f>'Fishing Rod'!R4</f>
        <v>#N/A</v>
      </c>
      <c r="R103" s="11" t="e">
        <f>_xlfn.CONCAT("            FishingRods = """, Q103, """,")</f>
        <v>#N/A</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str">
        <f>'Heist Gear'!L4</f>
        <v>강탈 장비</v>
      </c>
      <c r="L104" s="11" t="str">
        <f>_xlfn.CONCAT("            HeistGear = """, K104, """,")</f>
        <v xml:space="preserve">            HeistGear = "강탈 장비",</v>
      </c>
      <c r="M104" s="19" t="str">
        <f>'Heist Gear'!N4</f>
        <v>Equipamento Heist</v>
      </c>
      <c r="N104" s="11" t="str">
        <f>_xlfn.CONCAT("            HeistGear = """, M104, """,")</f>
        <v xml:space="preserve">            HeistGear = "Equipamento Heist",</v>
      </c>
      <c r="O104" s="19" t="str">
        <f>'Heist Gear'!P4</f>
        <v>Разбойничьи принадлежности</v>
      </c>
      <c r="P104" s="11" t="str">
        <f>_xlfn.CONCAT("            HeistGear = """, O104, """,")</f>
        <v xml:space="preserve">            HeistGear = "Разбойничьи принадлежности",</v>
      </c>
      <c r="Q104" s="19" t="e">
        <f>'Heist Gear'!R4</f>
        <v>#N/A</v>
      </c>
      <c r="R104" s="11" t="e">
        <f>_xlfn.CONCAT("            HeistGear = """, Q104, """,")</f>
        <v>#N/A</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str">
        <f>'Heist Brooch'!L4</f>
        <v>강탈 브로치</v>
      </c>
      <c r="L105" s="11" t="str">
        <f>_xlfn.CONCAT("            HeistBrooch = """, K105, """,")</f>
        <v xml:space="preserve">            HeistBrooch = "강탈 브로치",</v>
      </c>
      <c r="M105" s="19" t="str">
        <f>'Heist Brooch'!N4</f>
        <v>Broches Heist</v>
      </c>
      <c r="N105" s="11" t="str">
        <f>_xlfn.CONCAT("            HeistBrooch = """, M105, """,")</f>
        <v xml:space="preserve">            HeistBrooch = "Broches Heist",</v>
      </c>
      <c r="O105" s="19" t="str">
        <f>'Heist Brooch'!P4</f>
        <v>Разбойничьи броши</v>
      </c>
      <c r="P105" s="11" t="str">
        <f>_xlfn.CONCAT("            HeistBrooch = """, O105, """,")</f>
        <v xml:space="preserve">            HeistBrooch = "Разбойничьи броши",</v>
      </c>
      <c r="Q105" s="19" t="e">
        <f>'Heist Brooch'!R4</f>
        <v>#N/A</v>
      </c>
      <c r="R105" s="11" t="e">
        <f>_xlfn.CONCAT("            HeistBrooch = """, Q105, """,")</f>
        <v>#N/A</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str">
        <f>'Heist Target'!L4</f>
        <v>강탈 대상</v>
      </c>
      <c r="L106" s="11" t="str">
        <f>_xlfn.CONCAT("            HeistTarget = """, K106, """,")</f>
        <v xml:space="preserve">            HeistTarget = "강탈 대상",</v>
      </c>
      <c r="M106" s="19" t="str">
        <f>'Heist Target'!N4</f>
        <v>Alvos Heist</v>
      </c>
      <c r="N106" s="11" t="str">
        <f>_xlfn.CONCAT("            HeistTarget = """, M106, """,")</f>
        <v xml:space="preserve">            HeistTarget = "Alvos Heist",</v>
      </c>
      <c r="O106" s="19" t="str">
        <f>'Heist Target'!P4</f>
        <v>Предметы кражи</v>
      </c>
      <c r="P106" s="11" t="str">
        <f>_xlfn.CONCAT("            HeistTarget = """, O106, """,")</f>
        <v xml:space="preserve">            HeistTarget = "Предметы кражи",</v>
      </c>
      <c r="Q106" s="19" t="e">
        <f>'Heist Target'!R4</f>
        <v>#N/A</v>
      </c>
      <c r="R106" s="11" t="e">
        <f>_xlfn.CONCAT("            HeistTarget = """, Q106, """,")</f>
        <v>#N/A</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str">
        <f>'Heist Cloak'!L4</f>
        <v>강탈 망토</v>
      </c>
      <c r="L107" s="11" t="str">
        <f>_xlfn.CONCAT("            HeistCloak = """, K107, """,")</f>
        <v xml:space="preserve">            HeistCloak = "강탈 망토",</v>
      </c>
      <c r="M107" s="19" t="str">
        <f>'Heist Cloak'!N4</f>
        <v>Capas Heist</v>
      </c>
      <c r="N107" s="11" t="str">
        <f>_xlfn.CONCAT("            HeistCloak = """, M107, """,")</f>
        <v xml:space="preserve">            HeistCloak = "Capas Heist",</v>
      </c>
      <c r="O107" s="19" t="str">
        <f>'Heist Cloak'!P4</f>
        <v>Разбойничьи накидки</v>
      </c>
      <c r="P107" s="11" t="str">
        <f>_xlfn.CONCAT("            HeistCloak = """, O107, """,")</f>
        <v xml:space="preserve">            HeistCloak = "Разбойничьи накидки",</v>
      </c>
      <c r="Q107" s="19" t="e">
        <f>'Heist Cloak'!R4</f>
        <v>#N/A</v>
      </c>
      <c r="R107" s="11" t="e">
        <f>_xlfn.CONCAT("            HeistCloak = """, Q107, """,")</f>
        <v>#N/A</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str">
        <f>'Abyssal Jewel'!L4</f>
        <v>심연 주얼</v>
      </c>
      <c r="L108" s="11" t="str">
        <f>_xlfn.CONCAT("            AbyssJewel = """, K108, """,")</f>
        <v xml:space="preserve">            AbyssJewel = "심연 주얼",</v>
      </c>
      <c r="M108" s="19" t="str">
        <f>'Abyssal Jewel'!N4</f>
        <v>Joias Abissais</v>
      </c>
      <c r="N108" s="11" t="str">
        <f>_xlfn.CONCAT("            AbyssJewel = """, M108, """,")</f>
        <v xml:space="preserve">            AbyssJewel = "Joias Abissais",</v>
      </c>
      <c r="O108" s="19" t="str">
        <f>'Abyssal Jewel'!P4</f>
        <v>Самоцветы Бездны</v>
      </c>
      <c r="P108" s="11" t="str">
        <f>_xlfn.CONCAT("            AbyssJewel = """, O108, """,")</f>
        <v xml:space="preserve">            AbyssJewel = "Самоцветы Бездны",</v>
      </c>
      <c r="Q108" s="19" t="e">
        <f>'Abyssal Jewel'!R4</f>
        <v>#N/A</v>
      </c>
      <c r="R108" s="11" t="e">
        <f>_xlfn.CONCAT("            AbyssJewel = """, Q108, """,")</f>
        <v>#N/A</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str">
        <f>'Heist Trinket'!L4</f>
        <v>장신구</v>
      </c>
      <c r="L109" s="11" t="str">
        <f>_xlfn.CONCAT("            Trinkets = """, K109, """,")</f>
        <v xml:space="preserve">            Trinkets = "장신구",</v>
      </c>
      <c r="M109" s="19" t="str">
        <f>'Heist Trinket'!N4</f>
        <v>Adornos</v>
      </c>
      <c r="N109" s="11" t="str">
        <f>_xlfn.CONCAT("            Trinkets = """, M109, """,")</f>
        <v xml:space="preserve">            Trinkets = "Adornos",</v>
      </c>
      <c r="O109" s="19" t="str">
        <f>'Heist Trinket'!P4</f>
        <v>Украшения</v>
      </c>
      <c r="P109" s="11" t="str">
        <f>_xlfn.CONCAT("            Trinkets = """, O109, """,")</f>
        <v xml:space="preserve">            Trinkets = "Украшения",</v>
      </c>
      <c r="Q109" s="19" t="e">
        <f>'Heist Trinket'!R4</f>
        <v>#N/A</v>
      </c>
      <c r="R109" s="11" t="e">
        <f>_xlfn.CONCAT("            Trinkets = """, Q109, """,")</f>
        <v>#N/A</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str">
        <f>Logbook!L4</f>
        <v>탐험 일지</v>
      </c>
      <c r="L110" s="11" t="str">
        <f>_xlfn.CONCAT("            Logbooks = """, K110, """,")</f>
        <v xml:space="preserve">            Logbooks = "탐험 일지",</v>
      </c>
      <c r="M110" s="19" t="str">
        <f>Logbook!N4</f>
        <v>Diários de Bordo Expedition</v>
      </c>
      <c r="N110" s="11" t="str">
        <f>_xlfn.CONCAT("            Logbooks = """, M110, """,")</f>
        <v xml:space="preserve">            Logbooks = "Diários de Bordo Expedition",</v>
      </c>
      <c r="O110" s="19" t="str">
        <f>Logbook!P4</f>
        <v>Журналы экспедиции</v>
      </c>
      <c r="P110" s="11" t="str">
        <f>_xlfn.CONCAT("            Logbooks = """, O110, """,")</f>
        <v xml:space="preserve">            Logbooks = "Журналы экспедиции",</v>
      </c>
      <c r="Q110" s="19" t="e">
        <f>Logbook!R4</f>
        <v>#N/A</v>
      </c>
      <c r="R110" s="11" t="e">
        <f>_xlfn.CONCAT("            Logbooks = """, Q110, """,")</f>
        <v>#N/A</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str">
        <f>Memory!L4</f>
        <v>기억</v>
      </c>
      <c r="L111" s="11" t="str">
        <f>_xlfn.CONCAT("            MemoryLine = """, K111, """,")</f>
        <v xml:space="preserve">            MemoryLine = "기억",</v>
      </c>
      <c r="M111" s="19" t="str">
        <f>Memory!N4</f>
        <v>Memórias</v>
      </c>
      <c r="N111" s="11" t="str">
        <f>_xlfn.CONCAT("            MemoryLine = """, M111, """,")</f>
        <v xml:space="preserve">            MemoryLine = "Memórias",</v>
      </c>
      <c r="O111" s="19" t="str">
        <f>Memory!P4</f>
        <v>Воспоминания</v>
      </c>
      <c r="P111" s="11" t="str">
        <f>_xlfn.CONCAT("            MemoryLine = """, O111, """,")</f>
        <v xml:space="preserve">            MemoryLine = "Воспоминания",</v>
      </c>
      <c r="Q111" s="19" t="e">
        <f>Memory!R4</f>
        <v>#N/A</v>
      </c>
      <c r="R111" s="11" t="e">
        <f>_xlfn.CONCAT("            MemoryLine = """, Q111, """,")</f>
        <v>#N/A</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str">
        <f>Tome!J4</f>
        <v>サンクタム調査書</v>
      </c>
      <c r="J112" s="11" t="str">
        <f>_xlfn.CONCAT("            SanctumResearch = """, I112, """,")</f>
        <v xml:space="preserve">            SanctumResearch = "サンクタム調査書",</v>
      </c>
      <c r="K112" s="19" t="str">
        <f>Tome!L4</f>
        <v>성역 연구</v>
      </c>
      <c r="L112" s="11" t="str">
        <f>_xlfn.CONCAT("            SanctumResearch = """, K112, """,")</f>
        <v xml:space="preserve">            SanctumResearch = "성역 연구",</v>
      </c>
      <c r="M112" s="19" t="str">
        <f>Tome!N4</f>
        <v>Pesquisa Sanctum</v>
      </c>
      <c r="N112" s="11" t="str">
        <f>_xlfn.CONCAT("            SanctumResearch = """, M112, """,")</f>
        <v xml:space="preserve">            SanctumResearch = "Pesquisa Sanctum",</v>
      </c>
      <c r="O112" s="19" t="str">
        <f>Tome!P4</f>
        <v>Исследования Святилища</v>
      </c>
      <c r="P112" s="11" t="str">
        <f>_xlfn.CONCAT("            SanctumResearch = """, O112, """,")</f>
        <v xml:space="preserve">            SanctumResearch = "Исследования Святилища",</v>
      </c>
      <c r="Q112" s="19" t="e">
        <f>Tome!R4</f>
        <v>#N/A</v>
      </c>
      <c r="R112" s="11" t="e">
        <f>_xlfn.CONCAT("            SanctumResearch = """, Q112, """,")</f>
        <v>#N/A</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ontainsErrors" dxfId="340" priority="4" stopIfTrue="1">
      <formula>ISERROR(A2)</formula>
    </cfRule>
    <cfRule type="containsBlanks" dxfId="339" priority="5" stopIfTrue="1">
      <formula>LEN(TRIM(A2))=0</formula>
    </cfRule>
    <cfRule type="cellIs" dxfId="338" priority="9" stopIfTrue="1" operator="equal">
      <formula>"-"</formula>
    </cfRule>
    <cfRule type="cellIs" dxfId="337" priority="10" operator="between">
      <formula>"(Lowest value)"</formula>
      <formula>0</formula>
    </cfRule>
    <cfRule type="notContainsBlanks" dxfId="336" priority="16">
      <formula>LEN(TRIM(A2))&gt;0</formula>
    </cfRule>
  </conditionalFormatting>
  <conditionalFormatting sqref="B2:B115 D2:D115 F2:F115 H2:H115 J2:J115 L2:L115 N2:N115 P2:P115 R2:R115 T2:T115">
    <cfRule type="notContainsErrors" dxfId="335" priority="1" stopIfTrue="1">
      <formula>NOT(ISERROR(B2))</formula>
    </cfRule>
  </conditionalFormatting>
  <conditionalFormatting sqref="V2:V115">
    <cfRule type="cellIs" dxfId="334" priority="6" operator="equal">
      <formula>A2</formula>
    </cfRule>
    <cfRule type="cellIs" dxfId="333"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O3" sqref="O3:O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c r="R3" s="16" t="e">
        <f>TRIM(_xlfn.TEXTBEFORE(Q3, ":"))</f>
        <v>#N/A</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c r="R4" s="16" t="e">
        <f>TRIM(_xlfn.TEXTAFTER(Q3, ":"))</f>
        <v>#N/A</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t="s">
        <v>3793</v>
      </c>
      <c r="L5" s="16" t="str">
        <f>TRIM(_xlfn.TEXTBEFORE(K4, ":"))</f>
        <v>아이템 희귀도</v>
      </c>
      <c r="M5" s="18" t="s">
        <v>4525</v>
      </c>
      <c r="N5" s="16" t="str">
        <f>TRIM(_xlfn.TEXTBEFORE(M4, ":"))</f>
        <v>Raridade</v>
      </c>
      <c r="O5" s="18" t="s">
        <v>5204</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c r="R6" s="16" t="e">
        <f>TRIM(_xlfn.TEXTAFTER(Q4,":"))</f>
        <v>#N/A</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t="s">
        <v>3794</v>
      </c>
      <c r="L7" s="16" t="s">
        <v>4520</v>
      </c>
      <c r="M7" s="18" t="s">
        <v>4526</v>
      </c>
      <c r="N7" s="16" t="str">
        <f>TRIM(_xlfn.TEXTBEFORE(M5, " "))</f>
        <v>Anômalo</v>
      </c>
      <c r="O7" s="18" t="s">
        <v>5205</v>
      </c>
      <c r="P7" s="16" t="str">
        <f>TRIM(_xlfn.TEXTBEFORE(O5, " "))</f>
        <v>Аномальный:</v>
      </c>
      <c r="Q7" s="18"/>
      <c r="R7" s="16" t="e">
        <f>TRIM(_xlfn.TEXTBEFORE(Q5, " "))</f>
        <v>#N/A</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c r="R8" s="16"/>
      <c r="S8" s="18"/>
      <c r="T8" s="20"/>
    </row>
    <row r="9" spans="1:20" ht="15.95" customHeight="1" x14ac:dyDescent="0.25">
      <c r="A9" s="18" t="s">
        <v>627</v>
      </c>
      <c r="B9" s="16"/>
      <c r="C9" s="18" t="s">
        <v>1631</v>
      </c>
      <c r="D9" s="16"/>
      <c r="E9" s="18" t="s">
        <v>2332</v>
      </c>
      <c r="F9" s="16"/>
      <c r="G9" s="18" t="s">
        <v>906</v>
      </c>
      <c r="H9" s="16"/>
      <c r="I9" s="18" t="s">
        <v>3042</v>
      </c>
      <c r="J9" s="16"/>
      <c r="K9" s="18" t="s">
        <v>3796</v>
      </c>
      <c r="L9" s="16"/>
      <c r="M9" s="18" t="s">
        <v>4528</v>
      </c>
      <c r="N9" s="16"/>
      <c r="O9" s="18" t="s">
        <v>5207</v>
      </c>
      <c r="P9" s="16"/>
      <c r="Q9" s="18"/>
      <c r="R9" s="16"/>
      <c r="S9" s="18"/>
      <c r="T9" s="20"/>
    </row>
    <row r="10" spans="1:20" ht="15.95" customHeight="1" x14ac:dyDescent="0.25">
      <c r="A10" s="18" t="s">
        <v>628</v>
      </c>
      <c r="B10" s="16"/>
      <c r="C10" s="18" t="s">
        <v>1632</v>
      </c>
      <c r="D10" s="16"/>
      <c r="E10" s="18" t="s">
        <v>2333</v>
      </c>
      <c r="F10" s="16"/>
      <c r="G10" s="18" t="s">
        <v>907</v>
      </c>
      <c r="H10" s="16"/>
      <c r="I10" s="18" t="s">
        <v>3043</v>
      </c>
      <c r="J10" s="16"/>
      <c r="K10" s="18" t="s">
        <v>3797</v>
      </c>
      <c r="L10" s="16"/>
      <c r="M10" s="18" t="s">
        <v>4529</v>
      </c>
      <c r="N10" s="16"/>
      <c r="O10" s="18" t="s">
        <v>5208</v>
      </c>
      <c r="P10" s="16"/>
      <c r="Q10" s="18"/>
      <c r="R10" s="16"/>
      <c r="S10" s="18"/>
      <c r="T10" s="20"/>
    </row>
    <row r="11" spans="1:20" ht="15.95" customHeight="1" x14ac:dyDescent="0.25">
      <c r="A11" s="18" t="s">
        <v>629</v>
      </c>
      <c r="B11" s="16"/>
      <c r="C11" s="18" t="s">
        <v>1633</v>
      </c>
      <c r="D11" s="16"/>
      <c r="E11" s="18" t="s">
        <v>2334</v>
      </c>
      <c r="F11" s="16"/>
      <c r="G11" s="18" t="s">
        <v>908</v>
      </c>
      <c r="H11" s="16"/>
      <c r="I11" s="18" t="s">
        <v>3044</v>
      </c>
      <c r="J11" s="16"/>
      <c r="K11" s="18" t="s">
        <v>3798</v>
      </c>
      <c r="L11" s="16"/>
      <c r="M11" s="18" t="s">
        <v>4530</v>
      </c>
      <c r="N11" s="16"/>
      <c r="O11" s="18" t="s">
        <v>5209</v>
      </c>
      <c r="P11" s="16"/>
      <c r="Q11" s="18"/>
      <c r="R11" s="16"/>
      <c r="S11" s="18"/>
      <c r="T11" s="20"/>
    </row>
    <row r="12" spans="1:20" ht="15.95" customHeight="1" x14ac:dyDescent="0.25">
      <c r="A12" s="18" t="s">
        <v>630</v>
      </c>
      <c r="B12" s="16"/>
      <c r="C12" s="18" t="s">
        <v>1616</v>
      </c>
      <c r="D12" s="16"/>
      <c r="E12" s="18" t="s">
        <v>2335</v>
      </c>
      <c r="F12" s="16"/>
      <c r="G12" s="18" t="s">
        <v>891</v>
      </c>
      <c r="H12" s="16"/>
      <c r="I12" s="18" t="s">
        <v>3045</v>
      </c>
      <c r="J12" s="16"/>
      <c r="K12" s="18" t="s">
        <v>3799</v>
      </c>
      <c r="L12" s="16"/>
      <c r="M12" s="18" t="s">
        <v>4531</v>
      </c>
      <c r="N12" s="16"/>
      <c r="O12" s="18" t="s">
        <v>5210</v>
      </c>
      <c r="P12" s="16"/>
      <c r="Q12" s="18"/>
      <c r="R12" s="16"/>
      <c r="S12" s="18"/>
      <c r="T12" s="20"/>
    </row>
    <row r="13" spans="1:20" ht="15.95" customHeight="1" x14ac:dyDescent="0.25">
      <c r="A13" s="18" t="s">
        <v>601</v>
      </c>
      <c r="B13" s="16"/>
      <c r="C13" s="18" t="s">
        <v>1617</v>
      </c>
      <c r="D13" s="16"/>
      <c r="E13" s="18" t="s">
        <v>2336</v>
      </c>
      <c r="F13" s="16"/>
      <c r="G13" s="18" t="s">
        <v>892</v>
      </c>
      <c r="H13" s="16"/>
      <c r="I13" s="18" t="s">
        <v>3046</v>
      </c>
      <c r="J13" s="16"/>
      <c r="K13" s="18" t="s">
        <v>3800</v>
      </c>
      <c r="L13" s="16"/>
      <c r="M13" s="18" t="s">
        <v>4532</v>
      </c>
      <c r="N13" s="16"/>
      <c r="O13" s="18" t="s">
        <v>5211</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c r="R15" s="16"/>
      <c r="S15" s="18"/>
      <c r="T15" s="20"/>
    </row>
    <row r="16" spans="1:20" ht="15.95" customHeight="1" x14ac:dyDescent="0.25">
      <c r="A16" s="18" t="s">
        <v>602</v>
      </c>
      <c r="B16" s="16"/>
      <c r="C16" s="18" t="s">
        <v>1634</v>
      </c>
      <c r="D16" s="16"/>
      <c r="E16" s="18" t="s">
        <v>2338</v>
      </c>
      <c r="F16" s="16"/>
      <c r="G16" s="18" t="s">
        <v>909</v>
      </c>
      <c r="H16" s="16"/>
      <c r="I16" s="18" t="s">
        <v>3048</v>
      </c>
      <c r="J16" s="16"/>
      <c r="K16" s="18" t="s">
        <v>3802</v>
      </c>
      <c r="L16" s="16"/>
      <c r="M16" s="18" t="s">
        <v>4533</v>
      </c>
      <c r="N16" s="16"/>
      <c r="O16" s="18" t="s">
        <v>5213</v>
      </c>
      <c r="P16" s="16"/>
      <c r="Q16" s="18"/>
      <c r="R16" s="16"/>
      <c r="S16" s="18"/>
      <c r="T16" s="20"/>
    </row>
    <row r="17" spans="1:20" ht="15.95" customHeight="1" x14ac:dyDescent="0.25">
      <c r="A17" s="18" t="s">
        <v>631</v>
      </c>
      <c r="B17" s="16"/>
      <c r="C17" s="18" t="s">
        <v>1635</v>
      </c>
      <c r="D17" s="16"/>
      <c r="E17" s="18" t="s">
        <v>2339</v>
      </c>
      <c r="F17" s="16"/>
      <c r="G17" s="18" t="s">
        <v>631</v>
      </c>
      <c r="H17" s="16"/>
      <c r="I17" s="18" t="s">
        <v>3049</v>
      </c>
      <c r="J17" s="16"/>
      <c r="K17" s="18" t="s">
        <v>3803</v>
      </c>
      <c r="L17" s="16"/>
      <c r="M17" s="18" t="s">
        <v>2339</v>
      </c>
      <c r="N17" s="16"/>
      <c r="O17" s="18" t="s">
        <v>5214</v>
      </c>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0"/>
    </row>
    <row r="19" spans="1:20" ht="15.95" customHeight="1" x14ac:dyDescent="0.25">
      <c r="A19" s="18" t="s">
        <v>632</v>
      </c>
      <c r="B19" s="16"/>
      <c r="C19" s="18" t="s">
        <v>1636</v>
      </c>
      <c r="D19" s="16"/>
      <c r="E19" s="18" t="s">
        <v>2340</v>
      </c>
      <c r="F19" s="16"/>
      <c r="G19" s="18" t="s">
        <v>910</v>
      </c>
      <c r="H19" s="16"/>
      <c r="I19" s="18" t="s">
        <v>3050</v>
      </c>
      <c r="J19" s="16"/>
      <c r="K19" s="18" t="s">
        <v>3804</v>
      </c>
      <c r="L19" s="16"/>
      <c r="M19" s="18" t="s">
        <v>4534</v>
      </c>
      <c r="N19" s="16"/>
      <c r="O19" s="18" t="s">
        <v>5215</v>
      </c>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0"/>
    </row>
    <row r="21" spans="1:20" ht="15.95" customHeight="1" x14ac:dyDescent="0.25">
      <c r="A21" s="18" t="s">
        <v>633</v>
      </c>
      <c r="B21" s="16"/>
      <c r="C21" s="18" t="s">
        <v>1637</v>
      </c>
      <c r="D21" s="16"/>
      <c r="E21" s="18" t="s">
        <v>2341</v>
      </c>
      <c r="F21" s="16"/>
      <c r="G21" s="18" t="s">
        <v>911</v>
      </c>
      <c r="H21" s="16"/>
      <c r="I21" s="18" t="s">
        <v>3051</v>
      </c>
      <c r="J21" s="16"/>
      <c r="K21" s="18" t="s">
        <v>3805</v>
      </c>
      <c r="L21" s="16"/>
      <c r="M21" s="18" t="s">
        <v>4535</v>
      </c>
      <c r="N21" s="16"/>
      <c r="O21" s="18" t="s">
        <v>5216</v>
      </c>
      <c r="P21" s="16"/>
      <c r="Q21" s="18"/>
      <c r="R21" s="16"/>
      <c r="S21" s="18"/>
      <c r="T21" s="20"/>
    </row>
    <row r="22" spans="1:20" ht="15.95" customHeight="1" x14ac:dyDescent="0.25">
      <c r="A22" s="18" t="s">
        <v>634</v>
      </c>
      <c r="B22" s="16"/>
      <c r="C22" s="18" t="s">
        <v>1638</v>
      </c>
      <c r="D22" s="16"/>
      <c r="E22" s="18" t="s">
        <v>2342</v>
      </c>
      <c r="F22" s="16"/>
      <c r="G22" s="18" t="s">
        <v>912</v>
      </c>
      <c r="H22" s="16"/>
      <c r="I22" s="18" t="s">
        <v>3052</v>
      </c>
      <c r="J22" s="16"/>
      <c r="K22" s="18" t="s">
        <v>3806</v>
      </c>
      <c r="L22" s="16"/>
      <c r="M22" s="18" t="s">
        <v>4536</v>
      </c>
      <c r="N22" s="16"/>
      <c r="O22" s="18" t="s">
        <v>5217</v>
      </c>
      <c r="P22" s="16"/>
      <c r="Q22" s="18"/>
      <c r="R22" s="16"/>
      <c r="S22" s="18"/>
      <c r="T22" s="20"/>
    </row>
    <row r="23" spans="1:20" ht="15.95" customHeight="1" x14ac:dyDescent="0.25">
      <c r="A23" s="18" t="s">
        <v>635</v>
      </c>
      <c r="B23" s="16"/>
      <c r="C23" s="18" t="s">
        <v>1639</v>
      </c>
      <c r="D23" s="16"/>
      <c r="E23" s="18" t="s">
        <v>2343</v>
      </c>
      <c r="F23" s="16"/>
      <c r="G23" s="18" t="s">
        <v>913</v>
      </c>
      <c r="H23" s="16"/>
      <c r="I23" s="18" t="s">
        <v>3053</v>
      </c>
      <c r="J23" s="16"/>
      <c r="K23" s="18" t="s">
        <v>3807</v>
      </c>
      <c r="L23" s="16"/>
      <c r="M23" s="18" t="s">
        <v>4537</v>
      </c>
      <c r="N23" s="16"/>
      <c r="O23" s="18" t="s">
        <v>5218</v>
      </c>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0"/>
    </row>
    <row r="25" spans="1:20" ht="15.95" customHeight="1" x14ac:dyDescent="0.25">
      <c r="A25" s="18" t="s">
        <v>533</v>
      </c>
      <c r="B25" s="16"/>
      <c r="C25" s="18" t="s">
        <v>1627</v>
      </c>
      <c r="D25" s="16"/>
      <c r="E25" s="18" t="s">
        <v>2344</v>
      </c>
      <c r="F25" s="16"/>
      <c r="G25" s="18" t="s">
        <v>902</v>
      </c>
      <c r="H25" s="16"/>
      <c r="I25" s="18" t="s">
        <v>3054</v>
      </c>
      <c r="J25" s="16"/>
      <c r="K25" s="18" t="s">
        <v>3808</v>
      </c>
      <c r="L25" s="16"/>
      <c r="M25" s="18" t="s">
        <v>4538</v>
      </c>
      <c r="N25" s="16"/>
      <c r="O25" s="18" t="s">
        <v>5219</v>
      </c>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7" si="0">I27</f>
        <v>コラプト状態</v>
      </c>
      <c r="K27" s="18" t="s">
        <v>3809</v>
      </c>
      <c r="L27" s="16" t="str">
        <f>K27</f>
        <v>타락</v>
      </c>
      <c r="M27" s="18" t="s">
        <v>4539</v>
      </c>
      <c r="N27" s="16" t="str">
        <f>M27</f>
        <v>Corrompido</v>
      </c>
      <c r="O27" s="18" t="s">
        <v>5220</v>
      </c>
      <c r="P27" s="16" t="str">
        <f>O27</f>
        <v>Осквернено</v>
      </c>
      <c r="Q27" s="18"/>
      <c r="R27" s="16">
        <f>Q27</f>
        <v>0</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64" stopIfTrue="1">
      <formula>NOT(ISERROR(A3))</formula>
    </cfRule>
  </conditionalFormatting>
  <conditionalFormatting sqref="A3:T6 A7 C7 E7 G7 I7 K7 M7 O7 Q7 S7 A8:T25 A26:I26 K26:T26 A27 C27 E27 G27 I27 K27 M27 O27 Q27 S27 A28:T51">
    <cfRule type="notContainsBlanks" dxfId="328" priority="65">
      <formula>LEN(TRIM(A3))&gt;0</formula>
    </cfRule>
  </conditionalFormatting>
  <conditionalFormatting sqref="A3:T51">
    <cfRule type="containsErrors" dxfId="327" priority="1" stopIfTrue="1">
      <formula>ISERROR(A3)</formula>
    </cfRule>
  </conditionalFormatting>
  <conditionalFormatting sqref="B7">
    <cfRule type="notContainsBlanks" dxfId="326" priority="62">
      <formula>LEN(TRIM(B7))&gt;0</formula>
    </cfRule>
  </conditionalFormatting>
  <conditionalFormatting sqref="B27">
    <cfRule type="notContainsBlanks" dxfId="325" priority="60">
      <formula>LEN(TRIM(B27))&gt;0</formula>
    </cfRule>
  </conditionalFormatting>
  <conditionalFormatting sqref="D7">
    <cfRule type="notContainsBlanks" dxfId="324" priority="40">
      <formula>LEN(TRIM(D7))&gt;0</formula>
    </cfRule>
  </conditionalFormatting>
  <conditionalFormatting sqref="D27">
    <cfRule type="notContainsBlanks" dxfId="323" priority="20">
      <formula>LEN(TRIM(D27))&gt;0</formula>
    </cfRule>
  </conditionalFormatting>
  <conditionalFormatting sqref="F7">
    <cfRule type="notContainsBlanks" dxfId="322" priority="38">
      <formula>LEN(TRIM(F7))&gt;0</formula>
    </cfRule>
  </conditionalFormatting>
  <conditionalFormatting sqref="F27">
    <cfRule type="notContainsBlanks" dxfId="321" priority="18">
      <formula>LEN(TRIM(F27))&gt;0</formula>
    </cfRule>
  </conditionalFormatting>
  <conditionalFormatting sqref="H7">
    <cfRule type="notContainsBlanks" dxfId="320" priority="2">
      <formula>LEN(TRIM(H7))&gt;0</formula>
    </cfRule>
  </conditionalFormatting>
  <conditionalFormatting sqref="H27">
    <cfRule type="notContainsBlanks" dxfId="319" priority="16">
      <formula>LEN(TRIM(H27))&gt;0</formula>
    </cfRule>
  </conditionalFormatting>
  <conditionalFormatting sqref="J7">
    <cfRule type="notContainsBlanks" dxfId="318" priority="34">
      <formula>LEN(TRIM(J7))&gt;0</formula>
    </cfRule>
  </conditionalFormatting>
  <conditionalFormatting sqref="J26:J27">
    <cfRule type="notContainsBlanks" dxfId="317" priority="14">
      <formula>LEN(TRIM(J26))&gt;0</formula>
    </cfRule>
  </conditionalFormatting>
  <conditionalFormatting sqref="L7">
    <cfRule type="notContainsBlanks" dxfId="316" priority="32">
      <formula>LEN(TRIM(L7))&gt;0</formula>
    </cfRule>
  </conditionalFormatting>
  <conditionalFormatting sqref="L27">
    <cfRule type="notContainsBlanks" dxfId="315" priority="12">
      <formula>LEN(TRIM(L27))&gt;0</formula>
    </cfRule>
  </conditionalFormatting>
  <conditionalFormatting sqref="N7">
    <cfRule type="notContainsBlanks" dxfId="314" priority="30">
      <formula>LEN(TRIM(N7))&gt;0</formula>
    </cfRule>
  </conditionalFormatting>
  <conditionalFormatting sqref="N27">
    <cfRule type="notContainsBlanks" dxfId="313" priority="10">
      <formula>LEN(TRIM(N27))&gt;0</formula>
    </cfRule>
  </conditionalFormatting>
  <conditionalFormatting sqref="P7">
    <cfRule type="notContainsBlanks" dxfId="312" priority="28">
      <formula>LEN(TRIM(P7))&gt;0</formula>
    </cfRule>
  </conditionalFormatting>
  <conditionalFormatting sqref="P27">
    <cfRule type="notContainsBlanks" dxfId="311" priority="8">
      <formula>LEN(TRIM(P27))&gt;0</formula>
    </cfRule>
  </conditionalFormatting>
  <conditionalFormatting sqref="R7">
    <cfRule type="notContainsBlanks" dxfId="310" priority="26">
      <formula>LEN(TRIM(R7))&gt;0</formula>
    </cfRule>
  </conditionalFormatting>
  <conditionalFormatting sqref="R27">
    <cfRule type="notContainsBlanks" dxfId="309" priority="6">
      <formula>LEN(TRIM(R27))&gt;0</formula>
    </cfRule>
  </conditionalFormatting>
  <conditionalFormatting sqref="T7">
    <cfRule type="notContainsBlanks" dxfId="308" priority="22">
      <formula>LEN(TRIM(T7))&gt;0</formula>
    </cfRule>
  </conditionalFormatting>
  <conditionalFormatting sqref="T27">
    <cfRule type="notContainsBlanks" dxfId="307"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O3" sqref="O3:O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t="s">
        <v>3810</v>
      </c>
      <c r="L3" s="16" t="str">
        <f>TRIM(_xlfn.TEXTBEFORE(K3, ":"))</f>
        <v>아이템 종류</v>
      </c>
      <c r="M3" s="17" t="s">
        <v>4540</v>
      </c>
      <c r="N3" s="16" t="str">
        <f>TRIM(_xlfn.TEXTBEFORE(M3, ":"))</f>
        <v>Classe do Item</v>
      </c>
      <c r="O3" s="17" t="s">
        <v>5221</v>
      </c>
      <c r="P3" s="16" t="str">
        <f>TRIM(_xlfn.TEXTBEFORE(O3, ":"))</f>
        <v>Класс предмета</v>
      </c>
      <c r="Q3" s="17"/>
      <c r="R3" s="16" t="e">
        <f>TRIM(_xlfn.TEXTBEFORE(Q3, ":"))</f>
        <v>#N/A</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t="s">
        <v>3792</v>
      </c>
      <c r="L4" s="16" t="str">
        <f>TRIM(_xlfn.TEXTAFTER(K3, ":"))</f>
        <v>보조 젬</v>
      </c>
      <c r="M4" s="18" t="s">
        <v>4524</v>
      </c>
      <c r="N4" s="16" t="str">
        <f>TRIM(_xlfn.TEXTAFTER(M3, ":"))</f>
        <v>Gemas de Suporte</v>
      </c>
      <c r="O4" s="18" t="s">
        <v>5203</v>
      </c>
      <c r="P4" s="16" t="str">
        <f>TRIM(_xlfn.TEXTAFTER(O3, ":"))</f>
        <v>Камни поддержки</v>
      </c>
      <c r="Q4" s="18"/>
      <c r="R4" s="16" t="e">
        <f>TRIM(_xlfn.TEXTAFTER(Q3, ":"))</f>
        <v>#N/A</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t="s">
        <v>3811</v>
      </c>
      <c r="L5" s="16" t="str">
        <f>TRIM(_xlfn.TEXTBEFORE(K4, ":"))</f>
        <v>아이템 희귀도</v>
      </c>
      <c r="M5" s="18" t="s">
        <v>4541</v>
      </c>
      <c r="N5" s="16" t="str">
        <f>TRIM(_xlfn.TEXTBEFORE(M4, ":"))</f>
        <v>Raridade</v>
      </c>
      <c r="O5" s="18" t="s">
        <v>5222</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c r="R6" s="16" t="e">
        <f>TRIM(_xlfn.TEXTAFTER(Q4,":"))</f>
        <v>#N/A</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t="s">
        <v>3812</v>
      </c>
      <c r="L7" s="16" t="s">
        <v>4521</v>
      </c>
      <c r="M7" s="18" t="s">
        <v>4542</v>
      </c>
      <c r="N7" s="16" t="str">
        <f>TRIM(_xlfn.TEXTBEFORE(M5, " "))</f>
        <v>Divergente</v>
      </c>
      <c r="O7" s="18" t="s">
        <v>5223</v>
      </c>
      <c r="P7" s="16" t="str">
        <f>TRIM(_xlfn.TEXTBEFORE(O5, " "))</f>
        <v>Искривлённый:</v>
      </c>
      <c r="Q7" s="18"/>
      <c r="R7" s="16" t="e">
        <f>TRIM(_xlfn.TEXTBEFORE(Q5, " "))</f>
        <v>#N/A</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c r="R8" s="16"/>
      <c r="S8" s="18"/>
      <c r="T8" s="16"/>
    </row>
    <row r="9" spans="1:20" ht="15.95" customHeight="1" x14ac:dyDescent="0.25">
      <c r="A9" s="18" t="s">
        <v>500</v>
      </c>
      <c r="B9" s="16"/>
      <c r="C9" s="18" t="s">
        <v>1644</v>
      </c>
      <c r="D9" s="16"/>
      <c r="E9" s="18" t="s">
        <v>2349</v>
      </c>
      <c r="F9" s="16"/>
      <c r="G9" s="18" t="s">
        <v>918</v>
      </c>
      <c r="H9" s="16"/>
      <c r="I9" s="18" t="s">
        <v>3060</v>
      </c>
      <c r="J9" s="16"/>
      <c r="K9" s="18" t="s">
        <v>3813</v>
      </c>
      <c r="L9" s="16"/>
      <c r="M9" s="18" t="s">
        <v>4543</v>
      </c>
      <c r="N9" s="16"/>
      <c r="O9" s="18" t="s">
        <v>5224</v>
      </c>
      <c r="P9" s="16"/>
      <c r="Q9" s="18"/>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t="s">
        <v>3800</v>
      </c>
      <c r="L10" s="16" t="str">
        <f>K10</f>
        <v>대체 퀄리티</v>
      </c>
      <c r="M10" s="18" t="s">
        <v>4532</v>
      </c>
      <c r="N10" s="16" t="str">
        <f>M10</f>
        <v>Qualidade Alternativa</v>
      </c>
      <c r="O10" s="18" t="s">
        <v>5211</v>
      </c>
      <c r="P10" s="16" t="str">
        <f>O10</f>
        <v>Изменённый эффект качества</v>
      </c>
      <c r="Q10" s="18"/>
      <c r="R10" s="16">
        <f>Q10</f>
        <v>0</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c r="R11" s="16"/>
      <c r="S11" s="18"/>
      <c r="T11" s="16"/>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c r="R12" s="16"/>
      <c r="S12" s="18"/>
      <c r="T12" s="21"/>
    </row>
    <row r="13" spans="1:20" ht="15.95" customHeight="1" x14ac:dyDescent="0.25">
      <c r="A13" s="18" t="s">
        <v>602</v>
      </c>
      <c r="B13" s="16"/>
      <c r="C13" s="18" t="s">
        <v>1634</v>
      </c>
      <c r="D13" s="16"/>
      <c r="E13" s="18" t="s">
        <v>2338</v>
      </c>
      <c r="F13" s="16"/>
      <c r="G13" s="18" t="s">
        <v>909</v>
      </c>
      <c r="H13" s="16"/>
      <c r="I13" s="18" t="s">
        <v>3048</v>
      </c>
      <c r="J13" s="16"/>
      <c r="K13" s="18" t="s">
        <v>3802</v>
      </c>
      <c r="L13" s="16"/>
      <c r="M13" s="18" t="s">
        <v>4533</v>
      </c>
      <c r="N13" s="16"/>
      <c r="O13" s="18" t="s">
        <v>5213</v>
      </c>
      <c r="P13" s="16"/>
      <c r="Q13" s="18"/>
      <c r="R13" s="16"/>
      <c r="S13" s="18"/>
      <c r="T13" s="21"/>
    </row>
    <row r="14" spans="1:20" ht="15.95" customHeight="1" x14ac:dyDescent="0.25">
      <c r="A14" s="18" t="s">
        <v>603</v>
      </c>
      <c r="B14" s="16"/>
      <c r="C14" s="18" t="s">
        <v>603</v>
      </c>
      <c r="D14" s="16"/>
      <c r="E14" s="18" t="s">
        <v>2350</v>
      </c>
      <c r="F14" s="16"/>
      <c r="G14" s="18" t="s">
        <v>919</v>
      </c>
      <c r="H14" s="16"/>
      <c r="I14" s="18" t="s">
        <v>3061</v>
      </c>
      <c r="J14" s="16"/>
      <c r="K14" s="18" t="s">
        <v>3814</v>
      </c>
      <c r="L14" s="16"/>
      <c r="M14" s="18" t="s">
        <v>919</v>
      </c>
      <c r="N14" s="16"/>
      <c r="O14" s="18" t="s">
        <v>5225</v>
      </c>
      <c r="P14" s="16"/>
      <c r="Q14" s="18"/>
      <c r="R14" s="16"/>
      <c r="S14" s="18"/>
      <c r="T14" s="21"/>
    </row>
    <row r="15" spans="1:20" ht="15.95" customHeight="1" x14ac:dyDescent="0.25">
      <c r="A15" s="18" t="s">
        <v>604</v>
      </c>
      <c r="B15" s="16"/>
      <c r="C15" s="18" t="s">
        <v>604</v>
      </c>
      <c r="D15" s="16"/>
      <c r="E15" s="18" t="s">
        <v>604</v>
      </c>
      <c r="F15" s="16"/>
      <c r="G15" s="18" t="s">
        <v>604</v>
      </c>
      <c r="H15" s="16"/>
      <c r="I15" s="18" t="s">
        <v>3062</v>
      </c>
      <c r="J15" s="16"/>
      <c r="K15" s="18" t="s">
        <v>3815</v>
      </c>
      <c r="L15" s="16"/>
      <c r="M15" s="18" t="s">
        <v>604</v>
      </c>
      <c r="N15" s="16"/>
      <c r="O15" s="18" t="s">
        <v>5226</v>
      </c>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1"/>
    </row>
    <row r="17" spans="1:20" ht="15.95" customHeight="1" x14ac:dyDescent="0.25">
      <c r="A17" s="18" t="s">
        <v>605</v>
      </c>
      <c r="B17" s="16"/>
      <c r="C17" s="18" t="s">
        <v>1645</v>
      </c>
      <c r="D17" s="16"/>
      <c r="E17" s="18" t="s">
        <v>2351</v>
      </c>
      <c r="F17" s="16"/>
      <c r="G17" s="18" t="s">
        <v>920</v>
      </c>
      <c r="H17" s="16"/>
      <c r="I17" s="18" t="s">
        <v>3063</v>
      </c>
      <c r="J17" s="16"/>
      <c r="K17" s="18" t="s">
        <v>3816</v>
      </c>
      <c r="L17" s="16"/>
      <c r="M17" s="18" t="s">
        <v>4544</v>
      </c>
      <c r="N17" s="16"/>
      <c r="O17" s="18" t="s">
        <v>5227</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606</v>
      </c>
      <c r="B19" s="16"/>
      <c r="C19" s="18" t="s">
        <v>1646</v>
      </c>
      <c r="D19" s="16"/>
      <c r="E19" s="18" t="s">
        <v>2352</v>
      </c>
      <c r="F19" s="16"/>
      <c r="G19" s="18" t="s">
        <v>921</v>
      </c>
      <c r="H19" s="16"/>
      <c r="I19" s="18" t="s">
        <v>3064</v>
      </c>
      <c r="J19" s="16"/>
      <c r="K19" s="18" t="s">
        <v>3817</v>
      </c>
      <c r="L19" s="16"/>
      <c r="M19" s="18" t="s">
        <v>4545</v>
      </c>
      <c r="N19" s="16"/>
      <c r="O19" s="18" t="s">
        <v>5228</v>
      </c>
      <c r="P19" s="16"/>
      <c r="Q19" s="18"/>
      <c r="R19" s="16"/>
      <c r="S19" s="18"/>
      <c r="T19" s="21"/>
    </row>
    <row r="20" spans="1:20" ht="15.95" customHeight="1" x14ac:dyDescent="0.25">
      <c r="A20" s="18" t="s">
        <v>607</v>
      </c>
      <c r="B20" s="16"/>
      <c r="C20" s="18" t="s">
        <v>1647</v>
      </c>
      <c r="D20" s="16"/>
      <c r="E20" s="18" t="s">
        <v>2353</v>
      </c>
      <c r="F20" s="16"/>
      <c r="G20" s="18" t="s">
        <v>922</v>
      </c>
      <c r="H20" s="16"/>
      <c r="I20" s="18" t="s">
        <v>3065</v>
      </c>
      <c r="J20" s="16"/>
      <c r="K20" s="18" t="s">
        <v>3818</v>
      </c>
      <c r="L20" s="16"/>
      <c r="M20" s="18" t="s">
        <v>4546</v>
      </c>
      <c r="N20" s="16"/>
      <c r="O20" s="18" t="s">
        <v>5229</v>
      </c>
      <c r="P20" s="16"/>
      <c r="Q20" s="18"/>
      <c r="R20" s="16"/>
      <c r="S20" s="18"/>
      <c r="T20" s="21"/>
    </row>
    <row r="21" spans="1:20" ht="15.95" customHeight="1" x14ac:dyDescent="0.25">
      <c r="A21" s="18" t="s">
        <v>608</v>
      </c>
      <c r="B21" s="16"/>
      <c r="C21" s="18" t="s">
        <v>1648</v>
      </c>
      <c r="D21" s="16"/>
      <c r="E21" s="18" t="s">
        <v>2354</v>
      </c>
      <c r="F21" s="16"/>
      <c r="G21" s="18" t="s">
        <v>923</v>
      </c>
      <c r="H21" s="16"/>
      <c r="I21" s="18" t="s">
        <v>3066</v>
      </c>
      <c r="J21" s="16"/>
      <c r="K21" s="18" t="s">
        <v>3819</v>
      </c>
      <c r="L21" s="16"/>
      <c r="M21" s="18" t="s">
        <v>4547</v>
      </c>
      <c r="N21" s="16"/>
      <c r="O21" s="18" t="s">
        <v>5230</v>
      </c>
      <c r="P21" s="16"/>
      <c r="Q21" s="18"/>
      <c r="R21" s="16"/>
      <c r="S21" s="18"/>
      <c r="T21" s="21"/>
    </row>
    <row r="22" spans="1:20" ht="15.95" customHeight="1" x14ac:dyDescent="0.25">
      <c r="A22" s="18" t="s">
        <v>609</v>
      </c>
      <c r="B22" s="16"/>
      <c r="C22" s="18" t="s">
        <v>1649</v>
      </c>
      <c r="D22" s="16"/>
      <c r="E22" s="18" t="s">
        <v>2355</v>
      </c>
      <c r="F22" s="16"/>
      <c r="G22" s="18" t="s">
        <v>924</v>
      </c>
      <c r="H22" s="16"/>
      <c r="I22" s="18" t="s">
        <v>3067</v>
      </c>
      <c r="J22" s="16"/>
      <c r="K22" s="18" t="s">
        <v>3820</v>
      </c>
      <c r="L22" s="16"/>
      <c r="M22" s="18" t="s">
        <v>4548</v>
      </c>
      <c r="N22" s="16"/>
      <c r="O22" s="18" t="s">
        <v>5231</v>
      </c>
      <c r="P22" s="16"/>
      <c r="Q22" s="18"/>
      <c r="R22" s="16"/>
      <c r="S22" s="18"/>
      <c r="T22" s="21"/>
    </row>
    <row r="23" spans="1:20" ht="15.95" customHeight="1" x14ac:dyDescent="0.25">
      <c r="A23" s="18" t="s">
        <v>610</v>
      </c>
      <c r="B23" s="16"/>
      <c r="C23" s="18" t="s">
        <v>1650</v>
      </c>
      <c r="D23" s="16"/>
      <c r="E23" s="18" t="s">
        <v>2356</v>
      </c>
      <c r="F23" s="16"/>
      <c r="G23" s="18" t="s">
        <v>925</v>
      </c>
      <c r="H23" s="16"/>
      <c r="I23" s="18" t="s">
        <v>3068</v>
      </c>
      <c r="J23" s="16"/>
      <c r="K23" s="18" t="s">
        <v>3821</v>
      </c>
      <c r="L23" s="16"/>
      <c r="M23" s="18" t="s">
        <v>4549</v>
      </c>
      <c r="N23" s="16"/>
      <c r="O23" s="18" t="s">
        <v>5232</v>
      </c>
      <c r="P23" s="16"/>
      <c r="Q23" s="18"/>
      <c r="R23" s="16"/>
      <c r="S23" s="18"/>
      <c r="T23" s="21"/>
    </row>
    <row r="24" spans="1:20" ht="15.95" customHeight="1" x14ac:dyDescent="0.25">
      <c r="A24" s="18" t="s">
        <v>611</v>
      </c>
      <c r="B24" s="16"/>
      <c r="C24" s="18" t="s">
        <v>1651</v>
      </c>
      <c r="D24" s="16"/>
      <c r="E24" s="18" t="s">
        <v>2357</v>
      </c>
      <c r="F24" s="16"/>
      <c r="G24" s="18" t="s">
        <v>926</v>
      </c>
      <c r="H24" s="16"/>
      <c r="I24" s="18" t="s">
        <v>3069</v>
      </c>
      <c r="J24" s="16"/>
      <c r="K24" s="18" t="s">
        <v>3822</v>
      </c>
      <c r="L24" s="16"/>
      <c r="M24" s="18" t="s">
        <v>4550</v>
      </c>
      <c r="N24" s="16"/>
      <c r="O24" s="18" t="s">
        <v>5233</v>
      </c>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c r="R25" s="16"/>
      <c r="S25" s="18"/>
      <c r="T25" s="16"/>
    </row>
    <row r="26" spans="1:20" ht="15.95" customHeight="1" x14ac:dyDescent="0.25">
      <c r="A26" s="18" t="s">
        <v>536</v>
      </c>
      <c r="B26" s="16"/>
      <c r="C26" s="18" t="s">
        <v>1652</v>
      </c>
      <c r="D26" s="16"/>
      <c r="E26" s="18" t="s">
        <v>2358</v>
      </c>
      <c r="F26" s="16"/>
      <c r="G26" s="18" t="s">
        <v>927</v>
      </c>
      <c r="H26" s="16"/>
      <c r="I26" s="18" t="s">
        <v>3070</v>
      </c>
      <c r="J26" s="16"/>
      <c r="K26" s="18" t="s">
        <v>3823</v>
      </c>
      <c r="L26" s="16"/>
      <c r="M26" s="18" t="s">
        <v>4551</v>
      </c>
      <c r="N26" s="16"/>
      <c r="O26" s="18" t="s">
        <v>5234</v>
      </c>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8" stopIfTrue="1">
      <formula>NOT(ISERROR(A3))</formula>
    </cfRule>
  </conditionalFormatting>
  <conditionalFormatting sqref="A3:T6 A7 C7 E7 G7 I7 K7 M7 O7 Q7 S7 A8:T51">
    <cfRule type="notContainsBlanks" dxfId="305" priority="29">
      <formula>LEN(TRIM(A3))&gt;0</formula>
    </cfRule>
  </conditionalFormatting>
  <conditionalFormatting sqref="A3:T51">
    <cfRule type="containsErrors" dxfId="304" priority="1" stopIfTrue="1">
      <formula>ISERROR(A3)</formula>
    </cfRule>
  </conditionalFormatting>
  <conditionalFormatting sqref="B7">
    <cfRule type="notContainsBlanks" dxfId="303" priority="26">
      <formula>LEN(TRIM(B7))&gt;0</formula>
    </cfRule>
  </conditionalFormatting>
  <conditionalFormatting sqref="D7">
    <cfRule type="notContainsBlanks" dxfId="302" priority="2">
      <formula>LEN(TRIM(D7))&gt;0</formula>
    </cfRule>
  </conditionalFormatting>
  <conditionalFormatting sqref="F7">
    <cfRule type="notContainsBlanks" dxfId="301" priority="22">
      <formula>LEN(TRIM(F7))&gt;0</formula>
    </cfRule>
  </conditionalFormatting>
  <conditionalFormatting sqref="H7">
    <cfRule type="notContainsBlanks" dxfId="300" priority="6">
      <formula>LEN(TRIM(H7))&gt;0</formula>
    </cfRule>
  </conditionalFormatting>
  <conditionalFormatting sqref="J7">
    <cfRule type="notContainsBlanks" dxfId="299" priority="18">
      <formula>LEN(TRIM(J7))&gt;0</formula>
    </cfRule>
  </conditionalFormatting>
  <conditionalFormatting sqref="L7">
    <cfRule type="notContainsBlanks" dxfId="298" priority="16">
      <formula>LEN(TRIM(L7))&gt;0</formula>
    </cfRule>
  </conditionalFormatting>
  <conditionalFormatting sqref="N7">
    <cfRule type="notContainsBlanks" dxfId="297" priority="14">
      <formula>LEN(TRIM(N7))&gt;0</formula>
    </cfRule>
  </conditionalFormatting>
  <conditionalFormatting sqref="P7">
    <cfRule type="notContainsBlanks" dxfId="296" priority="12">
      <formula>LEN(TRIM(P7))&gt;0</formula>
    </cfRule>
  </conditionalFormatting>
  <conditionalFormatting sqref="R7">
    <cfRule type="notContainsBlanks" dxfId="295" priority="10">
      <formula>LEN(TRIM(R7))&gt;0</formula>
    </cfRule>
  </conditionalFormatting>
  <conditionalFormatting sqref="T7">
    <cfRule type="notContainsBlanks" dxfId="294"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O3" sqref="O3:O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c r="R3" s="16" t="e">
        <f>TRIM(_xlfn.TEXTBEFORE(Q3, ":"))</f>
        <v>#N/A</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c r="R4" s="16" t="e">
        <f>TRIM(_xlfn.TEXTAFTER(Q3, ":"))</f>
        <v>#N/A</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t="s">
        <v>3824</v>
      </c>
      <c r="L5" s="16" t="str">
        <f>TRIM(_xlfn.TEXTBEFORE(K4, ":"))</f>
        <v>아이템 희귀도</v>
      </c>
      <c r="M5" s="18" t="s">
        <v>4552</v>
      </c>
      <c r="N5" s="16" t="str">
        <f>TRIM(_xlfn.TEXTBEFORE(M4, ":"))</f>
        <v>Raridade</v>
      </c>
      <c r="O5" s="18" t="s">
        <v>5235</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c r="R6" s="16" t="e">
        <f>TRIM(_xlfn.TEXTAFTER(Q4,":"))</f>
        <v>#N/A</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t="s">
        <v>3825</v>
      </c>
      <c r="L7" s="16" t="s">
        <v>4522</v>
      </c>
      <c r="M7" s="18" t="s">
        <v>4553</v>
      </c>
      <c r="N7" s="16" t="str">
        <f>TRIM(_xlfn.TEXTBEFORE(M5, " "))</f>
        <v>Fantasmal</v>
      </c>
      <c r="O7" s="18" t="s">
        <v>5236</v>
      </c>
      <c r="P7" s="16" t="str">
        <f>TRIM(_xlfn.TEXTBEFORE(O5, " "))</f>
        <v>Фантомный:</v>
      </c>
      <c r="Q7" s="18"/>
      <c r="R7" s="16" t="e">
        <f>TRIM(_xlfn.TEXTBEFORE(Q5, " "))</f>
        <v>#N/A</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t="s">
        <v>3826</v>
      </c>
      <c r="L8" s="16" t="str">
        <f>TRIM(_xlfn.TEXTBEFORE(K8,":"))</f>
        <v>레벨</v>
      </c>
      <c r="M8" s="18" t="s">
        <v>4554</v>
      </c>
      <c r="N8" s="16" t="str">
        <f>TRIM(_xlfn.TEXTBEFORE(M8,":"))</f>
        <v>Nível</v>
      </c>
      <c r="O8" s="18" t="s">
        <v>5237</v>
      </c>
      <c r="P8" s="16" t="str">
        <f>TRIM(_xlfn.TEXTBEFORE(O8,":"))</f>
        <v>Уровень</v>
      </c>
      <c r="Q8" s="18"/>
      <c r="R8" s="16" t="e">
        <f>TRIM(_xlfn.TEXTBEFORE(Q8,":"))</f>
        <v>#N/A</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t="s">
        <v>3827</v>
      </c>
      <c r="L9" s="16"/>
      <c r="M9" s="18" t="s">
        <v>4555</v>
      </c>
      <c r="N9" s="16"/>
      <c r="O9" s="18" t="s">
        <v>5238</v>
      </c>
      <c r="P9" s="16"/>
      <c r="Q9" s="18"/>
      <c r="R9" s="16"/>
      <c r="S9" s="18"/>
      <c r="T9" s="16"/>
    </row>
    <row r="10" spans="1:20" ht="15.95" customHeight="1" x14ac:dyDescent="0.25">
      <c r="A10" s="18" t="s">
        <v>639</v>
      </c>
      <c r="B10" s="16"/>
      <c r="C10" s="18" t="s">
        <v>1613</v>
      </c>
      <c r="D10" s="16"/>
      <c r="E10" s="18" t="s">
        <v>2363</v>
      </c>
      <c r="F10" s="16"/>
      <c r="G10" s="18" t="s">
        <v>888</v>
      </c>
      <c r="H10" s="16"/>
      <c r="I10" s="18" t="s">
        <v>3077</v>
      </c>
      <c r="J10" s="16"/>
      <c r="K10" s="18" t="s">
        <v>3828</v>
      </c>
      <c r="L10" s="16"/>
      <c r="M10" s="18" t="s">
        <v>4556</v>
      </c>
      <c r="N10" s="16"/>
      <c r="O10" s="18" t="s">
        <v>5239</v>
      </c>
      <c r="P10" s="16"/>
      <c r="Q10" s="18"/>
      <c r="R10" s="16"/>
      <c r="S10" s="18"/>
      <c r="T10" s="16"/>
    </row>
    <row r="11" spans="1:20" ht="15.95" customHeight="1" x14ac:dyDescent="0.25">
      <c r="A11" s="18" t="s">
        <v>640</v>
      </c>
      <c r="B11" s="16"/>
      <c r="C11" s="18" t="s">
        <v>1614</v>
      </c>
      <c r="D11" s="16"/>
      <c r="E11" s="18" t="s">
        <v>2364</v>
      </c>
      <c r="F11" s="16"/>
      <c r="G11" s="18" t="s">
        <v>889</v>
      </c>
      <c r="H11" s="16"/>
      <c r="I11" s="18" t="s">
        <v>3078</v>
      </c>
      <c r="J11" s="16"/>
      <c r="K11" s="18" t="s">
        <v>3829</v>
      </c>
      <c r="L11" s="16"/>
      <c r="M11" s="18" t="s">
        <v>4557</v>
      </c>
      <c r="N11" s="16"/>
      <c r="O11" s="18" t="s">
        <v>5240</v>
      </c>
      <c r="P11" s="16"/>
      <c r="Q11" s="18"/>
      <c r="R11" s="16"/>
      <c r="S11" s="18"/>
      <c r="T11" s="16"/>
    </row>
    <row r="12" spans="1:20" ht="15.95" customHeight="1" x14ac:dyDescent="0.25">
      <c r="A12" s="18" t="s">
        <v>641</v>
      </c>
      <c r="B12" s="16"/>
      <c r="C12" s="18" t="s">
        <v>1615</v>
      </c>
      <c r="D12" s="16"/>
      <c r="E12" s="18" t="s">
        <v>2365</v>
      </c>
      <c r="F12" s="16"/>
      <c r="G12" s="18" t="s">
        <v>890</v>
      </c>
      <c r="H12" s="16"/>
      <c r="I12" s="18" t="s">
        <v>3079</v>
      </c>
      <c r="J12" s="16"/>
      <c r="K12" s="18" t="s">
        <v>3830</v>
      </c>
      <c r="L12" s="16"/>
      <c r="M12" s="18" t="s">
        <v>4558</v>
      </c>
      <c r="N12" s="16"/>
      <c r="O12" s="18" t="s">
        <v>5241</v>
      </c>
      <c r="P12" s="16"/>
      <c r="Q12" s="18"/>
      <c r="R12" s="16"/>
      <c r="S12" s="18"/>
      <c r="T12" s="16"/>
    </row>
    <row r="13" spans="1:20" ht="15.95" customHeight="1" x14ac:dyDescent="0.25">
      <c r="A13" s="18" t="s">
        <v>630</v>
      </c>
      <c r="B13" s="16"/>
      <c r="C13" s="18" t="s">
        <v>1616</v>
      </c>
      <c r="D13" s="16"/>
      <c r="E13" s="18" t="s">
        <v>2335</v>
      </c>
      <c r="F13" s="16"/>
      <c r="G13" s="18" t="s">
        <v>891</v>
      </c>
      <c r="H13" s="16"/>
      <c r="I13" s="18" t="s">
        <v>3045</v>
      </c>
      <c r="J13" s="16"/>
      <c r="K13" s="18" t="s">
        <v>3799</v>
      </c>
      <c r="L13" s="16"/>
      <c r="M13" s="18" t="s">
        <v>4531</v>
      </c>
      <c r="N13" s="16"/>
      <c r="O13" s="18" t="s">
        <v>5210</v>
      </c>
      <c r="P13" s="16"/>
      <c r="Q13" s="18"/>
      <c r="R13" s="16"/>
      <c r="S13" s="18"/>
      <c r="T13" s="16"/>
    </row>
    <row r="14" spans="1:20" ht="15.95" customHeight="1" x14ac:dyDescent="0.25">
      <c r="A14" s="18" t="s">
        <v>601</v>
      </c>
      <c r="B14" s="16"/>
      <c r="C14" s="18" t="s">
        <v>1617</v>
      </c>
      <c r="D14" s="16"/>
      <c r="E14" s="18" t="s">
        <v>2336</v>
      </c>
      <c r="F14" s="16"/>
      <c r="G14" s="18" t="s">
        <v>892</v>
      </c>
      <c r="H14" s="16"/>
      <c r="I14" s="18" t="s">
        <v>3046</v>
      </c>
      <c r="J14" s="16"/>
      <c r="K14" s="18" t="s">
        <v>3800</v>
      </c>
      <c r="L14" s="16"/>
      <c r="M14" s="18" t="s">
        <v>4532</v>
      </c>
      <c r="N14" s="16"/>
      <c r="O14" s="18" t="s">
        <v>5211</v>
      </c>
      <c r="P14" s="16"/>
      <c r="Q14" s="18"/>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16"/>
    </row>
    <row r="16" spans="1:20" ht="15.95" customHeight="1" x14ac:dyDescent="0.25">
      <c r="A16" s="18" t="s">
        <v>110</v>
      </c>
      <c r="B16" s="16"/>
      <c r="C16" s="18" t="s">
        <v>1618</v>
      </c>
      <c r="D16" s="16"/>
      <c r="E16" s="18" t="s">
        <v>2337</v>
      </c>
      <c r="F16" s="16"/>
      <c r="G16" s="18" t="s">
        <v>5</v>
      </c>
      <c r="H16" s="16"/>
      <c r="I16" s="18" t="s">
        <v>3047</v>
      </c>
      <c r="J16" s="16"/>
      <c r="K16" s="18" t="s">
        <v>3801</v>
      </c>
      <c r="L16" s="16"/>
      <c r="M16" s="18" t="s">
        <v>2337</v>
      </c>
      <c r="N16" s="16"/>
      <c r="O16" s="18" t="s">
        <v>5212</v>
      </c>
      <c r="P16" s="16"/>
      <c r="Q16" s="18"/>
      <c r="R16" s="16"/>
      <c r="S16" s="18"/>
      <c r="T16" s="16"/>
    </row>
    <row r="17" spans="1:20" ht="15.95" customHeight="1" x14ac:dyDescent="0.25">
      <c r="A17" s="18" t="s">
        <v>136</v>
      </c>
      <c r="B17" s="16"/>
      <c r="C17" s="18" t="s">
        <v>1619</v>
      </c>
      <c r="D17" s="16"/>
      <c r="E17" s="18" t="s">
        <v>2366</v>
      </c>
      <c r="F17" s="16"/>
      <c r="G17" s="18" t="s">
        <v>893</v>
      </c>
      <c r="H17" s="16"/>
      <c r="I17" s="18" t="s">
        <v>3080</v>
      </c>
      <c r="J17" s="16"/>
      <c r="K17" s="18" t="s">
        <v>3831</v>
      </c>
      <c r="L17" s="16"/>
      <c r="M17" s="18" t="s">
        <v>4559</v>
      </c>
      <c r="N17" s="16"/>
      <c r="O17" s="18" t="s">
        <v>5242</v>
      </c>
      <c r="P17" s="16"/>
      <c r="Q17" s="18"/>
      <c r="R17" s="16"/>
      <c r="S17" s="18"/>
      <c r="T17" s="16"/>
    </row>
    <row r="18" spans="1:20" ht="15.95" customHeight="1" x14ac:dyDescent="0.25">
      <c r="A18" s="18" t="s">
        <v>476</v>
      </c>
      <c r="B18" s="16"/>
      <c r="C18" s="18" t="s">
        <v>476</v>
      </c>
      <c r="D18" s="16"/>
      <c r="E18" s="18" t="s">
        <v>2367</v>
      </c>
      <c r="F18" s="16"/>
      <c r="G18" s="18" t="s">
        <v>894</v>
      </c>
      <c r="H18" s="16"/>
      <c r="I18" s="18" t="s">
        <v>3081</v>
      </c>
      <c r="J18" s="16"/>
      <c r="K18" s="18" t="s">
        <v>3832</v>
      </c>
      <c r="L18" s="16"/>
      <c r="M18" s="18" t="s">
        <v>894</v>
      </c>
      <c r="N18" s="16"/>
      <c r="O18" s="18" t="s">
        <v>5243</v>
      </c>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16"/>
    </row>
    <row r="20" spans="1:20" ht="15.95" customHeight="1" x14ac:dyDescent="0.25">
      <c r="A20" s="18" t="s">
        <v>642</v>
      </c>
      <c r="B20" s="16"/>
      <c r="C20" s="18" t="s">
        <v>1620</v>
      </c>
      <c r="D20" s="16"/>
      <c r="E20" s="18" t="s">
        <v>2368</v>
      </c>
      <c r="F20" s="16"/>
      <c r="G20" s="18" t="s">
        <v>895</v>
      </c>
      <c r="H20" s="16"/>
      <c r="I20" s="18" t="s">
        <v>3082</v>
      </c>
      <c r="J20" s="16"/>
      <c r="K20" s="18" t="s">
        <v>3833</v>
      </c>
      <c r="L20" s="16"/>
      <c r="M20" s="18" t="s">
        <v>4560</v>
      </c>
      <c r="N20" s="16"/>
      <c r="O20" s="18" t="s">
        <v>5244</v>
      </c>
      <c r="P20" s="16"/>
      <c r="Q20" s="18"/>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16"/>
    </row>
    <row r="22" spans="1:20" ht="15.95" customHeight="1" x14ac:dyDescent="0.25">
      <c r="A22" s="18" t="s">
        <v>643</v>
      </c>
      <c r="B22" s="16"/>
      <c r="C22" s="18" t="s">
        <v>1621</v>
      </c>
      <c r="D22" s="16"/>
      <c r="E22" s="18" t="s">
        <v>2369</v>
      </c>
      <c r="F22" s="16"/>
      <c r="G22" s="18" t="s">
        <v>896</v>
      </c>
      <c r="H22" s="16"/>
      <c r="I22" s="18" t="s">
        <v>3083</v>
      </c>
      <c r="J22" s="16"/>
      <c r="K22" s="18" t="s">
        <v>3834</v>
      </c>
      <c r="L22" s="16"/>
      <c r="M22" s="18" t="s">
        <v>4561</v>
      </c>
      <c r="N22" s="16"/>
      <c r="O22" s="18" t="s">
        <v>5245</v>
      </c>
      <c r="P22" s="16"/>
      <c r="Q22" s="18"/>
      <c r="R22" s="16"/>
      <c r="S22" s="18"/>
      <c r="T22" s="16"/>
    </row>
    <row r="23" spans="1:20" ht="15.95" customHeight="1" x14ac:dyDescent="0.25">
      <c r="A23" s="18" t="s">
        <v>644</v>
      </c>
      <c r="B23" s="16"/>
      <c r="C23" s="18" t="s">
        <v>1622</v>
      </c>
      <c r="D23" s="16"/>
      <c r="E23" s="18" t="s">
        <v>2370</v>
      </c>
      <c r="F23" s="16"/>
      <c r="G23" s="18" t="s">
        <v>897</v>
      </c>
      <c r="H23" s="16"/>
      <c r="I23" s="18" t="s">
        <v>3084</v>
      </c>
      <c r="J23" s="16"/>
      <c r="K23" s="18" t="s">
        <v>3835</v>
      </c>
      <c r="L23" s="16"/>
      <c r="M23" s="18" t="s">
        <v>4562</v>
      </c>
      <c r="N23" s="16"/>
      <c r="O23" s="18" t="s">
        <v>5246</v>
      </c>
      <c r="P23" s="16"/>
      <c r="Q23" s="18"/>
      <c r="R23" s="16"/>
      <c r="S23" s="18"/>
      <c r="T23" s="16"/>
    </row>
    <row r="24" spans="1:20" ht="15.95" customHeight="1" x14ac:dyDescent="0.25">
      <c r="A24" s="18" t="s">
        <v>645</v>
      </c>
      <c r="B24" s="16"/>
      <c r="C24" s="18" t="s">
        <v>1623</v>
      </c>
      <c r="D24" s="16"/>
      <c r="E24" s="18" t="s">
        <v>2371</v>
      </c>
      <c r="F24" s="16"/>
      <c r="G24" s="18" t="s">
        <v>898</v>
      </c>
      <c r="H24" s="16"/>
      <c r="I24" s="18" t="s">
        <v>3085</v>
      </c>
      <c r="J24" s="16"/>
      <c r="K24" s="18" t="s">
        <v>3836</v>
      </c>
      <c r="L24" s="16"/>
      <c r="M24" s="18" t="s">
        <v>4563</v>
      </c>
      <c r="N24" s="16"/>
      <c r="O24" s="18" t="s">
        <v>5247</v>
      </c>
      <c r="P24" s="16"/>
      <c r="Q24" s="18"/>
      <c r="R24" s="16"/>
      <c r="S24" s="18"/>
      <c r="T24" s="16"/>
    </row>
    <row r="25" spans="1:20" ht="15.95" customHeight="1" x14ac:dyDescent="0.25">
      <c r="A25" s="18" t="s">
        <v>646</v>
      </c>
      <c r="B25" s="16"/>
      <c r="C25" s="18" t="s">
        <v>1624</v>
      </c>
      <c r="D25" s="16"/>
      <c r="E25" s="18" t="s">
        <v>2372</v>
      </c>
      <c r="F25" s="16"/>
      <c r="G25" s="18" t="s">
        <v>899</v>
      </c>
      <c r="H25" s="16"/>
      <c r="I25" s="18" t="s">
        <v>3086</v>
      </c>
      <c r="J25" s="16"/>
      <c r="K25" s="18" t="s">
        <v>3837</v>
      </c>
      <c r="L25" s="16"/>
      <c r="M25" s="18" t="s">
        <v>4564</v>
      </c>
      <c r="N25" s="16"/>
      <c r="O25" s="18" t="s">
        <v>5248</v>
      </c>
      <c r="P25" s="16"/>
      <c r="Q25" s="18"/>
      <c r="R25" s="16"/>
      <c r="S25" s="18"/>
      <c r="T25" s="16"/>
    </row>
    <row r="26" spans="1:20" ht="15.95" customHeight="1" x14ac:dyDescent="0.25">
      <c r="A26" s="18" t="s">
        <v>647</v>
      </c>
      <c r="B26" s="16"/>
      <c r="C26" s="18" t="s">
        <v>1625</v>
      </c>
      <c r="D26" s="16"/>
      <c r="E26" s="18" t="s">
        <v>2373</v>
      </c>
      <c r="F26" s="16"/>
      <c r="G26" s="18" t="s">
        <v>900</v>
      </c>
      <c r="H26" s="16"/>
      <c r="I26" s="18" t="s">
        <v>3087</v>
      </c>
      <c r="J26" s="16"/>
      <c r="K26" s="18" t="s">
        <v>3838</v>
      </c>
      <c r="L26" s="16"/>
      <c r="M26" s="18" t="s">
        <v>4565</v>
      </c>
      <c r="N26" s="16"/>
      <c r="O26" s="18" t="s">
        <v>5249</v>
      </c>
      <c r="P26" s="16"/>
      <c r="Q26" s="18"/>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t="s">
        <v>3839</v>
      </c>
      <c r="L28" s="16" t="str">
        <f>TRIM(_xlfn.TEXTBEFORE(K28,":"))</f>
        <v>경험치</v>
      </c>
      <c r="M28" s="18" t="s">
        <v>4566</v>
      </c>
      <c r="N28" s="16" t="str">
        <f>TRIM(_xlfn.TEXTBEFORE(M28,":"))</f>
        <v>Experiência</v>
      </c>
      <c r="O28" s="18" t="s">
        <v>5250</v>
      </c>
      <c r="P28" s="16" t="str">
        <f>TRIM(_xlfn.TEXTBEFORE(O28,":"))</f>
        <v>Опыт</v>
      </c>
      <c r="Q28" s="18"/>
      <c r="R28" s="16" t="e">
        <f>TRIM(_xlfn.TEXTBEFORE(Q28,":"))</f>
        <v>#N/A</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c r="R29" s="16"/>
      <c r="S29" s="18"/>
      <c r="T29" s="16"/>
    </row>
    <row r="30" spans="1:20" ht="15.95" customHeight="1" x14ac:dyDescent="0.25">
      <c r="A30" s="18" t="s">
        <v>533</v>
      </c>
      <c r="B30" s="16"/>
      <c r="C30" s="18" t="s">
        <v>1627</v>
      </c>
      <c r="D30" s="16"/>
      <c r="E30" s="18" t="s">
        <v>2344</v>
      </c>
      <c r="F30" s="16"/>
      <c r="G30" s="18" t="s">
        <v>902</v>
      </c>
      <c r="H30" s="16"/>
      <c r="I30" s="18" t="s">
        <v>3054</v>
      </c>
      <c r="J30" s="16"/>
      <c r="K30" s="18" t="s">
        <v>3808</v>
      </c>
      <c r="L30" s="16"/>
      <c r="M30" s="18" t="s">
        <v>4538</v>
      </c>
      <c r="N30" s="16"/>
      <c r="O30" s="18" t="s">
        <v>5219</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84" stopIfTrue="1">
      <formula>NOT(ISERROR(A3))</formula>
    </cfRule>
  </conditionalFormatting>
  <conditionalFormatting sqref="A3:T6 A7:A8 C7:C8 E7:E29 G7:G29 I7:I29 K7:K29 M7:M29 O7:O29 Q7:Q29 S7:S29 A9:D27 A28:A29 C28:C29 A30:T51">
    <cfRule type="notContainsBlanks" dxfId="292" priority="85">
      <formula>LEN(TRIM(A3))&gt;0</formula>
    </cfRule>
  </conditionalFormatting>
  <conditionalFormatting sqref="A3:T51">
    <cfRule type="containsErrors" dxfId="291" priority="1" stopIfTrue="1">
      <formula>ISERROR(A3)</formula>
    </cfRule>
  </conditionalFormatting>
  <conditionalFormatting sqref="B7:B8">
    <cfRule type="notContainsBlanks" dxfId="290" priority="24">
      <formula>LEN(TRIM(B7))&gt;0</formula>
    </cfRule>
  </conditionalFormatting>
  <conditionalFormatting sqref="B28:B29">
    <cfRule type="notContainsBlanks" dxfId="289" priority="82">
      <formula>LEN(TRIM(B28))&gt;0</formula>
    </cfRule>
  </conditionalFormatting>
  <conditionalFormatting sqref="D7:D8">
    <cfRule type="notContainsBlanks" dxfId="288" priority="22">
      <formula>LEN(TRIM(D7))&gt;0</formula>
    </cfRule>
  </conditionalFormatting>
  <conditionalFormatting sqref="D28:D29">
    <cfRule type="notContainsBlanks" dxfId="287" priority="42">
      <formula>LEN(TRIM(D28))&gt;0</formula>
    </cfRule>
  </conditionalFormatting>
  <conditionalFormatting sqref="F7:F29">
    <cfRule type="notContainsBlanks" dxfId="286" priority="20">
      <formula>LEN(TRIM(F7))&gt;0</formula>
    </cfRule>
  </conditionalFormatting>
  <conditionalFormatting sqref="H7:H29">
    <cfRule type="notContainsBlanks" dxfId="285" priority="4">
      <formula>LEN(TRIM(H7))&gt;0</formula>
    </cfRule>
  </conditionalFormatting>
  <conditionalFormatting sqref="J7:J29">
    <cfRule type="notContainsBlanks" dxfId="284" priority="2">
      <formula>LEN(TRIM(J7))&gt;0</formula>
    </cfRule>
  </conditionalFormatting>
  <conditionalFormatting sqref="L7:L29">
    <cfRule type="notContainsBlanks" dxfId="283" priority="14">
      <formula>LEN(TRIM(L7))&gt;0</formula>
    </cfRule>
  </conditionalFormatting>
  <conditionalFormatting sqref="N7:N29">
    <cfRule type="notContainsBlanks" dxfId="282" priority="12">
      <formula>LEN(TRIM(N7))&gt;0</formula>
    </cfRule>
  </conditionalFormatting>
  <conditionalFormatting sqref="P7:P29">
    <cfRule type="notContainsBlanks" dxfId="281" priority="10">
      <formula>LEN(TRIM(P7))&gt;0</formula>
    </cfRule>
  </conditionalFormatting>
  <conditionalFormatting sqref="R7:R29">
    <cfRule type="notContainsBlanks" dxfId="280" priority="8">
      <formula>LEN(TRIM(R7))&gt;0</formula>
    </cfRule>
  </conditionalFormatting>
  <conditionalFormatting sqref="T7:T29">
    <cfRule type="notContainsBlanks" dxfId="279"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O3" sqref="O3:O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t="s">
        <v>3840</v>
      </c>
      <c r="L3" s="16" t="str">
        <f>TRIM(_xlfn.TEXTBEFORE(K3, ":"))</f>
        <v>아이템 종류</v>
      </c>
      <c r="M3" s="17" t="s">
        <v>4567</v>
      </c>
      <c r="N3" s="16" t="str">
        <f>TRIM(_xlfn.TEXTBEFORE(M3, ":"))</f>
        <v>Classe do Item</v>
      </c>
      <c r="O3" s="17" t="s">
        <v>5251</v>
      </c>
      <c r="P3" s="16" t="str">
        <f>TRIM(_xlfn.TEXTBEFORE(O3, ":"))</f>
        <v>Класс предмета</v>
      </c>
      <c r="Q3" s="17"/>
      <c r="R3" s="16" t="e">
        <f>TRIM(_xlfn.TEXTBEFORE(Q3, ":"))</f>
        <v>#N/A</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t="s">
        <v>3784</v>
      </c>
      <c r="L4" s="16" t="str">
        <f>TRIM(_xlfn.TEXTAFTER(K3, ":"))</f>
        <v>중첩 가능 화폐</v>
      </c>
      <c r="M4" s="18" t="s">
        <v>4568</v>
      </c>
      <c r="N4" s="16" t="str">
        <f>TRIM(_xlfn.TEXTAFTER(M3, ":"))</f>
        <v>Moedas Empilháveis</v>
      </c>
      <c r="O4" s="18" t="s">
        <v>5252</v>
      </c>
      <c r="P4" s="16" t="str">
        <f>TRIM(_xlfn.TEXTAFTER(O3, ":"))</f>
        <v>Валюта</v>
      </c>
      <c r="Q4" s="18"/>
      <c r="R4" s="16" t="e">
        <f>TRIM(_xlfn.TEXTAFTER(Q3, ":"))</f>
        <v>#N/A</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t="s">
        <v>3841</v>
      </c>
      <c r="L5" s="16" t="str">
        <f>TRIM(_xlfn.TEXTBEFORE(K4, ":"))</f>
        <v>아이템 희귀도</v>
      </c>
      <c r="M5" s="18" t="s">
        <v>4569</v>
      </c>
      <c r="N5" s="16" t="str">
        <f>TRIM(_xlfn.TEXTBEFORE(M4, ":"))</f>
        <v>Raridade</v>
      </c>
      <c r="O5" s="18" t="s">
        <v>5253</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c r="R6" s="16" t="e">
        <f>TRIM(_xlfn.TEXTAFTER(Q4,":"))</f>
        <v>#N/A</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t="s">
        <v>3842</v>
      </c>
      <c r="L7" s="16"/>
      <c r="M7" s="18" t="s">
        <v>4570</v>
      </c>
      <c r="N7" s="16"/>
      <c r="O7" s="18" t="s">
        <v>5254</v>
      </c>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16"/>
    </row>
    <row r="9" spans="1:20" ht="15.95" customHeight="1" x14ac:dyDescent="0.25">
      <c r="A9" s="18" t="s">
        <v>585</v>
      </c>
      <c r="B9" s="16"/>
      <c r="C9" s="18" t="s">
        <v>1657</v>
      </c>
      <c r="D9" s="16"/>
      <c r="E9" s="18" t="s">
        <v>2378</v>
      </c>
      <c r="F9" s="16"/>
      <c r="G9" s="18" t="s">
        <v>880</v>
      </c>
      <c r="H9" s="16"/>
      <c r="I9" s="18" t="s">
        <v>3093</v>
      </c>
      <c r="J9" s="16"/>
      <c r="K9" s="18" t="s">
        <v>3843</v>
      </c>
      <c r="L9" s="16"/>
      <c r="M9" s="18" t="s">
        <v>4571</v>
      </c>
      <c r="N9" s="16"/>
      <c r="O9" s="18" t="s">
        <v>5255</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586</v>
      </c>
      <c r="B11" s="16"/>
      <c r="C11" s="18" t="s">
        <v>1658</v>
      </c>
      <c r="D11" s="16"/>
      <c r="E11" s="18" t="s">
        <v>2379</v>
      </c>
      <c r="F11" s="16"/>
      <c r="G11" s="18" t="s">
        <v>881</v>
      </c>
      <c r="H11" s="16"/>
      <c r="I11" s="18" t="s">
        <v>3094</v>
      </c>
      <c r="J11" s="16"/>
      <c r="K11" s="18" t="s">
        <v>3844</v>
      </c>
      <c r="L11" s="16"/>
      <c r="M11" s="18" t="s">
        <v>4572</v>
      </c>
      <c r="N11" s="16"/>
      <c r="O11" s="18" t="s">
        <v>5256</v>
      </c>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O3" sqref="O3:O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t="s">
        <v>3845</v>
      </c>
      <c r="L3" s="16" t="str">
        <f>TRIM(_xlfn.TEXTBEFORE(K3, ":"))</f>
        <v>아이템 종류</v>
      </c>
      <c r="M3" s="17" t="s">
        <v>4573</v>
      </c>
      <c r="N3" s="16" t="str">
        <f>TRIM(_xlfn.TEXTBEFORE(M3, ":"))</f>
        <v>Classe do Item</v>
      </c>
      <c r="O3" s="17" t="s">
        <v>5257</v>
      </c>
      <c r="P3" s="16" t="str">
        <f>TRIM(_xlfn.TEXTBEFORE(O3, ":"))</f>
        <v>Класс предмета</v>
      </c>
      <c r="Q3" s="17"/>
      <c r="R3" s="16" t="e">
        <f>TRIM(_xlfn.TEXTBEFORE(Q3, ":"))</f>
        <v>#N/A</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t="s">
        <v>3784</v>
      </c>
      <c r="L4" s="16" t="str">
        <f>TRIM(_xlfn.TEXTAFTER(K3, ":"))</f>
        <v>탐광 중첩 및 결합형 화폐</v>
      </c>
      <c r="M4" s="18" t="s">
        <v>4568</v>
      </c>
      <c r="N4" s="16" t="str">
        <f>TRIM(_xlfn.TEXTAFTER(M3, ":"))</f>
        <v>Item Monetário Aglomerável e Encaixável Delve</v>
      </c>
      <c r="O4" s="18" t="s">
        <v>5252</v>
      </c>
      <c r="P4" s="16" t="str">
        <f>TRIM(_xlfn.TEXTAFTER(O3, ":"))</f>
        <v>Валюта Спуска</v>
      </c>
      <c r="Q4" s="18"/>
      <c r="R4" s="16" t="e">
        <f>TRIM(_xlfn.TEXTAFTER(Q3, ":"))</f>
        <v>#N/A</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t="s">
        <v>3846</v>
      </c>
      <c r="L5" s="16" t="str">
        <f>TRIM(_xlfn.TEXTBEFORE(K4, ":"))</f>
        <v>아이템 희귀도</v>
      </c>
      <c r="M5" s="18" t="s">
        <v>4574</v>
      </c>
      <c r="N5" s="16" t="str">
        <f>TRIM(_xlfn.TEXTBEFORE(M4, ":"))</f>
        <v>Raridade</v>
      </c>
      <c r="O5" s="18" t="s">
        <v>5258</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c r="R6" s="16" t="e">
        <f>TRIM(_xlfn.TEXTAFTER(Q4,":"))</f>
        <v>#N/A</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c r="R7" s="16"/>
      <c r="S7" s="18"/>
      <c r="T7" s="16"/>
    </row>
    <row r="8" spans="1:20" ht="15.95" customHeight="1" x14ac:dyDescent="0.25">
      <c r="A8" s="18" t="s">
        <v>615</v>
      </c>
      <c r="B8" s="16"/>
      <c r="C8" s="18" t="s">
        <v>1662</v>
      </c>
      <c r="D8" s="16"/>
      <c r="E8" s="18" t="s">
        <v>2383</v>
      </c>
      <c r="F8" s="16"/>
      <c r="G8" s="18" t="s">
        <v>931</v>
      </c>
      <c r="H8" s="16"/>
      <c r="I8" s="18" t="s">
        <v>3098</v>
      </c>
      <c r="J8" s="16"/>
      <c r="K8" s="18" t="s">
        <v>3848</v>
      </c>
      <c r="L8" s="16"/>
      <c r="M8" s="18" t="s">
        <v>4576</v>
      </c>
      <c r="N8" s="16"/>
      <c r="O8" s="18" t="s">
        <v>5260</v>
      </c>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16"/>
    </row>
    <row r="10" spans="1:20" ht="15.95" customHeight="1" x14ac:dyDescent="0.25">
      <c r="A10" s="18" t="s">
        <v>616</v>
      </c>
      <c r="B10" s="16"/>
      <c r="C10" s="18" t="s">
        <v>1663</v>
      </c>
      <c r="D10" s="16"/>
      <c r="E10" s="18" t="s">
        <v>2384</v>
      </c>
      <c r="F10" s="16"/>
      <c r="G10" s="18" t="s">
        <v>932</v>
      </c>
      <c r="H10" s="16"/>
      <c r="I10" s="18" t="s">
        <v>3099</v>
      </c>
      <c r="J10" s="16"/>
      <c r="K10" s="18" t="s">
        <v>3849</v>
      </c>
      <c r="L10" s="16"/>
      <c r="M10" s="18" t="s">
        <v>4577</v>
      </c>
      <c r="N10" s="16"/>
      <c r="O10" s="18" t="s">
        <v>5261</v>
      </c>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c r="R11" s="16"/>
      <c r="S11" s="18"/>
      <c r="T11" s="16"/>
    </row>
    <row r="12" spans="1:20" ht="15.95" customHeight="1" x14ac:dyDescent="0.25">
      <c r="A12" s="18" t="s">
        <v>585</v>
      </c>
      <c r="B12" s="16"/>
      <c r="C12" s="18" t="s">
        <v>1657</v>
      </c>
      <c r="D12" s="16"/>
      <c r="E12" s="18" t="s">
        <v>2378</v>
      </c>
      <c r="F12" s="16"/>
      <c r="G12" s="18" t="s">
        <v>880</v>
      </c>
      <c r="H12" s="16"/>
      <c r="I12" s="18" t="s">
        <v>3093</v>
      </c>
      <c r="J12" s="16"/>
      <c r="K12" s="18" t="s">
        <v>3843</v>
      </c>
      <c r="L12" s="16"/>
      <c r="M12" s="18" t="s">
        <v>4578</v>
      </c>
      <c r="N12" s="16"/>
      <c r="O12" s="18" t="s">
        <v>5255</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617</v>
      </c>
      <c r="B14" s="16"/>
      <c r="C14" s="18" t="s">
        <v>1664</v>
      </c>
      <c r="D14" s="16"/>
      <c r="E14" s="18" t="s">
        <v>2385</v>
      </c>
      <c r="F14" s="16"/>
      <c r="G14" s="18" t="s">
        <v>933</v>
      </c>
      <c r="H14" s="16"/>
      <c r="I14" s="18" t="s">
        <v>3100</v>
      </c>
      <c r="J14" s="16"/>
      <c r="K14" s="18" t="s">
        <v>3850</v>
      </c>
      <c r="L14" s="16"/>
      <c r="M14" s="18" t="s">
        <v>4579</v>
      </c>
      <c r="N14" s="16"/>
      <c r="O14" s="18" t="s">
        <v>5262</v>
      </c>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O3" sqref="O3:O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t="s">
        <v>3851</v>
      </c>
      <c r="L3" s="16" t="str">
        <f>TRIM(_xlfn.TEXTBEFORE(K3, ":"))</f>
        <v>아이템 종류</v>
      </c>
      <c r="M3" s="17" t="s">
        <v>4580</v>
      </c>
      <c r="N3" s="16" t="str">
        <f>TRIM(_xlfn.TEXTBEFORE(M3, ":"))</f>
        <v>Classe do Item</v>
      </c>
      <c r="O3" s="17" t="s">
        <v>5263</v>
      </c>
      <c r="P3" s="16" t="str">
        <f>TRIM(_xlfn.TEXTBEFORE(O3, ":"))</f>
        <v>Класс предмета</v>
      </c>
      <c r="Q3" s="17"/>
      <c r="R3" s="16" t="e">
        <f>TRIM(_xlfn.TEXTBEFORE(Q3, ":"))</f>
        <v>#N/A</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t="s">
        <v>3852</v>
      </c>
      <c r="L4" s="16" t="str">
        <f>TRIM(_xlfn.TEXTAFTER(K3, ":"))</f>
        <v>점술 카드</v>
      </c>
      <c r="M4" s="18" t="s">
        <v>4581</v>
      </c>
      <c r="N4" s="16" t="str">
        <f>TRIM(_xlfn.TEXTAFTER(M3, ":"))</f>
        <v>Cartas de Adivinhação</v>
      </c>
      <c r="O4" s="18" t="s">
        <v>5264</v>
      </c>
      <c r="P4" s="16" t="str">
        <f>TRIM(_xlfn.TEXTAFTER(O3, ":"))</f>
        <v>Гадальные карты</v>
      </c>
      <c r="Q4" s="18"/>
      <c r="R4" s="16" t="e">
        <f>TRIM(_xlfn.TEXTAFTER(Q3, ":"))</f>
        <v>#N/A</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t="s">
        <v>3853</v>
      </c>
      <c r="L5" s="16" t="str">
        <f>TRIM(_xlfn.TEXTBEFORE(K4, ":"))</f>
        <v>아이템 희귀도</v>
      </c>
      <c r="M5" s="18" t="s">
        <v>4582</v>
      </c>
      <c r="N5" s="16" t="str">
        <f>TRIM(_xlfn.TEXTBEFORE(M4, ":"))</f>
        <v>Raridade</v>
      </c>
      <c r="O5" s="18" t="s">
        <v>5265</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c r="R6" s="16" t="e">
        <f>TRIM(_xlfn.TEXTAFTER(Q4,":"))</f>
        <v>#N/A</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t="s">
        <v>3854</v>
      </c>
      <c r="L7" s="16"/>
      <c r="M7" s="18" t="s">
        <v>4583</v>
      </c>
      <c r="N7" s="16"/>
      <c r="O7" s="18" t="s">
        <v>5266</v>
      </c>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16"/>
    </row>
    <row r="9" spans="1:20" ht="15.95" customHeight="1" x14ac:dyDescent="0.25">
      <c r="A9" s="18" t="s">
        <v>541</v>
      </c>
      <c r="B9" s="16"/>
      <c r="C9" s="18" t="s">
        <v>1669</v>
      </c>
      <c r="D9" s="16"/>
      <c r="E9" s="18" t="s">
        <v>2390</v>
      </c>
      <c r="F9" s="16"/>
      <c r="G9" s="18" t="s">
        <v>938</v>
      </c>
      <c r="H9" s="16"/>
      <c r="I9" s="18" t="s">
        <v>3105</v>
      </c>
      <c r="J9" s="16"/>
      <c r="K9" s="18" t="s">
        <v>3855</v>
      </c>
      <c r="L9" s="16"/>
      <c r="M9" s="18" t="s">
        <v>4584</v>
      </c>
      <c r="N9" s="16"/>
      <c r="O9" s="18" t="s">
        <v>5267</v>
      </c>
      <c r="P9" s="16"/>
      <c r="Q9" s="18"/>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O3" sqref="O3:O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t="s">
        <v>3856</v>
      </c>
      <c r="L3" s="16" t="str">
        <f>TRIM(_xlfn.TEXTBEFORE(K3, ":"))</f>
        <v>아이템 종류</v>
      </c>
      <c r="M3" s="17" t="s">
        <v>4585</v>
      </c>
      <c r="N3" s="16" t="str">
        <f>TRIM(_xlfn.TEXTBEFORE(M3, ":"))</f>
        <v>Classe do Item</v>
      </c>
      <c r="O3" s="17" t="s">
        <v>5268</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t="s">
        <v>3857</v>
      </c>
      <c r="L4" s="16" t="str">
        <f>TRIM(_xlfn.TEXTAFTER(K3, ":"))</f>
        <v>변형 샘플</v>
      </c>
      <c r="M4" s="18" t="s">
        <v>4586</v>
      </c>
      <c r="N4" s="16" t="str">
        <f>TRIM(_xlfn.TEXTAFTER(M3, ":"))</f>
        <v>Amostras Metamorfas</v>
      </c>
      <c r="O4" s="18" t="s">
        <v>5269</v>
      </c>
      <c r="P4" s="16" t="str">
        <f>TRIM(_xlfn.TEXTAFTER(O3, ":"))</f>
        <v>Образцы Метаморфа</v>
      </c>
      <c r="Q4" s="18"/>
      <c r="R4" s="16" t="e">
        <f>TRIM(_xlfn.TEXTAFTER(Q3, ":"))</f>
        <v>#N/A</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t="s">
        <v>3858</v>
      </c>
      <c r="L5" s="16" t="str">
        <f>TRIM(_xlfn.TEXTBEFORE(K4, ":"))</f>
        <v>아이템 희귀도</v>
      </c>
      <c r="M5" s="18" t="s">
        <v>4587</v>
      </c>
      <c r="N5" s="16" t="str">
        <f>TRIM(_xlfn.TEXTBEFORE(M4, ":"))</f>
        <v>Raridade</v>
      </c>
      <c r="O5" s="18" t="s">
        <v>5270</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c r="R6" s="16" t="e">
        <f>TRIM(_xlfn.TEXTAFTER(Q4,":"))</f>
        <v>#N/A</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t="s">
        <v>3859</v>
      </c>
      <c r="L7" s="16"/>
      <c r="M7" s="18" t="s">
        <v>4588</v>
      </c>
      <c r="N7" s="16"/>
      <c r="O7" s="18" t="s">
        <v>5271</v>
      </c>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621</v>
      </c>
      <c r="B11" s="16"/>
      <c r="C11" s="18" t="s">
        <v>1676</v>
      </c>
      <c r="D11" s="16"/>
      <c r="E11" s="18" t="s">
        <v>2396</v>
      </c>
      <c r="F11" s="16"/>
      <c r="G11" s="18" t="s">
        <v>943</v>
      </c>
      <c r="H11" s="16"/>
      <c r="I11" s="18" t="s">
        <v>3111</v>
      </c>
      <c r="J11" s="16"/>
      <c r="K11" s="18" t="s">
        <v>3861</v>
      </c>
      <c r="L11" s="16"/>
      <c r="M11" s="18" t="s">
        <v>4590</v>
      </c>
      <c r="N11" s="16"/>
      <c r="O11" s="18" t="s">
        <v>5273</v>
      </c>
      <c r="P11" s="16"/>
      <c r="Q11" s="18"/>
      <c r="R11" s="16"/>
      <c r="S11" s="18"/>
      <c r="T11" s="16"/>
    </row>
    <row r="12" spans="1:20" ht="15.95" customHeight="1" x14ac:dyDescent="0.25">
      <c r="A12" s="18" t="s">
        <v>621</v>
      </c>
      <c r="B12" s="16"/>
      <c r="C12" s="18" t="s">
        <v>1676</v>
      </c>
      <c r="D12" s="16"/>
      <c r="E12" s="18" t="s">
        <v>2396</v>
      </c>
      <c r="F12" s="16"/>
      <c r="G12" s="18" t="s">
        <v>943</v>
      </c>
      <c r="H12" s="16"/>
      <c r="I12" s="18" t="s">
        <v>3111</v>
      </c>
      <c r="J12" s="16"/>
      <c r="K12" s="18" t="s">
        <v>3861</v>
      </c>
      <c r="L12" s="16"/>
      <c r="M12" s="18" t="s">
        <v>4590</v>
      </c>
      <c r="N12" s="16"/>
      <c r="O12" s="18" t="s">
        <v>5273</v>
      </c>
      <c r="P12" s="16"/>
      <c r="Q12" s="18"/>
      <c r="R12" s="16"/>
      <c r="S12" s="18"/>
      <c r="T12" s="21"/>
    </row>
    <row r="13" spans="1:20" ht="15.95" customHeight="1" x14ac:dyDescent="0.25">
      <c r="A13" s="18" t="s">
        <v>622</v>
      </c>
      <c r="B13" s="16"/>
      <c r="C13" s="18" t="s">
        <v>1677</v>
      </c>
      <c r="D13" s="16"/>
      <c r="E13" s="18" t="s">
        <v>2397</v>
      </c>
      <c r="F13" s="16"/>
      <c r="G13" s="18" t="s">
        <v>944</v>
      </c>
      <c r="H13" s="16"/>
      <c r="I13" s="18" t="s">
        <v>3112</v>
      </c>
      <c r="J13" s="16"/>
      <c r="K13" s="18" t="s">
        <v>3862</v>
      </c>
      <c r="L13" s="16"/>
      <c r="M13" s="18" t="s">
        <v>4591</v>
      </c>
      <c r="N13" s="16"/>
      <c r="O13" s="18" t="s">
        <v>5274</v>
      </c>
      <c r="P13" s="16"/>
      <c r="Q13" s="18"/>
      <c r="R13" s="16"/>
      <c r="S13" s="18"/>
      <c r="T13" s="21"/>
    </row>
    <row r="14" spans="1:20" ht="15.95" customHeight="1" x14ac:dyDescent="0.25">
      <c r="A14" s="18" t="s">
        <v>623</v>
      </c>
      <c r="B14" s="16"/>
      <c r="C14" s="18" t="s">
        <v>1678</v>
      </c>
      <c r="D14" s="16"/>
      <c r="E14" s="18" t="s">
        <v>2398</v>
      </c>
      <c r="F14" s="16"/>
      <c r="G14" s="18" t="s">
        <v>945</v>
      </c>
      <c r="H14" s="16"/>
      <c r="I14" s="18" t="s">
        <v>3113</v>
      </c>
      <c r="J14" s="16"/>
      <c r="K14" s="18" t="s">
        <v>3863</v>
      </c>
      <c r="L14" s="16"/>
      <c r="M14" s="18" t="s">
        <v>4592</v>
      </c>
      <c r="N14" s="16"/>
      <c r="O14" s="18" t="s">
        <v>5275</v>
      </c>
      <c r="P14" s="16"/>
      <c r="Q14" s="18"/>
      <c r="R14" s="16"/>
      <c r="S14" s="18"/>
      <c r="T14" s="21"/>
    </row>
    <row r="15" spans="1:20" ht="15.95" customHeight="1" x14ac:dyDescent="0.25">
      <c r="A15" s="18" t="s">
        <v>622</v>
      </c>
      <c r="B15" s="16"/>
      <c r="C15" s="18" t="s">
        <v>1677</v>
      </c>
      <c r="D15" s="16"/>
      <c r="E15" s="18" t="s">
        <v>2397</v>
      </c>
      <c r="F15" s="16"/>
      <c r="G15" s="18" t="s">
        <v>944</v>
      </c>
      <c r="H15" s="16"/>
      <c r="I15" s="18" t="s">
        <v>3112</v>
      </c>
      <c r="J15" s="16"/>
      <c r="K15" s="18" t="s">
        <v>3862</v>
      </c>
      <c r="L15" s="16"/>
      <c r="M15" s="18" t="s">
        <v>4591</v>
      </c>
      <c r="N15" s="16"/>
      <c r="O15" s="18" t="s">
        <v>5274</v>
      </c>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1"/>
    </row>
    <row r="17" spans="1:20" ht="15.95" customHeight="1" x14ac:dyDescent="0.25">
      <c r="A17" s="18" t="s">
        <v>624</v>
      </c>
      <c r="B17" s="16"/>
      <c r="C17" s="18" t="s">
        <v>1679</v>
      </c>
      <c r="D17" s="16"/>
      <c r="E17" s="18" t="s">
        <v>2399</v>
      </c>
      <c r="F17" s="16"/>
      <c r="G17" s="18" t="s">
        <v>946</v>
      </c>
      <c r="H17" s="16"/>
      <c r="I17" s="18" t="s">
        <v>3114</v>
      </c>
      <c r="J17" s="16"/>
      <c r="K17" s="18" t="s">
        <v>3864</v>
      </c>
      <c r="L17" s="16"/>
      <c r="M17" s="18" t="s">
        <v>4593</v>
      </c>
      <c r="N17" s="16"/>
      <c r="O17" s="18" t="s">
        <v>5276</v>
      </c>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O5" sqref="O5"/>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c r="R3" s="16" t="e">
        <f>TRIM(_xlfn.TEXTBEFORE(Q3, ":"))</f>
        <v>#N/A</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c r="R4" s="16" t="e">
        <f>TRIM(_xlfn.TEXTAFTER(Q3, ":"))</f>
        <v>#N/A</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t="s">
        <v>3867</v>
      </c>
      <c r="L5" s="16" t="str">
        <f>TRIM(_xlfn.TEXTBEFORE(K4, ":"))</f>
        <v>아이템 희귀도</v>
      </c>
      <c r="M5" s="18" t="s">
        <v>4596</v>
      </c>
      <c r="N5" s="16" t="str">
        <f>TRIM(_xlfn.TEXTBEFORE(M4, ":"))</f>
        <v>Raridade</v>
      </c>
      <c r="O5" s="18" t="s">
        <v>5279</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t="s">
        <v>3868</v>
      </c>
      <c r="L7" s="16" t="str">
        <f>TRIM(_xlfn.TEXTBEFORE(K7,":"))</f>
        <v>지도 등급</v>
      </c>
      <c r="M7" s="18" t="s">
        <v>4597</v>
      </c>
      <c r="N7" s="16" t="str">
        <f>TRIM(_xlfn.TEXTBEFORE(M7,":"))</f>
        <v>Tier do Mapa</v>
      </c>
      <c r="O7" s="18" t="s">
        <v>5280</v>
      </c>
      <c r="P7" s="16" t="str">
        <f>TRIM(_xlfn.TEXTBEFORE(O7,":"))</f>
        <v>Уровень карты</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t="s">
        <v>4</v>
      </c>
      <c r="L10" s="16" t="s">
        <v>4518</v>
      </c>
      <c r="M10" s="18" t="s">
        <v>4</v>
      </c>
      <c r="N10" s="16" t="str">
        <f>TRIM(_xlfn.TEXTAFTER(M5, " ", -1))</f>
        <v>Infestado</v>
      </c>
      <c r="O10" s="18" t="s">
        <v>4</v>
      </c>
      <c r="P10" s="16" t="str">
        <f>TRIM(_xlfn.TEXTBEFORE(O5, " "))</f>
        <v>Заражённая</v>
      </c>
      <c r="Q10" s="18"/>
      <c r="R10" s="16" t="e">
        <f>TRIM(_xlfn.TEXTBEFORE(Q5, " "))</f>
        <v>#N/A</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t="s">
        <v>3869</v>
      </c>
      <c r="L11" s="16"/>
      <c r="M11" s="18" t="s">
        <v>4598</v>
      </c>
      <c r="N11" s="16"/>
      <c r="O11" s="18" t="s">
        <v>5281</v>
      </c>
      <c r="P11" s="16"/>
      <c r="Q11" s="18"/>
      <c r="R11" s="16"/>
      <c r="S11" s="18"/>
      <c r="T11" s="16"/>
    </row>
    <row r="12" spans="1:20" ht="15.95" customHeight="1" x14ac:dyDescent="0.25">
      <c r="A12" s="18" t="s">
        <v>527</v>
      </c>
      <c r="B12" s="16"/>
      <c r="C12" s="18" t="s">
        <v>1685</v>
      </c>
      <c r="D12" s="16"/>
      <c r="E12" s="18" t="s">
        <v>2405</v>
      </c>
      <c r="F12" s="16"/>
      <c r="G12" s="18" t="s">
        <v>952</v>
      </c>
      <c r="H12" s="16"/>
      <c r="I12" s="18" t="s">
        <v>3120</v>
      </c>
      <c r="J12" s="16"/>
      <c r="K12" s="18" t="s">
        <v>3870</v>
      </c>
      <c r="L12" s="16"/>
      <c r="M12" s="18" t="s">
        <v>4599</v>
      </c>
      <c r="N12" s="16"/>
      <c r="O12" s="18" t="s">
        <v>5282</v>
      </c>
      <c r="P12" s="16"/>
      <c r="Q12" s="18"/>
      <c r="R12" s="16"/>
      <c r="S12" s="18"/>
      <c r="T12" s="21"/>
    </row>
    <row r="13" spans="1:20" ht="15.95" customHeight="1" x14ac:dyDescent="0.25">
      <c r="A13" s="18" t="s">
        <v>528</v>
      </c>
      <c r="B13" s="16"/>
      <c r="C13" s="18" t="s">
        <v>1686</v>
      </c>
      <c r="D13" s="16"/>
      <c r="E13" s="18" t="s">
        <v>2406</v>
      </c>
      <c r="F13" s="16"/>
      <c r="G13" s="18" t="s">
        <v>953</v>
      </c>
      <c r="H13" s="16"/>
      <c r="I13" s="18" t="s">
        <v>3121</v>
      </c>
      <c r="J13" s="16"/>
      <c r="K13" s="18" t="s">
        <v>3871</v>
      </c>
      <c r="L13" s="16"/>
      <c r="M13" s="18" t="s">
        <v>4600</v>
      </c>
      <c r="N13" s="16"/>
      <c r="O13" s="18" t="s">
        <v>5283</v>
      </c>
      <c r="P13" s="16"/>
      <c r="Q13" s="18"/>
      <c r="R13" s="16"/>
      <c r="S13" s="18"/>
      <c r="T13" s="21"/>
    </row>
    <row r="14" spans="1:20" ht="15.95" customHeight="1" x14ac:dyDescent="0.25">
      <c r="A14" s="18" t="s">
        <v>529</v>
      </c>
      <c r="B14" s="16"/>
      <c r="C14" s="18" t="s">
        <v>1687</v>
      </c>
      <c r="D14" s="16"/>
      <c r="E14" s="18" t="s">
        <v>2407</v>
      </c>
      <c r="F14" s="16"/>
      <c r="G14" s="18" t="s">
        <v>954</v>
      </c>
      <c r="H14" s="16"/>
      <c r="I14" s="18" t="s">
        <v>3122</v>
      </c>
      <c r="J14" s="16"/>
      <c r="K14" s="18" t="s">
        <v>3872</v>
      </c>
      <c r="L14" s="16"/>
      <c r="M14" s="18" t="s">
        <v>4601</v>
      </c>
      <c r="N14" s="16"/>
      <c r="O14" s="18" t="s">
        <v>5284</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530</v>
      </c>
      <c r="B16" s="16"/>
      <c r="C16" s="18" t="s">
        <v>1688</v>
      </c>
      <c r="D16" s="16"/>
      <c r="E16" s="18" t="s">
        <v>2408</v>
      </c>
      <c r="F16" s="16"/>
      <c r="G16" s="18" t="s">
        <v>955</v>
      </c>
      <c r="H16" s="16"/>
      <c r="I16" s="18" t="s">
        <v>3123</v>
      </c>
      <c r="J16" s="16"/>
      <c r="K16" s="18" t="s">
        <v>3873</v>
      </c>
      <c r="L16" s="16"/>
      <c r="M16" s="18" t="s">
        <v>4602</v>
      </c>
      <c r="N16" s="16"/>
      <c r="O16" s="18" t="s">
        <v>5285</v>
      </c>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98" stopIfTrue="1">
      <formula>NOT(ISERROR(A3))</formula>
    </cfRule>
  </conditionalFormatting>
  <conditionalFormatting sqref="A3:T6 A7:A9 C7:C9 E7:E9 G7:G9 I7:I9 K7:K9 M7:M9 O7:O9 Q7:Q9 S7:S9 A10:T51">
    <cfRule type="notContainsBlanks" dxfId="265" priority="99">
      <formula>LEN(TRIM(A3))&gt;0</formula>
    </cfRule>
  </conditionalFormatting>
  <conditionalFormatting sqref="A3:T51">
    <cfRule type="containsErrors" dxfId="264" priority="1" stopIfTrue="1">
      <formula>ISERROR(A3)</formula>
    </cfRule>
  </conditionalFormatting>
  <conditionalFormatting sqref="B7:B9">
    <cfRule type="notContainsBlanks" dxfId="263" priority="92">
      <formula>LEN(TRIM(B7))&gt;0</formula>
    </cfRule>
  </conditionalFormatting>
  <conditionalFormatting sqref="D7:D9">
    <cfRule type="notContainsBlanks" dxfId="262" priority="34">
      <formula>LEN(TRIM(D7))&gt;0</formula>
    </cfRule>
  </conditionalFormatting>
  <conditionalFormatting sqref="F7:F9">
    <cfRule type="notContainsBlanks" dxfId="261" priority="30">
      <formula>LEN(TRIM(F7))&gt;0</formula>
    </cfRule>
  </conditionalFormatting>
  <conditionalFormatting sqref="H7:H9">
    <cfRule type="notContainsBlanks" dxfId="260" priority="26">
      <formula>LEN(TRIM(H7))&gt;0</formula>
    </cfRule>
  </conditionalFormatting>
  <conditionalFormatting sqref="J7:J9">
    <cfRule type="notContainsBlanks" dxfId="259" priority="22">
      <formula>LEN(TRIM(J7))&gt;0</formula>
    </cfRule>
  </conditionalFormatting>
  <conditionalFormatting sqref="L7:L9">
    <cfRule type="notContainsBlanks" dxfId="258" priority="18">
      <formula>LEN(TRIM(L7))&gt;0</formula>
    </cfRule>
  </conditionalFormatting>
  <conditionalFormatting sqref="N7:N9">
    <cfRule type="notContainsBlanks" dxfId="257" priority="14">
      <formula>LEN(TRIM(N7))&gt;0</formula>
    </cfRule>
  </conditionalFormatting>
  <conditionalFormatting sqref="P7:P9">
    <cfRule type="notContainsBlanks" dxfId="256" priority="10">
      <formula>LEN(TRIM(P7))&gt;0</formula>
    </cfRule>
  </conditionalFormatting>
  <conditionalFormatting sqref="R7:R9">
    <cfRule type="notContainsBlanks" dxfId="255" priority="6">
      <formula>LEN(TRIM(R7))&gt;0</formula>
    </cfRule>
  </conditionalFormatting>
  <conditionalFormatting sqref="T7:T9">
    <cfRule type="notContainsBlanks" dxfId="254"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P7" sqref="P7"/>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c r="R4" s="16" t="e">
        <f>TRIM(_xlfn.TEXTAFTER(Q3, ":"))</f>
        <v>#N/A</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t="s">
        <v>3874</v>
      </c>
      <c r="L5" s="16" t="str">
        <f>TRIM(_xlfn.TEXTBEFORE(K4, ":"))</f>
        <v>아이템 희귀도</v>
      </c>
      <c r="M5" s="18" t="s">
        <v>4603</v>
      </c>
      <c r="N5" s="16" t="str">
        <f>TRIM(_xlfn.TEXTBEFORE(M4, ":"))</f>
        <v>Raridade</v>
      </c>
      <c r="O5" s="18" t="s">
        <v>5286</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t="s">
        <v>3875</v>
      </c>
      <c r="L7" s="16" t="s">
        <v>4519</v>
      </c>
      <c r="M7" s="18" t="s">
        <v>4604</v>
      </c>
      <c r="N7" s="16" t="str">
        <f>TRIM(_xlfn.TEXTAFTER(M5, " ", -1))</f>
        <v>Devastado</v>
      </c>
      <c r="O7" s="18" t="s">
        <v>5287</v>
      </c>
      <c r="P7" s="16" t="str">
        <f>TRIM(_xlfn.TEXTBEFORE(O5, " ", 2))</f>
        <v>Разорённая Скверной</v>
      </c>
      <c r="Q7" s="18"/>
      <c r="R7" s="16" t="e">
        <f>TRIM(_xlfn.TEXTBEFORE(Q5, " "))</f>
        <v>#N/A</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690</v>
      </c>
      <c r="B11" s="16"/>
      <c r="C11" s="18" t="s">
        <v>1692</v>
      </c>
      <c r="D11" s="16"/>
      <c r="E11" s="18" t="s">
        <v>2411</v>
      </c>
      <c r="F11" s="16"/>
      <c r="G11" s="18" t="s">
        <v>959</v>
      </c>
      <c r="H11" s="16"/>
      <c r="I11" s="18" t="s">
        <v>3128</v>
      </c>
      <c r="J11" s="16"/>
      <c r="K11" s="18" t="s">
        <v>3876</v>
      </c>
      <c r="L11" s="16"/>
      <c r="M11" s="18" t="s">
        <v>4606</v>
      </c>
      <c r="N11" s="16"/>
      <c r="O11" s="18" t="s">
        <v>5289</v>
      </c>
      <c r="P11" s="16"/>
      <c r="Q11" s="18"/>
      <c r="R11" s="16"/>
      <c r="S11" s="18"/>
      <c r="T11" s="20"/>
    </row>
    <row r="12" spans="1:20" ht="15.95" customHeight="1" x14ac:dyDescent="0.25">
      <c r="A12" s="18" t="s">
        <v>691</v>
      </c>
      <c r="B12" s="16"/>
      <c r="C12" s="18" t="s">
        <v>1693</v>
      </c>
      <c r="D12" s="16"/>
      <c r="E12" s="18" t="s">
        <v>2412</v>
      </c>
      <c r="F12" s="16"/>
      <c r="G12" s="18" t="s">
        <v>960</v>
      </c>
      <c r="H12" s="16"/>
      <c r="I12" s="18" t="s">
        <v>3129</v>
      </c>
      <c r="J12" s="16"/>
      <c r="K12" s="18" t="s">
        <v>3877</v>
      </c>
      <c r="L12" s="16"/>
      <c r="M12" s="18" t="s">
        <v>4607</v>
      </c>
      <c r="N12" s="16"/>
      <c r="O12" s="18" t="s">
        <v>5290</v>
      </c>
      <c r="P12" s="16"/>
      <c r="Q12" s="18"/>
      <c r="R12" s="16"/>
      <c r="S12" s="18"/>
      <c r="T12" s="20"/>
    </row>
    <row r="13" spans="1:20" ht="15.95" customHeight="1" x14ac:dyDescent="0.25">
      <c r="A13" s="18" t="s">
        <v>692</v>
      </c>
      <c r="B13" s="16"/>
      <c r="C13" s="18" t="s">
        <v>1694</v>
      </c>
      <c r="D13" s="16"/>
      <c r="E13" s="18" t="s">
        <v>2413</v>
      </c>
      <c r="F13" s="16"/>
      <c r="G13" s="18" t="s">
        <v>961</v>
      </c>
      <c r="H13" s="16"/>
      <c r="I13" s="18" t="s">
        <v>3130</v>
      </c>
      <c r="J13" s="16"/>
      <c r="K13" s="18" t="s">
        <v>3878</v>
      </c>
      <c r="L13" s="16"/>
      <c r="M13" s="18" t="s">
        <v>4608</v>
      </c>
      <c r="N13" s="16"/>
      <c r="O13" s="18" t="s">
        <v>5291</v>
      </c>
      <c r="P13" s="16"/>
      <c r="Q13" s="18"/>
      <c r="R13" s="16"/>
      <c r="S13" s="18"/>
      <c r="T13" s="20"/>
    </row>
    <row r="14" spans="1:20" ht="15.95" customHeight="1" x14ac:dyDescent="0.25">
      <c r="A14" s="18" t="s">
        <v>526</v>
      </c>
      <c r="B14" s="16"/>
      <c r="C14" s="18" t="s">
        <v>1684</v>
      </c>
      <c r="D14" s="16"/>
      <c r="E14" s="18" t="s">
        <v>2404</v>
      </c>
      <c r="F14" s="16"/>
      <c r="G14" s="18" t="s">
        <v>951</v>
      </c>
      <c r="H14" s="16"/>
      <c r="I14" s="18" t="s">
        <v>3119</v>
      </c>
      <c r="J14" s="16"/>
      <c r="K14" s="18" t="s">
        <v>3869</v>
      </c>
      <c r="L14" s="16"/>
      <c r="M14" s="18" t="s">
        <v>4598</v>
      </c>
      <c r="N14" s="16"/>
      <c r="O14" s="18" t="s">
        <v>5281</v>
      </c>
      <c r="P14" s="16"/>
      <c r="Q14" s="18"/>
      <c r="R14" s="16"/>
      <c r="S14" s="18"/>
      <c r="T14" s="20"/>
    </row>
    <row r="15" spans="1:20" ht="15.95" customHeight="1" x14ac:dyDescent="0.25">
      <c r="A15" s="18" t="s">
        <v>693</v>
      </c>
      <c r="B15" s="16"/>
      <c r="C15" s="18" t="s">
        <v>1695</v>
      </c>
      <c r="D15" s="16"/>
      <c r="E15" s="18" t="s">
        <v>2414</v>
      </c>
      <c r="F15" s="16"/>
      <c r="G15" s="18" t="s">
        <v>962</v>
      </c>
      <c r="H15" s="16"/>
      <c r="I15" s="18" t="s">
        <v>3131</v>
      </c>
      <c r="J15" s="16"/>
      <c r="K15" s="18" t="s">
        <v>3879</v>
      </c>
      <c r="L15" s="16"/>
      <c r="M15" s="18" t="s">
        <v>4609</v>
      </c>
      <c r="N15" s="16"/>
      <c r="O15" s="18" t="s">
        <v>5292</v>
      </c>
      <c r="P15" s="16"/>
      <c r="Q15" s="18"/>
      <c r="R15" s="16"/>
      <c r="S15" s="18"/>
      <c r="T15" s="20"/>
    </row>
    <row r="16" spans="1:20" ht="15.95" customHeight="1" x14ac:dyDescent="0.25">
      <c r="A16" s="18" t="s">
        <v>694</v>
      </c>
      <c r="B16" s="16"/>
      <c r="C16" s="18" t="s">
        <v>1696</v>
      </c>
      <c r="D16" s="16"/>
      <c r="E16" s="18" t="s">
        <v>2415</v>
      </c>
      <c r="F16" s="16"/>
      <c r="G16" s="18" t="s">
        <v>963</v>
      </c>
      <c r="H16" s="16"/>
      <c r="I16" s="18" t="s">
        <v>3132</v>
      </c>
      <c r="J16" s="16"/>
      <c r="K16" s="18" t="s">
        <v>3880</v>
      </c>
      <c r="L16" s="16"/>
      <c r="M16" s="18" t="s">
        <v>4610</v>
      </c>
      <c r="N16" s="16"/>
      <c r="O16" s="18" t="s">
        <v>5293</v>
      </c>
      <c r="P16" s="16"/>
      <c r="Q16" s="18"/>
      <c r="R16" s="16"/>
      <c r="S16" s="18"/>
      <c r="T16" s="20"/>
    </row>
    <row r="17" spans="1:20" ht="15.95" customHeight="1" x14ac:dyDescent="0.25">
      <c r="A17" s="18" t="s">
        <v>529</v>
      </c>
      <c r="B17" s="16"/>
      <c r="C17" s="18" t="s">
        <v>1687</v>
      </c>
      <c r="D17" s="16"/>
      <c r="E17" s="18" t="s">
        <v>2407</v>
      </c>
      <c r="F17" s="16"/>
      <c r="G17" s="18" t="s">
        <v>954</v>
      </c>
      <c r="H17" s="16"/>
      <c r="I17" s="18" t="s">
        <v>3122</v>
      </c>
      <c r="J17" s="16"/>
      <c r="K17" s="18" t="s">
        <v>3872</v>
      </c>
      <c r="L17" s="16"/>
      <c r="M17" s="18" t="s">
        <v>4601</v>
      </c>
      <c r="N17" s="16"/>
      <c r="O17" s="18" t="s">
        <v>5284</v>
      </c>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0"/>
    </row>
    <row r="19" spans="1:20" ht="15.95" customHeight="1" x14ac:dyDescent="0.25">
      <c r="A19" s="18" t="s">
        <v>530</v>
      </c>
      <c r="B19" s="16"/>
      <c r="C19" s="18" t="s">
        <v>1688</v>
      </c>
      <c r="D19" s="16"/>
      <c r="E19" s="18" t="s">
        <v>2408</v>
      </c>
      <c r="F19" s="16"/>
      <c r="G19" s="18" t="s">
        <v>955</v>
      </c>
      <c r="H19" s="16"/>
      <c r="I19" s="18" t="s">
        <v>3123</v>
      </c>
      <c r="J19" s="16"/>
      <c r="K19" s="18" t="s">
        <v>3873</v>
      </c>
      <c r="L19" s="16"/>
      <c r="M19" s="18" t="s">
        <v>4602</v>
      </c>
      <c r="N19" s="16"/>
      <c r="O19" s="18" t="s">
        <v>5285</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8" stopIfTrue="1">
      <formula>NOT(ISERROR(A3))</formula>
    </cfRule>
  </conditionalFormatting>
  <conditionalFormatting sqref="A3:T6 A7 C7 E7 G7 I7 K7 M7 O7 Q7 S7 A8:T51">
    <cfRule type="notContainsBlanks" dxfId="252" priority="29">
      <formula>LEN(TRIM(A3))&gt;0</formula>
    </cfRule>
  </conditionalFormatting>
  <conditionalFormatting sqref="A3:T51">
    <cfRule type="containsErrors" dxfId="251" priority="1" stopIfTrue="1">
      <formula>ISERROR(A3)</formula>
    </cfRule>
  </conditionalFormatting>
  <conditionalFormatting sqref="B7">
    <cfRule type="notContainsBlanks" dxfId="250" priority="26">
      <formula>LEN(TRIM(B7))&gt;0</formula>
    </cfRule>
  </conditionalFormatting>
  <conditionalFormatting sqref="D7">
    <cfRule type="notContainsBlanks" dxfId="249" priority="22">
      <formula>LEN(TRIM(D7))&gt;0</formula>
    </cfRule>
  </conditionalFormatting>
  <conditionalFormatting sqref="F7">
    <cfRule type="notContainsBlanks" dxfId="248" priority="2">
      <formula>LEN(TRIM(F7))&gt;0</formula>
    </cfRule>
  </conditionalFormatting>
  <conditionalFormatting sqref="H7">
    <cfRule type="notContainsBlanks" dxfId="247" priority="4">
      <formula>LEN(TRIM(H7))&gt;0</formula>
    </cfRule>
  </conditionalFormatting>
  <conditionalFormatting sqref="J7">
    <cfRule type="notContainsBlanks" dxfId="246" priority="16">
      <formula>LEN(TRIM(J7))&gt;0</formula>
    </cfRule>
  </conditionalFormatting>
  <conditionalFormatting sqref="L7">
    <cfRule type="notContainsBlanks" dxfId="245" priority="14">
      <formula>LEN(TRIM(L7))&gt;0</formula>
    </cfRule>
  </conditionalFormatting>
  <conditionalFormatting sqref="N7">
    <cfRule type="notContainsBlanks" dxfId="244" priority="12">
      <formula>LEN(TRIM(N7))&gt;0</formula>
    </cfRule>
  </conditionalFormatting>
  <conditionalFormatting sqref="P7">
    <cfRule type="notContainsBlanks" dxfId="243" priority="10">
      <formula>LEN(TRIM(P7))&gt;0</formula>
    </cfRule>
  </conditionalFormatting>
  <conditionalFormatting sqref="R7">
    <cfRule type="notContainsBlanks" dxfId="242" priority="8">
      <formula>LEN(TRIM(R7))&gt;0</formula>
    </cfRule>
  </conditionalFormatting>
  <conditionalFormatting sqref="T7">
    <cfRule type="notContainsBlanks" dxfId="241"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O3" sqref="O3:O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t="s">
        <v>3881</v>
      </c>
      <c r="L3" s="16" t="str">
        <f>TRIM(_xlfn.TEXTBEFORE(K3, ":"))</f>
        <v>아이템 종류</v>
      </c>
      <c r="M3" s="17" t="s">
        <v>4611</v>
      </c>
      <c r="N3" s="16" t="str">
        <f>TRIM(_xlfn.TEXTBEFORE(M3, ":"))</f>
        <v>Classe do Item</v>
      </c>
      <c r="O3" s="17" t="s">
        <v>5294</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t="s">
        <v>3866</v>
      </c>
      <c r="L4" s="16" t="str">
        <f>TRIM(_xlfn.TEXTAFTER(K3, ":"))</f>
        <v>도면</v>
      </c>
      <c r="M4" s="18" t="s">
        <v>4595</v>
      </c>
      <c r="N4" s="16" t="str">
        <f>TRIM(_xlfn.TEXTAFTER(M3, ":"))</f>
        <v>Plantas</v>
      </c>
      <c r="O4" s="18" t="s">
        <v>5278</v>
      </c>
      <c r="P4" s="16" t="str">
        <f>TRIM(_xlfn.TEXTAFTER(O3, ":"))</f>
        <v>Чертежи</v>
      </c>
      <c r="Q4" s="18"/>
      <c r="R4" s="16" t="e">
        <f>TRIM(_xlfn.TEXTAFTER(Q3, ":"))</f>
        <v>#N/A</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t="s">
        <v>3882</v>
      </c>
      <c r="L5" s="16" t="str">
        <f>TRIM(_xlfn.TEXTBEFORE(K4, ":"))</f>
        <v>아이템 희귀도</v>
      </c>
      <c r="M5" s="18" t="s">
        <v>4612</v>
      </c>
      <c r="N5" s="16" t="str">
        <f>TRIM(_xlfn.TEXTBEFORE(M4, ":"))</f>
        <v>Raridade</v>
      </c>
      <c r="O5" s="18" t="s">
        <v>5295</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t="s">
        <v>3883</v>
      </c>
      <c r="L7" s="16"/>
      <c r="M7" s="18" t="s">
        <v>4613</v>
      </c>
      <c r="N7" s="16"/>
      <c r="O7" s="18" t="s">
        <v>5296</v>
      </c>
      <c r="P7" s="16"/>
      <c r="Q7" s="18"/>
      <c r="R7" s="16"/>
      <c r="S7" s="18"/>
      <c r="T7" s="20"/>
    </row>
    <row r="8" spans="1:20" ht="15.95" customHeight="1" x14ac:dyDescent="0.25">
      <c r="A8" s="18" t="s">
        <v>710</v>
      </c>
      <c r="B8" s="16"/>
      <c r="C8" s="18" t="s">
        <v>1700</v>
      </c>
      <c r="D8" s="16"/>
      <c r="E8" s="18" t="s">
        <v>2419</v>
      </c>
      <c r="F8" s="16"/>
      <c r="G8" s="18" t="s">
        <v>967</v>
      </c>
      <c r="H8" s="16"/>
      <c r="I8" s="18" t="s">
        <v>3137</v>
      </c>
      <c r="J8" s="16"/>
      <c r="K8" s="18" t="s">
        <v>3884</v>
      </c>
      <c r="L8" s="16"/>
      <c r="M8" s="18" t="s">
        <v>4614</v>
      </c>
      <c r="N8" s="16"/>
      <c r="O8" s="18" t="s">
        <v>5297</v>
      </c>
      <c r="P8" s="16"/>
      <c r="Q8" s="18"/>
      <c r="R8" s="16"/>
      <c r="S8" s="18"/>
      <c r="T8" s="20"/>
    </row>
    <row r="9" spans="1:20" ht="15.95" customHeight="1" x14ac:dyDescent="0.25">
      <c r="A9" s="18" t="s">
        <v>711</v>
      </c>
      <c r="B9" s="16"/>
      <c r="C9" s="18" t="s">
        <v>1701</v>
      </c>
      <c r="D9" s="16"/>
      <c r="E9" s="18" t="s">
        <v>2420</v>
      </c>
      <c r="F9" s="16"/>
      <c r="G9" s="18" t="s">
        <v>968</v>
      </c>
      <c r="H9" s="16"/>
      <c r="I9" s="18" t="s">
        <v>3138</v>
      </c>
      <c r="J9" s="16"/>
      <c r="K9" s="18" t="s">
        <v>3885</v>
      </c>
      <c r="L9" s="16"/>
      <c r="M9" s="18" t="s">
        <v>4615</v>
      </c>
      <c r="N9" s="16"/>
      <c r="O9" s="18" t="s">
        <v>5298</v>
      </c>
      <c r="P9" s="16"/>
      <c r="Q9" s="18"/>
      <c r="R9" s="16"/>
      <c r="S9" s="18"/>
      <c r="T9" s="20"/>
    </row>
    <row r="10" spans="1:20" ht="15.95" customHeight="1" x14ac:dyDescent="0.25">
      <c r="A10" s="18" t="s">
        <v>712</v>
      </c>
      <c r="B10" s="16"/>
      <c r="C10" s="18" t="s">
        <v>1702</v>
      </c>
      <c r="D10" s="16"/>
      <c r="E10" s="18" t="s">
        <v>2421</v>
      </c>
      <c r="F10" s="16"/>
      <c r="G10" s="18" t="s">
        <v>969</v>
      </c>
      <c r="H10" s="16"/>
      <c r="I10" s="18" t="s">
        <v>3139</v>
      </c>
      <c r="J10" s="16"/>
      <c r="K10" s="18" t="s">
        <v>3886</v>
      </c>
      <c r="L10" s="16"/>
      <c r="M10" s="18" t="s">
        <v>4616</v>
      </c>
      <c r="N10" s="16"/>
      <c r="O10" s="18" t="s">
        <v>5299</v>
      </c>
      <c r="P10" s="16"/>
      <c r="Q10" s="18"/>
      <c r="R10" s="16"/>
      <c r="S10" s="18"/>
      <c r="T10" s="20"/>
    </row>
    <row r="11" spans="1:20" ht="15.95" customHeight="1" x14ac:dyDescent="0.25">
      <c r="A11" s="18" t="s">
        <v>713</v>
      </c>
      <c r="B11" s="16"/>
      <c r="C11" s="18" t="s">
        <v>1703</v>
      </c>
      <c r="D11" s="16"/>
      <c r="E11" s="18" t="s">
        <v>2422</v>
      </c>
      <c r="F11" s="16"/>
      <c r="G11" s="18" t="s">
        <v>970</v>
      </c>
      <c r="H11" s="16"/>
      <c r="I11" s="18" t="s">
        <v>3140</v>
      </c>
      <c r="J11" s="16"/>
      <c r="K11" s="18" t="s">
        <v>3887</v>
      </c>
      <c r="L11" s="16"/>
      <c r="M11" s="18" t="s">
        <v>4617</v>
      </c>
      <c r="N11" s="16"/>
      <c r="O11" s="18" t="s">
        <v>5300</v>
      </c>
      <c r="P11" s="16"/>
      <c r="Q11" s="18"/>
      <c r="R11" s="16"/>
      <c r="S11" s="18"/>
      <c r="T11" s="20"/>
    </row>
    <row r="12" spans="1:20" ht="15.95" customHeight="1" x14ac:dyDescent="0.25">
      <c r="A12" s="18" t="s">
        <v>714</v>
      </c>
      <c r="B12" s="16"/>
      <c r="C12" s="18" t="s">
        <v>1704</v>
      </c>
      <c r="D12" s="16"/>
      <c r="E12" s="18" t="s">
        <v>2423</v>
      </c>
      <c r="F12" s="16"/>
      <c r="G12" s="18" t="s">
        <v>971</v>
      </c>
      <c r="H12" s="16"/>
      <c r="I12" s="18" t="s">
        <v>3141</v>
      </c>
      <c r="J12" s="16"/>
      <c r="K12" s="18" t="s">
        <v>3888</v>
      </c>
      <c r="L12" s="16"/>
      <c r="M12" s="18" t="s">
        <v>4618</v>
      </c>
      <c r="N12" s="16"/>
      <c r="O12" s="18" t="s">
        <v>5301</v>
      </c>
      <c r="P12" s="16"/>
      <c r="Q12" s="18"/>
      <c r="R12" s="16"/>
      <c r="S12" s="18"/>
      <c r="T12" s="20"/>
    </row>
    <row r="13" spans="1:20" ht="15.95" customHeight="1" x14ac:dyDescent="0.25">
      <c r="A13" s="18" t="s">
        <v>715</v>
      </c>
      <c r="B13" s="16"/>
      <c r="C13" s="18" t="s">
        <v>1705</v>
      </c>
      <c r="D13" s="16"/>
      <c r="E13" s="18" t="s">
        <v>2424</v>
      </c>
      <c r="F13" s="16"/>
      <c r="G13" s="18" t="s">
        <v>972</v>
      </c>
      <c r="H13" s="16"/>
      <c r="I13" s="18" t="s">
        <v>3142</v>
      </c>
      <c r="J13" s="16"/>
      <c r="K13" s="18" t="s">
        <v>3889</v>
      </c>
      <c r="L13" s="16"/>
      <c r="M13" s="18" t="s">
        <v>4619</v>
      </c>
      <c r="N13" s="16"/>
      <c r="O13" s="18" t="s">
        <v>5302</v>
      </c>
      <c r="P13" s="16"/>
      <c r="Q13" s="18"/>
      <c r="R13" s="16"/>
      <c r="S13" s="18"/>
      <c r="T13" s="20"/>
    </row>
    <row r="14" spans="1:20" ht="15.95" customHeight="1" x14ac:dyDescent="0.25">
      <c r="A14" s="18" t="s">
        <v>716</v>
      </c>
      <c r="B14" s="16"/>
      <c r="C14" s="18" t="s">
        <v>1706</v>
      </c>
      <c r="D14" s="16"/>
      <c r="E14" s="18" t="s">
        <v>2425</v>
      </c>
      <c r="F14" s="16"/>
      <c r="G14" s="18" t="s">
        <v>973</v>
      </c>
      <c r="H14" s="16"/>
      <c r="I14" s="18" t="s">
        <v>3143</v>
      </c>
      <c r="J14" s="16"/>
      <c r="K14" s="18" t="s">
        <v>3890</v>
      </c>
      <c r="L14" s="16"/>
      <c r="M14" s="18" t="s">
        <v>4620</v>
      </c>
      <c r="N14" s="16"/>
      <c r="O14" s="18" t="s">
        <v>5303</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717</v>
      </c>
      <c r="B16" s="16"/>
      <c r="C16" s="18" t="s">
        <v>1707</v>
      </c>
      <c r="D16" s="16"/>
      <c r="E16" s="18" t="s">
        <v>2426</v>
      </c>
      <c r="F16" s="16"/>
      <c r="G16" s="18" t="s">
        <v>974</v>
      </c>
      <c r="H16" s="16"/>
      <c r="I16" s="18" t="s">
        <v>3144</v>
      </c>
      <c r="J16" s="16"/>
      <c r="K16" s="18" t="s">
        <v>3891</v>
      </c>
      <c r="L16" s="16"/>
      <c r="M16" s="18" t="s">
        <v>4621</v>
      </c>
      <c r="N16" s="16"/>
      <c r="O16" s="18" t="s">
        <v>5304</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718</v>
      </c>
      <c r="B18" s="16"/>
      <c r="C18" s="18" t="s">
        <v>1708</v>
      </c>
      <c r="D18" s="16"/>
      <c r="E18" s="18" t="s">
        <v>2427</v>
      </c>
      <c r="F18" s="16"/>
      <c r="G18" s="18" t="s">
        <v>975</v>
      </c>
      <c r="H18" s="16"/>
      <c r="I18" s="18" t="s">
        <v>3145</v>
      </c>
      <c r="J18" s="16"/>
      <c r="K18" s="18" t="s">
        <v>3892</v>
      </c>
      <c r="L18" s="16"/>
      <c r="M18" s="18" t="s">
        <v>4622</v>
      </c>
      <c r="N18" s="16"/>
      <c r="O18" s="18" t="s">
        <v>5305</v>
      </c>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O3" sqref="O3:O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t="s">
        <v>3893</v>
      </c>
      <c r="L3" s="16" t="str">
        <f>TRIM(_xlfn.TEXTBEFORE(K3, ":"))</f>
        <v>아이템 종류</v>
      </c>
      <c r="M3" s="17" t="s">
        <v>4623</v>
      </c>
      <c r="N3" s="16" t="str">
        <f>TRIM(_xlfn.TEXTBEFORE(M3, ":"))</f>
        <v>Classe do Item</v>
      </c>
      <c r="O3" s="17" t="s">
        <v>5306</v>
      </c>
      <c r="P3" s="16" t="str">
        <f>TRIM(_xlfn.TEXTBEFORE(O3, ":"))</f>
        <v>Класс предмета</v>
      </c>
      <c r="Q3" s="17"/>
      <c r="R3" s="16" t="e">
        <f>TRIM(_xlfn.TEXTBEFORE(Q3, ":"))</f>
        <v>#N/A</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t="s">
        <v>3894</v>
      </c>
      <c r="L4" s="16" t="str">
        <f>TRIM(_xlfn.TEXTAFTER(K3, ":"))</f>
        <v>계약</v>
      </c>
      <c r="M4" s="18" t="s">
        <v>4624</v>
      </c>
      <c r="N4" s="16" t="str">
        <f>TRIM(_xlfn.TEXTAFTER(M3, ":"))</f>
        <v>Contratos</v>
      </c>
      <c r="O4" s="18" t="s">
        <v>5307</v>
      </c>
      <c r="P4" s="16" t="str">
        <f>TRIM(_xlfn.TEXTAFTER(O3, ":"))</f>
        <v>Контракты</v>
      </c>
      <c r="Q4" s="18"/>
      <c r="R4" s="16" t="e">
        <f>TRIM(_xlfn.TEXTAFTER(Q3, ":"))</f>
        <v>#N/A</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t="s">
        <v>3895</v>
      </c>
      <c r="L5" s="16" t="str">
        <f>TRIM(_xlfn.TEXTBEFORE(K4, ":"))</f>
        <v>아이템 희귀도</v>
      </c>
      <c r="M5" s="18" t="s">
        <v>4625</v>
      </c>
      <c r="N5" s="16" t="str">
        <f>TRIM(_xlfn.TEXTBEFORE(M4, ":"))</f>
        <v>Raridade</v>
      </c>
      <c r="O5" s="18" t="s">
        <v>5308</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c r="R6" s="16" t="e">
        <f>TRIM(_xlfn.TEXTAFTER(Q4,":"))</f>
        <v>#N/A</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t="s">
        <v>3896</v>
      </c>
      <c r="L7" s="16"/>
      <c r="M7" s="18" t="s">
        <v>2431</v>
      </c>
      <c r="N7" s="16"/>
      <c r="O7" s="18" t="s">
        <v>5309</v>
      </c>
      <c r="P7" s="16"/>
      <c r="Q7" s="18"/>
      <c r="R7" s="16"/>
      <c r="S7" s="18"/>
      <c r="T7" s="20"/>
    </row>
    <row r="8" spans="1:20" ht="15.95" customHeight="1" x14ac:dyDescent="0.25">
      <c r="A8" s="18" t="s">
        <v>722</v>
      </c>
      <c r="B8" s="16"/>
      <c r="C8" s="18" t="s">
        <v>1713</v>
      </c>
      <c r="D8" s="16"/>
      <c r="E8" s="18" t="s">
        <v>2432</v>
      </c>
      <c r="F8" s="16"/>
      <c r="G8" s="18" t="s">
        <v>980</v>
      </c>
      <c r="H8" s="16"/>
      <c r="I8" s="18" t="s">
        <v>3150</v>
      </c>
      <c r="J8" s="16"/>
      <c r="K8" s="18" t="s">
        <v>3897</v>
      </c>
      <c r="L8" s="16"/>
      <c r="M8" s="18" t="s">
        <v>4626</v>
      </c>
      <c r="N8" s="16"/>
      <c r="O8" s="18" t="s">
        <v>5310</v>
      </c>
      <c r="P8" s="16"/>
      <c r="Q8" s="18"/>
      <c r="R8" s="16"/>
      <c r="S8" s="18"/>
      <c r="T8" s="20"/>
    </row>
    <row r="9" spans="1:20" ht="15.95" customHeight="1" x14ac:dyDescent="0.25">
      <c r="A9" s="18" t="s">
        <v>723</v>
      </c>
      <c r="B9" s="16"/>
      <c r="C9" s="18" t="s">
        <v>1714</v>
      </c>
      <c r="D9" s="16"/>
      <c r="E9" s="18" t="s">
        <v>2433</v>
      </c>
      <c r="F9" s="16"/>
      <c r="G9" s="18" t="s">
        <v>981</v>
      </c>
      <c r="H9" s="16"/>
      <c r="I9" s="18" t="s">
        <v>3151</v>
      </c>
      <c r="J9" s="16"/>
      <c r="K9" s="18" t="s">
        <v>3898</v>
      </c>
      <c r="L9" s="16"/>
      <c r="M9" s="18" t="s">
        <v>4627</v>
      </c>
      <c r="N9" s="16"/>
      <c r="O9" s="18" t="s">
        <v>5311</v>
      </c>
      <c r="P9" s="16"/>
      <c r="Q9" s="18"/>
      <c r="R9" s="16"/>
      <c r="S9" s="18"/>
      <c r="T9" s="20"/>
    </row>
    <row r="10" spans="1:20" ht="15.95" customHeight="1" x14ac:dyDescent="0.25">
      <c r="A10" s="18" t="s">
        <v>724</v>
      </c>
      <c r="B10" s="16"/>
      <c r="C10" s="18" t="s">
        <v>1715</v>
      </c>
      <c r="D10" s="16"/>
      <c r="E10" s="18" t="s">
        <v>2434</v>
      </c>
      <c r="F10" s="16"/>
      <c r="G10" s="18" t="s">
        <v>982</v>
      </c>
      <c r="H10" s="16"/>
      <c r="I10" s="18" t="s">
        <v>3152</v>
      </c>
      <c r="J10" s="16"/>
      <c r="K10" s="18" t="s">
        <v>3899</v>
      </c>
      <c r="L10" s="16"/>
      <c r="M10" s="18" t="s">
        <v>4628</v>
      </c>
      <c r="N10" s="16"/>
      <c r="O10" s="18" t="s">
        <v>5312</v>
      </c>
      <c r="P10" s="16"/>
      <c r="Q10" s="18"/>
      <c r="R10" s="16"/>
      <c r="S10" s="18"/>
      <c r="T10" s="20"/>
    </row>
    <row r="11" spans="1:20" ht="15.95" customHeight="1" x14ac:dyDescent="0.25">
      <c r="A11" s="18" t="s">
        <v>725</v>
      </c>
      <c r="B11" s="16"/>
      <c r="C11" s="18" t="s">
        <v>1716</v>
      </c>
      <c r="D11" s="16"/>
      <c r="E11" s="18" t="s">
        <v>2435</v>
      </c>
      <c r="F11" s="16"/>
      <c r="G11" s="18" t="s">
        <v>983</v>
      </c>
      <c r="H11" s="16"/>
      <c r="I11" s="18" t="s">
        <v>3153</v>
      </c>
      <c r="J11" s="16"/>
      <c r="K11" s="18" t="s">
        <v>3900</v>
      </c>
      <c r="L11" s="16"/>
      <c r="M11" s="18" t="s">
        <v>4629</v>
      </c>
      <c r="N11" s="16"/>
      <c r="O11" s="18" t="s">
        <v>5313</v>
      </c>
      <c r="P11" s="16"/>
      <c r="Q11" s="18"/>
      <c r="R11" s="16"/>
      <c r="S11" s="18"/>
      <c r="T11" s="20"/>
    </row>
    <row r="12" spans="1:20" ht="15.95" customHeight="1" x14ac:dyDescent="0.25">
      <c r="A12" s="18" t="s">
        <v>726</v>
      </c>
      <c r="B12" s="16"/>
      <c r="C12" s="18" t="s">
        <v>1717</v>
      </c>
      <c r="D12" s="16"/>
      <c r="E12" s="18" t="s">
        <v>2436</v>
      </c>
      <c r="F12" s="16"/>
      <c r="G12" s="18" t="s">
        <v>984</v>
      </c>
      <c r="H12" s="16"/>
      <c r="I12" s="18" t="s">
        <v>3154</v>
      </c>
      <c r="J12" s="16"/>
      <c r="K12" s="18" t="s">
        <v>3901</v>
      </c>
      <c r="L12" s="16"/>
      <c r="M12" s="18" t="s">
        <v>4630</v>
      </c>
      <c r="N12" s="16"/>
      <c r="O12" s="18" t="s">
        <v>5314</v>
      </c>
      <c r="P12" s="16"/>
      <c r="Q12" s="18"/>
      <c r="R12" s="16"/>
      <c r="S12" s="18"/>
      <c r="T12" s="20"/>
    </row>
    <row r="13" spans="1:20" ht="15.95" customHeight="1" x14ac:dyDescent="0.25">
      <c r="A13" s="18" t="s">
        <v>727</v>
      </c>
      <c r="B13" s="16"/>
      <c r="C13" s="18" t="s">
        <v>1718</v>
      </c>
      <c r="D13" s="16"/>
      <c r="E13" s="18" t="s">
        <v>2437</v>
      </c>
      <c r="F13" s="16"/>
      <c r="G13" s="18" t="s">
        <v>985</v>
      </c>
      <c r="H13" s="16"/>
      <c r="I13" s="18" t="s">
        <v>3155</v>
      </c>
      <c r="J13" s="16"/>
      <c r="K13" s="18" t="s">
        <v>3902</v>
      </c>
      <c r="L13" s="16"/>
      <c r="M13" s="18" t="s">
        <v>4631</v>
      </c>
      <c r="N13" s="16"/>
      <c r="O13" s="18" t="s">
        <v>5315</v>
      </c>
      <c r="P13" s="16"/>
      <c r="Q13" s="18"/>
      <c r="R13" s="16"/>
      <c r="S13" s="18"/>
      <c r="T13" s="20"/>
    </row>
    <row r="14" spans="1:20" ht="15.95" customHeight="1" x14ac:dyDescent="0.25">
      <c r="A14" s="18" t="s">
        <v>728</v>
      </c>
      <c r="B14" s="16"/>
      <c r="C14" s="18" t="s">
        <v>1719</v>
      </c>
      <c r="D14" s="16"/>
      <c r="E14" s="18" t="s">
        <v>2438</v>
      </c>
      <c r="F14" s="16"/>
      <c r="G14" s="18" t="s">
        <v>986</v>
      </c>
      <c r="H14" s="16"/>
      <c r="I14" s="18" t="s">
        <v>3156</v>
      </c>
      <c r="J14" s="16"/>
      <c r="K14" s="18" t="s">
        <v>3903</v>
      </c>
      <c r="L14" s="16"/>
      <c r="M14" s="18" t="s">
        <v>4632</v>
      </c>
      <c r="N14" s="16"/>
      <c r="O14" s="18" t="s">
        <v>5316</v>
      </c>
      <c r="P14" s="16"/>
      <c r="Q14" s="18"/>
      <c r="R14" s="16"/>
      <c r="S14" s="18"/>
      <c r="T14" s="20"/>
    </row>
    <row r="15" spans="1:20" ht="15.95" customHeight="1" x14ac:dyDescent="0.25">
      <c r="A15" s="18" t="s">
        <v>729</v>
      </c>
      <c r="B15" s="16"/>
      <c r="C15" s="18" t="s">
        <v>1720</v>
      </c>
      <c r="D15" s="16"/>
      <c r="E15" s="18" t="s">
        <v>2439</v>
      </c>
      <c r="F15" s="16"/>
      <c r="G15" s="18" t="s">
        <v>987</v>
      </c>
      <c r="H15" s="16"/>
      <c r="I15" s="18" t="s">
        <v>3157</v>
      </c>
      <c r="J15" s="16"/>
      <c r="K15" s="18" t="s">
        <v>3904</v>
      </c>
      <c r="L15" s="16"/>
      <c r="M15" s="18" t="s">
        <v>4633</v>
      </c>
      <c r="N15" s="16"/>
      <c r="O15" s="18" t="s">
        <v>5317</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730</v>
      </c>
      <c r="B17" s="16"/>
      <c r="C17" s="18" t="s">
        <v>1721</v>
      </c>
      <c r="D17" s="16"/>
      <c r="E17" s="18" t="s">
        <v>2440</v>
      </c>
      <c r="F17" s="16"/>
      <c r="G17" s="18" t="s">
        <v>988</v>
      </c>
      <c r="H17" s="16"/>
      <c r="I17" s="18" t="s">
        <v>3158</v>
      </c>
      <c r="J17" s="16"/>
      <c r="K17" s="18" t="s">
        <v>3905</v>
      </c>
      <c r="L17" s="16"/>
      <c r="M17" s="18" t="s">
        <v>4634</v>
      </c>
      <c r="N17" s="16"/>
      <c r="O17" s="18" t="s">
        <v>5318</v>
      </c>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0"/>
    </row>
    <row r="19" spans="1:20" ht="15.95" customHeight="1" x14ac:dyDescent="0.25">
      <c r="A19" s="18" t="s">
        <v>731</v>
      </c>
      <c r="B19" s="16"/>
      <c r="C19" s="18" t="s">
        <v>1722</v>
      </c>
      <c r="D19" s="16"/>
      <c r="E19" s="18" t="s">
        <v>2441</v>
      </c>
      <c r="F19" s="16"/>
      <c r="G19" s="18" t="s">
        <v>989</v>
      </c>
      <c r="H19" s="16"/>
      <c r="I19" s="18" t="s">
        <v>3159</v>
      </c>
      <c r="J19" s="16"/>
      <c r="K19" s="18" t="s">
        <v>3906</v>
      </c>
      <c r="L19" s="16"/>
      <c r="M19" s="18" t="s">
        <v>4635</v>
      </c>
      <c r="N19" s="16"/>
      <c r="O19" s="18" t="s">
        <v>5319</v>
      </c>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0"/>
    </row>
    <row r="21" spans="1:20" ht="15.95" customHeight="1" x14ac:dyDescent="0.25">
      <c r="A21" s="18" t="s">
        <v>732</v>
      </c>
      <c r="B21" s="16"/>
      <c r="C21" s="18" t="s">
        <v>1723</v>
      </c>
      <c r="D21" s="16"/>
      <c r="E21" s="18" t="s">
        <v>2442</v>
      </c>
      <c r="F21" s="16"/>
      <c r="G21" s="18" t="s">
        <v>990</v>
      </c>
      <c r="H21" s="16"/>
      <c r="I21" s="18" t="s">
        <v>3160</v>
      </c>
      <c r="J21" s="16"/>
      <c r="K21" s="18" t="s">
        <v>3907</v>
      </c>
      <c r="L21" s="16"/>
      <c r="M21" s="18" t="s">
        <v>4636</v>
      </c>
      <c r="N21" s="16"/>
      <c r="O21" s="18" t="s">
        <v>5320</v>
      </c>
      <c r="P21" s="16"/>
      <c r="Q21" s="18"/>
      <c r="R21" s="16"/>
      <c r="S21" s="18"/>
      <c r="T21" s="20"/>
    </row>
    <row r="22" spans="1:20" ht="15.95" customHeight="1" x14ac:dyDescent="0.25">
      <c r="A22" s="18" t="s">
        <v>4</v>
      </c>
      <c r="B22" s="16"/>
      <c r="C22" s="18" t="s">
        <v>4</v>
      </c>
      <c r="D22" s="16"/>
      <c r="E22" s="18" t="s">
        <v>4</v>
      </c>
      <c r="F22" s="16"/>
      <c r="G22" s="18" t="s">
        <v>991</v>
      </c>
      <c r="H22" s="16"/>
      <c r="I22" s="18" t="s">
        <v>4</v>
      </c>
      <c r="J22" s="16"/>
      <c r="K22" s="18" t="s">
        <v>4</v>
      </c>
      <c r="L22" s="16"/>
      <c r="M22" s="18" t="s">
        <v>4</v>
      </c>
      <c r="N22" s="16"/>
      <c r="O22" s="18" t="s">
        <v>5321</v>
      </c>
      <c r="P22" s="16"/>
      <c r="Q22" s="18"/>
      <c r="R22" s="16"/>
      <c r="S22" s="18"/>
      <c r="T22" s="20"/>
    </row>
    <row r="23" spans="1:20" ht="15.95" customHeight="1" x14ac:dyDescent="0.25">
      <c r="A23" s="18" t="s">
        <v>733</v>
      </c>
      <c r="B23" s="16"/>
      <c r="C23" s="18" t="s">
        <v>1724</v>
      </c>
      <c r="D23" s="16"/>
      <c r="E23" s="18" t="s">
        <v>2443</v>
      </c>
      <c r="F23" s="16"/>
      <c r="G23" s="18" t="s">
        <v>4</v>
      </c>
      <c r="H23" s="16"/>
      <c r="I23" s="18" t="s">
        <v>3161</v>
      </c>
      <c r="J23" s="16"/>
      <c r="K23" s="18" t="s">
        <v>3908</v>
      </c>
      <c r="L23" s="16"/>
      <c r="M23" s="18" t="s">
        <v>4637</v>
      </c>
      <c r="N23" s="16"/>
      <c r="O23" s="18" t="s">
        <v>4</v>
      </c>
      <c r="P23" s="16"/>
      <c r="Q23" s="18"/>
      <c r="R23" s="16"/>
      <c r="S23" s="18"/>
      <c r="T23" s="20"/>
    </row>
    <row r="24" spans="1:20" ht="15.95" customHeight="1" x14ac:dyDescent="0.25">
      <c r="A24" s="18"/>
      <c r="B24" s="16"/>
      <c r="C24" s="18"/>
      <c r="D24" s="16"/>
      <c r="E24" s="18"/>
      <c r="F24" s="16"/>
      <c r="G24" s="18" t="s">
        <v>992</v>
      </c>
      <c r="H24" s="16"/>
      <c r="I24" s="18"/>
      <c r="J24" s="16"/>
      <c r="K24" s="18"/>
      <c r="L24" s="16"/>
      <c r="M24" s="18"/>
      <c r="N24" s="16"/>
      <c r="O24" s="18" t="s">
        <v>5322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O3" sqref="O3:O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t="s">
        <v>4638</v>
      </c>
      <c r="N3" s="16" t="str">
        <f>TRIM(_xlfn.TEXTBEFORE(M3, ":"))</f>
        <v>Classe do Item</v>
      </c>
      <c r="O3" s="17" t="s">
        <v>5323</v>
      </c>
      <c r="P3" s="16" t="str">
        <f>TRIM(_xlfn.TEXTBEFORE(O3, ":"))</f>
        <v>Класс предмета</v>
      </c>
      <c r="Q3" s="17"/>
      <c r="R3" s="16" t="e">
        <f>TRIM(_xlfn.TEXTBEFORE(Q3, ":"))</f>
        <v>#N/A</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t="s">
        <v>3866</v>
      </c>
      <c r="L4" s="16" t="str">
        <f>TRIM(_xlfn.TEXTAFTER(K3, ":"))</f>
        <v>탐험 일지</v>
      </c>
      <c r="M4" s="18" t="s">
        <v>4595</v>
      </c>
      <c r="N4" s="16" t="str">
        <f>TRIM(_xlfn.TEXTAFTER(M3, ":"))</f>
        <v>Diários de Bordo Expedition</v>
      </c>
      <c r="O4" s="18" t="s">
        <v>5278</v>
      </c>
      <c r="P4" s="16" t="str">
        <f>TRIM(_xlfn.TEXTAFTER(O3, ":"))</f>
        <v>Журналы экспедиции</v>
      </c>
      <c r="Q4" s="18"/>
      <c r="R4" s="16" t="e">
        <f>TRIM(_xlfn.TEXTAFTER(Q3, ":"))</f>
        <v>#N/A</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t="s">
        <v>4639</v>
      </c>
      <c r="N5" s="16" t="str">
        <f>TRIM(_xlfn.TEXTBEFORE(M4, ":"))</f>
        <v>Raridade</v>
      </c>
      <c r="O5" s="18" t="s">
        <v>5324</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t="s">
        <v>3911</v>
      </c>
      <c r="L7" s="16" t="str">
        <f>TRIM(_xlfn.TEXTBEFORE(K7,":"))</f>
        <v>지역 레벨</v>
      </c>
      <c r="M7" s="18" t="s">
        <v>4640</v>
      </c>
      <c r="N7" s="16" t="str">
        <f>TRIM(_xlfn.TEXTBEFORE(M7,":"))</f>
        <v>Nível da Área</v>
      </c>
      <c r="O7" s="18" t="s">
        <v>5325</v>
      </c>
      <c r="P7" s="16" t="str">
        <f>TRIM(_xlfn.TEXTBEFORE(O7,":"))</f>
        <v>Уровень области</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16"/>
    </row>
    <row r="9" spans="1:20" ht="15.95" customHeight="1" x14ac:dyDescent="0.25">
      <c r="A9" s="18" t="s">
        <v>462</v>
      </c>
      <c r="B9" s="16"/>
      <c r="C9" s="18" t="s">
        <v>1728</v>
      </c>
      <c r="D9" s="16"/>
      <c r="E9" s="18" t="s">
        <v>2447</v>
      </c>
      <c r="F9" s="16"/>
      <c r="G9" s="18" t="s">
        <v>996</v>
      </c>
      <c r="H9" s="16"/>
      <c r="I9" s="18" t="s">
        <v>3165</v>
      </c>
      <c r="J9" s="16"/>
      <c r="K9" s="18" t="s">
        <v>3912</v>
      </c>
      <c r="L9" s="16"/>
      <c r="M9" s="18" t="s">
        <v>4641</v>
      </c>
      <c r="N9" s="16"/>
      <c r="O9" s="18" t="s">
        <v>5326</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590</v>
      </c>
      <c r="B11" s="16"/>
      <c r="C11" s="18" t="s">
        <v>1729</v>
      </c>
      <c r="D11" s="16"/>
      <c r="E11" s="18" t="s">
        <v>2448</v>
      </c>
      <c r="F11" s="16"/>
      <c r="G11" s="18" t="s">
        <v>997</v>
      </c>
      <c r="H11" s="16"/>
      <c r="I11" s="18" t="s">
        <v>3166</v>
      </c>
      <c r="J11" s="16"/>
      <c r="K11" s="18" t="s">
        <v>3913</v>
      </c>
      <c r="L11" s="16"/>
      <c r="M11" s="18" t="s">
        <v>4642</v>
      </c>
      <c r="N11" s="16"/>
      <c r="O11" s="18" t="s">
        <v>5327</v>
      </c>
      <c r="P11" s="16"/>
      <c r="Q11" s="18"/>
      <c r="R11" s="16"/>
      <c r="S11" s="18"/>
      <c r="T11" s="16"/>
    </row>
    <row r="12" spans="1:20" ht="15.95" customHeight="1" x14ac:dyDescent="0.25">
      <c r="A12" s="18" t="s">
        <v>591</v>
      </c>
      <c r="B12" s="16"/>
      <c r="C12" s="18" t="s">
        <v>1730</v>
      </c>
      <c r="D12" s="16"/>
      <c r="E12" s="18" t="s">
        <v>2449</v>
      </c>
      <c r="F12" s="16"/>
      <c r="G12" s="18" t="s">
        <v>998</v>
      </c>
      <c r="H12" s="16"/>
      <c r="I12" s="18" t="s">
        <v>3167</v>
      </c>
      <c r="J12" s="16"/>
      <c r="K12" s="18" t="s">
        <v>3914</v>
      </c>
      <c r="L12" s="16"/>
      <c r="M12" s="18" t="s">
        <v>4643</v>
      </c>
      <c r="N12" s="16"/>
      <c r="O12" s="18" t="s">
        <v>5328</v>
      </c>
      <c r="P12" s="16"/>
      <c r="Q12" s="18"/>
      <c r="R12" s="16"/>
      <c r="S12" s="18"/>
      <c r="T12" s="21"/>
    </row>
    <row r="13" spans="1:20" ht="15.95" customHeight="1" x14ac:dyDescent="0.25">
      <c r="A13" s="18" t="s">
        <v>592</v>
      </c>
      <c r="B13" s="16"/>
      <c r="C13" s="18" t="s">
        <v>1731</v>
      </c>
      <c r="D13" s="16"/>
      <c r="E13" s="18" t="s">
        <v>2450</v>
      </c>
      <c r="F13" s="16"/>
      <c r="G13" s="18" t="s">
        <v>999</v>
      </c>
      <c r="H13" s="16"/>
      <c r="I13" s="18" t="s">
        <v>3168</v>
      </c>
      <c r="J13" s="16"/>
      <c r="K13" s="18" t="s">
        <v>3915</v>
      </c>
      <c r="L13" s="16"/>
      <c r="M13" s="18" t="s">
        <v>4644</v>
      </c>
      <c r="N13" s="16"/>
      <c r="O13" s="18" t="s">
        <v>5329</v>
      </c>
      <c r="P13" s="16"/>
      <c r="Q13" s="18"/>
      <c r="R13" s="16"/>
      <c r="S13" s="18"/>
      <c r="T13" s="21"/>
    </row>
    <row r="14" spans="1:20" ht="15.95" customHeight="1" x14ac:dyDescent="0.25">
      <c r="A14" s="18" t="s">
        <v>593</v>
      </c>
      <c r="B14" s="16"/>
      <c r="C14" s="18" t="s">
        <v>1732</v>
      </c>
      <c r="D14" s="16"/>
      <c r="E14" s="18" t="s">
        <v>2451</v>
      </c>
      <c r="F14" s="16"/>
      <c r="G14" s="18" t="s">
        <v>1000</v>
      </c>
      <c r="H14" s="16"/>
      <c r="I14" s="18" t="s">
        <v>3169</v>
      </c>
      <c r="J14" s="16"/>
      <c r="K14" s="18" t="s">
        <v>3916</v>
      </c>
      <c r="L14" s="16"/>
      <c r="M14" s="18" t="s">
        <v>4645</v>
      </c>
      <c r="N14" s="16"/>
      <c r="O14" s="18" t="s">
        <v>5330</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594</v>
      </c>
      <c r="B16" s="16"/>
      <c r="C16" s="18" t="s">
        <v>1733</v>
      </c>
      <c r="D16" s="16"/>
      <c r="E16" s="18" t="s">
        <v>2452</v>
      </c>
      <c r="F16" s="16"/>
      <c r="G16" s="18" t="s">
        <v>1001</v>
      </c>
      <c r="H16" s="16"/>
      <c r="I16" s="18" t="s">
        <v>3170</v>
      </c>
      <c r="J16" s="16"/>
      <c r="K16" s="18" t="s">
        <v>3917</v>
      </c>
      <c r="L16" s="16"/>
      <c r="M16" s="18" t="s">
        <v>4646</v>
      </c>
      <c r="N16" s="16"/>
      <c r="O16" s="18" t="s">
        <v>5331</v>
      </c>
      <c r="P16" s="16"/>
      <c r="Q16" s="18"/>
      <c r="R16" s="16"/>
      <c r="S16" s="18"/>
      <c r="T16" s="21"/>
    </row>
    <row r="17" spans="1:20" ht="15.95" customHeight="1" x14ac:dyDescent="0.25">
      <c r="A17" s="18" t="s">
        <v>591</v>
      </c>
      <c r="B17" s="16"/>
      <c r="C17" s="18" t="s">
        <v>1730</v>
      </c>
      <c r="D17" s="16"/>
      <c r="E17" s="18" t="s">
        <v>2449</v>
      </c>
      <c r="F17" s="16"/>
      <c r="G17" s="18" t="s">
        <v>998</v>
      </c>
      <c r="H17" s="16"/>
      <c r="I17" s="18" t="s">
        <v>3167</v>
      </c>
      <c r="J17" s="16"/>
      <c r="K17" s="18" t="s">
        <v>3914</v>
      </c>
      <c r="L17" s="16"/>
      <c r="M17" s="18" t="s">
        <v>4643</v>
      </c>
      <c r="N17" s="16"/>
      <c r="O17" s="18" t="s">
        <v>5328</v>
      </c>
      <c r="P17" s="16"/>
      <c r="Q17" s="18"/>
      <c r="R17" s="16"/>
      <c r="S17" s="18"/>
      <c r="T17" s="21"/>
    </row>
    <row r="18" spans="1:20" ht="15.95" customHeight="1" x14ac:dyDescent="0.25">
      <c r="A18" s="18" t="s">
        <v>595</v>
      </c>
      <c r="B18" s="16"/>
      <c r="C18" s="18" t="s">
        <v>1734</v>
      </c>
      <c r="D18" s="16"/>
      <c r="E18" s="18" t="s">
        <v>2453</v>
      </c>
      <c r="F18" s="16"/>
      <c r="G18" s="18" t="s">
        <v>1002</v>
      </c>
      <c r="H18" s="16"/>
      <c r="I18" s="18" t="s">
        <v>3171</v>
      </c>
      <c r="J18" s="16"/>
      <c r="K18" s="18" t="s">
        <v>3918</v>
      </c>
      <c r="L18" s="16"/>
      <c r="M18" s="18" t="s">
        <v>4647</v>
      </c>
      <c r="N18" s="16"/>
      <c r="O18" s="18" t="s">
        <v>5332</v>
      </c>
      <c r="P18" s="16"/>
      <c r="Q18" s="18"/>
      <c r="R18" s="16"/>
      <c r="S18" s="18"/>
      <c r="T18" s="21"/>
    </row>
    <row r="19" spans="1:20" ht="15.95" customHeight="1" x14ac:dyDescent="0.25">
      <c r="A19" s="18" t="s">
        <v>596</v>
      </c>
      <c r="B19" s="16"/>
      <c r="C19" s="18" t="s">
        <v>1735</v>
      </c>
      <c r="D19" s="16"/>
      <c r="E19" s="18" t="s">
        <v>2454</v>
      </c>
      <c r="F19" s="16"/>
      <c r="G19" s="18" t="s">
        <v>1003</v>
      </c>
      <c r="H19" s="16"/>
      <c r="I19" s="18" t="s">
        <v>3172</v>
      </c>
      <c r="J19" s="16"/>
      <c r="K19" s="18" t="s">
        <v>3919</v>
      </c>
      <c r="L19" s="16"/>
      <c r="M19" s="18" t="s">
        <v>4648</v>
      </c>
      <c r="N19" s="16"/>
      <c r="O19" s="18" t="s">
        <v>5333</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597</v>
      </c>
      <c r="B21" s="16"/>
      <c r="C21" s="18" t="s">
        <v>1736</v>
      </c>
      <c r="D21" s="16"/>
      <c r="E21" s="18" t="s">
        <v>2455</v>
      </c>
      <c r="F21" s="16"/>
      <c r="G21" s="18" t="s">
        <v>1004</v>
      </c>
      <c r="H21" s="16"/>
      <c r="I21" s="18" t="s">
        <v>3173</v>
      </c>
      <c r="J21" s="16"/>
      <c r="K21" s="18" t="s">
        <v>3920</v>
      </c>
      <c r="L21" s="16"/>
      <c r="M21" s="18" t="s">
        <v>4649</v>
      </c>
      <c r="N21" s="16"/>
      <c r="O21" s="18" t="s">
        <v>5334</v>
      </c>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2" stopIfTrue="1">
      <formula>NOT(ISERROR(A3))</formula>
    </cfRule>
  </conditionalFormatting>
  <conditionalFormatting sqref="A3:T6 A7 C7 E7 G7 I7 K7 M7 O7 Q7 S7 A8:T51">
    <cfRule type="notContainsBlanks" dxfId="233" priority="23">
      <formula>LEN(TRIM(A3))&gt;0</formula>
    </cfRule>
  </conditionalFormatting>
  <conditionalFormatting sqref="A3:T51">
    <cfRule type="containsErrors" dxfId="232" priority="1" stopIfTrue="1">
      <formula>ISERROR(A3)</formula>
    </cfRule>
  </conditionalFormatting>
  <conditionalFormatting sqref="B7">
    <cfRule type="notContainsBlanks" dxfId="231" priority="20">
      <formula>LEN(TRIM(B7))&gt;0</formula>
    </cfRule>
  </conditionalFormatting>
  <conditionalFormatting sqref="D7">
    <cfRule type="notContainsBlanks" dxfId="230" priority="18">
      <formula>LEN(TRIM(D7))&gt;0</formula>
    </cfRule>
  </conditionalFormatting>
  <conditionalFormatting sqref="F7">
    <cfRule type="notContainsBlanks" dxfId="229" priority="16">
      <formula>LEN(TRIM(F7))&gt;0</formula>
    </cfRule>
  </conditionalFormatting>
  <conditionalFormatting sqref="H7">
    <cfRule type="notContainsBlanks" dxfId="228" priority="14">
      <formula>LEN(TRIM(H7))&gt;0</formula>
    </cfRule>
  </conditionalFormatting>
  <conditionalFormatting sqref="J7">
    <cfRule type="notContainsBlanks" dxfId="227" priority="12">
      <formula>LEN(TRIM(J7))&gt;0</formula>
    </cfRule>
  </conditionalFormatting>
  <conditionalFormatting sqref="L7">
    <cfRule type="notContainsBlanks" dxfId="226" priority="10">
      <formula>LEN(TRIM(L7))&gt;0</formula>
    </cfRule>
  </conditionalFormatting>
  <conditionalFormatting sqref="N7">
    <cfRule type="notContainsBlanks" dxfId="225" priority="8">
      <formula>LEN(TRIM(N7))&gt;0</formula>
    </cfRule>
  </conditionalFormatting>
  <conditionalFormatting sqref="P7">
    <cfRule type="notContainsBlanks" dxfId="224" priority="6">
      <formula>LEN(TRIM(P7))&gt;0</formula>
    </cfRule>
  </conditionalFormatting>
  <conditionalFormatting sqref="R7">
    <cfRule type="notContainsBlanks" dxfId="223" priority="4">
      <formula>LEN(TRIM(R7))&gt;0</formula>
    </cfRule>
  </conditionalFormatting>
  <conditionalFormatting sqref="T7">
    <cfRule type="notContainsBlanks" dxfId="222"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O3" sqref="O3:O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c r="R3" s="16" t="e">
        <f>TRIM(_xlfn.TEXTBEFORE(Q3, ":"))</f>
        <v>#N/A</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t="s">
        <v>3894</v>
      </c>
      <c r="L4" s="16" t="str">
        <f>TRIM(_xlfn.TEXTAFTER(K3, ":"))</f>
        <v>지도</v>
      </c>
      <c r="M4" s="18" t="s">
        <v>4624</v>
      </c>
      <c r="N4" s="16" t="str">
        <f>TRIM(_xlfn.TEXTAFTER(M3, ":"))</f>
        <v>Mapas</v>
      </c>
      <c r="O4" s="18" t="s">
        <v>5307</v>
      </c>
      <c r="P4" s="16" t="str">
        <f>TRIM(_xlfn.TEXTAFTER(O3, ":"))</f>
        <v>Карты</v>
      </c>
      <c r="Q4" s="18"/>
      <c r="R4" s="16" t="e">
        <f>TRIM(_xlfn.TEXTAFTER(Q3, ":"))</f>
        <v>#N/A</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c r="R6" s="16" t="e">
        <f>TRIM(_xlfn.TEXTAFTER(Q4,":"))</f>
        <v>#N/A</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t="s">
        <v>3922</v>
      </c>
      <c r="L7" s="16"/>
      <c r="M7" s="18" t="s">
        <v>4651</v>
      </c>
      <c r="N7" s="16"/>
      <c r="O7" s="18" t="s">
        <v>5336</v>
      </c>
      <c r="P7" s="16"/>
      <c r="Q7" s="18"/>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t="s">
        <v>3923</v>
      </c>
      <c r="L8" s="16" t="str">
        <f>TRIM(_xlfn.TEXTBEFORE(K8,":"))</f>
        <v>아이템 수량</v>
      </c>
      <c r="M8" s="18" t="s">
        <v>4652</v>
      </c>
      <c r="N8" s="16" t="str">
        <f>TRIM(_xlfn.TEXTBEFORE(M8,":"))</f>
        <v>Quantidade de Itens</v>
      </c>
      <c r="O8" s="18" t="s">
        <v>5337</v>
      </c>
      <c r="P8" s="16" t="str">
        <f>TRIM(_xlfn.TEXTBEFORE(O8,":"))</f>
        <v>Количество предметов</v>
      </c>
      <c r="Q8" s="18"/>
      <c r="R8" s="16" t="e">
        <f>TRIM(_xlfn.TEXTBEFORE(Q8,":"))</f>
        <v>#N/A</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t="s">
        <v>3924</v>
      </c>
      <c r="L9" s="16" t="str">
        <f>TRIM(_xlfn.TEXTBEFORE(K9,":"))</f>
        <v>아이템 희귀도</v>
      </c>
      <c r="M9" s="18" t="s">
        <v>4653</v>
      </c>
      <c r="N9" s="16" t="str">
        <f>TRIM(_xlfn.TEXTBEFORE(M9,":"))</f>
        <v>Raridade de Itens</v>
      </c>
      <c r="O9" s="18" t="s">
        <v>5338</v>
      </c>
      <c r="P9" s="16" t="str">
        <f>TRIM(_xlfn.TEXTBEFORE(O9,":"))</f>
        <v>Редкость предметов</v>
      </c>
      <c r="Q9" s="18"/>
      <c r="R9" s="16" t="e">
        <f>TRIM(_xlfn.TEXTBEFORE(Q9,":"))</f>
        <v>#N/A</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t="s">
        <v>3925</v>
      </c>
      <c r="L10" s="16" t="str">
        <f>TRIM(_xlfn.TEXTBEFORE(K10,":"))</f>
        <v>몬스터 무리 규모</v>
      </c>
      <c r="M10" s="18" t="s">
        <v>4654</v>
      </c>
      <c r="N10" s="16" t="str">
        <f>TRIM(_xlfn.TEXTBEFORE(M10,":"))</f>
        <v>Tamanho do Grupo de Monstros</v>
      </c>
      <c r="O10" s="18" t="s">
        <v>5339</v>
      </c>
      <c r="P10" s="16" t="str">
        <f>TRIM(_xlfn.TEXTBEFORE(O10,":"))</f>
        <v>Размер групп монстров</v>
      </c>
      <c r="Q10" s="18"/>
      <c r="R10" s="16" t="e">
        <f>TRIM(_xlfn.TEXTBEFORE(Q10,":"))</f>
        <v>#N/A</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c r="R11" s="16"/>
      <c r="S11" s="18"/>
      <c r="T11" s="16"/>
    </row>
    <row r="12" spans="1:20" ht="15.95" customHeight="1" x14ac:dyDescent="0.25">
      <c r="A12" s="18" t="s">
        <v>117</v>
      </c>
      <c r="B12" s="16"/>
      <c r="C12" s="18" t="s">
        <v>1742</v>
      </c>
      <c r="D12" s="16"/>
      <c r="E12" s="18" t="s">
        <v>2461</v>
      </c>
      <c r="F12" s="16"/>
      <c r="G12" s="18" t="s">
        <v>1010</v>
      </c>
      <c r="H12" s="16"/>
      <c r="I12" s="18" t="s">
        <v>3179</v>
      </c>
      <c r="J12" s="16"/>
      <c r="K12" s="18" t="s">
        <v>3926</v>
      </c>
      <c r="L12" s="16"/>
      <c r="M12" s="18" t="s">
        <v>4655</v>
      </c>
      <c r="N12" s="16"/>
      <c r="O12" s="18" t="s">
        <v>5340</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578</v>
      </c>
      <c r="B14" s="16"/>
      <c r="C14" s="18" t="s">
        <v>1743</v>
      </c>
      <c r="D14" s="16"/>
      <c r="E14" s="18" t="s">
        <v>2462</v>
      </c>
      <c r="F14" s="16"/>
      <c r="G14" s="18" t="s">
        <v>1011</v>
      </c>
      <c r="H14" s="16"/>
      <c r="I14" s="18" t="s">
        <v>3180</v>
      </c>
      <c r="J14" s="16"/>
      <c r="K14" s="18" t="s">
        <v>3927</v>
      </c>
      <c r="L14" s="16"/>
      <c r="M14" s="18" t="s">
        <v>4656</v>
      </c>
      <c r="N14" s="16"/>
      <c r="O14" s="18" t="s">
        <v>5341</v>
      </c>
      <c r="P14" s="16"/>
      <c r="Q14" s="18"/>
      <c r="R14" s="16"/>
      <c r="S14" s="18"/>
      <c r="T14" s="21"/>
    </row>
    <row r="15" spans="1:20" ht="15.95" customHeight="1" x14ac:dyDescent="0.25">
      <c r="A15" s="18" t="s">
        <v>579</v>
      </c>
      <c r="B15" s="16"/>
      <c r="C15" s="18" t="s">
        <v>1744</v>
      </c>
      <c r="D15" s="16"/>
      <c r="E15" s="18" t="s">
        <v>2463</v>
      </c>
      <c r="F15" s="16"/>
      <c r="G15" s="18" t="s">
        <v>1012</v>
      </c>
      <c r="H15" s="16"/>
      <c r="I15" s="18" t="s">
        <v>3181</v>
      </c>
      <c r="J15" s="16"/>
      <c r="K15" s="18" t="s">
        <v>3928</v>
      </c>
      <c r="L15" s="16"/>
      <c r="M15" s="18" t="s">
        <v>4657</v>
      </c>
      <c r="N15" s="16"/>
      <c r="O15" s="18" t="s">
        <v>5342</v>
      </c>
      <c r="P15" s="16"/>
      <c r="Q15" s="18"/>
      <c r="R15" s="16"/>
      <c r="S15" s="18"/>
      <c r="T15" s="21"/>
    </row>
    <row r="16" spans="1:20" ht="15.95" customHeight="1" x14ac:dyDescent="0.25">
      <c r="A16" s="18" t="s">
        <v>580</v>
      </c>
      <c r="B16" s="16"/>
      <c r="C16" s="18" t="s">
        <v>1745</v>
      </c>
      <c r="D16" s="16"/>
      <c r="E16" s="18" t="s">
        <v>2464</v>
      </c>
      <c r="F16" s="16"/>
      <c r="G16" s="18" t="s">
        <v>1013</v>
      </c>
      <c r="H16" s="16"/>
      <c r="I16" s="18" t="s">
        <v>3182</v>
      </c>
      <c r="J16" s="16"/>
      <c r="K16" s="18" t="s">
        <v>3929</v>
      </c>
      <c r="L16" s="16"/>
      <c r="M16" s="18" t="s">
        <v>4658</v>
      </c>
      <c r="N16" s="16"/>
      <c r="O16" s="18" t="s">
        <v>5343</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530</v>
      </c>
      <c r="B18" s="16"/>
      <c r="C18" s="18" t="s">
        <v>1688</v>
      </c>
      <c r="D18" s="16"/>
      <c r="E18" s="18" t="s">
        <v>2408</v>
      </c>
      <c r="F18" s="16"/>
      <c r="G18" s="18" t="s">
        <v>955</v>
      </c>
      <c r="H18" s="16"/>
      <c r="I18" s="18" t="s">
        <v>3123</v>
      </c>
      <c r="J18" s="16"/>
      <c r="K18" s="18" t="s">
        <v>3873</v>
      </c>
      <c r="L18" s="16"/>
      <c r="M18" s="18" t="s">
        <v>4602</v>
      </c>
      <c r="N18" s="16"/>
      <c r="O18" s="18" t="s">
        <v>5285</v>
      </c>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42" stopIfTrue="1">
      <formula>NOT(ISERROR(A3))</formula>
    </cfRule>
  </conditionalFormatting>
  <conditionalFormatting sqref="A3:T7 A8:A10 C8:C10 E8:E10 G8:G10 I8:I10 K8:K10 M8:M10 O8:O10 Q8:Q10 S8:S10 A11:T51">
    <cfRule type="notContainsBlanks" dxfId="220" priority="43">
      <formula>LEN(TRIM(A3))&gt;0</formula>
    </cfRule>
  </conditionalFormatting>
  <conditionalFormatting sqref="A3:T51">
    <cfRule type="containsErrors" dxfId="219" priority="1" stopIfTrue="1">
      <formula>ISERROR(A3)</formula>
    </cfRule>
  </conditionalFormatting>
  <conditionalFormatting sqref="B8:B10">
    <cfRule type="notContainsBlanks" dxfId="218" priority="38">
      <formula>LEN(TRIM(B8))&gt;0</formula>
    </cfRule>
  </conditionalFormatting>
  <conditionalFormatting sqref="D8:D10">
    <cfRule type="notContainsBlanks" dxfId="217" priority="34">
      <formula>LEN(TRIM(D8))&gt;0</formula>
    </cfRule>
  </conditionalFormatting>
  <conditionalFormatting sqref="F8:F10">
    <cfRule type="notContainsBlanks" dxfId="216" priority="30">
      <formula>LEN(TRIM(F8))&gt;0</formula>
    </cfRule>
  </conditionalFormatting>
  <conditionalFormatting sqref="H8:H10">
    <cfRule type="notContainsBlanks" dxfId="215" priority="26">
      <formula>LEN(TRIM(H8))&gt;0</formula>
    </cfRule>
  </conditionalFormatting>
  <conditionalFormatting sqref="J8:J10">
    <cfRule type="notContainsBlanks" dxfId="214" priority="22">
      <formula>LEN(TRIM(J8))&gt;0</formula>
    </cfRule>
  </conditionalFormatting>
  <conditionalFormatting sqref="L8:L10">
    <cfRule type="notContainsBlanks" dxfId="213" priority="18">
      <formula>LEN(TRIM(L8))&gt;0</formula>
    </cfRule>
  </conditionalFormatting>
  <conditionalFormatting sqref="N8:N10">
    <cfRule type="notContainsBlanks" dxfId="212" priority="14">
      <formula>LEN(TRIM(N8))&gt;0</formula>
    </cfRule>
  </conditionalFormatting>
  <conditionalFormatting sqref="P8:P10">
    <cfRule type="notContainsBlanks" dxfId="211" priority="10">
      <formula>LEN(TRIM(P8))&gt;0</formula>
    </cfRule>
  </conditionalFormatting>
  <conditionalFormatting sqref="R8:R10">
    <cfRule type="notContainsBlanks" dxfId="210" priority="6">
      <formula>LEN(TRIM(R8))&gt;0</formula>
    </cfRule>
  </conditionalFormatting>
  <conditionalFormatting sqref="T8:T10">
    <cfRule type="notContainsBlanks" dxfId="209"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O3" sqref="O3:O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t="s">
        <v>3866</v>
      </c>
      <c r="L4" s="16" t="str">
        <f>TRIM(_xlfn.TEXTAFTER(K3, ":"))</f>
        <v>지도 조각</v>
      </c>
      <c r="M4" s="18" t="s">
        <v>4595</v>
      </c>
      <c r="N4" s="16" t="str">
        <f>TRIM(_xlfn.TEXTAFTER(M3, ":"))</f>
        <v>Fragmentos de Mapas</v>
      </c>
      <c r="O4" s="18" t="s">
        <v>5278</v>
      </c>
      <c r="P4" s="16" t="str">
        <f>TRIM(_xlfn.TEXTAFTER(O3, ":"))</f>
        <v>Обрывки карт</v>
      </c>
      <c r="Q4" s="18"/>
      <c r="R4" s="16" t="e">
        <f>TRIM(_xlfn.TEXTAFTER(Q3, ":"))</f>
        <v>#N/A</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20"/>
    </row>
    <row r="9" spans="1:20" ht="15.95" customHeight="1" x14ac:dyDescent="0.25">
      <c r="A9" s="18" t="s">
        <v>699</v>
      </c>
      <c r="B9" s="16"/>
      <c r="C9" s="18" t="s">
        <v>1748</v>
      </c>
      <c r="D9" s="16"/>
      <c r="E9" s="18" t="s">
        <v>2467</v>
      </c>
      <c r="F9" s="16"/>
      <c r="G9" s="18" t="s">
        <v>1016</v>
      </c>
      <c r="H9" s="16"/>
      <c r="I9" s="18" t="s">
        <v>3185</v>
      </c>
      <c r="J9" s="16"/>
      <c r="K9" s="18" t="s">
        <v>3932</v>
      </c>
      <c r="L9" s="16"/>
      <c r="M9" s="18" t="s">
        <v>4661</v>
      </c>
      <c r="N9" s="16"/>
      <c r="O9" s="18" t="s">
        <v>5346</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700</v>
      </c>
      <c r="B11" s="16"/>
      <c r="C11" s="18" t="s">
        <v>1749</v>
      </c>
      <c r="D11" s="16"/>
      <c r="E11" s="18" t="s">
        <v>2468</v>
      </c>
      <c r="F11" s="16"/>
      <c r="G11" s="18" t="s">
        <v>1017</v>
      </c>
      <c r="H11" s="16"/>
      <c r="I11" s="18" t="s">
        <v>3186</v>
      </c>
      <c r="J11" s="16"/>
      <c r="K11" s="18" t="s">
        <v>3933</v>
      </c>
      <c r="L11" s="16"/>
      <c r="M11" s="18" t="s">
        <v>4662</v>
      </c>
      <c r="N11" s="16"/>
      <c r="O11" s="18" t="s">
        <v>5347</v>
      </c>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8" priority="2" stopIfTrue="1">
      <formula>NOT(ISERROR(A3))</formula>
    </cfRule>
  </conditionalFormatting>
  <conditionalFormatting sqref="A3:T51">
    <cfRule type="containsErrors" dxfId="207" priority="1" stopIfTrue="1">
      <formula>ISERROR(A3)</formula>
    </cfRule>
    <cfRule type="notContainsBlanks" dxfId="20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O3" sqref="O3:O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t="s">
        <v>4663</v>
      </c>
      <c r="N3" s="16" t="str">
        <f>TRIM(_xlfn.TEXTBEFORE(M3, ":"))</f>
        <v>Classe do Item</v>
      </c>
      <c r="O3" s="17" t="s">
        <v>5348</v>
      </c>
      <c r="P3" s="16" t="str">
        <f>TRIM(_xlfn.TEXTBEFORE(O3, ":"))</f>
        <v>Класс предмета</v>
      </c>
      <c r="Q3" s="17"/>
      <c r="R3" s="16" t="e">
        <f>TRIM(_xlfn.TEXTBEFORE(Q3, ":"))</f>
        <v>#N/A</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t="s">
        <v>3894</v>
      </c>
      <c r="L4" s="16" t="str">
        <f>TRIM(_xlfn.TEXTAFTER(K3, ":"))</f>
        <v>기억</v>
      </c>
      <c r="M4" s="18" t="s">
        <v>4624</v>
      </c>
      <c r="N4" s="16" t="str">
        <f>TRIM(_xlfn.TEXTAFTER(M3, ":"))</f>
        <v>Memórias</v>
      </c>
      <c r="O4" s="18" t="s">
        <v>5307</v>
      </c>
      <c r="P4" s="16" t="str">
        <f>TRIM(_xlfn.TEXTAFTER(O3, ":"))</f>
        <v>Воспоминания</v>
      </c>
      <c r="Q4" s="18"/>
      <c r="R4" s="16" t="e">
        <f>TRIM(_xlfn.TEXTAFTER(Q3, ":"))</f>
        <v>#N/A</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t="s">
        <v>4664</v>
      </c>
      <c r="N5" s="16" t="str">
        <f>TRIM(_xlfn.TEXTBEFORE(M4, ":"))</f>
        <v>Raridade</v>
      </c>
      <c r="O5" s="18" t="s">
        <v>5349</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c r="R6" s="16" t="e">
        <f>TRIM(_xlfn.TEXTAFTER(Q4,":"))</f>
        <v>#N/A</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t="s">
        <v>3926</v>
      </c>
      <c r="L7" s="16"/>
      <c r="M7" s="18" t="s">
        <v>4655</v>
      </c>
      <c r="N7" s="16"/>
      <c r="O7" s="18" t="s">
        <v>5340</v>
      </c>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20"/>
    </row>
    <row r="9" spans="1:20" ht="15.95" customHeight="1" x14ac:dyDescent="0.25">
      <c r="A9" s="18" t="s">
        <v>791</v>
      </c>
      <c r="B9" s="16"/>
      <c r="C9" s="18" t="s">
        <v>1752</v>
      </c>
      <c r="D9" s="16"/>
      <c r="E9" s="18" t="s">
        <v>2471</v>
      </c>
      <c r="F9" s="16"/>
      <c r="G9" s="18" t="s">
        <v>1020</v>
      </c>
      <c r="H9" s="16"/>
      <c r="I9" s="18" t="s">
        <v>3189</v>
      </c>
      <c r="J9" s="16"/>
      <c r="K9" s="18" t="s">
        <v>3936</v>
      </c>
      <c r="L9" s="16"/>
      <c r="M9" s="18" t="s">
        <v>4665</v>
      </c>
      <c r="N9" s="16"/>
      <c r="O9" s="18" t="s">
        <v>5350</v>
      </c>
      <c r="P9" s="16"/>
      <c r="Q9" s="18"/>
      <c r="R9" s="16"/>
      <c r="S9" s="18"/>
      <c r="T9" s="20"/>
    </row>
    <row r="10" spans="1:20" ht="15.95" customHeight="1" x14ac:dyDescent="0.25">
      <c r="A10" s="18" t="s">
        <v>792</v>
      </c>
      <c r="B10" s="16"/>
      <c r="C10" s="18" t="s">
        <v>1753</v>
      </c>
      <c r="D10" s="16"/>
      <c r="E10" s="18" t="s">
        <v>2472</v>
      </c>
      <c r="F10" s="16"/>
      <c r="G10" s="18" t="s">
        <v>1021</v>
      </c>
      <c r="H10" s="16"/>
      <c r="I10" s="18" t="s">
        <v>3190</v>
      </c>
      <c r="J10" s="16"/>
      <c r="K10" s="18" t="s">
        <v>3937</v>
      </c>
      <c r="L10" s="16"/>
      <c r="M10" s="18" t="s">
        <v>4666</v>
      </c>
      <c r="N10" s="16"/>
      <c r="O10" s="18" t="s">
        <v>5351</v>
      </c>
      <c r="P10" s="16"/>
      <c r="Q10" s="18"/>
      <c r="R10" s="16"/>
      <c r="S10" s="18"/>
      <c r="T10" s="20"/>
    </row>
    <row r="11" spans="1:20" ht="15.95" customHeight="1" x14ac:dyDescent="0.25">
      <c r="A11" s="18" t="s">
        <v>793</v>
      </c>
      <c r="B11" s="16"/>
      <c r="C11" s="18" t="s">
        <v>1754</v>
      </c>
      <c r="D11" s="16"/>
      <c r="E11" s="18" t="s">
        <v>2473</v>
      </c>
      <c r="F11" s="16"/>
      <c r="G11" s="18" t="s">
        <v>1022</v>
      </c>
      <c r="H11" s="16"/>
      <c r="I11" s="18" t="s">
        <v>3191</v>
      </c>
      <c r="J11" s="16"/>
      <c r="K11" s="18" t="s">
        <v>3938</v>
      </c>
      <c r="L11" s="16"/>
      <c r="M11" s="18" t="s">
        <v>4667</v>
      </c>
      <c r="N11" s="16"/>
      <c r="O11" s="18" t="s">
        <v>5352</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794</v>
      </c>
      <c r="B13" s="16"/>
      <c r="C13" s="18" t="s">
        <v>1755</v>
      </c>
      <c r="D13" s="16"/>
      <c r="E13" s="18" t="s">
        <v>2474</v>
      </c>
      <c r="F13" s="16"/>
      <c r="G13" s="18" t="s">
        <v>1023</v>
      </c>
      <c r="H13" s="16"/>
      <c r="I13" s="18" t="s">
        <v>3192</v>
      </c>
      <c r="J13" s="16"/>
      <c r="K13" s="18" t="s">
        <v>3939</v>
      </c>
      <c r="L13" s="16"/>
      <c r="M13" s="18" t="s">
        <v>4668</v>
      </c>
      <c r="N13" s="16"/>
      <c r="O13" s="18" t="s">
        <v>5353</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795</v>
      </c>
      <c r="B15" s="16"/>
      <c r="C15" s="18" t="s">
        <v>1756</v>
      </c>
      <c r="D15" s="16"/>
      <c r="E15" s="18" t="s">
        <v>2475</v>
      </c>
      <c r="F15" s="16"/>
      <c r="G15" s="18" t="s">
        <v>1024</v>
      </c>
      <c r="H15" s="16"/>
      <c r="I15" s="18" t="s">
        <v>3193</v>
      </c>
      <c r="J15" s="16"/>
      <c r="K15" s="18" t="s">
        <v>3940</v>
      </c>
      <c r="L15" s="16"/>
      <c r="M15" s="18" t="s">
        <v>4669</v>
      </c>
      <c r="N15" s="16"/>
      <c r="O15" s="18" t="s">
        <v>5354</v>
      </c>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5" priority="2" stopIfTrue="1">
      <formula>NOT(ISERROR(A3))</formula>
    </cfRule>
  </conditionalFormatting>
  <conditionalFormatting sqref="A3:T51">
    <cfRule type="containsErrors" dxfId="204" priority="1" stopIfTrue="1">
      <formula>ISERROR(A3)</formula>
    </cfRule>
    <cfRule type="notContainsBlanks" dxfId="20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O3" sqref="O3:O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t="s">
        <v>3866</v>
      </c>
      <c r="L4" s="16" t="str">
        <f>TRIM(_xlfn.TEXTAFTER(K3, ":"))</f>
        <v>기타 지도 아이템</v>
      </c>
      <c r="M4" s="18" t="s">
        <v>4595</v>
      </c>
      <c r="N4" s="16" t="str">
        <f>TRIM(_xlfn.TEXTAFTER(M3, ":"))</f>
        <v>Itens Mapas Variados</v>
      </c>
      <c r="O4" s="18" t="s">
        <v>5278</v>
      </c>
      <c r="P4" s="16" t="str">
        <f>TRIM(_xlfn.TEXTAFTER(O3, ":"))</f>
        <v>Прочие предметы карт</v>
      </c>
      <c r="Q4" s="18"/>
      <c r="R4" s="16" t="e">
        <f>TRIM(_xlfn.TEXTAFTER(Q3, ":"))</f>
        <v>#N/A</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20"/>
    </row>
    <row r="9" spans="1:20" ht="15.95" customHeight="1" x14ac:dyDescent="0.25">
      <c r="A9" s="18" t="s">
        <v>703</v>
      </c>
      <c r="B9" s="16"/>
      <c r="C9" s="18" t="s">
        <v>1760</v>
      </c>
      <c r="D9" s="16"/>
      <c r="E9" s="18" t="s">
        <v>2479</v>
      </c>
      <c r="F9" s="16"/>
      <c r="G9" s="18" t="s">
        <v>1028</v>
      </c>
      <c r="H9" s="16"/>
      <c r="I9" s="18" t="s">
        <v>3197</v>
      </c>
      <c r="J9" s="16"/>
      <c r="K9" s="18" t="s">
        <v>3944</v>
      </c>
      <c r="L9" s="16"/>
      <c r="M9" s="18" t="s">
        <v>4673</v>
      </c>
      <c r="N9" s="16"/>
      <c r="O9" s="18" t="s">
        <v>5358</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704</v>
      </c>
      <c r="B11" s="16"/>
      <c r="C11" s="18" t="s">
        <v>1761</v>
      </c>
      <c r="D11" s="16"/>
      <c r="E11" s="18" t="s">
        <v>2480</v>
      </c>
      <c r="F11" s="16"/>
      <c r="G11" s="18" t="s">
        <v>1029</v>
      </c>
      <c r="H11" s="16"/>
      <c r="I11" s="18" t="s">
        <v>3198</v>
      </c>
      <c r="J11" s="16"/>
      <c r="K11" s="18" t="s">
        <v>3945</v>
      </c>
      <c r="L11" s="16"/>
      <c r="M11" s="18" t="s">
        <v>4674</v>
      </c>
      <c r="N11" s="16"/>
      <c r="O11" s="18" t="s">
        <v>5359</v>
      </c>
      <c r="P11" s="16"/>
      <c r="Q11" s="18"/>
      <c r="R11" s="16"/>
      <c r="S11" s="18"/>
      <c r="T11" s="20"/>
    </row>
    <row r="12" spans="1:20" ht="15.95" customHeight="1" x14ac:dyDescent="0.25">
      <c r="A12" s="18" t="s">
        <v>705</v>
      </c>
      <c r="B12" s="16"/>
      <c r="C12" s="18" t="s">
        <v>1762</v>
      </c>
      <c r="D12" s="16"/>
      <c r="E12" s="18" t="s">
        <v>2481</v>
      </c>
      <c r="F12" s="16"/>
      <c r="G12" s="18" t="s">
        <v>1030</v>
      </c>
      <c r="H12" s="16"/>
      <c r="I12" s="18" t="s">
        <v>3199</v>
      </c>
      <c r="J12" s="16"/>
      <c r="K12" s="18" t="s">
        <v>3946</v>
      </c>
      <c r="L12" s="16"/>
      <c r="M12" s="18" t="s">
        <v>4675</v>
      </c>
      <c r="N12" s="16"/>
      <c r="O12" s="18" t="s">
        <v>5360</v>
      </c>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0"/>
    </row>
    <row r="14" spans="1:20" ht="15.95" customHeight="1" x14ac:dyDescent="0.25">
      <c r="A14" s="18" t="s">
        <v>706</v>
      </c>
      <c r="B14" s="16"/>
      <c r="C14" s="18" t="s">
        <v>1763</v>
      </c>
      <c r="D14" s="16"/>
      <c r="E14" s="18" t="s">
        <v>2482</v>
      </c>
      <c r="F14" s="16"/>
      <c r="G14" s="18" t="s">
        <v>1031</v>
      </c>
      <c r="H14" s="16"/>
      <c r="I14" s="18" t="s">
        <v>3200</v>
      </c>
      <c r="J14" s="16"/>
      <c r="K14" s="18" t="s">
        <v>3947</v>
      </c>
      <c r="L14" s="16"/>
      <c r="M14" s="18" t="s">
        <v>4676</v>
      </c>
      <c r="N14" s="16"/>
      <c r="O14" s="18" t="s">
        <v>5361</v>
      </c>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2" priority="2" stopIfTrue="1">
      <formula>NOT(ISERROR(A3))</formula>
    </cfRule>
  </conditionalFormatting>
  <conditionalFormatting sqref="A3:T51">
    <cfRule type="containsErrors" dxfId="201" priority="1" stopIfTrue="1">
      <formula>ISERROR(A3)</formula>
    </cfRule>
    <cfRule type="notContainsBlanks" dxfId="20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t="s">
        <v>3783</v>
      </c>
      <c r="L3" s="16" t="str">
        <f>TRIM(_xlfn.TEXTBEFORE(K3, ":"))</f>
        <v>아이템 종류</v>
      </c>
      <c r="M3" s="17" t="s">
        <v>5185</v>
      </c>
      <c r="N3" s="16" t="str">
        <f>TRIM(_xlfn.TEXTBEFORE(M3, ":"))</f>
        <v>Classe do Item</v>
      </c>
      <c r="O3" s="17" t="s">
        <v>5935</v>
      </c>
      <c r="P3" s="16" t="str">
        <f>TRIM(_xlfn.TEXTBEFORE(O3, ":"))</f>
        <v>Класс предмета</v>
      </c>
      <c r="Q3" s="17"/>
      <c r="R3" s="16" t="e">
        <f>TRIM(_xlfn.TEXTBEFORE(Q3, ":"))</f>
        <v>#N/A</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t="s">
        <v>3784</v>
      </c>
      <c r="L4" s="16" t="str">
        <f>TRIM(_xlfn.TEXTAFTER(K3, ":"))</f>
        <v>성역 연구</v>
      </c>
      <c r="M4" s="18" t="s">
        <v>4568</v>
      </c>
      <c r="N4" s="16" t="str">
        <f>TRIM(_xlfn.TEXTAFTER(M3, ":"))</f>
        <v>Pesquisa Sanctum</v>
      </c>
      <c r="O4" s="18" t="s">
        <v>5252</v>
      </c>
      <c r="P4" s="16" t="str">
        <f>TRIM(_xlfn.TEXTAFTER(O3, ":"))</f>
        <v>Исследования Святилища</v>
      </c>
      <c r="Q4" s="18"/>
      <c r="R4" s="16" t="e">
        <f>TRIM(_xlfn.TEXTAFTER(Q3, ":"))</f>
        <v>#N/A</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t="s">
        <v>3785</v>
      </c>
      <c r="L5" s="16" t="str">
        <f>TRIM(_xlfn.TEXTBEFORE(K4, ":"))</f>
        <v>아이템 희귀도</v>
      </c>
      <c r="M5" s="18" t="s">
        <v>5186</v>
      </c>
      <c r="N5" s="16" t="str">
        <f>TRIM(_xlfn.TEXTBEFORE(M4, ":"))</f>
        <v>Raridade</v>
      </c>
      <c r="O5" s="18" t="s">
        <v>5936</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c r="R6" s="16" t="e">
        <f>TRIM(_xlfn.TEXTAFTER(Q4,":"))</f>
        <v>#N/A</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t="s">
        <v>3786</v>
      </c>
      <c r="L7" s="16"/>
      <c r="M7" s="18" t="s">
        <v>5187</v>
      </c>
      <c r="N7" s="16"/>
      <c r="O7" s="18" t="s">
        <v>5937</v>
      </c>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870</v>
      </c>
      <c r="B11" s="16"/>
      <c r="C11" s="18" t="s">
        <v>870</v>
      </c>
      <c r="D11" s="16"/>
      <c r="E11" s="18" t="s">
        <v>870</v>
      </c>
      <c r="F11" s="16"/>
      <c r="G11" s="18" t="s">
        <v>870</v>
      </c>
      <c r="H11" s="16"/>
      <c r="I11" s="18" t="s">
        <v>870</v>
      </c>
      <c r="J11" s="16"/>
      <c r="K11" s="18" t="s">
        <v>3788</v>
      </c>
      <c r="L11" s="16"/>
      <c r="M11" s="18" t="s">
        <v>870</v>
      </c>
      <c r="N11" s="16"/>
      <c r="O11" s="18" t="s">
        <v>870</v>
      </c>
      <c r="P11" s="16"/>
      <c r="Q11" s="18"/>
      <c r="R11" s="16"/>
      <c r="S11" s="18"/>
      <c r="T11" s="20"/>
    </row>
    <row r="12" spans="1:20" ht="15.95" customHeight="1" x14ac:dyDescent="0.25">
      <c r="A12" s="18" t="s">
        <v>871</v>
      </c>
      <c r="B12" s="16"/>
      <c r="C12" s="18" t="s">
        <v>2319</v>
      </c>
      <c r="D12" s="16"/>
      <c r="E12" s="18" t="s">
        <v>871</v>
      </c>
      <c r="F12" s="16"/>
      <c r="G12" s="18" t="s">
        <v>871</v>
      </c>
      <c r="H12" s="16"/>
      <c r="I12" s="18" t="s">
        <v>871</v>
      </c>
      <c r="J12" s="16"/>
      <c r="K12" s="18" t="s">
        <v>3789</v>
      </c>
      <c r="L12" s="16"/>
      <c r="M12" s="18" t="s">
        <v>871</v>
      </c>
      <c r="N12" s="16"/>
      <c r="O12" s="18" t="s">
        <v>871</v>
      </c>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0"/>
    </row>
    <row r="14" spans="1:20" ht="15.95" customHeight="1" x14ac:dyDescent="0.25">
      <c r="A14" s="18" t="s">
        <v>872</v>
      </c>
      <c r="B14" s="16"/>
      <c r="C14" s="18" t="s">
        <v>2320</v>
      </c>
      <c r="D14" s="16"/>
      <c r="E14" s="18" t="s">
        <v>2326</v>
      </c>
      <c r="F14" s="16"/>
      <c r="G14" s="18" t="s">
        <v>1603</v>
      </c>
      <c r="H14" s="16"/>
      <c r="I14" s="18" t="s">
        <v>3782</v>
      </c>
      <c r="J14" s="16"/>
      <c r="K14" s="18" t="s">
        <v>3790</v>
      </c>
      <c r="L14" s="16"/>
      <c r="M14" s="18" t="s">
        <v>5188</v>
      </c>
      <c r="N14" s="16"/>
      <c r="O14" s="18" t="s">
        <v>5938</v>
      </c>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2" stopIfTrue="1">
      <formula>NOT(ISERROR(A3))</formula>
    </cfRule>
  </conditionalFormatting>
  <conditionalFormatting sqref="A3:T51">
    <cfRule type="containsErrors" dxfId="198" priority="1" stopIfTrue="1">
      <formula>ISERROR(A3)</formula>
    </cfRule>
    <cfRule type="notContainsBlanks" dxfId="197"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O3" sqref="O3:O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t="s">
        <v>3948</v>
      </c>
      <c r="L3" s="16" t="str">
        <f>TRIM(_xlfn.TEXTBEFORE(K3, ":"))</f>
        <v>아이템 종류</v>
      </c>
      <c r="M3" s="17" t="s">
        <v>4677</v>
      </c>
      <c r="N3" s="16" t="str">
        <f>TRIM(_xlfn.TEXTBEFORE(M3, ":"))</f>
        <v>Classe do Item</v>
      </c>
      <c r="O3" s="17" t="s">
        <v>5362</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t="s">
        <v>3866</v>
      </c>
      <c r="L4" s="16" t="str">
        <f>TRIM(_xlfn.TEXTAFTER(K3, ":"))</f>
        <v>하이브리드 플라스크</v>
      </c>
      <c r="M4" s="18" t="s">
        <v>4595</v>
      </c>
      <c r="N4" s="16" t="str">
        <f>TRIM(_xlfn.TEXTAFTER(M3, ":"))</f>
        <v>Frascos Híbridos</v>
      </c>
      <c r="O4" s="18" t="s">
        <v>5278</v>
      </c>
      <c r="P4" s="16" t="str">
        <f>TRIM(_xlfn.TEXTAFTER(O3, ":"))</f>
        <v>Флаконы равновесия</v>
      </c>
      <c r="Q4" s="18"/>
      <c r="R4" s="16" t="e">
        <f>TRIM(_xlfn.TEXTAFTER(Q3, ":"))</f>
        <v>#N/A</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t="s">
        <v>3949</v>
      </c>
      <c r="L5" s="16" t="str">
        <f>TRIM(_xlfn.TEXTBEFORE(K4, ":"))</f>
        <v>아이템 희귀도</v>
      </c>
      <c r="M5" s="18" t="s">
        <v>4678</v>
      </c>
      <c r="N5" s="16" t="str">
        <f>TRIM(_xlfn.TEXTBEFORE(M4, ":"))</f>
        <v>Raridade</v>
      </c>
      <c r="O5" s="18" t="s">
        <v>5363</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t="s">
        <v>3950</v>
      </c>
      <c r="L7" s="16"/>
      <c r="M7" s="18" t="s">
        <v>4679</v>
      </c>
      <c r="N7" s="16"/>
      <c r="O7" s="18" t="s">
        <v>5364</v>
      </c>
      <c r="P7" s="16"/>
      <c r="Q7" s="18"/>
      <c r="R7" s="16"/>
      <c r="S7" s="18"/>
      <c r="T7" s="20"/>
    </row>
    <row r="8" spans="1:20" ht="15.95" customHeight="1" x14ac:dyDescent="0.25">
      <c r="A8" s="18" t="s">
        <v>677</v>
      </c>
      <c r="B8" s="16"/>
      <c r="C8" s="18" t="s">
        <v>1767</v>
      </c>
      <c r="D8" s="16"/>
      <c r="E8" s="18" t="s">
        <v>2486</v>
      </c>
      <c r="F8" s="16"/>
      <c r="G8" s="18" t="s">
        <v>1035</v>
      </c>
      <c r="H8" s="16"/>
      <c r="I8" s="18" t="s">
        <v>3204</v>
      </c>
      <c r="J8" s="16"/>
      <c r="K8" s="18" t="s">
        <v>3951</v>
      </c>
      <c r="L8" s="16"/>
      <c r="M8" s="18" t="s">
        <v>4680</v>
      </c>
      <c r="N8" s="16"/>
      <c r="O8" s="18" t="s">
        <v>5365</v>
      </c>
      <c r="P8" s="16"/>
      <c r="Q8" s="18"/>
      <c r="R8" s="16"/>
      <c r="S8" s="18"/>
      <c r="T8" s="20"/>
    </row>
    <row r="9" spans="1:20" ht="15.95" customHeight="1" x14ac:dyDescent="0.25">
      <c r="A9" s="18" t="s">
        <v>678</v>
      </c>
      <c r="B9" s="16"/>
      <c r="C9" s="18" t="s">
        <v>1768</v>
      </c>
      <c r="D9" s="16"/>
      <c r="E9" s="18" t="s">
        <v>2487</v>
      </c>
      <c r="F9" s="16"/>
      <c r="G9" s="18" t="s">
        <v>1036</v>
      </c>
      <c r="H9" s="16"/>
      <c r="I9" s="18" t="s">
        <v>3205</v>
      </c>
      <c r="J9" s="16"/>
      <c r="K9" s="18" t="s">
        <v>3952</v>
      </c>
      <c r="L9" s="16"/>
      <c r="M9" s="18" t="s">
        <v>4681</v>
      </c>
      <c r="N9" s="16"/>
      <c r="O9" s="18" t="s">
        <v>5366</v>
      </c>
      <c r="P9" s="16"/>
      <c r="Q9" s="18"/>
      <c r="R9" s="16"/>
      <c r="S9" s="18"/>
      <c r="T9" s="20"/>
    </row>
    <row r="10" spans="1:20" ht="15.95" customHeight="1" x14ac:dyDescent="0.25">
      <c r="A10" s="18" t="s">
        <v>679</v>
      </c>
      <c r="B10" s="16"/>
      <c r="C10" s="18" t="s">
        <v>1769</v>
      </c>
      <c r="D10" s="16"/>
      <c r="E10" s="18" t="s">
        <v>2488</v>
      </c>
      <c r="F10" s="16"/>
      <c r="G10" s="18" t="s">
        <v>1037</v>
      </c>
      <c r="H10" s="16"/>
      <c r="I10" s="18" t="s">
        <v>3206</v>
      </c>
      <c r="J10" s="16"/>
      <c r="K10" s="18" t="s">
        <v>3953</v>
      </c>
      <c r="L10" s="16"/>
      <c r="M10" s="18" t="s">
        <v>4682</v>
      </c>
      <c r="N10" s="16"/>
      <c r="O10" s="18" t="s">
        <v>5367</v>
      </c>
      <c r="P10" s="16"/>
      <c r="Q10" s="18"/>
      <c r="R10" s="16"/>
      <c r="S10" s="18"/>
      <c r="T10" s="20"/>
    </row>
    <row r="11" spans="1:20" ht="15.95" customHeight="1" x14ac:dyDescent="0.25">
      <c r="A11" s="18" t="s">
        <v>501</v>
      </c>
      <c r="B11" s="16"/>
      <c r="C11" s="18" t="s">
        <v>1770</v>
      </c>
      <c r="D11" s="16"/>
      <c r="E11" s="18" t="s">
        <v>2489</v>
      </c>
      <c r="F11" s="16"/>
      <c r="G11" s="18" t="s">
        <v>1038</v>
      </c>
      <c r="H11" s="16"/>
      <c r="I11" s="18" t="s">
        <v>3207</v>
      </c>
      <c r="J11" s="16"/>
      <c r="K11" s="18" t="s">
        <v>3954</v>
      </c>
      <c r="L11" s="16"/>
      <c r="M11" s="18" t="s">
        <v>4683</v>
      </c>
      <c r="N11" s="16"/>
      <c r="O11" s="18" t="s">
        <v>5368</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c r="R13" s="16"/>
      <c r="S13" s="18"/>
      <c r="T13" s="20"/>
    </row>
    <row r="14" spans="1:20" ht="15.95" customHeight="1" x14ac:dyDescent="0.25">
      <c r="A14" s="18" t="s">
        <v>318</v>
      </c>
      <c r="B14" s="16"/>
      <c r="C14" s="18" t="s">
        <v>1771</v>
      </c>
      <c r="D14" s="16"/>
      <c r="E14" s="18" t="s">
        <v>2490</v>
      </c>
      <c r="F14" s="16"/>
      <c r="G14" s="18" t="s">
        <v>1039</v>
      </c>
      <c r="H14" s="16"/>
      <c r="I14" s="18" t="s">
        <v>3208</v>
      </c>
      <c r="J14" s="16"/>
      <c r="K14" s="18" t="s">
        <v>3955</v>
      </c>
      <c r="L14" s="16"/>
      <c r="M14" s="18" t="s">
        <v>4684</v>
      </c>
      <c r="N14" s="16"/>
      <c r="O14" s="18" t="s">
        <v>5369</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502</v>
      </c>
      <c r="B18" s="16"/>
      <c r="C18" s="18" t="s">
        <v>1773</v>
      </c>
      <c r="D18" s="16"/>
      <c r="E18" s="18" t="s">
        <v>2492</v>
      </c>
      <c r="F18" s="16"/>
      <c r="G18" s="18" t="s">
        <v>1041</v>
      </c>
      <c r="H18" s="16"/>
      <c r="I18" s="18" t="s">
        <v>3210</v>
      </c>
      <c r="J18" s="16"/>
      <c r="K18" s="18" t="s">
        <v>3957</v>
      </c>
      <c r="L18" s="16"/>
      <c r="M18" s="18" t="s">
        <v>4686</v>
      </c>
      <c r="N18" s="16"/>
      <c r="O18" s="18" t="s">
        <v>5371</v>
      </c>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6" priority="2" stopIfTrue="1">
      <formula>NOT(ISERROR(A3))</formula>
    </cfRule>
  </conditionalFormatting>
  <conditionalFormatting sqref="A3:T51">
    <cfRule type="containsErrors" dxfId="195" priority="1" stopIfTrue="1">
      <formula>ISERROR(A3)</formula>
    </cfRule>
    <cfRule type="notContainsBlanks" dxfId="194"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O3" sqref="O3:O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t="s">
        <v>3866</v>
      </c>
      <c r="L4" s="16" t="str">
        <f>TRIM(_xlfn.TEXTAFTER(K3, ":"))</f>
        <v>마나 플라스크</v>
      </c>
      <c r="M4" s="18" t="s">
        <v>4595</v>
      </c>
      <c r="N4" s="16" t="str">
        <f>TRIM(_xlfn.TEXTAFTER(M3, ":"))</f>
        <v>Frascos de Mana</v>
      </c>
      <c r="O4" s="18" t="s">
        <v>5278</v>
      </c>
      <c r="P4" s="16" t="str">
        <f>TRIM(_xlfn.TEXTAFTER(O3, ":"))</f>
        <v>Флаконы маны</v>
      </c>
      <c r="Q4" s="18"/>
      <c r="R4" s="16" t="e">
        <f>TRIM(_xlfn.TEXTAFTER(Q3, ":"))</f>
        <v>#N/A</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t="s">
        <v>3959</v>
      </c>
      <c r="L5" s="16" t="str">
        <f>TRIM(_xlfn.TEXTBEFORE(K4, ":"))</f>
        <v>아이템 희귀도</v>
      </c>
      <c r="M5" s="18" t="s">
        <v>4688</v>
      </c>
      <c r="N5" s="16" t="str">
        <f>TRIM(_xlfn.TEXTBEFORE(M4, ":"))</f>
        <v>Raridade</v>
      </c>
      <c r="O5" s="18" t="s">
        <v>5373</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t="s">
        <v>3960</v>
      </c>
      <c r="L7" s="16"/>
      <c r="M7" s="18" t="s">
        <v>4689</v>
      </c>
      <c r="N7" s="16"/>
      <c r="O7" s="18" t="s">
        <v>5374</v>
      </c>
      <c r="P7" s="16"/>
      <c r="Q7" s="18"/>
      <c r="R7" s="16"/>
      <c r="S7" s="18"/>
      <c r="T7" s="20"/>
    </row>
    <row r="8" spans="1:20" ht="15.95" customHeight="1" x14ac:dyDescent="0.25">
      <c r="A8" s="18" t="s">
        <v>672</v>
      </c>
      <c r="B8" s="16"/>
      <c r="C8" s="18" t="s">
        <v>1777</v>
      </c>
      <c r="D8" s="16"/>
      <c r="E8" s="18" t="s">
        <v>2496</v>
      </c>
      <c r="F8" s="16"/>
      <c r="G8" s="18" t="s">
        <v>1045</v>
      </c>
      <c r="H8" s="16"/>
      <c r="I8" s="18" t="s">
        <v>3214</v>
      </c>
      <c r="J8" s="16"/>
      <c r="K8" s="18" t="s">
        <v>3961</v>
      </c>
      <c r="L8" s="16"/>
      <c r="M8" s="18" t="s">
        <v>4690</v>
      </c>
      <c r="N8" s="16"/>
      <c r="O8" s="18" t="s">
        <v>5375</v>
      </c>
      <c r="P8" s="16"/>
      <c r="Q8" s="18"/>
      <c r="R8" s="16"/>
      <c r="S8" s="18"/>
      <c r="T8" s="20"/>
    </row>
    <row r="9" spans="1:20" ht="15.95" customHeight="1" x14ac:dyDescent="0.25">
      <c r="A9" s="18" t="s">
        <v>673</v>
      </c>
      <c r="B9" s="16"/>
      <c r="C9" s="18" t="s">
        <v>1778</v>
      </c>
      <c r="D9" s="16"/>
      <c r="E9" s="18" t="s">
        <v>2497</v>
      </c>
      <c r="F9" s="16"/>
      <c r="G9" s="18" t="s">
        <v>1046</v>
      </c>
      <c r="H9" s="16"/>
      <c r="I9" s="18" t="s">
        <v>3215</v>
      </c>
      <c r="J9" s="16"/>
      <c r="K9" s="18" t="s">
        <v>3962</v>
      </c>
      <c r="L9" s="16"/>
      <c r="M9" s="18" t="s">
        <v>4691</v>
      </c>
      <c r="N9" s="16"/>
      <c r="O9" s="18" t="s">
        <v>5376</v>
      </c>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260</v>
      </c>
      <c r="B15" s="16"/>
      <c r="C15" s="18" t="s">
        <v>1780</v>
      </c>
      <c r="D15" s="16"/>
      <c r="E15" s="18" t="s">
        <v>2499</v>
      </c>
      <c r="F15" s="16"/>
      <c r="G15" s="18" t="s">
        <v>1048</v>
      </c>
      <c r="H15" s="16"/>
      <c r="I15" s="18" t="s">
        <v>3217</v>
      </c>
      <c r="J15" s="16"/>
      <c r="K15" s="18" t="s">
        <v>3964</v>
      </c>
      <c r="L15" s="16"/>
      <c r="M15" s="18" t="s">
        <v>4693</v>
      </c>
      <c r="N15" s="16"/>
      <c r="O15" s="18" t="s">
        <v>5378</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3" priority="2" stopIfTrue="1">
      <formula>NOT(ISERROR(A3))</formula>
    </cfRule>
  </conditionalFormatting>
  <conditionalFormatting sqref="A3:T51">
    <cfRule type="containsErrors" dxfId="192" priority="1" stopIfTrue="1">
      <formula>ISERROR(A3)</formula>
    </cfRule>
    <cfRule type="notContainsBlanks" dxfId="19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O5" sqref="O5"/>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c r="R3" s="16" t="e">
        <f>TRIM(_xlfn.TEXTBEFORE(Q3, ":"))</f>
        <v>#N/A</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t="s">
        <v>3866</v>
      </c>
      <c r="L4" s="16" t="str">
        <f>TRIM(_xlfn.TEXTAFTER(K3, ":"))</f>
        <v>생명력 플라스크</v>
      </c>
      <c r="M4" s="18" t="s">
        <v>4595</v>
      </c>
      <c r="N4" s="16" t="str">
        <f>TRIM(_xlfn.TEXTAFTER(M3, ":"))</f>
        <v>Frascos de Vida</v>
      </c>
      <c r="O4" s="18" t="s">
        <v>5278</v>
      </c>
      <c r="P4" s="16" t="str">
        <f>TRIM(_xlfn.TEXTAFTER(O3, ":"))</f>
        <v>Флаконы жизни</v>
      </c>
      <c r="Q4" s="18"/>
      <c r="R4" s="16" t="e">
        <f>TRIM(_xlfn.TEXTAFTER(Q3, ":"))</f>
        <v>#N/A</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t="s">
        <v>3966</v>
      </c>
      <c r="L5" s="16" t="str">
        <f>TRIM(_xlfn.TEXTBEFORE(K4, ":"))</f>
        <v>아이템 희귀도</v>
      </c>
      <c r="M5" s="18" t="s">
        <v>4695</v>
      </c>
      <c r="N5" s="16" t="str">
        <f>TRIM(_xlfn.TEXTBEFORE(M4, ":"))</f>
        <v>Raridade</v>
      </c>
      <c r="O5" s="18" t="s">
        <v>5380</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c r="R6" s="16" t="e">
        <f>TRIM(_xlfn.TEXTAFTER(Q4,":"))</f>
        <v>#N/A</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t="s">
        <v>3967</v>
      </c>
      <c r="L7" s="16" t="s">
        <v>4517</v>
      </c>
      <c r="M7" s="18" t="s">
        <v>4696</v>
      </c>
      <c r="N7" s="16" t="str">
        <f>TRIM(_xlfn.TEXTAFTER(M5, " ", -1))</f>
        <v>Superior</v>
      </c>
      <c r="O7" s="18" t="s">
        <v>5381</v>
      </c>
      <c r="P7" s="16" t="str">
        <f>TRIM(_xlfn.TEXTAFTER(O5, " ", -2))</f>
        <v>высокого качества</v>
      </c>
      <c r="Q7" s="18"/>
      <c r="R7" s="16" t="e">
        <f>TRIM(_xlfn.TEXTBEFORE(Q5, " "))</f>
        <v>#N/A</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t="s">
        <v>3968</v>
      </c>
      <c r="L8" s="16" t="str">
        <f>TRIM(_xlfn.TEXTBEFORE(K7, ":"))</f>
        <v>퀄리티</v>
      </c>
      <c r="M8" s="18" t="s">
        <v>4697</v>
      </c>
      <c r="N8" s="16" t="str">
        <f>TRIM(_xlfn.TEXTBEFORE(M7, ":"))</f>
        <v>Qualidade</v>
      </c>
      <c r="O8" s="18" t="s">
        <v>5382</v>
      </c>
      <c r="P8" s="16" t="str">
        <f>TRIM(_xlfn.TEXTBEFORE(O7, ":"))</f>
        <v>Качество</v>
      </c>
      <c r="Q8" s="18"/>
      <c r="R8" s="16" t="e">
        <f>TRIM(_xlfn.TEXTBEFORE(Q7, ":"))</f>
        <v>#N/A</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t="s">
        <v>3969</v>
      </c>
      <c r="L9" s="16"/>
      <c r="M9" s="18" t="s">
        <v>4698</v>
      </c>
      <c r="N9" s="16"/>
      <c r="O9" s="18" t="s">
        <v>5383</v>
      </c>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668</v>
      </c>
      <c r="B15" s="16"/>
      <c r="C15" s="18" t="s">
        <v>1786</v>
      </c>
      <c r="D15" s="16"/>
      <c r="E15" s="18" t="s">
        <v>2505</v>
      </c>
      <c r="F15" s="16"/>
      <c r="G15" s="18" t="s">
        <v>1054</v>
      </c>
      <c r="H15" s="16"/>
      <c r="I15" s="18" t="s">
        <v>3223</v>
      </c>
      <c r="J15" s="16"/>
      <c r="K15" s="18" t="s">
        <v>3970</v>
      </c>
      <c r="L15" s="16"/>
      <c r="M15" s="18" t="s">
        <v>4699</v>
      </c>
      <c r="N15" s="16"/>
      <c r="O15" s="18" t="s">
        <v>5384</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46" stopIfTrue="1">
      <formula>NOT(ISERROR(A3))</formula>
    </cfRule>
  </conditionalFormatting>
  <conditionalFormatting sqref="A3:T6 A7:A8 C7:C8 E7:E8 G7:G8 I7:I8 K7:K8 M7:M8 O7:O8 Q7:Q8 S7:S8 A9:T51">
    <cfRule type="notContainsBlanks" dxfId="189" priority="47">
      <formula>LEN(TRIM(A3))&gt;0</formula>
    </cfRule>
  </conditionalFormatting>
  <conditionalFormatting sqref="A3:T51">
    <cfRule type="containsErrors" dxfId="188" priority="1" stopIfTrue="1">
      <formula>ISERROR(A3)</formula>
    </cfRule>
  </conditionalFormatting>
  <conditionalFormatting sqref="B7:B8">
    <cfRule type="notContainsBlanks" dxfId="187" priority="44">
      <formula>LEN(TRIM(B7))&gt;0</formula>
    </cfRule>
  </conditionalFormatting>
  <conditionalFormatting sqref="D7:D8">
    <cfRule type="notContainsBlanks" dxfId="186" priority="24">
      <formula>LEN(TRIM(D7))&gt;0</formula>
    </cfRule>
  </conditionalFormatting>
  <conditionalFormatting sqref="F7:F8">
    <cfRule type="notContainsBlanks" dxfId="185" priority="2">
      <formula>LEN(TRIM(F7))&gt;0</formula>
    </cfRule>
  </conditionalFormatting>
  <conditionalFormatting sqref="H7:H8">
    <cfRule type="notContainsBlanks" dxfId="184" priority="6">
      <formula>LEN(TRIM(H7))&gt;0</formula>
    </cfRule>
  </conditionalFormatting>
  <conditionalFormatting sqref="J7:J8">
    <cfRule type="notContainsBlanks" dxfId="183" priority="18">
      <formula>LEN(TRIM(J7))&gt;0</formula>
    </cfRule>
  </conditionalFormatting>
  <conditionalFormatting sqref="L7:L8">
    <cfRule type="notContainsBlanks" dxfId="182" priority="16">
      <formula>LEN(TRIM(L7))&gt;0</formula>
    </cfRule>
  </conditionalFormatting>
  <conditionalFormatting sqref="N7:N8">
    <cfRule type="notContainsBlanks" dxfId="181" priority="14">
      <formula>LEN(TRIM(N7))&gt;0</formula>
    </cfRule>
  </conditionalFormatting>
  <conditionalFormatting sqref="P7:P8">
    <cfRule type="notContainsBlanks" dxfId="180" priority="12">
      <formula>LEN(TRIM(P7))&gt;0</formula>
    </cfRule>
  </conditionalFormatting>
  <conditionalFormatting sqref="R7:R8">
    <cfRule type="notContainsBlanks" dxfId="179" priority="10">
      <formula>LEN(TRIM(R7))&gt;0</formula>
    </cfRule>
  </conditionalFormatting>
  <conditionalFormatting sqref="T7:T8">
    <cfRule type="notContainsBlanks" dxfId="178"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O3" sqref="O3:O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c r="R3" s="16" t="e">
        <f>TRIM(_xlfn.TEXTBEFORE(Q3, ":"))</f>
        <v>#N/A</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t="s">
        <v>3894</v>
      </c>
      <c r="L4" s="16" t="str">
        <f>TRIM(_xlfn.TEXTAFTER(K3, ":"))</f>
        <v>특수 플라스크</v>
      </c>
      <c r="M4" s="18" t="s">
        <v>4624</v>
      </c>
      <c r="N4" s="16" t="str">
        <f>TRIM(_xlfn.TEXTAFTER(M3, ":"))</f>
        <v>Frascos de Utilidade</v>
      </c>
      <c r="O4" s="18" t="s">
        <v>5307</v>
      </c>
      <c r="P4" s="16" t="str">
        <f>TRIM(_xlfn.TEXTAFTER(O3, ":"))</f>
        <v>Особые флаконы</v>
      </c>
      <c r="Q4" s="18"/>
      <c r="R4" s="16" t="e">
        <f>TRIM(_xlfn.TEXTAFTER(Q3, ":"))</f>
        <v>#N/A</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t="s">
        <v>5386</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c r="R6" s="16" t="e">
        <f>TRIM(_xlfn.TEXTAFTER(Q4,":"))</f>
        <v>#N/A</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t="s">
        <v>3973</v>
      </c>
      <c r="L7" s="16"/>
      <c r="M7" s="18" t="s">
        <v>4702</v>
      </c>
      <c r="N7" s="16"/>
      <c r="O7" s="18" t="s">
        <v>5387</v>
      </c>
      <c r="P7" s="16"/>
      <c r="Q7" s="18"/>
      <c r="R7" s="16"/>
      <c r="S7" s="18"/>
      <c r="T7" s="16"/>
    </row>
    <row r="8" spans="1:20" ht="15.95" customHeight="1" x14ac:dyDescent="0.25">
      <c r="A8" s="18" t="s">
        <v>505</v>
      </c>
      <c r="B8" s="16"/>
      <c r="C8" s="18" t="s">
        <v>1790</v>
      </c>
      <c r="D8" s="16"/>
      <c r="E8" s="18" t="s">
        <v>2509</v>
      </c>
      <c r="F8" s="16"/>
      <c r="G8" s="18" t="s">
        <v>1058</v>
      </c>
      <c r="H8" s="16"/>
      <c r="I8" s="18" t="s">
        <v>3228</v>
      </c>
      <c r="J8" s="16"/>
      <c r="K8" s="18" t="s">
        <v>3974</v>
      </c>
      <c r="L8" s="16"/>
      <c r="M8" s="18" t="s">
        <v>4703</v>
      </c>
      <c r="N8" s="16"/>
      <c r="O8" s="18" t="s">
        <v>5388</v>
      </c>
      <c r="P8" s="16"/>
      <c r="Q8" s="18"/>
      <c r="R8" s="16"/>
      <c r="S8" s="18"/>
      <c r="T8" s="16"/>
    </row>
    <row r="9" spans="1:20" ht="15.95" customHeight="1" x14ac:dyDescent="0.25">
      <c r="A9" s="18" t="s">
        <v>506</v>
      </c>
      <c r="B9" s="16"/>
      <c r="C9" s="18" t="s">
        <v>1791</v>
      </c>
      <c r="D9" s="16"/>
      <c r="E9" s="18" t="s">
        <v>2510</v>
      </c>
      <c r="F9" s="16"/>
      <c r="G9" s="18" t="s">
        <v>1059</v>
      </c>
      <c r="H9" s="16"/>
      <c r="I9" s="18" t="s">
        <v>3229</v>
      </c>
      <c r="J9" s="16"/>
      <c r="K9" s="18" t="s">
        <v>3975</v>
      </c>
      <c r="L9" s="16"/>
      <c r="M9" s="18" t="s">
        <v>4704</v>
      </c>
      <c r="N9" s="16"/>
      <c r="O9" s="18" t="s">
        <v>5389</v>
      </c>
      <c r="P9" s="16"/>
      <c r="Q9" s="18"/>
      <c r="R9" s="16"/>
      <c r="S9" s="18"/>
      <c r="T9" s="16"/>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c r="R10" s="16"/>
      <c r="S10" s="18"/>
      <c r="T10" s="16"/>
    </row>
    <row r="11" spans="1:20" ht="15.95" customHeight="1" x14ac:dyDescent="0.25">
      <c r="A11" s="18" t="s">
        <v>507</v>
      </c>
      <c r="B11" s="16"/>
      <c r="C11" s="18" t="s">
        <v>1792</v>
      </c>
      <c r="D11" s="16"/>
      <c r="E11" s="18" t="s">
        <v>2511</v>
      </c>
      <c r="F11" s="16"/>
      <c r="G11" s="18" t="s">
        <v>1060</v>
      </c>
      <c r="H11" s="16"/>
      <c r="I11" s="18" t="s">
        <v>3230</v>
      </c>
      <c r="J11" s="16"/>
      <c r="K11" s="18" t="s">
        <v>3976</v>
      </c>
      <c r="L11" s="16"/>
      <c r="M11" s="18" t="s">
        <v>4705</v>
      </c>
      <c r="N11" s="16"/>
      <c r="O11" s="18" t="s">
        <v>5390</v>
      </c>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c r="R13" s="16"/>
      <c r="S13" s="18"/>
      <c r="T13" s="21"/>
    </row>
    <row r="14" spans="1:20" ht="15.95" customHeight="1" x14ac:dyDescent="0.25">
      <c r="A14" s="18" t="s">
        <v>508</v>
      </c>
      <c r="B14" s="16"/>
      <c r="C14" s="18" t="s">
        <v>1793</v>
      </c>
      <c r="D14" s="16"/>
      <c r="E14" s="18" t="s">
        <v>2512</v>
      </c>
      <c r="F14" s="16"/>
      <c r="G14" s="18" t="s">
        <v>1061</v>
      </c>
      <c r="H14" s="16"/>
      <c r="I14" s="18" t="s">
        <v>3231</v>
      </c>
      <c r="J14" s="16"/>
      <c r="K14" s="18" t="s">
        <v>3977</v>
      </c>
      <c r="L14" s="16"/>
      <c r="M14" s="18" t="s">
        <v>4706</v>
      </c>
      <c r="N14" s="16"/>
      <c r="O14" s="18" t="s">
        <v>5391</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509</v>
      </c>
      <c r="B16" s="16"/>
      <c r="C16" s="18" t="s">
        <v>1794</v>
      </c>
      <c r="D16" s="16"/>
      <c r="E16" s="18" t="s">
        <v>2513</v>
      </c>
      <c r="F16" s="16"/>
      <c r="G16" s="18" t="s">
        <v>1062</v>
      </c>
      <c r="H16" s="16"/>
      <c r="I16" s="18" t="s">
        <v>3232</v>
      </c>
      <c r="J16" s="16"/>
      <c r="K16" s="18" t="s">
        <v>3978</v>
      </c>
      <c r="L16" s="16"/>
      <c r="M16" s="18" t="s">
        <v>4707</v>
      </c>
      <c r="N16" s="16"/>
      <c r="O16" s="18" t="s">
        <v>5392</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510</v>
      </c>
      <c r="B18" s="16"/>
      <c r="C18" s="18" t="s">
        <v>1795</v>
      </c>
      <c r="D18" s="16"/>
      <c r="E18" s="18" t="s">
        <v>2514</v>
      </c>
      <c r="F18" s="16"/>
      <c r="G18" s="18" t="s">
        <v>1063</v>
      </c>
      <c r="H18" s="16"/>
      <c r="I18" s="18" t="s">
        <v>3233</v>
      </c>
      <c r="J18" s="16"/>
      <c r="K18" s="18" t="s">
        <v>3979</v>
      </c>
      <c r="L18" s="16"/>
      <c r="M18" s="18" t="s">
        <v>4708</v>
      </c>
      <c r="N18" s="16"/>
      <c r="O18" s="18" t="s">
        <v>5393</v>
      </c>
      <c r="P18" s="16"/>
      <c r="Q18" s="18"/>
      <c r="R18" s="16"/>
      <c r="S18" s="18"/>
      <c r="T18" s="21"/>
    </row>
    <row r="19" spans="1:20" ht="15.95" customHeight="1" x14ac:dyDescent="0.25">
      <c r="A19" s="18" t="s">
        <v>511</v>
      </c>
      <c r="B19" s="16"/>
      <c r="C19" s="18" t="s">
        <v>1796</v>
      </c>
      <c r="D19" s="16"/>
      <c r="E19" s="18" t="s">
        <v>2515</v>
      </c>
      <c r="F19" s="16"/>
      <c r="G19" s="18" t="s">
        <v>1064</v>
      </c>
      <c r="H19" s="16"/>
      <c r="I19" s="18" t="s">
        <v>3234</v>
      </c>
      <c r="J19" s="16"/>
      <c r="K19" s="18" t="s">
        <v>3980</v>
      </c>
      <c r="L19" s="16"/>
      <c r="M19" s="18" t="s">
        <v>4709</v>
      </c>
      <c r="N19" s="16"/>
      <c r="O19" s="18" t="s">
        <v>5394</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502</v>
      </c>
      <c r="B21" s="16"/>
      <c r="C21" s="18" t="s">
        <v>1773</v>
      </c>
      <c r="D21" s="16"/>
      <c r="E21" s="18" t="s">
        <v>2492</v>
      </c>
      <c r="F21" s="16"/>
      <c r="G21" s="18" t="s">
        <v>1041</v>
      </c>
      <c r="H21" s="16"/>
      <c r="I21" s="18" t="s">
        <v>3210</v>
      </c>
      <c r="J21" s="16"/>
      <c r="K21" s="18" t="s">
        <v>3957</v>
      </c>
      <c r="L21" s="16"/>
      <c r="M21" s="18" t="s">
        <v>4686</v>
      </c>
      <c r="N21" s="16"/>
      <c r="O21" s="18" t="s">
        <v>5371</v>
      </c>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2" stopIfTrue="1">
      <formula>NOT(ISERROR(A3))</formula>
    </cfRule>
  </conditionalFormatting>
  <conditionalFormatting sqref="A3:T6 A7 C7 E7 G7 I7 K7 M7 O7 Q7 S7 A8:T51">
    <cfRule type="notContainsBlanks" dxfId="176" priority="23">
      <formula>LEN(TRIM(A3))&gt;0</formula>
    </cfRule>
  </conditionalFormatting>
  <conditionalFormatting sqref="A3:T51">
    <cfRule type="containsErrors" dxfId="175" priority="1" stopIfTrue="1">
      <formula>ISERROR(A3)</formula>
    </cfRule>
  </conditionalFormatting>
  <conditionalFormatting sqref="B7">
    <cfRule type="notContainsBlanks" dxfId="174" priority="20">
      <formula>LEN(TRIM(B7))&gt;0</formula>
    </cfRule>
  </conditionalFormatting>
  <conditionalFormatting sqref="D7">
    <cfRule type="notContainsBlanks" dxfId="173" priority="18">
      <formula>LEN(TRIM(D7))&gt;0</formula>
    </cfRule>
  </conditionalFormatting>
  <conditionalFormatting sqref="F7">
    <cfRule type="notContainsBlanks" dxfId="172" priority="16">
      <formula>LEN(TRIM(F7))&gt;0</formula>
    </cfRule>
  </conditionalFormatting>
  <conditionalFormatting sqref="H7">
    <cfRule type="notContainsBlanks" dxfId="171" priority="14">
      <formula>LEN(TRIM(H7))&gt;0</formula>
    </cfRule>
  </conditionalFormatting>
  <conditionalFormatting sqref="J7">
    <cfRule type="notContainsBlanks" dxfId="170" priority="12">
      <formula>LEN(TRIM(J7))&gt;0</formula>
    </cfRule>
  </conditionalFormatting>
  <conditionalFormatting sqref="L7">
    <cfRule type="notContainsBlanks" dxfId="169" priority="10">
      <formula>LEN(TRIM(L7))&gt;0</formula>
    </cfRule>
  </conditionalFormatting>
  <conditionalFormatting sqref="N7">
    <cfRule type="notContainsBlanks" dxfId="168" priority="8">
      <formula>LEN(TRIM(N7))&gt;0</formula>
    </cfRule>
  </conditionalFormatting>
  <conditionalFormatting sqref="P7">
    <cfRule type="notContainsBlanks" dxfId="167" priority="6">
      <formula>LEN(TRIM(P7))&gt;0</formula>
    </cfRule>
  </conditionalFormatting>
  <conditionalFormatting sqref="R7">
    <cfRule type="notContainsBlanks" dxfId="166" priority="4">
      <formula>LEN(TRIM(R7))&gt;0</formula>
    </cfRule>
  </conditionalFormatting>
  <conditionalFormatting sqref="T7">
    <cfRule type="notContainsBlanks" dxfId="165"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O3" sqref="O3:O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c r="R3" s="16" t="e">
        <f>TRIM(_xlfn.TEXTBEFORE(Q3, ":"))</f>
        <v>#N/A</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t="s">
        <v>3857</v>
      </c>
      <c r="L4" s="16" t="str">
        <f>TRIM(_xlfn.TEXTAFTER(K3, ":"))</f>
        <v>목걸이</v>
      </c>
      <c r="M4" s="18" t="s">
        <v>4586</v>
      </c>
      <c r="N4" s="16" t="str">
        <f>TRIM(_xlfn.TEXTAFTER(M3, ":"))</f>
        <v>Amuletos</v>
      </c>
      <c r="O4" s="18" t="s">
        <v>5269</v>
      </c>
      <c r="P4" s="16" t="str">
        <f>TRIM(_xlfn.TEXTAFTER(O3, ":"))</f>
        <v>Амулеты</v>
      </c>
      <c r="Q4" s="18"/>
      <c r="R4" s="16" t="e">
        <f>TRIM(_xlfn.TEXTAFTER(Q3, ":"))</f>
        <v>#N/A</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t="s">
        <v>3982</v>
      </c>
      <c r="L5" s="16" t="str">
        <f>TRIM(_xlfn.TEXTBEFORE(K4, ":"))</f>
        <v>아이템 희귀도</v>
      </c>
      <c r="M5" s="18" t="s">
        <v>4711</v>
      </c>
      <c r="N5" s="16" t="str">
        <f>TRIM(_xlfn.TEXTBEFORE(M4, ":"))</f>
        <v>Raridade</v>
      </c>
      <c r="O5" s="18" t="s">
        <v>5396</v>
      </c>
      <c r="P5" s="16" t="str">
        <f>TRIM(_xlfn.TEXTBEFORE(O4, ":"))</f>
        <v>Редкость</v>
      </c>
      <c r="Q5" s="18"/>
      <c r="R5" s="16" t="e">
        <f>TRIM(_xlfn.TEXTBEFORE(Q4, ":"))</f>
        <v>#N/A</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t="s">
        <v>3983</v>
      </c>
      <c r="L6" s="16" t="str">
        <f>TRIM(_xlfn.TEXTAFTER(K4,":"))</f>
        <v>고유</v>
      </c>
      <c r="M6" s="18" t="s">
        <v>4712</v>
      </c>
      <c r="N6" s="16" t="str">
        <f>TRIM(_xlfn.TEXTAFTER(M4,":"))</f>
        <v>Único</v>
      </c>
      <c r="O6" s="18" t="s">
        <v>5397</v>
      </c>
      <c r="P6" s="16" t="str">
        <f>TRIM(_xlfn.TEXTAFTER(O4,":"))</f>
        <v>Уникальный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c r="R8" s="16"/>
      <c r="S8" s="18"/>
      <c r="T8" s="20"/>
    </row>
    <row r="9" spans="1:20" ht="15.95" customHeight="1" x14ac:dyDescent="0.25">
      <c r="A9" s="18" t="s">
        <v>652</v>
      </c>
      <c r="B9" s="16"/>
      <c r="C9" s="18" t="s">
        <v>1800</v>
      </c>
      <c r="D9" s="16"/>
      <c r="E9" s="18" t="s">
        <v>2519</v>
      </c>
      <c r="F9" s="16"/>
      <c r="G9" s="18" t="s">
        <v>1068</v>
      </c>
      <c r="H9" s="16"/>
      <c r="I9" s="18" t="s">
        <v>3238</v>
      </c>
      <c r="J9" s="16"/>
      <c r="K9" s="18" t="s">
        <v>3984</v>
      </c>
      <c r="L9" s="16"/>
      <c r="M9" s="18" t="s">
        <v>4713</v>
      </c>
      <c r="N9" s="16"/>
      <c r="O9" s="18" t="s">
        <v>5398</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653</v>
      </c>
      <c r="B11" s="16"/>
      <c r="C11" s="18" t="s">
        <v>1801</v>
      </c>
      <c r="D11" s="16"/>
      <c r="E11" s="18" t="s">
        <v>2520</v>
      </c>
      <c r="F11" s="16"/>
      <c r="G11" s="18" t="s">
        <v>1069</v>
      </c>
      <c r="H11" s="16"/>
      <c r="I11" s="18" t="s">
        <v>3239</v>
      </c>
      <c r="J11" s="16"/>
      <c r="K11" s="18" t="s">
        <v>3985</v>
      </c>
      <c r="L11" s="16"/>
      <c r="M11" s="18" t="s">
        <v>4714</v>
      </c>
      <c r="N11" s="16"/>
      <c r="O11" s="18" t="s">
        <v>5399</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654</v>
      </c>
      <c r="B13" s="16"/>
      <c r="C13" s="18" t="s">
        <v>1802</v>
      </c>
      <c r="D13" s="16"/>
      <c r="E13" s="18" t="s">
        <v>2521</v>
      </c>
      <c r="F13" s="16"/>
      <c r="G13" s="18" t="s">
        <v>1070</v>
      </c>
      <c r="H13" s="16"/>
      <c r="I13" s="18" t="s">
        <v>3240</v>
      </c>
      <c r="J13" s="16"/>
      <c r="K13" s="18" t="s">
        <v>3986</v>
      </c>
      <c r="L13" s="16"/>
      <c r="M13" s="18" t="s">
        <v>4715</v>
      </c>
      <c r="N13" s="16"/>
      <c r="O13" s="18" t="s">
        <v>5400</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655</v>
      </c>
      <c r="B15" s="16"/>
      <c r="C15" s="18" t="s">
        <v>1803</v>
      </c>
      <c r="D15" s="16"/>
      <c r="E15" s="18" t="s">
        <v>2522</v>
      </c>
      <c r="F15" s="16"/>
      <c r="G15" s="18" t="s">
        <v>1071</v>
      </c>
      <c r="H15" s="16"/>
      <c r="I15" s="18" t="s">
        <v>3241</v>
      </c>
      <c r="J15" s="16"/>
      <c r="K15" s="18" t="s">
        <v>3987</v>
      </c>
      <c r="L15" s="16"/>
      <c r="M15" s="18" t="s">
        <v>4716</v>
      </c>
      <c r="N15" s="16"/>
      <c r="O15" s="18" t="s">
        <v>5401</v>
      </c>
      <c r="P15" s="16"/>
      <c r="Q15" s="18"/>
      <c r="R15" s="16"/>
      <c r="S15" s="18"/>
      <c r="T15" s="20"/>
    </row>
    <row r="16" spans="1:20" ht="15.95" customHeight="1" x14ac:dyDescent="0.25">
      <c r="A16" s="18" t="s">
        <v>656</v>
      </c>
      <c r="B16" s="16"/>
      <c r="C16" s="18" t="s">
        <v>1804</v>
      </c>
      <c r="D16" s="16"/>
      <c r="E16" s="18" t="s">
        <v>2523</v>
      </c>
      <c r="F16" s="16"/>
      <c r="G16" s="18" t="s">
        <v>1072</v>
      </c>
      <c r="H16" s="16"/>
      <c r="I16" s="18" t="s">
        <v>3242</v>
      </c>
      <c r="J16" s="16"/>
      <c r="K16" s="18" t="s">
        <v>3988</v>
      </c>
      <c r="L16" s="16"/>
      <c r="M16" s="18" t="s">
        <v>4717</v>
      </c>
      <c r="N16" s="16"/>
      <c r="O16" s="18" t="s">
        <v>5402</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657</v>
      </c>
      <c r="B18" s="16"/>
      <c r="C18" s="18" t="s">
        <v>1805</v>
      </c>
      <c r="D18" s="16"/>
      <c r="E18" s="18" t="s">
        <v>2524</v>
      </c>
      <c r="F18" s="16"/>
      <c r="G18" s="18" t="s">
        <v>1073</v>
      </c>
      <c r="H18" s="16"/>
      <c r="I18" s="18" t="s">
        <v>3243</v>
      </c>
      <c r="J18" s="16"/>
      <c r="K18" s="18" t="s">
        <v>3989</v>
      </c>
      <c r="L18" s="16"/>
      <c r="M18" s="18" t="s">
        <v>4718</v>
      </c>
      <c r="N18" s="16"/>
      <c r="O18" s="18" t="s">
        <v>5403</v>
      </c>
      <c r="P18" s="16"/>
      <c r="Q18" s="18"/>
      <c r="R18" s="16"/>
      <c r="S18" s="18"/>
      <c r="T18" s="20"/>
    </row>
    <row r="19" spans="1:20" ht="15.95" customHeight="1" x14ac:dyDescent="0.25">
      <c r="A19" s="18" t="s">
        <v>658</v>
      </c>
      <c r="B19" s="16"/>
      <c r="C19" s="18" t="s">
        <v>1806</v>
      </c>
      <c r="D19" s="16"/>
      <c r="E19" s="18" t="s">
        <v>2525</v>
      </c>
      <c r="F19" s="16"/>
      <c r="G19" s="18" t="s">
        <v>1074</v>
      </c>
      <c r="H19" s="16"/>
      <c r="I19" s="18" t="s">
        <v>3244</v>
      </c>
      <c r="J19" s="16"/>
      <c r="K19" s="18" t="s">
        <v>3990</v>
      </c>
      <c r="L19" s="16"/>
      <c r="M19" s="18" t="s">
        <v>4719</v>
      </c>
      <c r="N19" s="16"/>
      <c r="O19" s="18" t="s">
        <v>5404</v>
      </c>
      <c r="P19" s="16"/>
      <c r="Q19" s="18"/>
      <c r="R19" s="16"/>
      <c r="S19" s="18"/>
      <c r="T19" s="20"/>
    </row>
    <row r="20" spans="1:20" ht="15.95" customHeight="1" x14ac:dyDescent="0.25">
      <c r="A20" s="18" t="s">
        <v>659</v>
      </c>
      <c r="B20" s="16"/>
      <c r="C20" s="18" t="s">
        <v>1807</v>
      </c>
      <c r="D20" s="16"/>
      <c r="E20" s="18" t="s">
        <v>2526</v>
      </c>
      <c r="F20" s="16"/>
      <c r="G20" s="18" t="s">
        <v>1075</v>
      </c>
      <c r="H20" s="16"/>
      <c r="I20" s="18" t="s">
        <v>3245</v>
      </c>
      <c r="J20" s="16"/>
      <c r="K20" s="18" t="s">
        <v>3991</v>
      </c>
      <c r="L20" s="16"/>
      <c r="M20" s="18" t="s">
        <v>4720</v>
      </c>
      <c r="N20" s="16"/>
      <c r="O20" s="18" t="s">
        <v>5405</v>
      </c>
      <c r="P20" s="16"/>
      <c r="Q20" s="18"/>
      <c r="R20" s="16"/>
      <c r="S20" s="18"/>
      <c r="T20" s="20"/>
    </row>
    <row r="21" spans="1:20" ht="15.95" customHeight="1" x14ac:dyDescent="0.25">
      <c r="A21" s="18" t="s">
        <v>660</v>
      </c>
      <c r="B21" s="16"/>
      <c r="C21" s="18" t="s">
        <v>1808</v>
      </c>
      <c r="D21" s="16"/>
      <c r="E21" s="18" t="s">
        <v>2527</v>
      </c>
      <c r="F21" s="16"/>
      <c r="G21" s="18" t="s">
        <v>1076</v>
      </c>
      <c r="H21" s="16"/>
      <c r="I21" s="18" t="s">
        <v>3246</v>
      </c>
      <c r="J21" s="16"/>
      <c r="K21" s="18" t="s">
        <v>3992</v>
      </c>
      <c r="L21" s="16"/>
      <c r="M21" s="18" t="s">
        <v>4721</v>
      </c>
      <c r="N21" s="16"/>
      <c r="O21" s="18" t="s">
        <v>5406</v>
      </c>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0"/>
    </row>
    <row r="23" spans="1:20" ht="15.95" customHeight="1" x14ac:dyDescent="0.25">
      <c r="A23" s="18" t="s">
        <v>78</v>
      </c>
      <c r="B23" s="16"/>
      <c r="C23" s="18" t="s">
        <v>1640</v>
      </c>
      <c r="D23" s="16"/>
      <c r="E23" s="18" t="s">
        <v>2345</v>
      </c>
      <c r="F23" s="16"/>
      <c r="G23" s="18" t="s">
        <v>914</v>
      </c>
      <c r="H23" s="16"/>
      <c r="I23" s="18" t="s">
        <v>3055</v>
      </c>
      <c r="J23" s="16"/>
      <c r="K23" s="18" t="s">
        <v>3809</v>
      </c>
      <c r="L23" s="16"/>
      <c r="M23" s="18" t="s">
        <v>4539</v>
      </c>
      <c r="N23" s="16"/>
      <c r="O23" s="18" t="s">
        <v>5220</v>
      </c>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0"/>
    </row>
    <row r="25" spans="1:20" ht="15.95" customHeight="1" x14ac:dyDescent="0.25">
      <c r="A25" s="18" t="s">
        <v>661</v>
      </c>
      <c r="B25" s="16"/>
      <c r="C25" s="18" t="s">
        <v>1809</v>
      </c>
      <c r="D25" s="16"/>
      <c r="E25" s="18" t="s">
        <v>2528</v>
      </c>
      <c r="F25" s="16"/>
      <c r="G25" s="18" t="s">
        <v>1077</v>
      </c>
      <c r="H25" s="16"/>
      <c r="I25" s="18" t="s">
        <v>3247</v>
      </c>
      <c r="J25" s="16"/>
      <c r="K25" s="18" t="s">
        <v>3993</v>
      </c>
      <c r="L25" s="16"/>
      <c r="M25" s="18" t="s">
        <v>4722</v>
      </c>
      <c r="N25" s="16"/>
      <c r="O25" s="18" t="s">
        <v>5407</v>
      </c>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4" priority="2" stopIfTrue="1">
      <formula>NOT(ISERROR(A3))</formula>
    </cfRule>
  </conditionalFormatting>
  <conditionalFormatting sqref="A3:T51">
    <cfRule type="containsErrors" dxfId="163" priority="1" stopIfTrue="1">
      <formula>ISERROR(A3)</formula>
    </cfRule>
    <cfRule type="notContainsBlanks" dxfId="162"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O3" sqref="O3:O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t="s">
        <v>3857</v>
      </c>
      <c r="L4" s="16" t="str">
        <f>TRIM(_xlfn.TEXTAFTER(K3, ":"))</f>
        <v>반지</v>
      </c>
      <c r="M4" s="18" t="s">
        <v>4586</v>
      </c>
      <c r="N4" s="16" t="str">
        <f>TRIM(_xlfn.TEXTAFTER(M3, ":"))</f>
        <v>Anéis</v>
      </c>
      <c r="O4" s="18" t="s">
        <v>5269</v>
      </c>
      <c r="P4" s="16" t="str">
        <f>TRIM(_xlfn.TEXTAFTER(O3, ":"))</f>
        <v>Кольца</v>
      </c>
      <c r="Q4" s="18"/>
      <c r="R4" s="16" t="e">
        <f>TRIM(_xlfn.TEXTAFTER(Q3, ":"))</f>
        <v>#N/A</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t="s">
        <v>3995</v>
      </c>
      <c r="L5" s="16" t="str">
        <f>TRIM(_xlfn.TEXTBEFORE(K4, ":"))</f>
        <v>아이템 희귀도</v>
      </c>
      <c r="M5" s="18" t="s">
        <v>4724</v>
      </c>
      <c r="N5" s="16" t="str">
        <f>TRIM(_xlfn.TEXTBEFORE(M4, ":"))</f>
        <v>Raridade</v>
      </c>
      <c r="O5" s="18" t="s">
        <v>5409</v>
      </c>
      <c r="P5" s="16" t="str">
        <f>TRIM(_xlfn.TEXTBEFORE(O4, ":"))</f>
        <v>Редкость</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c r="R6" s="16" t="e">
        <f>TRIM(_xlfn.TEXTAFTER(Q4,":"))</f>
        <v>#N/A</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16"/>
    </row>
    <row r="9" spans="1:20" ht="15.95" customHeight="1" x14ac:dyDescent="0.25">
      <c r="A9" s="18" t="s">
        <v>544</v>
      </c>
      <c r="B9" s="16"/>
      <c r="C9" s="18" t="s">
        <v>1812</v>
      </c>
      <c r="D9" s="16"/>
      <c r="E9" s="18" t="s">
        <v>2531</v>
      </c>
      <c r="F9" s="16"/>
      <c r="G9" s="18" t="s">
        <v>1080</v>
      </c>
      <c r="H9" s="16"/>
      <c r="I9" s="18" t="s">
        <v>3250</v>
      </c>
      <c r="J9" s="16"/>
      <c r="K9" s="18" t="s">
        <v>3996</v>
      </c>
      <c r="L9" s="16"/>
      <c r="M9" s="18" t="s">
        <v>4725</v>
      </c>
      <c r="N9" s="16"/>
      <c r="O9" s="18" t="s">
        <v>5410</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t="s">
        <v>3997</v>
      </c>
      <c r="L11" s="16" t="str">
        <f>K11</f>
        <v>미확인</v>
      </c>
      <c r="M11" s="18" t="s">
        <v>4726</v>
      </c>
      <c r="N11" s="16" t="str">
        <f>M11</f>
        <v>Não Identificado</v>
      </c>
      <c r="O11" s="18" t="s">
        <v>5411</v>
      </c>
      <c r="P11" s="16" t="str">
        <f>O11</f>
        <v>Неопознано</v>
      </c>
      <c r="Q11" s="18"/>
      <c r="R11" s="16">
        <f>Q11</f>
        <v>0</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1" priority="2" stopIfTrue="1">
      <formula>NOT(ISERROR(A3))</formula>
    </cfRule>
  </conditionalFormatting>
  <conditionalFormatting sqref="A3:T51">
    <cfRule type="containsErrors" dxfId="160" priority="1" stopIfTrue="1">
      <formula>ISERROR(A3)</formula>
    </cfRule>
    <cfRule type="notContainsBlanks" dxfId="159"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O3" sqref="O3:O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t="s">
        <v>3998</v>
      </c>
      <c r="L3" s="16" t="str">
        <f>TRIM(_xlfn.TEXTBEFORE(K3, ":"))</f>
        <v>아이템 종류</v>
      </c>
      <c r="M3" s="17" t="s">
        <v>4727</v>
      </c>
      <c r="N3" s="16" t="str">
        <f>TRIM(_xlfn.TEXTBEFORE(M3, ":"))</f>
        <v>Classe do Item</v>
      </c>
      <c r="O3" s="17" t="s">
        <v>5412</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t="s">
        <v>3857</v>
      </c>
      <c r="L4" s="16" t="str">
        <f>TRIM(_xlfn.TEXTAFTER(K3, ":"))</f>
        <v>투구</v>
      </c>
      <c r="M4" s="18" t="s">
        <v>4586</v>
      </c>
      <c r="N4" s="16" t="str">
        <f>TRIM(_xlfn.TEXTAFTER(M3, ":"))</f>
        <v>Elmos</v>
      </c>
      <c r="O4" s="18" t="s">
        <v>5269</v>
      </c>
      <c r="P4" s="16" t="str">
        <f>TRIM(_xlfn.TEXTAFTER(O3, ":"))</f>
        <v>Шлемы</v>
      </c>
      <c r="Q4" s="18"/>
      <c r="R4" s="16" t="e">
        <f>TRIM(_xlfn.TEXTAFTER(Q3, ":"))</f>
        <v>#N/A</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t="s">
        <v>3999</v>
      </c>
      <c r="L5" s="16" t="str">
        <f>TRIM(_xlfn.TEXTBEFORE(K4, ":"))</f>
        <v>아이템 희귀도</v>
      </c>
      <c r="M5" s="18" t="s">
        <v>472</v>
      </c>
      <c r="N5" s="16" t="str">
        <f>TRIM(_xlfn.TEXTBEFORE(M4, ":"))</f>
        <v>Raridade</v>
      </c>
      <c r="O5" s="18" t="s">
        <v>5413</v>
      </c>
      <c r="P5" s="16" t="str">
        <f>TRIM(_xlfn.TEXTBEFORE(O4, ":"))</f>
        <v>Редкость</v>
      </c>
      <c r="Q5" s="18"/>
      <c r="R5" s="16" t="e">
        <f>TRIM(_xlfn.TEXTBEFORE(Q4, ":"))</f>
        <v>#N/A</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t="s">
        <v>4000</v>
      </c>
      <c r="L6" s="16" t="str">
        <f>TRIM(_xlfn.TEXTAFTER(K4,":"))</f>
        <v>고유</v>
      </c>
      <c r="M6" s="18" t="s">
        <v>4728</v>
      </c>
      <c r="N6" s="16" t="str">
        <f>TRIM(_xlfn.TEXTAFTER(M4,":"))</f>
        <v>Único</v>
      </c>
      <c r="O6" s="18" t="s">
        <v>5414</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t="s">
        <v>4001</v>
      </c>
      <c r="L8" s="16" t="str">
        <f>TRIM(_xlfn.TEXTBEFORE(K8,":"))</f>
        <v>방어도</v>
      </c>
      <c r="M8" s="18" t="s">
        <v>2535</v>
      </c>
      <c r="N8" s="16" t="str">
        <f>TRIM(_xlfn.TEXTBEFORE(M8,":"))</f>
        <v>Armadura</v>
      </c>
      <c r="O8" s="18" t="s">
        <v>5415</v>
      </c>
      <c r="P8" s="16" t="str">
        <f>TRIM(_xlfn.TEXTBEFORE(O8,":"))</f>
        <v>Броня</v>
      </c>
      <c r="Q8" s="18"/>
      <c r="R8" s="16" t="e">
        <f>TRIM(_xlfn.TEXTBEFORE(Q8,":"))</f>
        <v>#N/A</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16"/>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c r="R11" s="16"/>
      <c r="S11" s="18"/>
      <c r="T11" s="16"/>
    </row>
    <row r="12" spans="1:20" ht="15.95" customHeight="1" x14ac:dyDescent="0.25">
      <c r="A12" s="18" t="s">
        <v>476</v>
      </c>
      <c r="B12" s="16"/>
      <c r="C12" s="18" t="s">
        <v>476</v>
      </c>
      <c r="D12" s="16"/>
      <c r="E12" s="18" t="s">
        <v>2367</v>
      </c>
      <c r="F12" s="16"/>
      <c r="G12" s="18" t="s">
        <v>894</v>
      </c>
      <c r="H12" s="16"/>
      <c r="I12" s="18" t="s">
        <v>3081</v>
      </c>
      <c r="J12" s="16"/>
      <c r="K12" s="18" t="s">
        <v>3832</v>
      </c>
      <c r="L12" s="16"/>
      <c r="M12" s="18" t="s">
        <v>894</v>
      </c>
      <c r="N12" s="16"/>
      <c r="O12" s="18" t="s">
        <v>5243</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404</v>
      </c>
      <c r="B14" s="16"/>
      <c r="C14" s="18" t="s">
        <v>1818</v>
      </c>
      <c r="D14" s="16"/>
      <c r="E14" s="18" t="s">
        <v>2537</v>
      </c>
      <c r="F14" s="16"/>
      <c r="G14" s="18" t="s">
        <v>1086</v>
      </c>
      <c r="H14" s="16"/>
      <c r="I14" s="18" t="s">
        <v>3257</v>
      </c>
      <c r="J14" s="16"/>
      <c r="K14" s="18" t="s">
        <v>4003</v>
      </c>
      <c r="L14" s="16"/>
      <c r="M14" s="18" t="s">
        <v>4730</v>
      </c>
      <c r="N14" s="16"/>
      <c r="O14" s="18" t="s">
        <v>5417</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449</v>
      </c>
      <c r="B16" s="16"/>
      <c r="C16" s="18" t="s">
        <v>1819</v>
      </c>
      <c r="D16" s="16"/>
      <c r="E16" s="18" t="s">
        <v>2538</v>
      </c>
      <c r="F16" s="16"/>
      <c r="G16" s="18" t="s">
        <v>7</v>
      </c>
      <c r="H16" s="16"/>
      <c r="I16" s="18" t="s">
        <v>3258</v>
      </c>
      <c r="J16" s="16"/>
      <c r="K16" s="18" t="s">
        <v>4004</v>
      </c>
      <c r="L16" s="16"/>
      <c r="M16" s="18" t="s">
        <v>4731</v>
      </c>
      <c r="N16" s="16"/>
      <c r="O16" s="18" t="s">
        <v>5418</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477</v>
      </c>
      <c r="B18" s="16"/>
      <c r="C18" s="18" t="s">
        <v>1820</v>
      </c>
      <c r="D18" s="16"/>
      <c r="E18" s="18" t="s">
        <v>2539</v>
      </c>
      <c r="F18" s="16"/>
      <c r="G18" s="18" t="s">
        <v>1087</v>
      </c>
      <c r="H18" s="16"/>
      <c r="I18" s="18" t="s">
        <v>3259</v>
      </c>
      <c r="J18" s="16"/>
      <c r="K18" s="18" t="s">
        <v>4005</v>
      </c>
      <c r="L18" s="16"/>
      <c r="M18" s="18" t="s">
        <v>4732</v>
      </c>
      <c r="N18" s="16"/>
      <c r="O18" s="18" t="s">
        <v>5419</v>
      </c>
      <c r="P18" s="16"/>
      <c r="Q18" s="18"/>
      <c r="R18" s="16"/>
      <c r="S18" s="18"/>
      <c r="T18" s="21"/>
    </row>
    <row r="19" spans="1:20" ht="15.95" customHeight="1" x14ac:dyDescent="0.25">
      <c r="A19" s="18" t="s">
        <v>478</v>
      </c>
      <c r="B19" s="16"/>
      <c r="C19" s="18" t="s">
        <v>1821</v>
      </c>
      <c r="D19" s="16"/>
      <c r="E19" s="18" t="s">
        <v>2540</v>
      </c>
      <c r="F19" s="16"/>
      <c r="G19" s="18" t="s">
        <v>1088</v>
      </c>
      <c r="H19" s="16"/>
      <c r="I19" s="18" t="s">
        <v>3260</v>
      </c>
      <c r="J19" s="16"/>
      <c r="K19" s="18" t="s">
        <v>4006</v>
      </c>
      <c r="L19" s="16"/>
      <c r="M19" s="18" t="s">
        <v>4733</v>
      </c>
      <c r="N19" s="16"/>
      <c r="O19" s="18" t="s">
        <v>5420</v>
      </c>
      <c r="P19" s="16"/>
      <c r="Q19" s="18"/>
      <c r="R19" s="16"/>
      <c r="S19" s="18"/>
      <c r="T19" s="21"/>
    </row>
    <row r="20" spans="1:20" ht="15.95" customHeight="1" x14ac:dyDescent="0.25">
      <c r="A20" s="18" t="s">
        <v>479</v>
      </c>
      <c r="B20" s="16"/>
      <c r="C20" s="18" t="s">
        <v>1822</v>
      </c>
      <c r="D20" s="16"/>
      <c r="E20" s="18" t="s">
        <v>2541</v>
      </c>
      <c r="F20" s="16"/>
      <c r="G20" s="18" t="s">
        <v>1089</v>
      </c>
      <c r="H20" s="16"/>
      <c r="I20" s="18" t="s">
        <v>3261</v>
      </c>
      <c r="J20" s="16"/>
      <c r="K20" s="18" t="s">
        <v>4007</v>
      </c>
      <c r="L20" s="16"/>
      <c r="M20" s="18" t="s">
        <v>4734</v>
      </c>
      <c r="N20" s="16"/>
      <c r="O20" s="18" t="s">
        <v>5421</v>
      </c>
      <c r="P20" s="16"/>
      <c r="Q20" s="18"/>
      <c r="R20" s="16"/>
      <c r="S20" s="18"/>
      <c r="T20" s="21"/>
    </row>
    <row r="21" spans="1:20" ht="15.95" customHeight="1" x14ac:dyDescent="0.25">
      <c r="A21" s="18" t="s">
        <v>480</v>
      </c>
      <c r="B21" s="16"/>
      <c r="C21" s="18" t="s">
        <v>1823</v>
      </c>
      <c r="D21" s="16"/>
      <c r="E21" s="18" t="s">
        <v>2542</v>
      </c>
      <c r="F21" s="16"/>
      <c r="G21" s="18" t="s">
        <v>1090</v>
      </c>
      <c r="H21" s="16"/>
      <c r="I21" s="18" t="s">
        <v>3262</v>
      </c>
      <c r="J21" s="16"/>
      <c r="K21" s="18" t="s">
        <v>4008</v>
      </c>
      <c r="L21" s="16"/>
      <c r="M21" s="18" t="s">
        <v>4735</v>
      </c>
      <c r="N21" s="16"/>
      <c r="O21" s="18" t="s">
        <v>5422</v>
      </c>
      <c r="P21" s="16"/>
      <c r="Q21" s="18"/>
      <c r="R21" s="16"/>
      <c r="S21" s="18"/>
      <c r="T21" s="21"/>
    </row>
    <row r="22" spans="1:20" ht="15.95" customHeight="1" x14ac:dyDescent="0.25">
      <c r="A22" s="18" t="s">
        <v>481</v>
      </c>
      <c r="B22" s="16"/>
      <c r="C22" s="18" t="s">
        <v>1824</v>
      </c>
      <c r="D22" s="16"/>
      <c r="E22" s="18" t="s">
        <v>2543</v>
      </c>
      <c r="F22" s="16"/>
      <c r="G22" s="18" t="s">
        <v>1091</v>
      </c>
      <c r="H22" s="16"/>
      <c r="I22" s="18" t="s">
        <v>3263</v>
      </c>
      <c r="J22" s="16"/>
      <c r="K22" s="18" t="s">
        <v>4009</v>
      </c>
      <c r="L22" s="16"/>
      <c r="M22" s="18" t="s">
        <v>4736</v>
      </c>
      <c r="N22" s="16"/>
      <c r="O22" s="18" t="s">
        <v>5423</v>
      </c>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1"/>
    </row>
    <row r="24" spans="1:20" ht="15.95" customHeight="1" x14ac:dyDescent="0.25">
      <c r="A24" s="18" t="s">
        <v>482</v>
      </c>
      <c r="B24" s="16"/>
      <c r="C24" s="18" t="s">
        <v>1825</v>
      </c>
      <c r="D24" s="16"/>
      <c r="E24" s="18" t="s">
        <v>2544</v>
      </c>
      <c r="F24" s="16"/>
      <c r="G24" s="18" t="s">
        <v>1092</v>
      </c>
      <c r="H24" s="16"/>
      <c r="I24" s="18" t="s">
        <v>3264</v>
      </c>
      <c r="J24" s="16"/>
      <c r="K24" s="18" t="s">
        <v>4010</v>
      </c>
      <c r="L24" s="16"/>
      <c r="M24" s="18" t="s">
        <v>4737</v>
      </c>
      <c r="N24" s="16"/>
      <c r="O24" s="18" t="s">
        <v>5424</v>
      </c>
      <c r="P24" s="16"/>
      <c r="Q24" s="18"/>
      <c r="R24" s="16"/>
      <c r="S24" s="18"/>
      <c r="T24" s="21"/>
    </row>
    <row r="25" spans="1:20" ht="15.95" customHeight="1" x14ac:dyDescent="0.25">
      <c r="A25" s="18" t="s">
        <v>483</v>
      </c>
      <c r="B25" s="16"/>
      <c r="C25" s="18" t="s">
        <v>1826</v>
      </c>
      <c r="D25" s="16"/>
      <c r="E25" s="18" t="s">
        <v>2545</v>
      </c>
      <c r="F25" s="16"/>
      <c r="G25" s="18" t="s">
        <v>1093</v>
      </c>
      <c r="H25" s="16"/>
      <c r="I25" s="18" t="s">
        <v>3265</v>
      </c>
      <c r="J25" s="16"/>
      <c r="K25" s="18" t="s">
        <v>4011</v>
      </c>
      <c r="L25" s="16"/>
      <c r="M25" s="18" t="s">
        <v>4738</v>
      </c>
      <c r="N25" s="16"/>
      <c r="O25" s="18" t="s">
        <v>5425</v>
      </c>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2" stopIfTrue="1">
      <formula>NOT(ISERROR(A3))</formula>
    </cfRule>
  </conditionalFormatting>
  <conditionalFormatting sqref="A3:T7 A8 C8 E8 G8 I8 K8 M8 O8 Q8 S8 A9:T51">
    <cfRule type="notContainsBlanks" dxfId="157" priority="23">
      <formula>LEN(TRIM(A3))&gt;0</formula>
    </cfRule>
  </conditionalFormatting>
  <conditionalFormatting sqref="A3:T51">
    <cfRule type="containsErrors" dxfId="156" priority="1" stopIfTrue="1">
      <formula>ISERROR(A3)</formula>
    </cfRule>
  </conditionalFormatting>
  <conditionalFormatting sqref="B8">
    <cfRule type="notContainsBlanks" dxfId="155" priority="20">
      <formula>LEN(TRIM(B8))&gt;0</formula>
    </cfRule>
  </conditionalFormatting>
  <conditionalFormatting sqref="D8">
    <cfRule type="notContainsBlanks" dxfId="154" priority="18">
      <formula>LEN(TRIM(D8))&gt;0</formula>
    </cfRule>
  </conditionalFormatting>
  <conditionalFormatting sqref="F8">
    <cfRule type="notContainsBlanks" dxfId="153" priority="16">
      <formula>LEN(TRIM(F8))&gt;0</formula>
    </cfRule>
  </conditionalFormatting>
  <conditionalFormatting sqref="H8">
    <cfRule type="notContainsBlanks" dxfId="152" priority="14">
      <formula>LEN(TRIM(H8))&gt;0</formula>
    </cfRule>
  </conditionalFormatting>
  <conditionalFormatting sqref="J8">
    <cfRule type="notContainsBlanks" dxfId="151" priority="12">
      <formula>LEN(TRIM(J8))&gt;0</formula>
    </cfRule>
  </conditionalFormatting>
  <conditionalFormatting sqref="L8">
    <cfRule type="notContainsBlanks" dxfId="150" priority="10">
      <formula>LEN(TRIM(L8))&gt;0</formula>
    </cfRule>
  </conditionalFormatting>
  <conditionalFormatting sqref="N8">
    <cfRule type="notContainsBlanks" dxfId="149" priority="8">
      <formula>LEN(TRIM(N8))&gt;0</formula>
    </cfRule>
  </conditionalFormatting>
  <conditionalFormatting sqref="P8">
    <cfRule type="notContainsBlanks" dxfId="148" priority="6">
      <formula>LEN(TRIM(P8))&gt;0</formula>
    </cfRule>
  </conditionalFormatting>
  <conditionalFormatting sqref="R8">
    <cfRule type="notContainsBlanks" dxfId="147" priority="4">
      <formula>LEN(TRIM(R8))&gt;0</formula>
    </cfRule>
  </conditionalFormatting>
  <conditionalFormatting sqref="T8">
    <cfRule type="notContainsBlanks" dxfId="146"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O3" sqref="O3:O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t="s">
        <v>3857</v>
      </c>
      <c r="L4" s="16" t="str">
        <f>TRIM(_xlfn.TEXTAFTER(K3, ":"))</f>
        <v>갑옷</v>
      </c>
      <c r="M4" s="18" t="s">
        <v>4586</v>
      </c>
      <c r="N4" s="16" t="str">
        <f>TRIM(_xlfn.TEXTAFTER(M3, ":"))</f>
        <v>Peitorais</v>
      </c>
      <c r="O4" s="18" t="s">
        <v>5269</v>
      </c>
      <c r="P4" s="16" t="str">
        <f>TRIM(_xlfn.TEXTAFTER(O3, ":"))</f>
        <v>Доспехи</v>
      </c>
      <c r="Q4" s="18"/>
      <c r="R4" s="16" t="e">
        <f>TRIM(_xlfn.TEXTAFTER(Q3, ":"))</f>
        <v>#N/A</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t="s">
        <v>4013</v>
      </c>
      <c r="L5" s="16" t="str">
        <f>TRIM(_xlfn.TEXTBEFORE(K4, ":"))</f>
        <v>아이템 희귀도</v>
      </c>
      <c r="M5" s="18" t="s">
        <v>4740</v>
      </c>
      <c r="N5" s="16" t="str">
        <f>TRIM(_xlfn.TEXTBEFORE(M4, ":"))</f>
        <v>Raridade</v>
      </c>
      <c r="O5" s="18" t="s">
        <v>5427</v>
      </c>
      <c r="P5" s="16" t="str">
        <f>TRIM(_xlfn.TEXTBEFORE(O4, ":"))</f>
        <v>Редкость</v>
      </c>
      <c r="Q5" s="18"/>
      <c r="R5" s="16" t="e">
        <f>TRIM(_xlfn.TEXTBEFORE(Q4, ":"))</f>
        <v>#N/A</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t="s">
        <v>4014</v>
      </c>
      <c r="L6" s="16" t="str">
        <f>TRIM(_xlfn.TEXTAFTER(K4,":"))</f>
        <v>고유</v>
      </c>
      <c r="M6" s="18" t="s">
        <v>4741</v>
      </c>
      <c r="N6" s="16" t="str">
        <f>TRIM(_xlfn.TEXTAFTER(M4,":"))</f>
        <v>Único</v>
      </c>
      <c r="O6" s="18" t="s">
        <v>5428</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t="s">
        <v>4015</v>
      </c>
      <c r="L8" s="16" t="str">
        <f>TRIM(_xlfn.TEXTBEFORE(K8,":"))</f>
        <v>회피</v>
      </c>
      <c r="M8" s="18" t="s">
        <v>4742</v>
      </c>
      <c r="N8" s="16" t="str">
        <f>TRIM(_xlfn.TEXTBEFORE(M8,":"))</f>
        <v>Evasão</v>
      </c>
      <c r="O8" s="18" t="s">
        <v>5429</v>
      </c>
      <c r="P8" s="16" t="str">
        <f>TRIM(_xlfn.TEXTBEFORE(O8,":"))</f>
        <v>Уклонение</v>
      </c>
      <c r="Q8" s="18"/>
      <c r="R8" s="16" t="e">
        <f>TRIM(_xlfn.TEXTBEFORE(Q8,":"))</f>
        <v>#N/A</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t="s">
        <v>4016</v>
      </c>
      <c r="L9" s="16" t="str">
        <f>TRIM(_xlfn.TEXTBEFORE(K9,":"))</f>
        <v>에너지 보호막</v>
      </c>
      <c r="M9" s="18" t="s">
        <v>4743</v>
      </c>
      <c r="N9" s="16" t="str">
        <f>TRIM(_xlfn.TEXTBEFORE(M9,":"))</f>
        <v>Escudo de Energia</v>
      </c>
      <c r="O9" s="18" t="s">
        <v>5430</v>
      </c>
      <c r="P9" s="16" t="str">
        <f>TRIM(_xlfn.TEXTBEFORE(O9,":"))</f>
        <v>Энерг. щит</v>
      </c>
      <c r="Q9" s="18"/>
      <c r="R9" s="16" t="e">
        <f>TRIM(_xlfn.TEXTBEFORE(Q9,":"))</f>
        <v>#N/A</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c r="R11" s="16"/>
      <c r="S11" s="18"/>
      <c r="T11" s="16"/>
    </row>
    <row r="12" spans="1:20" ht="15.95" customHeight="1" x14ac:dyDescent="0.25">
      <c r="A12" s="18" t="s">
        <v>136</v>
      </c>
      <c r="B12" s="16"/>
      <c r="C12" s="18" t="s">
        <v>1619</v>
      </c>
      <c r="D12" s="16"/>
      <c r="E12" s="18" t="s">
        <v>2366</v>
      </c>
      <c r="F12" s="16"/>
      <c r="G12" s="18" t="s">
        <v>893</v>
      </c>
      <c r="H12" s="16"/>
      <c r="I12" s="18" t="s">
        <v>3080</v>
      </c>
      <c r="J12" s="16"/>
      <c r="K12" s="18" t="s">
        <v>3831</v>
      </c>
      <c r="L12" s="16"/>
      <c r="M12" s="18" t="s">
        <v>4559</v>
      </c>
      <c r="N12" s="16"/>
      <c r="O12" s="18" t="s">
        <v>5242</v>
      </c>
      <c r="P12" s="16"/>
      <c r="Q12" s="18"/>
      <c r="R12" s="16"/>
      <c r="S12" s="18"/>
      <c r="T12" s="21"/>
    </row>
    <row r="13" spans="1:20" ht="15.95" customHeight="1" x14ac:dyDescent="0.25">
      <c r="A13" s="18" t="s">
        <v>258</v>
      </c>
      <c r="B13" s="16"/>
      <c r="C13" s="18" t="s">
        <v>1832</v>
      </c>
      <c r="D13" s="16"/>
      <c r="E13" s="18" t="s">
        <v>2551</v>
      </c>
      <c r="F13" s="16"/>
      <c r="G13" s="18" t="s">
        <v>258</v>
      </c>
      <c r="H13" s="16"/>
      <c r="I13" s="18" t="s">
        <v>3271</v>
      </c>
      <c r="J13" s="16"/>
      <c r="K13" s="18" t="s">
        <v>4017</v>
      </c>
      <c r="L13" s="16"/>
      <c r="M13" s="18" t="s">
        <v>2551</v>
      </c>
      <c r="N13" s="16"/>
      <c r="O13" s="18" t="s">
        <v>5431</v>
      </c>
      <c r="P13" s="16"/>
      <c r="Q13" s="18"/>
      <c r="R13" s="16"/>
      <c r="S13" s="18"/>
      <c r="T13" s="21"/>
    </row>
    <row r="14" spans="1:20" ht="15.95" customHeight="1" x14ac:dyDescent="0.25">
      <c r="A14" s="18" t="s">
        <v>461</v>
      </c>
      <c r="B14" s="16"/>
      <c r="C14" s="18" t="s">
        <v>461</v>
      </c>
      <c r="D14" s="16"/>
      <c r="E14" s="18" t="s">
        <v>461</v>
      </c>
      <c r="F14" s="16"/>
      <c r="G14" s="18" t="s">
        <v>461</v>
      </c>
      <c r="H14" s="16"/>
      <c r="I14" s="18" t="s">
        <v>3272</v>
      </c>
      <c r="J14" s="16"/>
      <c r="K14" s="18" t="s">
        <v>4018</v>
      </c>
      <c r="L14" s="16"/>
      <c r="M14" s="18" t="s">
        <v>461</v>
      </c>
      <c r="N14" s="16"/>
      <c r="O14" s="18" t="s">
        <v>5432</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387</v>
      </c>
      <c r="B16" s="16"/>
      <c r="C16" s="18" t="s">
        <v>1833</v>
      </c>
      <c r="D16" s="16"/>
      <c r="E16" s="18" t="s">
        <v>2552</v>
      </c>
      <c r="F16" s="16"/>
      <c r="G16" s="18" t="s">
        <v>1099</v>
      </c>
      <c r="H16" s="16"/>
      <c r="I16" s="18" t="s">
        <v>3273</v>
      </c>
      <c r="J16" s="16"/>
      <c r="K16" s="18" t="s">
        <v>4019</v>
      </c>
      <c r="L16" s="16"/>
      <c r="M16" s="18" t="s">
        <v>4744</v>
      </c>
      <c r="N16" s="16"/>
      <c r="O16" s="18" t="s">
        <v>5433</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462</v>
      </c>
      <c r="B18" s="16"/>
      <c r="C18" s="18" t="s">
        <v>1728</v>
      </c>
      <c r="D18" s="16"/>
      <c r="E18" s="18" t="s">
        <v>2447</v>
      </c>
      <c r="F18" s="16"/>
      <c r="G18" s="18" t="s">
        <v>996</v>
      </c>
      <c r="H18" s="16"/>
      <c r="I18" s="18" t="s">
        <v>3165</v>
      </c>
      <c r="J18" s="16"/>
      <c r="K18" s="18" t="s">
        <v>3912</v>
      </c>
      <c r="L18" s="16"/>
      <c r="M18" s="18" t="s">
        <v>4641</v>
      </c>
      <c r="N18" s="16"/>
      <c r="O18" s="18" t="s">
        <v>5326</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463</v>
      </c>
      <c r="B20" s="16"/>
      <c r="C20" s="18" t="s">
        <v>1834</v>
      </c>
      <c r="D20" s="16"/>
      <c r="E20" s="18" t="s">
        <v>2553</v>
      </c>
      <c r="F20" s="16"/>
      <c r="G20" s="18" t="s">
        <v>1100</v>
      </c>
      <c r="H20" s="16"/>
      <c r="I20" s="18" t="s">
        <v>3274</v>
      </c>
      <c r="J20" s="16"/>
      <c r="K20" s="18" t="s">
        <v>4020</v>
      </c>
      <c r="L20" s="16"/>
      <c r="M20" s="18" t="s">
        <v>4745</v>
      </c>
      <c r="N20" s="16"/>
      <c r="O20" s="18" t="s">
        <v>5434</v>
      </c>
      <c r="P20" s="16"/>
      <c r="Q20" s="18"/>
      <c r="R20" s="16"/>
      <c r="S20" s="18"/>
      <c r="T20" s="21"/>
    </row>
    <row r="21" spans="1:20" ht="15.95" customHeight="1" x14ac:dyDescent="0.25">
      <c r="A21" s="18" t="s">
        <v>464</v>
      </c>
      <c r="B21" s="16"/>
      <c r="C21" s="18" t="s">
        <v>1835</v>
      </c>
      <c r="D21" s="16"/>
      <c r="E21" s="18" t="s">
        <v>2554</v>
      </c>
      <c r="F21" s="16"/>
      <c r="G21" s="18" t="s">
        <v>1101</v>
      </c>
      <c r="H21" s="16"/>
      <c r="I21" s="18" t="s">
        <v>3275</v>
      </c>
      <c r="J21" s="16"/>
      <c r="K21" s="18" t="s">
        <v>4021</v>
      </c>
      <c r="L21" s="16"/>
      <c r="M21" s="18" t="s">
        <v>4746</v>
      </c>
      <c r="N21" s="16"/>
      <c r="O21" s="18" t="s">
        <v>5435</v>
      </c>
      <c r="P21" s="16"/>
      <c r="Q21" s="18"/>
      <c r="R21" s="16"/>
      <c r="S21" s="18"/>
      <c r="T21" s="21"/>
    </row>
    <row r="22" spans="1:20" ht="15.95" customHeight="1" x14ac:dyDescent="0.25">
      <c r="A22" s="18" t="s">
        <v>465</v>
      </c>
      <c r="B22" s="16"/>
      <c r="C22" s="18" t="s">
        <v>1836</v>
      </c>
      <c r="D22" s="16"/>
      <c r="E22" s="18" t="s">
        <v>2555</v>
      </c>
      <c r="F22" s="16"/>
      <c r="G22" s="18" t="s">
        <v>1102</v>
      </c>
      <c r="H22" s="16"/>
      <c r="I22" s="18" t="s">
        <v>3276</v>
      </c>
      <c r="J22" s="16"/>
      <c r="K22" s="18" t="s">
        <v>4022</v>
      </c>
      <c r="L22" s="16"/>
      <c r="M22" s="18" t="s">
        <v>4747</v>
      </c>
      <c r="N22" s="16"/>
      <c r="O22" s="18" t="s">
        <v>5436</v>
      </c>
      <c r="P22" s="16"/>
      <c r="Q22" s="18"/>
      <c r="R22" s="16"/>
      <c r="S22" s="18"/>
      <c r="T22" s="21"/>
    </row>
    <row r="23" spans="1:20" ht="15.95" customHeight="1" x14ac:dyDescent="0.25">
      <c r="A23" s="18" t="s">
        <v>466</v>
      </c>
      <c r="B23" s="16"/>
      <c r="C23" s="18" t="s">
        <v>1837</v>
      </c>
      <c r="D23" s="16"/>
      <c r="E23" s="18" t="s">
        <v>2556</v>
      </c>
      <c r="F23" s="16"/>
      <c r="G23" s="18" t="s">
        <v>1103</v>
      </c>
      <c r="H23" s="16"/>
      <c r="I23" s="18" t="s">
        <v>3277</v>
      </c>
      <c r="J23" s="16"/>
      <c r="K23" s="18" t="s">
        <v>4023</v>
      </c>
      <c r="L23" s="16"/>
      <c r="M23" s="18" t="s">
        <v>4748</v>
      </c>
      <c r="N23" s="16"/>
      <c r="O23" s="18" t="s">
        <v>5437</v>
      </c>
      <c r="P23" s="16"/>
      <c r="Q23" s="18"/>
      <c r="R23" s="16"/>
      <c r="S23" s="18"/>
      <c r="T23" s="21"/>
    </row>
    <row r="24" spans="1:20" ht="15.95" customHeight="1" x14ac:dyDescent="0.25">
      <c r="A24" s="18" t="s">
        <v>467</v>
      </c>
      <c r="B24" s="16"/>
      <c r="C24" s="18" t="s">
        <v>1838</v>
      </c>
      <c r="D24" s="16"/>
      <c r="E24" s="18" t="s">
        <v>2557</v>
      </c>
      <c r="F24" s="16"/>
      <c r="G24" s="18" t="s">
        <v>1104</v>
      </c>
      <c r="H24" s="16"/>
      <c r="I24" s="18" t="s">
        <v>3278</v>
      </c>
      <c r="J24" s="16"/>
      <c r="K24" s="18" t="s">
        <v>4024</v>
      </c>
      <c r="L24" s="16"/>
      <c r="M24" s="18" t="s">
        <v>4749</v>
      </c>
      <c r="N24" s="16"/>
      <c r="O24" s="18" t="s">
        <v>5438</v>
      </c>
      <c r="P24" s="16"/>
      <c r="Q24" s="18"/>
      <c r="R24" s="16"/>
      <c r="S24" s="18"/>
      <c r="T24" s="21"/>
    </row>
    <row r="25" spans="1:20" ht="15.95" customHeight="1" x14ac:dyDescent="0.25">
      <c r="A25" s="18" t="s">
        <v>468</v>
      </c>
      <c r="B25" s="16"/>
      <c r="C25" s="18" t="s">
        <v>1839</v>
      </c>
      <c r="D25" s="16"/>
      <c r="E25" s="18" t="s">
        <v>2558</v>
      </c>
      <c r="F25" s="16"/>
      <c r="G25" s="18" t="s">
        <v>468</v>
      </c>
      <c r="H25" s="16"/>
      <c r="I25" s="18" t="s">
        <v>3279</v>
      </c>
      <c r="J25" s="16"/>
      <c r="K25" s="18" t="s">
        <v>4025</v>
      </c>
      <c r="L25" s="16"/>
      <c r="M25" s="18" t="s">
        <v>4750</v>
      </c>
      <c r="N25" s="16"/>
      <c r="O25" s="18" t="s">
        <v>5439</v>
      </c>
      <c r="P25" s="16"/>
      <c r="Q25" s="18"/>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c r="R26" s="16"/>
      <c r="S26" s="18"/>
      <c r="T26" s="21"/>
    </row>
    <row r="27" spans="1:20" ht="15.95" customHeight="1" x14ac:dyDescent="0.25">
      <c r="A27" s="18" t="s">
        <v>469</v>
      </c>
      <c r="B27" s="16"/>
      <c r="C27" s="18" t="s">
        <v>1840</v>
      </c>
      <c r="D27" s="16"/>
      <c r="E27" s="18" t="s">
        <v>2559</v>
      </c>
      <c r="F27" s="16"/>
      <c r="G27" s="18" t="s">
        <v>1105</v>
      </c>
      <c r="H27" s="16"/>
      <c r="I27" s="18" t="s">
        <v>3280</v>
      </c>
      <c r="J27" s="16"/>
      <c r="K27" s="18" t="s">
        <v>4026</v>
      </c>
      <c r="L27" s="16"/>
      <c r="M27" s="18" t="s">
        <v>4751</v>
      </c>
      <c r="N27" s="16"/>
      <c r="O27" s="18" t="s">
        <v>5440</v>
      </c>
      <c r="P27" s="16"/>
      <c r="Q27" s="18"/>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t="s">
        <v>4027</v>
      </c>
      <c r="L28" s="16"/>
      <c r="M28" s="18" t="e" cm="1">
        <f t="array" ref="M28">- Diário de Maligaro</f>
        <v>#NAME?</v>
      </c>
      <c r="N28" s="16"/>
      <c r="O28" s="18" t="s">
        <v>5441</v>
      </c>
      <c r="P28" s="16"/>
      <c r="Q28" s="18"/>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42" stopIfTrue="1">
      <formula>NOT(ISERROR(A3))</formula>
    </cfRule>
  </conditionalFormatting>
  <conditionalFormatting sqref="A3:T7 A8:A9 C8:C9 E8:E9 G8:G9 I8:I9 K8:K9 M8:M9 O8:O9 Q8:Q9 S8:S9 A10:T51">
    <cfRule type="notContainsBlanks" dxfId="144" priority="43">
      <formula>LEN(TRIM(A3))&gt;0</formula>
    </cfRule>
  </conditionalFormatting>
  <conditionalFormatting sqref="A3:T51">
    <cfRule type="containsErrors" dxfId="143" priority="1" stopIfTrue="1">
      <formula>ISERROR(A3)</formula>
    </cfRule>
  </conditionalFormatting>
  <conditionalFormatting sqref="B8:B9">
    <cfRule type="notContainsBlanks" dxfId="142" priority="38">
      <formula>LEN(TRIM(B8))&gt;0</formula>
    </cfRule>
  </conditionalFormatting>
  <conditionalFormatting sqref="D8:D9">
    <cfRule type="notContainsBlanks" dxfId="141" priority="34">
      <formula>LEN(TRIM(D8))&gt;0</formula>
    </cfRule>
  </conditionalFormatting>
  <conditionalFormatting sqref="F8:F9">
    <cfRule type="notContainsBlanks" dxfId="140" priority="30">
      <formula>LEN(TRIM(F8))&gt;0</formula>
    </cfRule>
  </conditionalFormatting>
  <conditionalFormatting sqref="H8:H9">
    <cfRule type="notContainsBlanks" dxfId="139" priority="26">
      <formula>LEN(TRIM(H8))&gt;0</formula>
    </cfRule>
  </conditionalFormatting>
  <conditionalFormatting sqref="J8:J9">
    <cfRule type="notContainsBlanks" dxfId="138" priority="22">
      <formula>LEN(TRIM(J8))&gt;0</formula>
    </cfRule>
  </conditionalFormatting>
  <conditionalFormatting sqref="L8:L9">
    <cfRule type="notContainsBlanks" dxfId="137" priority="18">
      <formula>LEN(TRIM(L8))&gt;0</formula>
    </cfRule>
  </conditionalFormatting>
  <conditionalFormatting sqref="N8:N9">
    <cfRule type="notContainsBlanks" dxfId="136" priority="14">
      <formula>LEN(TRIM(N8))&gt;0</formula>
    </cfRule>
  </conditionalFormatting>
  <conditionalFormatting sqref="P8:P9">
    <cfRule type="notContainsBlanks" dxfId="135" priority="10">
      <formula>LEN(TRIM(P8))&gt;0</formula>
    </cfRule>
  </conditionalFormatting>
  <conditionalFormatting sqref="R8:R9">
    <cfRule type="notContainsBlanks" dxfId="134" priority="6">
      <formula>LEN(TRIM(R8))&gt;0</formula>
    </cfRule>
  </conditionalFormatting>
  <conditionalFormatting sqref="T8:T9">
    <cfRule type="notContainsBlanks" dxfId="133"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O3" sqref="O3:O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t="s">
        <v>3857</v>
      </c>
      <c r="L4" s="16" t="str">
        <f>TRIM(_xlfn.TEXTAFTER(K3, ":"))</f>
        <v>방패</v>
      </c>
      <c r="M4" s="18" t="s">
        <v>4586</v>
      </c>
      <c r="N4" s="16" t="str">
        <f>TRIM(_xlfn.TEXTAFTER(M3, ":"))</f>
        <v>Escudos</v>
      </c>
      <c r="O4" s="18" t="s">
        <v>5269</v>
      </c>
      <c r="P4" s="16" t="str">
        <f>TRIM(_xlfn.TEXTAFTER(O3, ":"))</f>
        <v>Щиты</v>
      </c>
      <c r="Q4" s="18"/>
      <c r="R4" s="16" t="e">
        <f>TRIM(_xlfn.TEXTAFTER(Q3, ":"))</f>
        <v>#N/A</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t="s">
        <v>4029</v>
      </c>
      <c r="L5" s="16" t="str">
        <f>TRIM(_xlfn.TEXTBEFORE(K4, ":"))</f>
        <v>아이템 희귀도</v>
      </c>
      <c r="M5" s="18" t="s">
        <v>4753</v>
      </c>
      <c r="N5" s="16" t="str">
        <f>TRIM(_xlfn.TEXTBEFORE(M4, ":"))</f>
        <v>Raridade</v>
      </c>
      <c r="O5" s="18" t="s">
        <v>5443</v>
      </c>
      <c r="P5" s="16" t="str">
        <f>TRIM(_xlfn.TEXTBEFORE(O4, ":"))</f>
        <v>Редкость</v>
      </c>
      <c r="Q5" s="18"/>
      <c r="R5" s="16" t="e">
        <f>TRIM(_xlfn.TEXTBEFORE(Q4, ":"))</f>
        <v>#N/A</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t="s">
        <v>4030</v>
      </c>
      <c r="L6" s="16" t="str">
        <f>TRIM(_xlfn.TEXTAFTER(K4,":"))</f>
        <v>고유</v>
      </c>
      <c r="M6" s="18" t="s">
        <v>4754</v>
      </c>
      <c r="N6" s="16" t="str">
        <f>TRIM(_xlfn.TEXTAFTER(M4,":"))</f>
        <v>Único</v>
      </c>
      <c r="O6" s="18" t="s">
        <v>5444</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t="s">
        <v>4031</v>
      </c>
      <c r="L8" s="16" t="str">
        <f>TRIM(_xlfn.TEXTBEFORE(K8,":"))</f>
        <v>막기 확률</v>
      </c>
      <c r="M8" s="18" t="s">
        <v>4755</v>
      </c>
      <c r="N8" s="16" t="str">
        <f>TRIM(_xlfn.TEXTBEFORE(M8,":"))</f>
        <v>Chance de Bloquear</v>
      </c>
      <c r="O8" s="18" t="s">
        <v>5445</v>
      </c>
      <c r="P8" s="16" t="str">
        <f>TRIM(_xlfn.TEXTBEFORE(O8,":"))</f>
        <v>Шанс заблокировать удар</v>
      </c>
      <c r="Q8" s="18"/>
      <c r="R8" s="16" t="e">
        <f>TRIM(_xlfn.TEXTBEFORE(Q8,":"))</f>
        <v>#N/A</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t="s">
        <v>4032</v>
      </c>
      <c r="L9" s="16"/>
      <c r="M9" s="18" t="s">
        <v>4756</v>
      </c>
      <c r="N9" s="16"/>
      <c r="O9" s="18" t="s">
        <v>5446</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c r="R11" s="16"/>
      <c r="S11" s="18"/>
      <c r="T11" s="16"/>
    </row>
    <row r="12" spans="1:20" ht="15.95" customHeight="1" x14ac:dyDescent="0.25">
      <c r="A12" s="18" t="s">
        <v>475</v>
      </c>
      <c r="B12" s="16"/>
      <c r="C12" s="18" t="s">
        <v>1817</v>
      </c>
      <c r="D12" s="16"/>
      <c r="E12" s="18" t="s">
        <v>2536</v>
      </c>
      <c r="F12" s="16"/>
      <c r="G12" s="18" t="s">
        <v>1085</v>
      </c>
      <c r="H12" s="16"/>
      <c r="I12" s="18" t="s">
        <v>3256</v>
      </c>
      <c r="J12" s="16"/>
      <c r="K12" s="18" t="s">
        <v>4002</v>
      </c>
      <c r="L12" s="16"/>
      <c r="M12" s="18" t="s">
        <v>4729</v>
      </c>
      <c r="N12" s="16"/>
      <c r="O12" s="18" t="s">
        <v>5416</v>
      </c>
      <c r="P12" s="16"/>
      <c r="Q12" s="18"/>
      <c r="R12" s="16"/>
      <c r="S12" s="18"/>
      <c r="T12" s="21"/>
    </row>
    <row r="13" spans="1:20" ht="15.95" customHeight="1" x14ac:dyDescent="0.25">
      <c r="A13" s="18" t="s">
        <v>489</v>
      </c>
      <c r="B13" s="16"/>
      <c r="C13" s="18" t="s">
        <v>1847</v>
      </c>
      <c r="D13" s="16"/>
      <c r="E13" s="18" t="s">
        <v>2565</v>
      </c>
      <c r="F13" s="16"/>
      <c r="G13" s="18" t="s">
        <v>489</v>
      </c>
      <c r="H13" s="16"/>
      <c r="I13" s="18" t="s">
        <v>3288</v>
      </c>
      <c r="J13" s="16"/>
      <c r="K13" s="18" t="s">
        <v>4033</v>
      </c>
      <c r="L13" s="16"/>
      <c r="M13" s="18" t="s">
        <v>2565</v>
      </c>
      <c r="N13" s="16"/>
      <c r="O13" s="18" t="s">
        <v>5447</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320</v>
      </c>
      <c r="B15" s="16"/>
      <c r="C15" s="18" t="s">
        <v>1848</v>
      </c>
      <c r="D15" s="16"/>
      <c r="E15" s="18" t="s">
        <v>2566</v>
      </c>
      <c r="F15" s="16"/>
      <c r="G15" s="18" t="s">
        <v>1113</v>
      </c>
      <c r="H15" s="16"/>
      <c r="I15" s="18" t="s">
        <v>3289</v>
      </c>
      <c r="J15" s="16"/>
      <c r="K15" s="18" t="s">
        <v>4034</v>
      </c>
      <c r="L15" s="16"/>
      <c r="M15" s="18" t="s">
        <v>4757</v>
      </c>
      <c r="N15" s="16"/>
      <c r="O15" s="18" t="s">
        <v>5448</v>
      </c>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1"/>
    </row>
    <row r="17" spans="1:20" ht="15.95" customHeight="1" x14ac:dyDescent="0.25">
      <c r="A17" s="18" t="s">
        <v>283</v>
      </c>
      <c r="B17" s="16"/>
      <c r="C17" s="18" t="s">
        <v>1759</v>
      </c>
      <c r="D17" s="16"/>
      <c r="E17" s="18" t="s">
        <v>2478</v>
      </c>
      <c r="F17" s="16"/>
      <c r="G17" s="18" t="s">
        <v>1027</v>
      </c>
      <c r="H17" s="16"/>
      <c r="I17" s="18" t="s">
        <v>3196</v>
      </c>
      <c r="J17" s="16"/>
      <c r="K17" s="18" t="s">
        <v>3943</v>
      </c>
      <c r="L17" s="16"/>
      <c r="M17" s="18" t="s">
        <v>4672</v>
      </c>
      <c r="N17" s="16"/>
      <c r="O17" s="18" t="s">
        <v>5357</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490</v>
      </c>
      <c r="B19" s="16"/>
      <c r="C19" s="18" t="s">
        <v>1849</v>
      </c>
      <c r="D19" s="16"/>
      <c r="E19" s="18" t="s">
        <v>2567</v>
      </c>
      <c r="F19" s="16"/>
      <c r="G19" s="18" t="s">
        <v>1114</v>
      </c>
      <c r="H19" s="16"/>
      <c r="I19" s="18" t="s">
        <v>3290</v>
      </c>
      <c r="J19" s="16"/>
      <c r="K19" s="18" t="s">
        <v>4035</v>
      </c>
      <c r="L19" s="16"/>
      <c r="M19" s="18" t="s">
        <v>4758</v>
      </c>
      <c r="N19" s="16"/>
      <c r="O19" s="18" t="s">
        <v>5449</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491</v>
      </c>
      <c r="B21" s="16"/>
      <c r="C21" s="18" t="s">
        <v>1850</v>
      </c>
      <c r="D21" s="16"/>
      <c r="E21" s="18" t="s">
        <v>2568</v>
      </c>
      <c r="F21" s="16"/>
      <c r="G21" s="18" t="s">
        <v>1115</v>
      </c>
      <c r="H21" s="16"/>
      <c r="I21" s="18" t="s">
        <v>3291</v>
      </c>
      <c r="J21" s="16"/>
      <c r="K21" s="18" t="s">
        <v>4036</v>
      </c>
      <c r="L21" s="16"/>
      <c r="M21" s="18" t="s">
        <v>4759</v>
      </c>
      <c r="N21" s="16"/>
      <c r="O21" s="18" t="s">
        <v>5450</v>
      </c>
      <c r="P21" s="16"/>
      <c r="Q21" s="18"/>
      <c r="R21" s="16"/>
      <c r="S21" s="18"/>
      <c r="T21" s="21"/>
    </row>
    <row r="22" spans="1:20" ht="15.95" customHeight="1" x14ac:dyDescent="0.25">
      <c r="A22" s="18" t="s">
        <v>266</v>
      </c>
      <c r="B22" s="16"/>
      <c r="C22" s="18" t="s">
        <v>1851</v>
      </c>
      <c r="D22" s="16"/>
      <c r="E22" s="18" t="s">
        <v>2569</v>
      </c>
      <c r="F22" s="16"/>
      <c r="G22" s="18" t="s">
        <v>1116</v>
      </c>
      <c r="H22" s="16"/>
      <c r="I22" s="18" t="s">
        <v>3292</v>
      </c>
      <c r="J22" s="16"/>
      <c r="K22" s="18" t="s">
        <v>4037</v>
      </c>
      <c r="L22" s="16"/>
      <c r="M22" s="18" t="s">
        <v>4760</v>
      </c>
      <c r="N22" s="16"/>
      <c r="O22" s="18" t="s">
        <v>5451</v>
      </c>
      <c r="P22" s="16"/>
      <c r="Q22" s="18"/>
      <c r="R22" s="16"/>
      <c r="S22" s="18"/>
      <c r="T22" s="21"/>
    </row>
    <row r="23" spans="1:20" ht="15.95" customHeight="1" x14ac:dyDescent="0.25">
      <c r="A23" s="18" t="s">
        <v>492</v>
      </c>
      <c r="B23" s="16"/>
      <c r="C23" s="18" t="s">
        <v>1852</v>
      </c>
      <c r="D23" s="16"/>
      <c r="E23" s="18" t="s">
        <v>2570</v>
      </c>
      <c r="F23" s="16"/>
      <c r="G23" s="18" t="s">
        <v>1117</v>
      </c>
      <c r="H23" s="16"/>
      <c r="I23" s="18" t="s">
        <v>3293</v>
      </c>
      <c r="J23" s="16"/>
      <c r="K23" s="18" t="s">
        <v>4038</v>
      </c>
      <c r="L23" s="16"/>
      <c r="M23" s="18" t="s">
        <v>4761</v>
      </c>
      <c r="N23" s="16"/>
      <c r="O23" s="18" t="s">
        <v>5452</v>
      </c>
      <c r="P23" s="16"/>
      <c r="Q23" s="18"/>
      <c r="R23" s="16"/>
      <c r="S23" s="18"/>
      <c r="T23" s="21"/>
    </row>
    <row r="24" spans="1:20" ht="15.95" customHeight="1" x14ac:dyDescent="0.25">
      <c r="A24" s="18" t="s">
        <v>493</v>
      </c>
      <c r="B24" s="16"/>
      <c r="C24" s="18" t="s">
        <v>1853</v>
      </c>
      <c r="D24" s="16"/>
      <c r="E24" s="18" t="s">
        <v>2571</v>
      </c>
      <c r="F24" s="16"/>
      <c r="G24" s="18" t="s">
        <v>1118</v>
      </c>
      <c r="H24" s="16"/>
      <c r="I24" s="18" t="s">
        <v>3294</v>
      </c>
      <c r="J24" s="16"/>
      <c r="K24" s="18" t="s">
        <v>4039</v>
      </c>
      <c r="L24" s="16"/>
      <c r="M24" s="18" t="s">
        <v>4762</v>
      </c>
      <c r="N24" s="16"/>
      <c r="O24" s="18" t="s">
        <v>5453</v>
      </c>
      <c r="P24" s="16"/>
      <c r="Q24" s="18"/>
      <c r="R24" s="16"/>
      <c r="S24" s="18"/>
      <c r="T24" s="21"/>
    </row>
    <row r="25" spans="1:20" ht="15.95" customHeight="1" x14ac:dyDescent="0.25">
      <c r="A25" s="18" t="s">
        <v>494</v>
      </c>
      <c r="B25" s="16"/>
      <c r="C25" s="18" t="s">
        <v>1854</v>
      </c>
      <c r="D25" s="16"/>
      <c r="E25" s="18" t="s">
        <v>2572</v>
      </c>
      <c r="F25" s="16"/>
      <c r="G25" s="18" t="s">
        <v>1119</v>
      </c>
      <c r="H25" s="16"/>
      <c r="I25" s="18" t="s">
        <v>3295</v>
      </c>
      <c r="J25" s="16"/>
      <c r="K25" s="18" t="s">
        <v>4040</v>
      </c>
      <c r="L25" s="16"/>
      <c r="M25" s="18" t="s">
        <v>4763</v>
      </c>
      <c r="N25" s="16"/>
      <c r="O25" s="18" t="s">
        <v>5454</v>
      </c>
      <c r="P25" s="16"/>
      <c r="Q25" s="18"/>
      <c r="R25" s="16"/>
      <c r="S25" s="18"/>
      <c r="T25" s="21"/>
    </row>
    <row r="26" spans="1:20" ht="15.95" customHeight="1" x14ac:dyDescent="0.25">
      <c r="A26" s="18" t="s">
        <v>495</v>
      </c>
      <c r="B26" s="16"/>
      <c r="C26" s="18" t="s">
        <v>1855</v>
      </c>
      <c r="D26" s="16"/>
      <c r="E26" s="18" t="s">
        <v>2573</v>
      </c>
      <c r="F26" s="16"/>
      <c r="G26" s="18" t="s">
        <v>1120</v>
      </c>
      <c r="H26" s="16"/>
      <c r="I26" s="18" t="s">
        <v>3296</v>
      </c>
      <c r="J26" s="16"/>
      <c r="K26" s="18" t="s">
        <v>4041</v>
      </c>
      <c r="L26" s="16"/>
      <c r="M26" s="18" t="s">
        <v>4764</v>
      </c>
      <c r="N26" s="16"/>
      <c r="O26" s="18" t="s">
        <v>5455</v>
      </c>
      <c r="P26" s="16"/>
      <c r="Q26" s="18"/>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c r="R27" s="16"/>
      <c r="S27" s="18"/>
      <c r="T27" s="21"/>
    </row>
    <row r="28" spans="1:20" ht="15.95" customHeight="1" x14ac:dyDescent="0.25">
      <c r="A28" s="18" t="s">
        <v>496</v>
      </c>
      <c r="B28" s="16"/>
      <c r="C28" s="18" t="s">
        <v>1856</v>
      </c>
      <c r="D28" s="16"/>
      <c r="E28" s="18" t="s">
        <v>2574</v>
      </c>
      <c r="F28" s="16"/>
      <c r="G28" s="18" t="s">
        <v>1121</v>
      </c>
      <c r="H28" s="16"/>
      <c r="I28" s="18" t="s">
        <v>3297</v>
      </c>
      <c r="J28" s="16"/>
      <c r="K28" s="18" t="s">
        <v>4042</v>
      </c>
      <c r="L28" s="16"/>
      <c r="M28" s="18" t="s">
        <v>4765</v>
      </c>
      <c r="N28" s="16"/>
      <c r="O28" s="18" t="s">
        <v>5456</v>
      </c>
      <c r="P28" s="16"/>
      <c r="Q28" s="18"/>
      <c r="R28" s="16"/>
      <c r="S28" s="18"/>
      <c r="T28" s="21"/>
    </row>
    <row r="29" spans="1:20" ht="15.95" customHeight="1" x14ac:dyDescent="0.25">
      <c r="A29" s="18" t="s">
        <v>497</v>
      </c>
      <c r="B29" s="16"/>
      <c r="C29" s="18" t="s">
        <v>1857</v>
      </c>
      <c r="D29" s="16"/>
      <c r="E29" s="18" t="s">
        <v>2575</v>
      </c>
      <c r="F29" s="16"/>
      <c r="G29" s="18" t="s">
        <v>1122</v>
      </c>
      <c r="H29" s="16"/>
      <c r="I29" s="18" t="s">
        <v>3298</v>
      </c>
      <c r="J29" s="16"/>
      <c r="K29" s="18" t="s">
        <v>4043</v>
      </c>
      <c r="L29" s="16"/>
      <c r="M29" s="18" t="s">
        <v>4766</v>
      </c>
      <c r="N29" s="16"/>
      <c r="O29" s="18" t="s">
        <v>5457</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2" stopIfTrue="1">
      <formula>NOT(ISERROR(A3))</formula>
    </cfRule>
  </conditionalFormatting>
  <conditionalFormatting sqref="A3:T7 A8 C8 E8 G8 I8 K8 M8 O8 Q8 S8 A9:T51">
    <cfRule type="notContainsBlanks" dxfId="131" priority="23">
      <formula>LEN(TRIM(A3))&gt;0</formula>
    </cfRule>
  </conditionalFormatting>
  <conditionalFormatting sqref="A3:T51">
    <cfRule type="containsErrors" dxfId="130" priority="1" stopIfTrue="1">
      <formula>ISERROR(A3)</formula>
    </cfRule>
  </conditionalFormatting>
  <conditionalFormatting sqref="B8">
    <cfRule type="notContainsBlanks" dxfId="129" priority="20">
      <formula>LEN(TRIM(B8))&gt;0</formula>
    </cfRule>
  </conditionalFormatting>
  <conditionalFormatting sqref="D8">
    <cfRule type="notContainsBlanks" dxfId="128" priority="18">
      <formula>LEN(TRIM(D8))&gt;0</formula>
    </cfRule>
  </conditionalFormatting>
  <conditionalFormatting sqref="F8">
    <cfRule type="notContainsBlanks" dxfId="127" priority="16">
      <formula>LEN(TRIM(F8))&gt;0</formula>
    </cfRule>
  </conditionalFormatting>
  <conditionalFormatting sqref="H8">
    <cfRule type="notContainsBlanks" dxfId="126" priority="14">
      <formula>LEN(TRIM(H8))&gt;0</formula>
    </cfRule>
  </conditionalFormatting>
  <conditionalFormatting sqref="J8">
    <cfRule type="notContainsBlanks" dxfId="125" priority="12">
      <formula>LEN(TRIM(J8))&gt;0</formula>
    </cfRule>
  </conditionalFormatting>
  <conditionalFormatting sqref="L8">
    <cfRule type="notContainsBlanks" dxfId="124" priority="10">
      <formula>LEN(TRIM(L8))&gt;0</formula>
    </cfRule>
  </conditionalFormatting>
  <conditionalFormatting sqref="N8">
    <cfRule type="notContainsBlanks" dxfId="123" priority="8">
      <formula>LEN(TRIM(N8))&gt;0</formula>
    </cfRule>
  </conditionalFormatting>
  <conditionalFormatting sqref="P8">
    <cfRule type="notContainsBlanks" dxfId="122" priority="6">
      <formula>LEN(TRIM(P8))&gt;0</formula>
    </cfRule>
  </conditionalFormatting>
  <conditionalFormatting sqref="R8">
    <cfRule type="notContainsBlanks" dxfId="121" priority="4">
      <formula>LEN(TRIM(R8))&gt;0</formula>
    </cfRule>
  </conditionalFormatting>
  <conditionalFormatting sqref="T8">
    <cfRule type="notContainsBlanks" dxfId="120"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O3" sqref="O3:O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t="s">
        <v>4044</v>
      </c>
      <c r="L3" s="16" t="str">
        <f>TRIM(_xlfn.TEXTBEFORE(K3, ":"))</f>
        <v>아이템 종류</v>
      </c>
      <c r="M3" s="17" t="s">
        <v>4767</v>
      </c>
      <c r="N3" s="16" t="str">
        <f>TRIM(_xlfn.TEXTBEFORE(M3, ":"))</f>
        <v>Classe do Item</v>
      </c>
      <c r="O3" s="17" t="s">
        <v>5458</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t="s">
        <v>3857</v>
      </c>
      <c r="L4" s="16" t="str">
        <f>TRIM(_xlfn.TEXTAFTER(K3, ":"))</f>
        <v>룬 단검</v>
      </c>
      <c r="M4" s="18" t="s">
        <v>4586</v>
      </c>
      <c r="N4" s="16" t="str">
        <f>TRIM(_xlfn.TEXTAFTER(M3, ":"))</f>
        <v>Adagas Rúnicas</v>
      </c>
      <c r="O4" s="18" t="s">
        <v>5269</v>
      </c>
      <c r="P4" s="16" t="str">
        <f>TRIM(_xlfn.TEXTAFTER(O3, ":"))</f>
        <v>Рунические кинжалы</v>
      </c>
      <c r="Q4" s="18"/>
      <c r="R4" s="16" t="e">
        <f>TRIM(_xlfn.TEXTAFTER(Q3, ":"))</f>
        <v>#N/A</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t="s">
        <v>4045</v>
      </c>
      <c r="L5" s="16" t="str">
        <f>TRIM(_xlfn.TEXTBEFORE(K4, ":"))</f>
        <v>아이템 희귀도</v>
      </c>
      <c r="M5" s="18" t="s">
        <v>4768</v>
      </c>
      <c r="N5" s="16" t="str">
        <f>TRIM(_xlfn.TEXTBEFORE(M4, ":"))</f>
        <v>Raridade</v>
      </c>
      <c r="O5" s="18" t="s">
        <v>5459</v>
      </c>
      <c r="P5" s="16" t="str">
        <f>TRIM(_xlfn.TEXTBEFORE(O4, ":"))</f>
        <v>Редкость</v>
      </c>
      <c r="Q5" s="18"/>
      <c r="R5" s="16" t="e">
        <f>TRIM(_xlfn.TEXTBEFORE(Q4, ":"))</f>
        <v>#N/A</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t="s">
        <v>4046</v>
      </c>
      <c r="L6" s="16" t="str">
        <f>TRIM(_xlfn.TEXTAFTER(K4,":"))</f>
        <v>고유</v>
      </c>
      <c r="M6" s="18" t="s">
        <v>4769</v>
      </c>
      <c r="N6" s="16" t="str">
        <f>TRIM(_xlfn.TEXTAFTER(M4,":"))</f>
        <v>Único</v>
      </c>
      <c r="O6" s="18" t="s">
        <v>5460</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152</v>
      </c>
      <c r="B8" s="16"/>
      <c r="C8" s="18" t="s">
        <v>1861</v>
      </c>
      <c r="D8" s="16"/>
      <c r="E8" s="18" t="s">
        <v>2579</v>
      </c>
      <c r="F8" s="16"/>
      <c r="G8" s="18" t="s">
        <v>1126</v>
      </c>
      <c r="H8" s="16"/>
      <c r="I8" s="18" t="s">
        <v>3302</v>
      </c>
      <c r="J8" s="16"/>
      <c r="K8" s="18" t="s">
        <v>4047</v>
      </c>
      <c r="L8" s="16"/>
      <c r="M8" s="18" t="s">
        <v>4770</v>
      </c>
      <c r="N8" s="16"/>
      <c r="O8" s="18" t="s">
        <v>5461</v>
      </c>
      <c r="P8" s="16"/>
      <c r="Q8" s="18"/>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t="s">
        <v>4048</v>
      </c>
      <c r="L9" s="16" t="str">
        <f>TRIM(_xlfn.TEXTBEFORE(K9,":"))</f>
        <v>물리 피해</v>
      </c>
      <c r="M9" s="18" t="s">
        <v>4771</v>
      </c>
      <c r="N9" s="16" t="str">
        <f>TRIM(_xlfn.TEXTBEFORE(M9,":"))</f>
        <v>Dano Físico</v>
      </c>
      <c r="O9" s="18" t="s">
        <v>5462</v>
      </c>
      <c r="P9" s="16" t="str">
        <f>TRIM(_xlfn.TEXTBEFORE(O9,":"))</f>
        <v>Физический урон</v>
      </c>
      <c r="Q9" s="18"/>
      <c r="R9" s="16" t="e">
        <f>TRIM(_xlfn.TEXTBEFORE(Q9,":"))</f>
        <v>#N/A</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t="s">
        <v>4049</v>
      </c>
      <c r="L10" s="16" t="str">
        <f>TRIM(_xlfn.TEXTBEFORE(K10,":"))</f>
        <v>원소 피해</v>
      </c>
      <c r="M10" s="18" t="s">
        <v>4772</v>
      </c>
      <c r="N10" s="16" t="str">
        <f>TRIM(_xlfn.TEXTBEFORE(M10,":"))</f>
        <v>Dano Elemental</v>
      </c>
      <c r="O10" s="18" t="s">
        <v>5463</v>
      </c>
      <c r="P10" s="16" t="str">
        <f>TRIM(_xlfn.TEXTBEFORE(O10,":"))</f>
        <v>Урон от стихий</v>
      </c>
      <c r="Q10" s="18"/>
      <c r="R10" s="16" t="e">
        <f>TRIM(_xlfn.TEXTBEFORE(Q10,":"))</f>
        <v>#N/A</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t="s">
        <v>4050</v>
      </c>
      <c r="L11" s="16" t="str">
        <f>TRIM(_xlfn.TEXTBEFORE(K11,":"))</f>
        <v>치명타 확률</v>
      </c>
      <c r="M11" s="18" t="s">
        <v>4773</v>
      </c>
      <c r="N11" s="16" t="str">
        <f>TRIM(_xlfn.TEXTBEFORE(M11,":"))</f>
        <v>Chance de Crítico</v>
      </c>
      <c r="O11" s="18" t="s">
        <v>5464</v>
      </c>
      <c r="P11" s="16" t="str">
        <f>TRIM(_xlfn.TEXTBEFORE(O11,":"))</f>
        <v>Шанс критического удара</v>
      </c>
      <c r="Q11" s="18"/>
      <c r="R11" s="16" t="e">
        <f>TRIM(_xlfn.TEXTBEFORE(Q11,":"))</f>
        <v>#N/A</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t="s">
        <v>4051</v>
      </c>
      <c r="L12" s="16" t="str">
        <f>TRIM(_xlfn.TEXTBEFORE(K12,":"))</f>
        <v>초당 공격 횟수</v>
      </c>
      <c r="M12" s="18" t="s">
        <v>4774</v>
      </c>
      <c r="N12" s="16" t="str">
        <f>TRIM(_xlfn.TEXTBEFORE(M12,":"))</f>
        <v>Ataques por Segundo</v>
      </c>
      <c r="O12" s="18" t="s">
        <v>5465</v>
      </c>
      <c r="P12" s="16" t="str">
        <f>TRIM(_xlfn.TEXTBEFORE(O12,":"))</f>
        <v>Атак в секунду</v>
      </c>
      <c r="Q12" s="18"/>
      <c r="R12" s="16" t="e">
        <f>TRIM(_xlfn.TEXTBEFORE(Q12,":"))</f>
        <v>#N/A</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t="s">
        <v>4052</v>
      </c>
      <c r="L13" s="16"/>
      <c r="M13" s="18" t="s">
        <v>4775</v>
      </c>
      <c r="N13" s="16"/>
      <c r="O13" s="18" t="s">
        <v>5466</v>
      </c>
      <c r="P13" s="16"/>
      <c r="Q13" s="18"/>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t="s">
        <v>3801</v>
      </c>
      <c r="L15" s="16" t="str">
        <f>TRIM(_xlfn.TEXTBEFORE(K15,":"))</f>
        <v>요구사항</v>
      </c>
      <c r="M15" s="18" t="s">
        <v>2337</v>
      </c>
      <c r="N15" s="16" t="str">
        <f>TRIM(_xlfn.TEXTBEFORE(M15,":"))</f>
        <v>Requisitos</v>
      </c>
      <c r="O15" s="18" t="s">
        <v>5212</v>
      </c>
      <c r="P15" s="16" t="str">
        <f>TRIM(_xlfn.TEXTBEFORE(O15,":"))</f>
        <v>Требования</v>
      </c>
      <c r="Q15" s="18"/>
      <c r="R15" s="16" t="e">
        <f>TRIM(_xlfn.TEXTBEFORE(Q15,":"))</f>
        <v>#N/A</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t="s">
        <v>4053</v>
      </c>
      <c r="L16" s="16"/>
      <c r="M16" s="18" t="s">
        <v>4776</v>
      </c>
      <c r="N16" s="16"/>
      <c r="O16" s="18" t="s">
        <v>5467</v>
      </c>
      <c r="P16" s="16"/>
      <c r="Q16" s="18"/>
      <c r="R16" s="16"/>
      <c r="S16" s="18"/>
      <c r="T16" s="16"/>
    </row>
    <row r="17" spans="1:20" ht="15.95" customHeight="1" x14ac:dyDescent="0.25">
      <c r="A17" s="18" t="s">
        <v>158</v>
      </c>
      <c r="B17" s="16"/>
      <c r="C17" s="18" t="s">
        <v>1868</v>
      </c>
      <c r="D17" s="16"/>
      <c r="E17" s="18" t="s">
        <v>2586</v>
      </c>
      <c r="F17" s="16"/>
      <c r="G17" s="18" t="s">
        <v>158</v>
      </c>
      <c r="H17" s="16"/>
      <c r="I17" s="18" t="s">
        <v>3309</v>
      </c>
      <c r="J17" s="16"/>
      <c r="K17" s="18" t="s">
        <v>4054</v>
      </c>
      <c r="L17" s="16"/>
      <c r="M17" s="18" t="s">
        <v>2586</v>
      </c>
      <c r="N17" s="16"/>
      <c r="O17" s="18" t="s">
        <v>5468</v>
      </c>
      <c r="P17" s="16"/>
      <c r="Q17" s="18"/>
      <c r="R17" s="16"/>
      <c r="S17" s="18"/>
      <c r="T17" s="16"/>
    </row>
    <row r="18" spans="1:20" ht="15.95" customHeight="1" x14ac:dyDescent="0.25">
      <c r="A18" s="18" t="s">
        <v>159</v>
      </c>
      <c r="B18" s="16"/>
      <c r="C18" s="18" t="s">
        <v>159</v>
      </c>
      <c r="D18" s="16"/>
      <c r="E18" s="18" t="s">
        <v>159</v>
      </c>
      <c r="F18" s="16"/>
      <c r="G18" s="18" t="s">
        <v>159</v>
      </c>
      <c r="H18" s="16"/>
      <c r="I18" s="18" t="s">
        <v>3310</v>
      </c>
      <c r="J18" s="16"/>
      <c r="K18" s="18" t="s">
        <v>4055</v>
      </c>
      <c r="L18" s="16"/>
      <c r="M18" s="18" t="s">
        <v>159</v>
      </c>
      <c r="N18" s="16"/>
      <c r="O18" s="18" t="s">
        <v>5469</v>
      </c>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t="s">
        <v>4056</v>
      </c>
      <c r="L20" s="16" t="str">
        <f>TRIM(_xlfn.TEXTBEFORE(K20,":"))</f>
        <v>홈</v>
      </c>
      <c r="M20" s="18" t="s">
        <v>4777</v>
      </c>
      <c r="N20" s="16" t="str">
        <f>TRIM(_xlfn.TEXTBEFORE(M20,":"))</f>
        <v>Encaixes</v>
      </c>
      <c r="O20" s="18" t="s">
        <v>5470</v>
      </c>
      <c r="P20" s="16" t="str">
        <f>TRIM(_xlfn.TEXTBEFORE(O20,":"))</f>
        <v>Гнезда</v>
      </c>
      <c r="Q20" s="18"/>
      <c r="R20" s="16" t="e">
        <f>TRIM(_xlfn.TEXTBEFORE(Q20,":"))</f>
        <v>#N/A</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t="s">
        <v>3926</v>
      </c>
      <c r="L22" s="16" t="str">
        <f>TRIM(_xlfn.TEXTBEFORE(K22,":"))</f>
        <v>아이템 레벨</v>
      </c>
      <c r="M22" s="18" t="s">
        <v>4655</v>
      </c>
      <c r="N22" s="16" t="str">
        <f>TRIM(_xlfn.TEXTBEFORE(M22,":"))</f>
        <v>Nível do Item</v>
      </c>
      <c r="O22" s="18" t="s">
        <v>5340</v>
      </c>
      <c r="P22" s="16" t="str">
        <f>TRIM(_xlfn.TEXTBEFORE(O22,":"))</f>
        <v>Уровень предмета</v>
      </c>
      <c r="Q22" s="18"/>
      <c r="R22" s="16" t="e">
        <f>TRIM(_xlfn.TEXTBEFORE(Q22,":"))</f>
        <v>#N/A</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16"/>
    </row>
    <row r="24" spans="1:20" ht="15.95" customHeight="1" x14ac:dyDescent="0.25">
      <c r="A24" s="18" t="s">
        <v>161</v>
      </c>
      <c r="B24" s="16"/>
      <c r="C24" s="18" t="s">
        <v>1870</v>
      </c>
      <c r="D24" s="16"/>
      <c r="E24" s="18" t="s">
        <v>2588</v>
      </c>
      <c r="F24" s="16"/>
      <c r="G24" s="18" t="s">
        <v>1133</v>
      </c>
      <c r="H24" s="16"/>
      <c r="I24" s="18" t="s">
        <v>3312</v>
      </c>
      <c r="J24" s="16"/>
      <c r="K24" s="18" t="s">
        <v>4057</v>
      </c>
      <c r="L24" s="16"/>
      <c r="M24" s="18" t="s">
        <v>4778</v>
      </c>
      <c r="N24" s="16"/>
      <c r="O24" s="18" t="s">
        <v>5471</v>
      </c>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c r="R25" s="16"/>
      <c r="S25" s="18"/>
      <c r="T25" s="21"/>
    </row>
    <row r="26" spans="1:20" ht="15.95" customHeight="1" x14ac:dyDescent="0.25">
      <c r="A26" s="18" t="s">
        <v>162</v>
      </c>
      <c r="B26" s="16"/>
      <c r="C26" s="18" t="s">
        <v>1871</v>
      </c>
      <c r="D26" s="16"/>
      <c r="E26" s="18" t="s">
        <v>2589</v>
      </c>
      <c r="F26" s="16"/>
      <c r="G26" s="18" t="s">
        <v>1134</v>
      </c>
      <c r="H26" s="16"/>
      <c r="I26" s="18" t="s">
        <v>3313</v>
      </c>
      <c r="J26" s="16"/>
      <c r="K26" s="18" t="s">
        <v>4058</v>
      </c>
      <c r="L26" s="16"/>
      <c r="M26" s="18" t="s">
        <v>4779</v>
      </c>
      <c r="N26" s="16"/>
      <c r="O26" s="18" t="s">
        <v>5472</v>
      </c>
      <c r="P26" s="16"/>
      <c r="Q26" s="18"/>
      <c r="R26" s="16"/>
      <c r="S26" s="18"/>
      <c r="T26" s="21"/>
    </row>
    <row r="27" spans="1:20" ht="15.95" customHeight="1" x14ac:dyDescent="0.25">
      <c r="A27" s="18" t="s">
        <v>163</v>
      </c>
      <c r="B27" s="16"/>
      <c r="C27" s="18" t="s">
        <v>1872</v>
      </c>
      <c r="D27" s="16"/>
      <c r="E27" s="18" t="s">
        <v>2590</v>
      </c>
      <c r="F27" s="16"/>
      <c r="G27" s="18" t="s">
        <v>1135</v>
      </c>
      <c r="H27" s="16"/>
      <c r="I27" s="18" t="s">
        <v>3314</v>
      </c>
      <c r="J27" s="16"/>
      <c r="K27" s="18" t="s">
        <v>4059</v>
      </c>
      <c r="L27" s="16"/>
      <c r="M27" s="18" t="s">
        <v>4780</v>
      </c>
      <c r="N27" s="16"/>
      <c r="O27" s="18" t="s">
        <v>5473</v>
      </c>
      <c r="P27" s="16"/>
      <c r="Q27" s="18"/>
      <c r="R27" s="16"/>
      <c r="S27" s="18"/>
      <c r="T27" s="21"/>
    </row>
    <row r="28" spans="1:20" ht="15.95" customHeight="1" x14ac:dyDescent="0.25">
      <c r="A28" s="18" t="s">
        <v>164</v>
      </c>
      <c r="B28" s="16"/>
      <c r="C28" s="18" t="s">
        <v>1873</v>
      </c>
      <c r="D28" s="16"/>
      <c r="E28" s="18" t="s">
        <v>2591</v>
      </c>
      <c r="F28" s="16"/>
      <c r="G28" s="18" t="s">
        <v>1136</v>
      </c>
      <c r="H28" s="16"/>
      <c r="I28" s="18" t="s">
        <v>3315</v>
      </c>
      <c r="J28" s="16"/>
      <c r="K28" s="18" t="s">
        <v>4060</v>
      </c>
      <c r="L28" s="16"/>
      <c r="M28" s="18" t="s">
        <v>4781</v>
      </c>
      <c r="N28" s="16"/>
      <c r="O28" s="18" t="s">
        <v>5474</v>
      </c>
      <c r="P28" s="16"/>
      <c r="Q28" s="18"/>
      <c r="R28" s="16"/>
      <c r="S28" s="18"/>
      <c r="T28" s="21"/>
    </row>
    <row r="29" spans="1:20" ht="15.95" customHeight="1" x14ac:dyDescent="0.25">
      <c r="A29" s="18" t="s">
        <v>165</v>
      </c>
      <c r="B29" s="16"/>
      <c r="C29" s="18" t="s">
        <v>1874</v>
      </c>
      <c r="D29" s="16"/>
      <c r="E29" s="18" t="s">
        <v>2592</v>
      </c>
      <c r="F29" s="16"/>
      <c r="G29" s="18" t="s">
        <v>1137</v>
      </c>
      <c r="H29" s="16"/>
      <c r="I29" s="18" t="s">
        <v>3316</v>
      </c>
      <c r="J29" s="16"/>
      <c r="K29" s="18" t="s">
        <v>4061</v>
      </c>
      <c r="L29" s="16"/>
      <c r="M29" s="18" t="s">
        <v>4782</v>
      </c>
      <c r="N29" s="16"/>
      <c r="O29" s="18" t="s">
        <v>5475</v>
      </c>
      <c r="P29" s="16"/>
      <c r="Q29" s="18"/>
      <c r="R29" s="16"/>
      <c r="S29" s="18"/>
      <c r="T29" s="21"/>
    </row>
    <row r="30" spans="1:20" ht="15.95" customHeight="1" x14ac:dyDescent="0.25">
      <c r="A30" s="18" t="s">
        <v>166</v>
      </c>
      <c r="B30" s="16"/>
      <c r="C30" s="18" t="s">
        <v>1875</v>
      </c>
      <c r="D30" s="16"/>
      <c r="E30" s="18" t="s">
        <v>2593</v>
      </c>
      <c r="F30" s="16"/>
      <c r="G30" s="18" t="s">
        <v>1138</v>
      </c>
      <c r="H30" s="16"/>
      <c r="I30" s="18" t="s">
        <v>3317</v>
      </c>
      <c r="J30" s="16"/>
      <c r="K30" s="18" t="s">
        <v>4062</v>
      </c>
      <c r="L30" s="16"/>
      <c r="M30" s="18" t="s">
        <v>4783</v>
      </c>
      <c r="N30" s="16"/>
      <c r="O30" s="18" t="s">
        <v>5476</v>
      </c>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c r="R31" s="16"/>
      <c r="S31" s="18"/>
      <c r="T31" s="21"/>
    </row>
    <row r="32" spans="1:20" ht="15.95" customHeight="1" x14ac:dyDescent="0.25">
      <c r="A32" s="18" t="s">
        <v>167</v>
      </c>
      <c r="B32" s="16"/>
      <c r="C32" s="18" t="s">
        <v>1876</v>
      </c>
      <c r="D32" s="16"/>
      <c r="E32" s="18" t="s">
        <v>2594</v>
      </c>
      <c r="F32" s="16"/>
      <c r="G32" s="18" t="s">
        <v>1139</v>
      </c>
      <c r="H32" s="16"/>
      <c r="I32" s="18" t="s">
        <v>3318</v>
      </c>
      <c r="J32" s="16"/>
      <c r="K32" s="18" t="s">
        <v>4063</v>
      </c>
      <c r="L32" s="16"/>
      <c r="M32" s="18" t="s">
        <v>4784</v>
      </c>
      <c r="N32" s="16"/>
      <c r="O32" s="18" t="s">
        <v>5477</v>
      </c>
      <c r="P32" s="16"/>
      <c r="Q32" s="18"/>
      <c r="R32" s="16"/>
      <c r="S32" s="18"/>
      <c r="T32" s="21"/>
    </row>
    <row r="33" spans="1:20" ht="15.95" customHeight="1" x14ac:dyDescent="0.25">
      <c r="A33" s="22" t="s">
        <v>168</v>
      </c>
      <c r="B33" s="16"/>
      <c r="C33" s="18" t="s">
        <v>1877</v>
      </c>
      <c r="D33" s="16"/>
      <c r="E33" s="18" t="s">
        <v>2595</v>
      </c>
      <c r="F33" s="16"/>
      <c r="G33" s="18" t="s">
        <v>1140</v>
      </c>
      <c r="H33" s="16"/>
      <c r="I33" s="18" t="s">
        <v>3319</v>
      </c>
      <c r="J33" s="16"/>
      <c r="K33" s="18" t="s">
        <v>4064</v>
      </c>
      <c r="L33" s="16"/>
      <c r="M33" s="18" t="s">
        <v>4785</v>
      </c>
      <c r="N33" s="16"/>
      <c r="O33" s="18" t="s">
        <v>5478</v>
      </c>
      <c r="P33" s="16"/>
      <c r="Q33" s="18"/>
      <c r="R33" s="16"/>
      <c r="S33" s="18"/>
      <c r="T33" s="21"/>
    </row>
    <row r="34" spans="1:20" ht="15.95" customHeight="1" x14ac:dyDescent="0.25">
      <c r="A34" s="18" t="s">
        <v>169</v>
      </c>
      <c r="B34" s="16"/>
      <c r="C34" s="18" t="s">
        <v>1878</v>
      </c>
      <c r="D34" s="16"/>
      <c r="E34" s="18" t="s">
        <v>2596</v>
      </c>
      <c r="F34" s="16"/>
      <c r="G34" s="18" t="s">
        <v>1141</v>
      </c>
      <c r="H34" s="16"/>
      <c r="I34" s="18" t="s">
        <v>3320</v>
      </c>
      <c r="J34" s="16"/>
      <c r="K34" s="18" t="s">
        <v>4065</v>
      </c>
      <c r="L34" s="16"/>
      <c r="M34" s="18" t="s">
        <v>4786</v>
      </c>
      <c r="N34" s="16"/>
      <c r="O34" s="18" t="s">
        <v>5479</v>
      </c>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9" priority="62" stopIfTrue="1">
      <formula>NOT(ISERROR(A3))</formula>
    </cfRule>
  </conditionalFormatting>
  <conditionalFormatting sqref="A3:T12 A13:D14 E13:E23 G13:G23 I13:I23 K13:K23 M13:M23 O13:O23 Q13:Q23 S13:S23 A15 C15 A16:D19 A20 C20 A21:D21 A22 C22 A23:D23 A24:T51">
    <cfRule type="notContainsBlanks" dxfId="118" priority="63">
      <formula>LEN(TRIM(A3))&gt;0</formula>
    </cfRule>
  </conditionalFormatting>
  <conditionalFormatting sqref="A3:T51">
    <cfRule type="containsErrors" dxfId="117" priority="1" stopIfTrue="1">
      <formula>ISERROR(A3)</formula>
    </cfRule>
  </conditionalFormatting>
  <conditionalFormatting sqref="B15">
    <cfRule type="notContainsBlanks" dxfId="116" priority="58">
      <formula>LEN(TRIM(B15))&gt;0</formula>
    </cfRule>
  </conditionalFormatting>
  <conditionalFormatting sqref="B20">
    <cfRule type="notContainsBlanks" dxfId="115" priority="56">
      <formula>LEN(TRIM(B20))&gt;0</formula>
    </cfRule>
  </conditionalFormatting>
  <conditionalFormatting sqref="B22">
    <cfRule type="notContainsBlanks" dxfId="114" priority="60">
      <formula>LEN(TRIM(B22))&gt;0</formula>
    </cfRule>
  </conditionalFormatting>
  <conditionalFormatting sqref="D15">
    <cfRule type="notContainsBlanks" dxfId="113" priority="52">
      <formula>LEN(TRIM(D15))&gt;0</formula>
    </cfRule>
  </conditionalFormatting>
  <conditionalFormatting sqref="D20">
    <cfRule type="notContainsBlanks" dxfId="112" priority="50">
      <formula>LEN(TRIM(D20))&gt;0</formula>
    </cfRule>
  </conditionalFormatting>
  <conditionalFormatting sqref="D22">
    <cfRule type="notContainsBlanks" dxfId="111" priority="54">
      <formula>LEN(TRIM(D22))&gt;0</formula>
    </cfRule>
  </conditionalFormatting>
  <conditionalFormatting sqref="F13:F23">
    <cfRule type="notContainsBlanks" dxfId="110" priority="44">
      <formula>LEN(TRIM(F13))&gt;0</formula>
    </cfRule>
  </conditionalFormatting>
  <conditionalFormatting sqref="H13:H23">
    <cfRule type="notContainsBlanks" dxfId="109" priority="38">
      <formula>LEN(TRIM(H13))&gt;0</formula>
    </cfRule>
  </conditionalFormatting>
  <conditionalFormatting sqref="J13:J23">
    <cfRule type="notContainsBlanks" dxfId="108" priority="32">
      <formula>LEN(TRIM(J13))&gt;0</formula>
    </cfRule>
  </conditionalFormatting>
  <conditionalFormatting sqref="L13:L23">
    <cfRule type="notContainsBlanks" dxfId="107" priority="26">
      <formula>LEN(TRIM(L13))&gt;0</formula>
    </cfRule>
  </conditionalFormatting>
  <conditionalFormatting sqref="N13:N23">
    <cfRule type="notContainsBlanks" dxfId="106" priority="20">
      <formula>LEN(TRIM(N13))&gt;0</formula>
    </cfRule>
  </conditionalFormatting>
  <conditionalFormatting sqref="P13:P23">
    <cfRule type="notContainsBlanks" dxfId="105" priority="14">
      <formula>LEN(TRIM(P13))&gt;0</formula>
    </cfRule>
  </conditionalFormatting>
  <conditionalFormatting sqref="R13:R23">
    <cfRule type="notContainsBlanks" dxfId="104" priority="8">
      <formula>LEN(TRIM(R13))&gt;0</formula>
    </cfRule>
  </conditionalFormatting>
  <conditionalFormatting sqref="T13:T23">
    <cfRule type="notContainsBlanks" dxfId="103"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O3" sqref="O3:O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t="s">
        <v>4066</v>
      </c>
      <c r="L4" s="16" t="str">
        <f>TRIM(_xlfn.TEXTAFTER(K3, ":"))</f>
        <v>목걸이</v>
      </c>
      <c r="M4" s="18" t="s">
        <v>4787</v>
      </c>
      <c r="N4" s="16" t="str">
        <f>TRIM(_xlfn.TEXTAFTER(M3, ":"))</f>
        <v>Amuletos</v>
      </c>
      <c r="O4" s="18" t="s">
        <v>5480</v>
      </c>
      <c r="P4" s="16" t="str">
        <f>TRIM(_xlfn.TEXTAFTER(O3, ":"))</f>
        <v>Амулеты</v>
      </c>
      <c r="Q4" s="18"/>
      <c r="R4" s="16" t="e">
        <f>TRIM(_xlfn.TEXTAFTER(Q3, ":"))</f>
        <v>#N/A</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t="s">
        <v>4067</v>
      </c>
      <c r="L5" s="16" t="str">
        <f>TRIM(_xlfn.TEXTBEFORE(K4, ":"))</f>
        <v>아이템 희귀도</v>
      </c>
      <c r="M5" s="18" t="s">
        <v>4788</v>
      </c>
      <c r="N5" s="16" t="str">
        <f>TRIM(_xlfn.TEXTBEFORE(M4, ":"))</f>
        <v>Raridade</v>
      </c>
      <c r="O5" s="18" t="s">
        <v>5481</v>
      </c>
      <c r="P5" s="16" t="str">
        <f>TRIM(_xlfn.TEXTBEFORE(O4, ":"))</f>
        <v>Редкость</v>
      </c>
      <c r="Q5" s="18"/>
      <c r="R5" s="16" t="e">
        <f>TRIM(_xlfn.TEXTBEFORE(Q4, ":"))</f>
        <v>#N/A</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t="s">
        <v>4068</v>
      </c>
      <c r="L6" s="16" t="str">
        <f>TRIM(_xlfn.TEXTAFTER(K4,":"))</f>
        <v>희귀</v>
      </c>
      <c r="M6" s="18" t="s">
        <v>4789</v>
      </c>
      <c r="N6" s="16" t="str">
        <f>TRIM(_xlfn.TEXTAFTER(M4,":"))</f>
        <v>Raro</v>
      </c>
      <c r="O6" s="18" t="s">
        <v>5482</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c r="R8" s="16"/>
      <c r="S8" s="18"/>
      <c r="T8" s="20"/>
    </row>
    <row r="9" spans="1:20" ht="15.95" customHeight="1" x14ac:dyDescent="0.25">
      <c r="A9" s="18" t="s">
        <v>337</v>
      </c>
      <c r="B9" s="16"/>
      <c r="C9" s="18" t="s">
        <v>1882</v>
      </c>
      <c r="D9" s="16"/>
      <c r="E9" s="18" t="s">
        <v>2600</v>
      </c>
      <c r="F9" s="16"/>
      <c r="G9" s="18" t="s">
        <v>1145</v>
      </c>
      <c r="H9" s="16"/>
      <c r="I9" s="18" t="s">
        <v>3324</v>
      </c>
      <c r="J9" s="16"/>
      <c r="K9" s="18" t="s">
        <v>4069</v>
      </c>
      <c r="L9" s="16"/>
      <c r="M9" s="18" t="s">
        <v>4790</v>
      </c>
      <c r="N9" s="16"/>
      <c r="O9" s="18" t="s">
        <v>5483</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111</v>
      </c>
      <c r="B11" s="16"/>
      <c r="C11" s="18" t="s">
        <v>1691</v>
      </c>
      <c r="D11" s="16"/>
      <c r="E11" s="18" t="s">
        <v>2325</v>
      </c>
      <c r="F11" s="16"/>
      <c r="G11" s="18" t="s">
        <v>958</v>
      </c>
      <c r="H11" s="16"/>
      <c r="I11" s="18" t="s">
        <v>3127</v>
      </c>
      <c r="J11" s="16"/>
      <c r="K11" s="18" t="s">
        <v>3787</v>
      </c>
      <c r="L11" s="16"/>
      <c r="M11" s="18" t="s">
        <v>4605</v>
      </c>
      <c r="N11" s="16"/>
      <c r="O11" s="18" t="s">
        <v>5288</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852</v>
      </c>
      <c r="B13" s="16"/>
      <c r="C13" s="18" t="s">
        <v>1883</v>
      </c>
      <c r="D13" s="16"/>
      <c r="E13" s="18" t="s">
        <v>2601</v>
      </c>
      <c r="F13" s="16"/>
      <c r="G13" s="18" t="s">
        <v>1146</v>
      </c>
      <c r="H13" s="16"/>
      <c r="I13" s="18" t="s">
        <v>3325</v>
      </c>
      <c r="J13" s="16"/>
      <c r="K13" s="18" t="s">
        <v>4070</v>
      </c>
      <c r="L13" s="16"/>
      <c r="M13" s="18" t="s">
        <v>4791</v>
      </c>
      <c r="N13" s="16"/>
      <c r="O13" s="18" t="s">
        <v>5484</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853</v>
      </c>
      <c r="B15" s="16"/>
      <c r="C15" s="18" t="s">
        <v>1884</v>
      </c>
      <c r="D15" s="16"/>
      <c r="E15" s="18" t="s">
        <v>2602</v>
      </c>
      <c r="F15" s="16"/>
      <c r="G15" s="18" t="s">
        <v>1147</v>
      </c>
      <c r="H15" s="16"/>
      <c r="I15" s="18" t="s">
        <v>3326</v>
      </c>
      <c r="J15" s="16"/>
      <c r="K15" s="18" t="s">
        <v>4071</v>
      </c>
      <c r="L15" s="16"/>
      <c r="M15" s="18" t="s">
        <v>4792</v>
      </c>
      <c r="N15" s="16"/>
      <c r="O15" s="18" t="s">
        <v>5485</v>
      </c>
      <c r="P15" s="16"/>
      <c r="Q15" s="18"/>
      <c r="R15" s="16"/>
      <c r="S15" s="18"/>
      <c r="T15" s="20"/>
    </row>
    <row r="16" spans="1:20" ht="15.95" customHeight="1" x14ac:dyDescent="0.25">
      <c r="A16" s="18" t="s">
        <v>854</v>
      </c>
      <c r="B16" s="16"/>
      <c r="C16" s="18" t="s">
        <v>1885</v>
      </c>
      <c r="D16" s="16"/>
      <c r="E16" s="18" t="s">
        <v>2603</v>
      </c>
      <c r="F16" s="16"/>
      <c r="G16" s="18" t="s">
        <v>1148</v>
      </c>
      <c r="H16" s="16"/>
      <c r="I16" s="18" t="s">
        <v>3327</v>
      </c>
      <c r="J16" s="16"/>
      <c r="K16" s="18" t="s">
        <v>4072</v>
      </c>
      <c r="L16" s="16"/>
      <c r="M16" s="18" t="s">
        <v>4793</v>
      </c>
      <c r="N16" s="16"/>
      <c r="O16" s="18" t="s">
        <v>5486</v>
      </c>
      <c r="P16" s="16"/>
      <c r="Q16" s="18"/>
      <c r="R16" s="16"/>
      <c r="S16" s="18"/>
      <c r="T16" s="20"/>
    </row>
    <row r="17" spans="1:20" ht="15.95" customHeight="1" x14ac:dyDescent="0.25">
      <c r="A17" s="18" t="s">
        <v>855</v>
      </c>
      <c r="B17" s="16"/>
      <c r="C17" s="18" t="s">
        <v>1886</v>
      </c>
      <c r="D17" s="16"/>
      <c r="E17" s="18" t="s">
        <v>2604</v>
      </c>
      <c r="F17" s="16"/>
      <c r="G17" s="18" t="s">
        <v>1149</v>
      </c>
      <c r="H17" s="16"/>
      <c r="I17" s="18" t="s">
        <v>3328</v>
      </c>
      <c r="J17" s="16"/>
      <c r="K17" s="18" t="s">
        <v>4073</v>
      </c>
      <c r="L17" s="16"/>
      <c r="M17" s="18" t="s">
        <v>4794</v>
      </c>
      <c r="N17" s="16"/>
      <c r="O17" s="18" t="s">
        <v>5487</v>
      </c>
      <c r="P17" s="16"/>
      <c r="Q17" s="18"/>
      <c r="R17" s="16"/>
      <c r="S17" s="18"/>
      <c r="T17" s="20"/>
    </row>
    <row r="18" spans="1:20" ht="15.95" customHeight="1" x14ac:dyDescent="0.25">
      <c r="A18" s="18" t="s">
        <v>856</v>
      </c>
      <c r="B18" s="16"/>
      <c r="C18" s="18" t="s">
        <v>1887</v>
      </c>
      <c r="D18" s="16"/>
      <c r="E18" s="18" t="s">
        <v>2605</v>
      </c>
      <c r="F18" s="16"/>
      <c r="G18" s="18" t="s">
        <v>1150</v>
      </c>
      <c r="H18" s="16"/>
      <c r="I18" s="18" t="s">
        <v>3329</v>
      </c>
      <c r="J18" s="16"/>
      <c r="K18" s="18" t="s">
        <v>4074</v>
      </c>
      <c r="L18" s="16"/>
      <c r="M18" s="18" t="s">
        <v>4795</v>
      </c>
      <c r="N18" s="16"/>
      <c r="O18" s="18" t="s">
        <v>5488</v>
      </c>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t="s">
        <v>4075</v>
      </c>
      <c r="L20" s="16" t="str">
        <f>K20</f>
        <v>십자군 아이템</v>
      </c>
      <c r="M20" s="18" t="s">
        <v>4796</v>
      </c>
      <c r="N20" s="16" t="str">
        <f>M20</f>
        <v>Item do Cruzado</v>
      </c>
      <c r="O20" s="18" t="s">
        <v>5489</v>
      </c>
      <c r="P20" s="16" t="str">
        <f>O20</f>
        <v>Предмет Крестоносца</v>
      </c>
      <c r="Q20" s="18"/>
      <c r="R20" s="16">
        <f>Q20</f>
        <v>0</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O3" sqref="O3:O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c r="R4" s="16" t="e">
        <f>TRIM(_xlfn.TEXTAFTER(Q3, ":"))</f>
        <v>#N/A</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t="s">
        <v>4077</v>
      </c>
      <c r="L5" s="16" t="str">
        <f>TRIM(_xlfn.TEXTBEFORE(K4, ":"))</f>
        <v>아이템 희귀도</v>
      </c>
      <c r="M5" s="18" t="s">
        <v>4798</v>
      </c>
      <c r="N5" s="16" t="str">
        <f>TRIM(_xlfn.TEXTBEFORE(M4, ":"))</f>
        <v>Raridade</v>
      </c>
      <c r="O5" s="18" t="s">
        <v>5491</v>
      </c>
      <c r="P5" s="16" t="str">
        <f>TRIM(_xlfn.TEXTBEFORE(O4, ":"))</f>
        <v>Редкость</v>
      </c>
      <c r="Q5" s="18"/>
      <c r="R5" s="16" t="e">
        <f>TRIM(_xlfn.TEXTBEFORE(Q4, ":"))</f>
        <v>#N/A</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t="s">
        <v>4078</v>
      </c>
      <c r="L6" s="16" t="str">
        <f>TRIM(_xlfn.TEXTAFTER(K4,":"))</f>
        <v>희귀</v>
      </c>
      <c r="M6" s="18" t="s">
        <v>4799</v>
      </c>
      <c r="N6" s="16" t="str">
        <f>TRIM(_xlfn.TEXTAFTER(M4,":"))</f>
        <v>Raro</v>
      </c>
      <c r="O6" s="18" t="s">
        <v>5492</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828</v>
      </c>
      <c r="B8" s="16"/>
      <c r="C8" s="18" t="s">
        <v>1892</v>
      </c>
      <c r="D8" s="16"/>
      <c r="E8" s="18" t="s">
        <v>2610</v>
      </c>
      <c r="F8" s="16"/>
      <c r="G8" s="18" t="s">
        <v>1155</v>
      </c>
      <c r="H8" s="16"/>
      <c r="I8" s="18" t="s">
        <v>3334</v>
      </c>
      <c r="J8" s="16"/>
      <c r="K8" s="18" t="s">
        <v>4079</v>
      </c>
      <c r="L8" s="16"/>
      <c r="M8" s="18" t="s">
        <v>4800</v>
      </c>
      <c r="N8" s="16"/>
      <c r="O8" s="18" t="s">
        <v>5493</v>
      </c>
      <c r="P8" s="16"/>
      <c r="Q8" s="18"/>
      <c r="R8" s="16"/>
      <c r="S8" s="18"/>
      <c r="T8" s="20"/>
    </row>
    <row r="9" spans="1:20" ht="15.95" customHeight="1" x14ac:dyDescent="0.25">
      <c r="A9" s="18" t="s">
        <v>829</v>
      </c>
      <c r="B9" s="16"/>
      <c r="C9" s="18" t="s">
        <v>1893</v>
      </c>
      <c r="D9" s="16"/>
      <c r="E9" s="18" t="s">
        <v>2611</v>
      </c>
      <c r="F9" s="16"/>
      <c r="G9" s="18" t="s">
        <v>1156</v>
      </c>
      <c r="H9" s="16"/>
      <c r="I9" s="18" t="s">
        <v>3335</v>
      </c>
      <c r="J9" s="16"/>
      <c r="K9" s="18" t="s">
        <v>4080</v>
      </c>
      <c r="L9" s="16"/>
      <c r="M9" s="18" t="s">
        <v>4801</v>
      </c>
      <c r="N9" s="16"/>
      <c r="O9" s="18" t="s">
        <v>5494</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c r="R11" s="16"/>
      <c r="S11" s="18"/>
      <c r="T11" s="20"/>
    </row>
    <row r="12" spans="1:20" ht="15.95" customHeight="1" x14ac:dyDescent="0.25">
      <c r="A12" s="18" t="s">
        <v>818</v>
      </c>
      <c r="B12" s="16"/>
      <c r="C12" s="18" t="s">
        <v>1894</v>
      </c>
      <c r="D12" s="16"/>
      <c r="E12" s="18" t="s">
        <v>2612</v>
      </c>
      <c r="F12" s="16"/>
      <c r="G12" s="18" t="s">
        <v>1157</v>
      </c>
      <c r="H12" s="16"/>
      <c r="I12" s="18" t="s">
        <v>3336</v>
      </c>
      <c r="J12" s="16"/>
      <c r="K12" s="18" t="s">
        <v>4081</v>
      </c>
      <c r="L12" s="16"/>
      <c r="M12" s="18" t="s">
        <v>4802</v>
      </c>
      <c r="N12" s="16"/>
      <c r="O12" s="18" t="s">
        <v>5495</v>
      </c>
      <c r="P12" s="16"/>
      <c r="Q12" s="18"/>
      <c r="R12" s="16"/>
      <c r="S12" s="18"/>
      <c r="T12" s="20"/>
    </row>
    <row r="13" spans="1:20" ht="15.95" customHeight="1" x14ac:dyDescent="0.25">
      <c r="A13" s="18" t="s">
        <v>830</v>
      </c>
      <c r="B13" s="16"/>
      <c r="C13" s="18" t="s">
        <v>1895</v>
      </c>
      <c r="D13" s="16"/>
      <c r="E13" s="18" t="s">
        <v>2613</v>
      </c>
      <c r="F13" s="16"/>
      <c r="G13" s="18" t="s">
        <v>830</v>
      </c>
      <c r="H13" s="16"/>
      <c r="I13" s="18" t="s">
        <v>3337</v>
      </c>
      <c r="J13" s="16"/>
      <c r="K13" s="18" t="s">
        <v>4082</v>
      </c>
      <c r="L13" s="16"/>
      <c r="M13" s="18" t="s">
        <v>2613</v>
      </c>
      <c r="N13" s="16"/>
      <c r="O13" s="18" t="s">
        <v>5496</v>
      </c>
      <c r="P13" s="16"/>
      <c r="Q13" s="18"/>
      <c r="R13" s="16"/>
      <c r="S13" s="18"/>
      <c r="T13" s="20"/>
    </row>
    <row r="14" spans="1:20" ht="15.95" customHeight="1" x14ac:dyDescent="0.25">
      <c r="A14" s="18" t="s">
        <v>831</v>
      </c>
      <c r="B14" s="16"/>
      <c r="C14" s="18" t="s">
        <v>831</v>
      </c>
      <c r="D14" s="16"/>
      <c r="E14" s="18" t="s">
        <v>831</v>
      </c>
      <c r="F14" s="16"/>
      <c r="G14" s="18" t="s">
        <v>831</v>
      </c>
      <c r="H14" s="16"/>
      <c r="I14" s="18" t="s">
        <v>3338</v>
      </c>
      <c r="J14" s="16"/>
      <c r="K14" s="18" t="s">
        <v>4083</v>
      </c>
      <c r="L14" s="16"/>
      <c r="M14" s="18" t="s">
        <v>831</v>
      </c>
      <c r="N14" s="16"/>
      <c r="O14" s="18" t="s">
        <v>5497</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832</v>
      </c>
      <c r="B16" s="16"/>
      <c r="C16" s="18" t="s">
        <v>1896</v>
      </c>
      <c r="D16" s="16"/>
      <c r="E16" s="18" t="s">
        <v>2614</v>
      </c>
      <c r="F16" s="16"/>
      <c r="G16" s="18" t="s">
        <v>1158</v>
      </c>
      <c r="H16" s="16"/>
      <c r="I16" s="18" t="s">
        <v>3339</v>
      </c>
      <c r="J16" s="16"/>
      <c r="K16" s="18" t="s">
        <v>4084</v>
      </c>
      <c r="L16" s="16"/>
      <c r="M16" s="18" t="s">
        <v>4803</v>
      </c>
      <c r="N16" s="16"/>
      <c r="O16" s="18" t="s">
        <v>5498</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0"/>
    </row>
    <row r="20" spans="1:20" ht="15.95" customHeight="1" x14ac:dyDescent="0.25">
      <c r="A20" s="18" t="s">
        <v>833</v>
      </c>
      <c r="B20" s="16"/>
      <c r="C20" s="18" t="s">
        <v>1897</v>
      </c>
      <c r="D20" s="16"/>
      <c r="E20" s="18" t="s">
        <v>2615</v>
      </c>
      <c r="F20" s="16"/>
      <c r="G20" s="18" t="s">
        <v>1159</v>
      </c>
      <c r="H20" s="16"/>
      <c r="I20" s="18" t="s">
        <v>3340</v>
      </c>
      <c r="J20" s="16"/>
      <c r="K20" s="18" t="s">
        <v>4085</v>
      </c>
      <c r="L20" s="16"/>
      <c r="M20" s="18" t="s">
        <v>4804</v>
      </c>
      <c r="N20" s="16"/>
      <c r="O20" s="18" t="s">
        <v>5499</v>
      </c>
      <c r="P20" s="16"/>
      <c r="Q20" s="18"/>
      <c r="R20" s="16"/>
      <c r="S20" s="18"/>
      <c r="T20" s="20"/>
    </row>
    <row r="21" spans="1:20" ht="15.95" customHeight="1" x14ac:dyDescent="0.25">
      <c r="A21" s="18" t="s">
        <v>834</v>
      </c>
      <c r="B21" s="16"/>
      <c r="C21" s="18" t="s">
        <v>1898</v>
      </c>
      <c r="D21" s="16"/>
      <c r="E21" s="18" t="s">
        <v>2616</v>
      </c>
      <c r="F21" s="16"/>
      <c r="G21" s="18" t="s">
        <v>1160</v>
      </c>
      <c r="H21" s="16"/>
      <c r="I21" s="18" t="s">
        <v>3341</v>
      </c>
      <c r="J21" s="16"/>
      <c r="K21" s="18" t="s">
        <v>4086</v>
      </c>
      <c r="L21" s="16"/>
      <c r="M21" s="18" t="s">
        <v>4805</v>
      </c>
      <c r="N21" s="16"/>
      <c r="O21" s="18" t="s">
        <v>5500</v>
      </c>
      <c r="P21" s="16"/>
      <c r="Q21" s="18"/>
      <c r="R21" s="16"/>
      <c r="S21" s="18"/>
      <c r="T21" s="20"/>
    </row>
    <row r="22" spans="1:20" ht="15.95" customHeight="1" x14ac:dyDescent="0.25">
      <c r="A22" s="18" t="s">
        <v>835</v>
      </c>
      <c r="B22" s="16"/>
      <c r="C22" s="18" t="s">
        <v>1899</v>
      </c>
      <c r="D22" s="16"/>
      <c r="E22" s="18" t="s">
        <v>2617</v>
      </c>
      <c r="F22" s="16"/>
      <c r="G22" s="18" t="s">
        <v>1161</v>
      </c>
      <c r="H22" s="16"/>
      <c r="I22" s="18" t="s">
        <v>3342</v>
      </c>
      <c r="J22" s="16"/>
      <c r="K22" s="18" t="s">
        <v>4087</v>
      </c>
      <c r="L22" s="16"/>
      <c r="M22" s="18" t="s">
        <v>4806</v>
      </c>
      <c r="N22" s="16"/>
      <c r="O22" s="18" t="s">
        <v>5501</v>
      </c>
      <c r="P22" s="16"/>
      <c r="Q22" s="18"/>
      <c r="R22" s="16"/>
      <c r="S22" s="18"/>
      <c r="T22" s="20"/>
    </row>
    <row r="23" spans="1:20" ht="15.95" customHeight="1" x14ac:dyDescent="0.25">
      <c r="A23" s="18" t="s">
        <v>836</v>
      </c>
      <c r="B23" s="16"/>
      <c r="C23" s="18" t="s">
        <v>1900</v>
      </c>
      <c r="D23" s="16"/>
      <c r="E23" s="18" t="s">
        <v>2618</v>
      </c>
      <c r="F23" s="16"/>
      <c r="G23" s="18" t="s">
        <v>1162</v>
      </c>
      <c r="H23" s="16"/>
      <c r="I23" s="18" t="s">
        <v>3343</v>
      </c>
      <c r="J23" s="16"/>
      <c r="K23" s="18" t="s">
        <v>4088</v>
      </c>
      <c r="L23" s="16"/>
      <c r="M23" s="18" t="s">
        <v>4807</v>
      </c>
      <c r="N23" s="16"/>
      <c r="O23" s="18" t="s">
        <v>5502</v>
      </c>
      <c r="P23" s="16"/>
      <c r="Q23" s="18"/>
      <c r="R23" s="16"/>
      <c r="S23" s="18"/>
      <c r="T23" s="20"/>
    </row>
    <row r="24" spans="1:20" ht="15.95" customHeight="1" x14ac:dyDescent="0.25">
      <c r="A24" s="18" t="s">
        <v>837</v>
      </c>
      <c r="B24" s="16"/>
      <c r="C24" s="18" t="s">
        <v>1901</v>
      </c>
      <c r="D24" s="16"/>
      <c r="E24" s="18" t="s">
        <v>2619</v>
      </c>
      <c r="F24" s="16"/>
      <c r="G24" s="18" t="s">
        <v>1163</v>
      </c>
      <c r="H24" s="16"/>
      <c r="I24" s="18" t="s">
        <v>3344</v>
      </c>
      <c r="J24" s="16"/>
      <c r="K24" s="18" t="s">
        <v>4089</v>
      </c>
      <c r="L24" s="16"/>
      <c r="M24" s="18" t="s">
        <v>4808</v>
      </c>
      <c r="N24" s="16"/>
      <c r="O24" s="18" t="s">
        <v>5503</v>
      </c>
      <c r="P24" s="16"/>
      <c r="Q24" s="18"/>
      <c r="R24" s="16"/>
      <c r="S24" s="18"/>
      <c r="T24" s="20"/>
    </row>
    <row r="25" spans="1:20" ht="15.95" customHeight="1" x14ac:dyDescent="0.25">
      <c r="A25" s="18" t="s">
        <v>838</v>
      </c>
      <c r="B25" s="16"/>
      <c r="C25" s="18" t="s">
        <v>1902</v>
      </c>
      <c r="D25" s="16"/>
      <c r="E25" s="18" t="s">
        <v>2620</v>
      </c>
      <c r="F25" s="16"/>
      <c r="G25" s="18" t="s">
        <v>1164</v>
      </c>
      <c r="H25" s="16"/>
      <c r="I25" s="18" t="s">
        <v>3345</v>
      </c>
      <c r="J25" s="16"/>
      <c r="K25" s="18" t="s">
        <v>4090</v>
      </c>
      <c r="L25" s="16"/>
      <c r="M25" s="18" t="s">
        <v>4809</v>
      </c>
      <c r="N25" s="16"/>
      <c r="O25" s="18" t="s">
        <v>5504</v>
      </c>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t="s">
        <v>4091</v>
      </c>
      <c r="L27" s="16" t="str">
        <f>K27</f>
        <v>엘더 아이템</v>
      </c>
      <c r="M27" s="18" t="s">
        <v>4810</v>
      </c>
      <c r="N27" s="16" t="str">
        <f>M27</f>
        <v>Item do Ancião</v>
      </c>
      <c r="O27" s="18" t="s">
        <v>5505</v>
      </c>
      <c r="P27" s="16" t="str">
        <f>O27</f>
        <v>Древний предмет</v>
      </c>
      <c r="Q27" s="18"/>
      <c r="R27" s="16">
        <f>Q27</f>
        <v>0</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O3" sqref="O3:O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c r="R4" s="16" t="e">
        <f>TRIM(_xlfn.TEXTAFTER(Q3, ":"))</f>
        <v>#N/A</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t="s">
        <v>4092</v>
      </c>
      <c r="L5" s="16" t="str">
        <f>TRIM(_xlfn.TEXTBEFORE(K4, ":"))</f>
        <v>아이템 희귀도</v>
      </c>
      <c r="M5" s="18" t="s">
        <v>4811</v>
      </c>
      <c r="N5" s="16" t="str">
        <f>TRIM(_xlfn.TEXTBEFORE(M4, ":"))</f>
        <v>Raridade</v>
      </c>
      <c r="O5" s="18" t="s">
        <v>5506</v>
      </c>
      <c r="P5" s="16" t="str">
        <f>TRIM(_xlfn.TEXTBEFORE(O4, ":"))</f>
        <v>Редкость</v>
      </c>
      <c r="Q5" s="18"/>
      <c r="R5" s="16" t="e">
        <f>TRIM(_xlfn.TEXTBEFORE(Q4, ":"))</f>
        <v>#N/A</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t="s">
        <v>4093</v>
      </c>
      <c r="L6" s="16" t="str">
        <f>TRIM(_xlfn.TEXTAFTER(K4,":"))</f>
        <v>희귀</v>
      </c>
      <c r="M6" s="18" t="s">
        <v>4812</v>
      </c>
      <c r="N6" s="16" t="str">
        <f>TRIM(_xlfn.TEXTAFTER(M4,":"))</f>
        <v>Raro</v>
      </c>
      <c r="O6" s="18" t="s">
        <v>5507</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817</v>
      </c>
      <c r="B8" s="16"/>
      <c r="C8" s="18" t="s">
        <v>1906</v>
      </c>
      <c r="D8" s="16"/>
      <c r="E8" s="18" t="s">
        <v>2624</v>
      </c>
      <c r="F8" s="16"/>
      <c r="G8" s="18" t="s">
        <v>1168</v>
      </c>
      <c r="H8" s="16"/>
      <c r="I8" s="18" t="s">
        <v>3349</v>
      </c>
      <c r="J8" s="16"/>
      <c r="K8" s="18" t="s">
        <v>4094</v>
      </c>
      <c r="L8" s="16"/>
      <c r="M8" s="18" t="s">
        <v>4813</v>
      </c>
      <c r="N8" s="16"/>
      <c r="O8" s="18" t="s">
        <v>5508</v>
      </c>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20"/>
    </row>
    <row r="11" spans="1:20" ht="15.95" customHeight="1" x14ac:dyDescent="0.25">
      <c r="A11" s="18" t="s">
        <v>818</v>
      </c>
      <c r="B11" s="16"/>
      <c r="C11" s="18" t="s">
        <v>1894</v>
      </c>
      <c r="D11" s="16"/>
      <c r="E11" s="18" t="s">
        <v>2612</v>
      </c>
      <c r="F11" s="16"/>
      <c r="G11" s="18" t="s">
        <v>1157</v>
      </c>
      <c r="H11" s="16"/>
      <c r="I11" s="18" t="s">
        <v>3336</v>
      </c>
      <c r="J11" s="16"/>
      <c r="K11" s="18" t="s">
        <v>4081</v>
      </c>
      <c r="L11" s="16"/>
      <c r="M11" s="18" t="s">
        <v>4802</v>
      </c>
      <c r="N11" s="16"/>
      <c r="O11" s="18" t="s">
        <v>5495</v>
      </c>
      <c r="P11" s="16"/>
      <c r="Q11" s="18"/>
      <c r="R11" s="16"/>
      <c r="S11" s="18"/>
      <c r="T11" s="20"/>
    </row>
    <row r="12" spans="1:20" ht="15.95" customHeight="1" x14ac:dyDescent="0.25">
      <c r="A12" s="18" t="s">
        <v>819</v>
      </c>
      <c r="B12" s="16"/>
      <c r="C12" s="18" t="s">
        <v>1907</v>
      </c>
      <c r="D12" s="16"/>
      <c r="E12" s="18" t="s">
        <v>2625</v>
      </c>
      <c r="F12" s="16"/>
      <c r="G12" s="18" t="s">
        <v>819</v>
      </c>
      <c r="H12" s="16"/>
      <c r="I12" s="18" t="s">
        <v>3350</v>
      </c>
      <c r="J12" s="16"/>
      <c r="K12" s="18" t="s">
        <v>4095</v>
      </c>
      <c r="L12" s="16"/>
      <c r="M12" s="18" t="s">
        <v>2625</v>
      </c>
      <c r="N12" s="16"/>
      <c r="O12" s="18" t="s">
        <v>5509</v>
      </c>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0"/>
    </row>
    <row r="14" spans="1:20" ht="15.95" customHeight="1" x14ac:dyDescent="0.25">
      <c r="A14" s="18" t="s">
        <v>820</v>
      </c>
      <c r="B14" s="16"/>
      <c r="C14" s="18" t="s">
        <v>1908</v>
      </c>
      <c r="D14" s="16"/>
      <c r="E14" s="18" t="s">
        <v>2626</v>
      </c>
      <c r="F14" s="16"/>
      <c r="G14" s="18" t="s">
        <v>1169</v>
      </c>
      <c r="H14" s="16"/>
      <c r="I14" s="18" t="s">
        <v>3351</v>
      </c>
      <c r="J14" s="16"/>
      <c r="K14" s="18" t="s">
        <v>4096</v>
      </c>
      <c r="L14" s="16"/>
      <c r="M14" s="18" t="s">
        <v>4814</v>
      </c>
      <c r="N14" s="16"/>
      <c r="O14" s="18" t="s">
        <v>5510</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340</v>
      </c>
      <c r="B16" s="16"/>
      <c r="C16" s="18" t="s">
        <v>1909</v>
      </c>
      <c r="D16" s="16"/>
      <c r="E16" s="18" t="s">
        <v>2627</v>
      </c>
      <c r="F16" s="16"/>
      <c r="G16" s="18" t="s">
        <v>1170</v>
      </c>
      <c r="H16" s="16"/>
      <c r="I16" s="18" t="s">
        <v>3352</v>
      </c>
      <c r="J16" s="16"/>
      <c r="K16" s="18" t="s">
        <v>4097</v>
      </c>
      <c r="L16" s="16"/>
      <c r="M16" s="18" t="s">
        <v>4815</v>
      </c>
      <c r="N16" s="16"/>
      <c r="O16" s="18" t="s">
        <v>5511</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821</v>
      </c>
      <c r="B18" s="16"/>
      <c r="C18" s="18" t="s">
        <v>1910</v>
      </c>
      <c r="D18" s="16"/>
      <c r="E18" s="18" t="s">
        <v>2628</v>
      </c>
      <c r="F18" s="16"/>
      <c r="G18" s="18" t="s">
        <v>1171</v>
      </c>
      <c r="H18" s="16"/>
      <c r="I18" s="18" t="s">
        <v>3353</v>
      </c>
      <c r="J18" s="16"/>
      <c r="K18" s="18" t="s">
        <v>4098</v>
      </c>
      <c r="L18" s="16"/>
      <c r="M18" s="18" t="s">
        <v>4816</v>
      </c>
      <c r="N18" s="16"/>
      <c r="O18" s="18" t="s">
        <v>5512</v>
      </c>
      <c r="P18" s="16"/>
      <c r="Q18" s="18"/>
      <c r="R18" s="16"/>
      <c r="S18" s="18"/>
      <c r="T18" s="20"/>
    </row>
    <row r="19" spans="1:20" ht="15.95" customHeight="1" x14ac:dyDescent="0.25">
      <c r="A19" s="18" t="s">
        <v>822</v>
      </c>
      <c r="B19" s="16"/>
      <c r="C19" s="18" t="s">
        <v>1911</v>
      </c>
      <c r="D19" s="16"/>
      <c r="E19" s="18" t="s">
        <v>2629</v>
      </c>
      <c r="F19" s="16"/>
      <c r="G19" s="18" t="s">
        <v>1172</v>
      </c>
      <c r="H19" s="16"/>
      <c r="I19" s="18" t="s">
        <v>3354</v>
      </c>
      <c r="J19" s="16"/>
      <c r="K19" s="18" t="s">
        <v>4099</v>
      </c>
      <c r="L19" s="16"/>
      <c r="M19" s="18" t="s">
        <v>4817</v>
      </c>
      <c r="N19" s="16"/>
      <c r="O19" s="18" t="s">
        <v>5513</v>
      </c>
      <c r="P19" s="16"/>
      <c r="Q19" s="18"/>
      <c r="R19" s="16"/>
      <c r="S19" s="18"/>
      <c r="T19" s="20"/>
    </row>
    <row r="20" spans="1:20" ht="15.95" customHeight="1" x14ac:dyDescent="0.25">
      <c r="A20" s="18" t="s">
        <v>823</v>
      </c>
      <c r="B20" s="16"/>
      <c r="C20" s="18" t="s">
        <v>1912</v>
      </c>
      <c r="D20" s="16"/>
      <c r="E20" s="18" t="s">
        <v>2630</v>
      </c>
      <c r="F20" s="16"/>
      <c r="G20" s="18" t="s">
        <v>1173</v>
      </c>
      <c r="H20" s="16"/>
      <c r="I20" s="18" t="s">
        <v>3355</v>
      </c>
      <c r="J20" s="16"/>
      <c r="K20" s="18" t="s">
        <v>4100</v>
      </c>
      <c r="L20" s="16"/>
      <c r="M20" s="18" t="s">
        <v>4818</v>
      </c>
      <c r="N20" s="16"/>
      <c r="O20" s="18" t="s">
        <v>5514</v>
      </c>
      <c r="P20" s="16"/>
      <c r="Q20" s="18"/>
      <c r="R20" s="16"/>
      <c r="S20" s="18"/>
      <c r="T20" s="20"/>
    </row>
    <row r="21" spans="1:20" ht="15.95" customHeight="1" x14ac:dyDescent="0.25">
      <c r="A21" s="18" t="s">
        <v>824</v>
      </c>
      <c r="B21" s="16"/>
      <c r="C21" s="18" t="s">
        <v>1913</v>
      </c>
      <c r="D21" s="16"/>
      <c r="E21" s="18" t="s">
        <v>2631</v>
      </c>
      <c r="F21" s="16"/>
      <c r="G21" s="18" t="s">
        <v>1174</v>
      </c>
      <c r="H21" s="16"/>
      <c r="I21" s="18" t="s">
        <v>3356</v>
      </c>
      <c r="J21" s="16"/>
      <c r="K21" s="18" t="s">
        <v>4101</v>
      </c>
      <c r="L21" s="16"/>
      <c r="M21" s="18" t="s">
        <v>4819</v>
      </c>
      <c r="N21" s="16"/>
      <c r="O21" s="18" t="s">
        <v>5515</v>
      </c>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t="s">
        <v>4102</v>
      </c>
      <c r="L23" s="16" t="str">
        <f>K23</f>
        <v>사냥꾼 아이템</v>
      </c>
      <c r="M23" s="18" t="s">
        <v>4820</v>
      </c>
      <c r="N23" s="16" t="str">
        <f>M23</f>
        <v>Item do Caçador</v>
      </c>
      <c r="O23" s="18" t="s">
        <v>5516</v>
      </c>
      <c r="P23" s="16" t="str">
        <f>O23</f>
        <v>Предмет Охотника</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O3" sqref="O3:O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t="s">
        <v>4066</v>
      </c>
      <c r="L4" s="16" t="str">
        <f>TRIM(_xlfn.TEXTAFTER(K3, ":"))</f>
        <v>반지</v>
      </c>
      <c r="M4" s="18" t="s">
        <v>4787</v>
      </c>
      <c r="N4" s="16" t="str">
        <f>TRIM(_xlfn.TEXTAFTER(M3, ":"))</f>
        <v>Anéis</v>
      </c>
      <c r="O4" s="18" t="s">
        <v>5480</v>
      </c>
      <c r="P4" s="16" t="str">
        <f>TRIM(_xlfn.TEXTAFTER(O3, ":"))</f>
        <v>Кольца</v>
      </c>
      <c r="Q4" s="18"/>
      <c r="R4" s="16" t="e">
        <f>TRIM(_xlfn.TEXTAFTER(Q3, ":"))</f>
        <v>#N/A</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t="s">
        <v>4103</v>
      </c>
      <c r="L5" s="16" t="str">
        <f>TRIM(_xlfn.TEXTBEFORE(K4, ":"))</f>
        <v>아이템 희귀도</v>
      </c>
      <c r="M5" s="18" t="s">
        <v>4821</v>
      </c>
      <c r="N5" s="16" t="str">
        <f>TRIM(_xlfn.TEXTBEFORE(M4, ":"))</f>
        <v>Raridade</v>
      </c>
      <c r="O5" s="18" t="s">
        <v>5517</v>
      </c>
      <c r="P5" s="16" t="str">
        <f>TRIM(_xlfn.TEXTBEFORE(O4, ":"))</f>
        <v>Редкость</v>
      </c>
      <c r="Q5" s="18"/>
      <c r="R5" s="16" t="e">
        <f>TRIM(_xlfn.TEXTBEFORE(Q4, ":"))</f>
        <v>#N/A</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t="s">
        <v>4104</v>
      </c>
      <c r="L6" s="16" t="str">
        <f>TRIM(_xlfn.TEXTAFTER(K4,":"))</f>
        <v>희귀</v>
      </c>
      <c r="M6" s="18" t="s">
        <v>4822</v>
      </c>
      <c r="N6" s="16" t="str">
        <f>TRIM(_xlfn.TEXTAFTER(M4,":"))</f>
        <v>Raro</v>
      </c>
      <c r="O6" s="18" t="s">
        <v>5518</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c r="R8" s="16"/>
      <c r="S8" s="18"/>
      <c r="T8" s="20"/>
    </row>
    <row r="9" spans="1:20" ht="15.95" customHeight="1" x14ac:dyDescent="0.25">
      <c r="A9" s="18" t="s">
        <v>842</v>
      </c>
      <c r="B9" s="16"/>
      <c r="C9" s="18" t="s">
        <v>1917</v>
      </c>
      <c r="D9" s="16"/>
      <c r="E9" s="18" t="s">
        <v>2635</v>
      </c>
      <c r="F9" s="16"/>
      <c r="G9" s="18" t="s">
        <v>1178</v>
      </c>
      <c r="H9" s="16"/>
      <c r="I9" s="18" t="s">
        <v>3360</v>
      </c>
      <c r="J9" s="16"/>
      <c r="K9" s="18" t="s">
        <v>4105</v>
      </c>
      <c r="L9" s="16"/>
      <c r="M9" s="18" t="s">
        <v>4823</v>
      </c>
      <c r="N9" s="16"/>
      <c r="O9" s="18" t="s">
        <v>5519</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843</v>
      </c>
      <c r="B13" s="16"/>
      <c r="C13" s="18" t="s">
        <v>1918</v>
      </c>
      <c r="D13" s="16"/>
      <c r="E13" s="18" t="s">
        <v>2636</v>
      </c>
      <c r="F13" s="16"/>
      <c r="G13" s="18" t="s">
        <v>1179</v>
      </c>
      <c r="H13" s="16"/>
      <c r="I13" s="18" t="s">
        <v>3361</v>
      </c>
      <c r="J13" s="16"/>
      <c r="K13" s="18" t="s">
        <v>4106</v>
      </c>
      <c r="L13" s="16"/>
      <c r="M13" s="18" t="s">
        <v>4824</v>
      </c>
      <c r="N13" s="16"/>
      <c r="O13" s="18" t="s">
        <v>5520</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844</v>
      </c>
      <c r="B15" s="16"/>
      <c r="C15" s="18" t="s">
        <v>1919</v>
      </c>
      <c r="D15" s="16"/>
      <c r="E15" s="18" t="s">
        <v>2637</v>
      </c>
      <c r="F15" s="16"/>
      <c r="G15" s="18" t="s">
        <v>1180</v>
      </c>
      <c r="H15" s="16"/>
      <c r="I15" s="18" t="s">
        <v>3362</v>
      </c>
      <c r="J15" s="16"/>
      <c r="K15" s="18" t="s">
        <v>4107</v>
      </c>
      <c r="L15" s="16"/>
      <c r="M15" s="18" t="s">
        <v>4825</v>
      </c>
      <c r="N15" s="16"/>
      <c r="O15" s="18" t="s">
        <v>5521</v>
      </c>
      <c r="P15" s="16"/>
      <c r="Q15" s="18"/>
      <c r="R15" s="16"/>
      <c r="S15" s="18"/>
      <c r="T15" s="20"/>
    </row>
    <row r="16" spans="1:20" ht="15.95" customHeight="1" x14ac:dyDescent="0.25">
      <c r="A16" s="18" t="s">
        <v>845</v>
      </c>
      <c r="B16" s="16"/>
      <c r="C16" s="18" t="s">
        <v>1920</v>
      </c>
      <c r="D16" s="16"/>
      <c r="E16" s="18" t="s">
        <v>2638</v>
      </c>
      <c r="F16" s="16"/>
      <c r="G16" s="18" t="s">
        <v>1181</v>
      </c>
      <c r="H16" s="16"/>
      <c r="I16" s="18" t="s">
        <v>3363</v>
      </c>
      <c r="J16" s="16"/>
      <c r="K16" s="18" t="s">
        <v>4108</v>
      </c>
      <c r="L16" s="16"/>
      <c r="M16" s="18" t="s">
        <v>4826</v>
      </c>
      <c r="N16" s="16"/>
      <c r="O16" s="18" t="s">
        <v>5522</v>
      </c>
      <c r="P16" s="16"/>
      <c r="Q16" s="18"/>
      <c r="R16" s="16"/>
      <c r="S16" s="18"/>
      <c r="T16" s="20"/>
    </row>
    <row r="17" spans="1:20" ht="15.95" customHeight="1" x14ac:dyDescent="0.25">
      <c r="A17" s="18" t="s">
        <v>846</v>
      </c>
      <c r="B17" s="16"/>
      <c r="C17" s="18" t="s">
        <v>1921</v>
      </c>
      <c r="D17" s="16"/>
      <c r="E17" s="18" t="s">
        <v>2639</v>
      </c>
      <c r="F17" s="16"/>
      <c r="G17" s="18" t="s">
        <v>1182</v>
      </c>
      <c r="H17" s="16"/>
      <c r="I17" s="18" t="s">
        <v>3364</v>
      </c>
      <c r="J17" s="16"/>
      <c r="K17" s="18" t="s">
        <v>4109</v>
      </c>
      <c r="L17" s="16"/>
      <c r="M17" s="18" t="s">
        <v>4827</v>
      </c>
      <c r="N17" s="16"/>
      <c r="O17" s="18" t="s">
        <v>5523</v>
      </c>
      <c r="P17" s="16"/>
      <c r="Q17" s="18"/>
      <c r="R17" s="16"/>
      <c r="S17" s="18"/>
      <c r="T17" s="20"/>
    </row>
    <row r="18" spans="1:20" ht="15.95" customHeight="1" x14ac:dyDescent="0.25">
      <c r="A18" s="18" t="s">
        <v>847</v>
      </c>
      <c r="B18" s="16"/>
      <c r="C18" s="18" t="s">
        <v>1922</v>
      </c>
      <c r="D18" s="16"/>
      <c r="E18" s="18" t="s">
        <v>2640</v>
      </c>
      <c r="F18" s="16"/>
      <c r="G18" s="18" t="s">
        <v>1183</v>
      </c>
      <c r="H18" s="16"/>
      <c r="I18" s="18" t="s">
        <v>3365</v>
      </c>
      <c r="J18" s="16"/>
      <c r="K18" s="18" t="s">
        <v>4110</v>
      </c>
      <c r="L18" s="16"/>
      <c r="M18" s="18" t="s">
        <v>4828</v>
      </c>
      <c r="N18" s="16"/>
      <c r="O18" s="18" t="s">
        <v>5524</v>
      </c>
      <c r="P18" s="16"/>
      <c r="Q18" s="18"/>
      <c r="R18" s="16"/>
      <c r="S18" s="18"/>
      <c r="T18" s="20"/>
    </row>
    <row r="19" spans="1:20" ht="15.95" customHeight="1" x14ac:dyDescent="0.25">
      <c r="A19" s="18" t="s">
        <v>848</v>
      </c>
      <c r="B19" s="16"/>
      <c r="C19" s="18" t="s">
        <v>1923</v>
      </c>
      <c r="D19" s="16"/>
      <c r="E19" s="18" t="s">
        <v>2641</v>
      </c>
      <c r="F19" s="16"/>
      <c r="G19" s="18" t="s">
        <v>1184</v>
      </c>
      <c r="H19" s="16"/>
      <c r="I19" s="18" t="s">
        <v>3366</v>
      </c>
      <c r="J19" s="16"/>
      <c r="K19" s="18" t="s">
        <v>4111</v>
      </c>
      <c r="L19" s="16"/>
      <c r="M19" s="18" t="s">
        <v>4829</v>
      </c>
      <c r="N19" s="16"/>
      <c r="O19" s="18" t="s">
        <v>5525</v>
      </c>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t="s">
        <v>4112</v>
      </c>
      <c r="L21" s="16" t="str">
        <f>K21</f>
        <v>대속자 아이템</v>
      </c>
      <c r="M21" s="18" t="s">
        <v>4830</v>
      </c>
      <c r="N21" s="16" t="str">
        <f>M21</f>
        <v>Item do Redentor</v>
      </c>
      <c r="O21" s="18" t="s">
        <v>5526</v>
      </c>
      <c r="P21" s="16" t="str">
        <f>O21</f>
        <v>Предмет Избавительницы</v>
      </c>
      <c r="Q21" s="18"/>
      <c r="R21" s="16">
        <f>Q21</f>
        <v>0</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O3" sqref="O3:O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t="s">
        <v>4066</v>
      </c>
      <c r="L4" s="16" t="str">
        <f>TRIM(_xlfn.TEXTAFTER(K3, ":"))</f>
        <v>방패</v>
      </c>
      <c r="M4" s="18" t="s">
        <v>4787</v>
      </c>
      <c r="N4" s="16" t="str">
        <f>TRIM(_xlfn.TEXTAFTER(M3, ":"))</f>
        <v>Escudos</v>
      </c>
      <c r="O4" s="18" t="s">
        <v>5480</v>
      </c>
      <c r="P4" s="16" t="str">
        <f>TRIM(_xlfn.TEXTAFTER(O3, ":"))</f>
        <v>Щиты</v>
      </c>
      <c r="Q4" s="18"/>
      <c r="R4" s="16" t="e">
        <f>TRIM(_xlfn.TEXTAFTER(Q3, ":"))</f>
        <v>#N/A</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t="s">
        <v>4113</v>
      </c>
      <c r="L5" s="16" t="str">
        <f>TRIM(_xlfn.TEXTBEFORE(K4, ":"))</f>
        <v>아이템 희귀도</v>
      </c>
      <c r="M5" s="18" t="s">
        <v>4831</v>
      </c>
      <c r="N5" s="16" t="str">
        <f>TRIM(_xlfn.TEXTBEFORE(M4, ":"))</f>
        <v>Raridade</v>
      </c>
      <c r="O5" s="18" t="s">
        <v>5527</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c r="R6" s="16" t="e">
        <f>TRIM(_xlfn.TEXTAFTER(Q4,":"))</f>
        <v>#N/A</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t="s">
        <v>4114</v>
      </c>
      <c r="L7" s="16"/>
      <c r="M7" s="18" t="s">
        <v>4832</v>
      </c>
      <c r="N7" s="16"/>
      <c r="O7" s="18" t="s">
        <v>5528</v>
      </c>
      <c r="P7" s="16"/>
      <c r="Q7" s="18"/>
      <c r="R7" s="16"/>
      <c r="S7" s="18"/>
      <c r="T7" s="20"/>
    </row>
    <row r="8" spans="1:20" ht="15.95" customHeight="1" x14ac:dyDescent="0.25">
      <c r="A8" s="18" t="s">
        <v>809</v>
      </c>
      <c r="B8" s="16"/>
      <c r="C8" s="18" t="s">
        <v>1927</v>
      </c>
      <c r="D8" s="16"/>
      <c r="E8" s="18" t="s">
        <v>2645</v>
      </c>
      <c r="F8" s="16"/>
      <c r="G8" s="18" t="s">
        <v>1188</v>
      </c>
      <c r="H8" s="16"/>
      <c r="I8" s="18" t="s">
        <v>3370</v>
      </c>
      <c r="J8" s="16"/>
      <c r="K8" s="18" t="s">
        <v>4115</v>
      </c>
      <c r="L8" s="16"/>
      <c r="M8" s="18" t="s">
        <v>2645</v>
      </c>
      <c r="N8" s="16"/>
      <c r="O8" s="18" t="s">
        <v>5529</v>
      </c>
      <c r="P8" s="16"/>
      <c r="Q8" s="18"/>
      <c r="R8" s="16"/>
      <c r="S8" s="18"/>
      <c r="T8" s="20"/>
    </row>
    <row r="9" spans="1:20" ht="15.95" customHeight="1" x14ac:dyDescent="0.25">
      <c r="A9" s="18" t="s">
        <v>810</v>
      </c>
      <c r="B9" s="16"/>
      <c r="C9" s="18" t="s">
        <v>1928</v>
      </c>
      <c r="D9" s="16"/>
      <c r="E9" s="18" t="s">
        <v>2646</v>
      </c>
      <c r="F9" s="16"/>
      <c r="G9" s="18" t="s">
        <v>1189</v>
      </c>
      <c r="H9" s="16"/>
      <c r="I9" s="18" t="s">
        <v>3371</v>
      </c>
      <c r="J9" s="16"/>
      <c r="K9" s="18" t="s">
        <v>4116</v>
      </c>
      <c r="L9" s="16"/>
      <c r="M9" s="18" t="s">
        <v>4833</v>
      </c>
      <c r="N9" s="16"/>
      <c r="O9" s="18" t="s">
        <v>5530</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c r="R11" s="16"/>
      <c r="S11" s="18"/>
      <c r="T11" s="20"/>
    </row>
    <row r="12" spans="1:20" ht="15.95" customHeight="1" x14ac:dyDescent="0.25">
      <c r="A12" s="18" t="s">
        <v>811</v>
      </c>
      <c r="B12" s="16"/>
      <c r="C12" s="18" t="s">
        <v>811</v>
      </c>
      <c r="D12" s="16"/>
      <c r="E12" s="18" t="s">
        <v>2647</v>
      </c>
      <c r="F12" s="16"/>
      <c r="G12" s="18" t="s">
        <v>1190</v>
      </c>
      <c r="H12" s="16"/>
      <c r="I12" s="18" t="s">
        <v>3372</v>
      </c>
      <c r="J12" s="16"/>
      <c r="K12" s="18" t="s">
        <v>4117</v>
      </c>
      <c r="L12" s="16"/>
      <c r="M12" s="18" t="s">
        <v>1190</v>
      </c>
      <c r="N12" s="16"/>
      <c r="O12" s="18" t="s">
        <v>5531</v>
      </c>
      <c r="P12" s="16"/>
      <c r="Q12" s="18"/>
      <c r="R12" s="16"/>
      <c r="S12" s="18"/>
      <c r="T12" s="20"/>
    </row>
    <row r="13" spans="1:20" ht="15.95" customHeight="1" x14ac:dyDescent="0.25">
      <c r="A13" s="18" t="s">
        <v>812</v>
      </c>
      <c r="B13" s="16"/>
      <c r="C13" s="18" t="s">
        <v>812</v>
      </c>
      <c r="D13" s="16"/>
      <c r="E13" s="18" t="s">
        <v>812</v>
      </c>
      <c r="F13" s="16"/>
      <c r="G13" s="18" t="s">
        <v>812</v>
      </c>
      <c r="H13" s="16"/>
      <c r="I13" s="18" t="s">
        <v>3373</v>
      </c>
      <c r="J13" s="16"/>
      <c r="K13" s="18" t="s">
        <v>4118</v>
      </c>
      <c r="L13" s="16"/>
      <c r="M13" s="18" t="s">
        <v>812</v>
      </c>
      <c r="N13" s="16"/>
      <c r="O13" s="18" t="s">
        <v>5532</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813</v>
      </c>
      <c r="B15" s="16"/>
      <c r="C15" s="18" t="s">
        <v>1929</v>
      </c>
      <c r="D15" s="16"/>
      <c r="E15" s="18" t="s">
        <v>2648</v>
      </c>
      <c r="F15" s="16"/>
      <c r="G15" s="18" t="s">
        <v>1191</v>
      </c>
      <c r="H15" s="16"/>
      <c r="I15" s="18" t="s">
        <v>3374</v>
      </c>
      <c r="J15" s="16"/>
      <c r="K15" s="18" t="s">
        <v>4119</v>
      </c>
      <c r="L15" s="16"/>
      <c r="M15" s="18" t="s">
        <v>4834</v>
      </c>
      <c r="N15" s="16"/>
      <c r="O15" s="18" t="s">
        <v>5533</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117</v>
      </c>
      <c r="B17" s="16"/>
      <c r="C17" s="18" t="s">
        <v>1742</v>
      </c>
      <c r="D17" s="16"/>
      <c r="E17" s="18" t="s">
        <v>2461</v>
      </c>
      <c r="F17" s="16"/>
      <c r="G17" s="18" t="s">
        <v>1010</v>
      </c>
      <c r="H17" s="16"/>
      <c r="I17" s="18" t="s">
        <v>3179</v>
      </c>
      <c r="J17" s="16"/>
      <c r="K17" s="18" t="s">
        <v>3926</v>
      </c>
      <c r="L17" s="16"/>
      <c r="M17" s="18" t="s">
        <v>4655</v>
      </c>
      <c r="N17" s="16"/>
      <c r="O17" s="18" t="s">
        <v>5340</v>
      </c>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0"/>
    </row>
    <row r="19" spans="1:20" ht="15.95" customHeight="1" x14ac:dyDescent="0.25">
      <c r="A19" s="18" t="s">
        <v>802</v>
      </c>
      <c r="B19" s="16"/>
      <c r="C19" s="18" t="s">
        <v>1930</v>
      </c>
      <c r="D19" s="16"/>
      <c r="E19" s="18" t="s">
        <v>2649</v>
      </c>
      <c r="F19" s="16"/>
      <c r="G19" s="18" t="s">
        <v>1192</v>
      </c>
      <c r="H19" s="16"/>
      <c r="I19" s="18" t="s">
        <v>3375</v>
      </c>
      <c r="J19" s="16"/>
      <c r="K19" s="18" t="s">
        <v>4120</v>
      </c>
      <c r="L19" s="16"/>
      <c r="M19" s="18" t="s">
        <v>4835</v>
      </c>
      <c r="N19" s="16"/>
      <c r="O19" s="18" t="s">
        <v>5534</v>
      </c>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0"/>
    </row>
    <row r="21" spans="1:20" ht="15.95" customHeight="1" x14ac:dyDescent="0.25">
      <c r="A21" s="18" t="s">
        <v>75</v>
      </c>
      <c r="B21" s="16"/>
      <c r="C21" s="18" t="s">
        <v>1813</v>
      </c>
      <c r="D21" s="16"/>
      <c r="E21" s="18" t="s">
        <v>2532</v>
      </c>
      <c r="F21" s="16"/>
      <c r="G21" s="18" t="s">
        <v>1081</v>
      </c>
      <c r="H21" s="16"/>
      <c r="I21" s="18" t="s">
        <v>3251</v>
      </c>
      <c r="J21" s="16"/>
      <c r="K21" s="18" t="s">
        <v>3997</v>
      </c>
      <c r="L21" s="16"/>
      <c r="M21" s="18" t="s">
        <v>4726</v>
      </c>
      <c r="N21" s="16"/>
      <c r="O21" s="18" t="s">
        <v>5411</v>
      </c>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t="s">
        <v>4121</v>
      </c>
      <c r="L23" s="16" t="str">
        <f>K23</f>
        <v>쉐이퍼 아이템</v>
      </c>
      <c r="M23" s="18" t="s">
        <v>4836</v>
      </c>
      <c r="N23" s="16" t="str">
        <f>M23</f>
        <v>Item do Criador</v>
      </c>
      <c r="O23" s="18" t="s">
        <v>5535</v>
      </c>
      <c r="P23" s="16" t="str">
        <f>O23</f>
        <v>Предмет Создателя</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O3" sqref="O3:O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c r="R3" s="16" t="e">
        <f>TRIM(_xlfn.TEXTBEFORE(Q3, ":"))</f>
        <v>#N/A</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t="s">
        <v>3894</v>
      </c>
      <c r="L4" s="16" t="str">
        <f>TRIM(_xlfn.TEXTAFTER(K3, ":"))</f>
        <v>갑옷</v>
      </c>
      <c r="M4" s="18" t="s">
        <v>4624</v>
      </c>
      <c r="N4" s="16" t="str">
        <f>TRIM(_xlfn.TEXTAFTER(M3, ":"))</f>
        <v>Peitorais</v>
      </c>
      <c r="O4" s="18" t="s">
        <v>5307</v>
      </c>
      <c r="P4" s="16" t="str">
        <f>TRIM(_xlfn.TEXTAFTER(O3, ":"))</f>
        <v>Доспехи</v>
      </c>
      <c r="Q4" s="18"/>
      <c r="R4" s="16" t="e">
        <f>TRIM(_xlfn.TEXTAFTER(Q3, ":"))</f>
        <v>#N/A</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t="s">
        <v>4122</v>
      </c>
      <c r="L5" s="16" t="str">
        <f>TRIM(_xlfn.TEXTBEFORE(K4, ":"))</f>
        <v>아이템 희귀도</v>
      </c>
      <c r="M5" s="18" t="s">
        <v>4837</v>
      </c>
      <c r="N5" s="16" t="str">
        <f>TRIM(_xlfn.TEXTBEFORE(M4, ":"))</f>
        <v>Raridade</v>
      </c>
      <c r="O5" s="18" t="s">
        <v>5536</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c r="R6" s="16" t="e">
        <f>TRIM(_xlfn.TEXTAFTER(Q4,":"))</f>
        <v>#N/A</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t="s">
        <v>4123</v>
      </c>
      <c r="L7" s="16"/>
      <c r="M7" s="18" t="s">
        <v>4838</v>
      </c>
      <c r="N7" s="16"/>
      <c r="O7" s="18" t="s">
        <v>5537</v>
      </c>
      <c r="P7" s="16"/>
      <c r="Q7" s="18"/>
      <c r="R7" s="16"/>
      <c r="S7" s="18"/>
      <c r="T7" s="20"/>
    </row>
    <row r="8" spans="1:20" ht="15.95" customHeight="1" x14ac:dyDescent="0.25">
      <c r="A8" s="18" t="s">
        <v>798</v>
      </c>
      <c r="B8" s="16"/>
      <c r="C8" s="18" t="s">
        <v>1934</v>
      </c>
      <c r="D8" s="16"/>
      <c r="E8" s="18" t="s">
        <v>2653</v>
      </c>
      <c r="F8" s="16"/>
      <c r="G8" s="18" t="s">
        <v>1196</v>
      </c>
      <c r="H8" s="16"/>
      <c r="I8" s="18" t="s">
        <v>3379</v>
      </c>
      <c r="J8" s="16"/>
      <c r="K8" s="18" t="s">
        <v>4124</v>
      </c>
      <c r="L8" s="16"/>
      <c r="M8" s="18" t="s">
        <v>2653</v>
      </c>
      <c r="N8" s="16"/>
      <c r="O8" s="18" t="s">
        <v>5538</v>
      </c>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20"/>
    </row>
    <row r="11" spans="1:20" ht="15.95" customHeight="1" x14ac:dyDescent="0.25">
      <c r="A11" s="18" t="s">
        <v>136</v>
      </c>
      <c r="B11" s="16"/>
      <c r="C11" s="18" t="s">
        <v>1619</v>
      </c>
      <c r="D11" s="16"/>
      <c r="E11" s="18" t="s">
        <v>2366</v>
      </c>
      <c r="F11" s="16"/>
      <c r="G11" s="18" t="s">
        <v>893</v>
      </c>
      <c r="H11" s="16"/>
      <c r="I11" s="18" t="s">
        <v>3080</v>
      </c>
      <c r="J11" s="16"/>
      <c r="K11" s="18" t="s">
        <v>3831</v>
      </c>
      <c r="L11" s="16"/>
      <c r="M11" s="18" t="s">
        <v>4559</v>
      </c>
      <c r="N11" s="16"/>
      <c r="O11" s="18" t="s">
        <v>5242</v>
      </c>
      <c r="P11" s="16"/>
      <c r="Q11" s="18"/>
      <c r="R11" s="16"/>
      <c r="S11" s="18"/>
      <c r="T11" s="20"/>
    </row>
    <row r="12" spans="1:20" ht="15.95" customHeight="1" x14ac:dyDescent="0.25">
      <c r="A12" s="18" t="s">
        <v>799</v>
      </c>
      <c r="B12" s="16"/>
      <c r="C12" s="18" t="s">
        <v>799</v>
      </c>
      <c r="D12" s="16"/>
      <c r="E12" s="18" t="s">
        <v>2654</v>
      </c>
      <c r="F12" s="16"/>
      <c r="G12" s="18" t="s">
        <v>1197</v>
      </c>
      <c r="H12" s="16"/>
      <c r="I12" s="18" t="s">
        <v>3380</v>
      </c>
      <c r="J12" s="16"/>
      <c r="K12" s="18" t="s">
        <v>4125</v>
      </c>
      <c r="L12" s="16"/>
      <c r="M12" s="18" t="s">
        <v>1197</v>
      </c>
      <c r="N12" s="16"/>
      <c r="O12" s="18" t="s">
        <v>5539</v>
      </c>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0"/>
    </row>
    <row r="14" spans="1:20" ht="15.95" customHeight="1" x14ac:dyDescent="0.25">
      <c r="A14" s="18" t="s">
        <v>800</v>
      </c>
      <c r="B14" s="16"/>
      <c r="C14" s="18" t="s">
        <v>1935</v>
      </c>
      <c r="D14" s="16"/>
      <c r="E14" s="18" t="s">
        <v>2655</v>
      </c>
      <c r="F14" s="16"/>
      <c r="G14" s="18" t="s">
        <v>1198</v>
      </c>
      <c r="H14" s="16"/>
      <c r="I14" s="18" t="s">
        <v>3381</v>
      </c>
      <c r="J14" s="16"/>
      <c r="K14" s="18" t="s">
        <v>4126</v>
      </c>
      <c r="L14" s="16"/>
      <c r="M14" s="18" t="s">
        <v>4839</v>
      </c>
      <c r="N14" s="16"/>
      <c r="O14" s="18" t="s">
        <v>5540</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801</v>
      </c>
      <c r="B16" s="16"/>
      <c r="C16" s="18" t="s">
        <v>1936</v>
      </c>
      <c r="D16" s="16"/>
      <c r="E16" s="18" t="s">
        <v>2656</v>
      </c>
      <c r="F16" s="16"/>
      <c r="G16" s="18" t="s">
        <v>1199</v>
      </c>
      <c r="H16" s="16"/>
      <c r="I16" s="18" t="s">
        <v>3382</v>
      </c>
      <c r="J16" s="16"/>
      <c r="K16" s="18" t="s">
        <v>4127</v>
      </c>
      <c r="L16" s="16"/>
      <c r="M16" s="18" t="s">
        <v>4840</v>
      </c>
      <c r="N16" s="16"/>
      <c r="O16" s="18" t="s">
        <v>5541</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802</v>
      </c>
      <c r="B18" s="16"/>
      <c r="C18" s="18" t="s">
        <v>1930</v>
      </c>
      <c r="D18" s="16"/>
      <c r="E18" s="18" t="s">
        <v>2649</v>
      </c>
      <c r="F18" s="16"/>
      <c r="G18" s="18" t="s">
        <v>1192</v>
      </c>
      <c r="H18" s="16"/>
      <c r="I18" s="18" t="s">
        <v>3375</v>
      </c>
      <c r="J18" s="16"/>
      <c r="K18" s="18" t="s">
        <v>4120</v>
      </c>
      <c r="L18" s="16"/>
      <c r="M18" s="18" t="s">
        <v>4835</v>
      </c>
      <c r="N18" s="16"/>
      <c r="O18" s="18" t="s">
        <v>5534</v>
      </c>
      <c r="P18" s="16"/>
      <c r="Q18" s="18"/>
      <c r="R18" s="16"/>
      <c r="S18" s="18"/>
      <c r="T18" s="20"/>
    </row>
    <row r="19" spans="1:20" ht="15.95" customHeight="1" x14ac:dyDescent="0.25">
      <c r="A19" s="18" t="s">
        <v>803</v>
      </c>
      <c r="B19" s="16"/>
      <c r="C19" s="18" t="s">
        <v>1937</v>
      </c>
      <c r="D19" s="16"/>
      <c r="E19" s="18" t="s">
        <v>2657</v>
      </c>
      <c r="F19" s="16"/>
      <c r="G19" s="18" t="s">
        <v>1200</v>
      </c>
      <c r="H19" s="16"/>
      <c r="I19" s="18" t="s">
        <v>3383</v>
      </c>
      <c r="J19" s="16"/>
      <c r="K19" s="18" t="s">
        <v>4128</v>
      </c>
      <c r="L19" s="16"/>
      <c r="M19" s="18" t="s">
        <v>4841</v>
      </c>
      <c r="N19" s="16"/>
      <c r="O19" s="18" t="s">
        <v>5542</v>
      </c>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0"/>
    </row>
    <row r="21" spans="1:20" ht="15.95" customHeight="1" x14ac:dyDescent="0.25">
      <c r="A21" s="18" t="s">
        <v>804</v>
      </c>
      <c r="B21" s="16"/>
      <c r="C21" s="18" t="s">
        <v>1938</v>
      </c>
      <c r="D21" s="16"/>
      <c r="E21" s="18" t="s">
        <v>2658</v>
      </c>
      <c r="F21" s="16"/>
      <c r="G21" s="18" t="s">
        <v>1201</v>
      </c>
      <c r="H21" s="16"/>
      <c r="I21" s="18" t="s">
        <v>3384</v>
      </c>
      <c r="J21" s="16"/>
      <c r="K21" s="18" t="s">
        <v>4129</v>
      </c>
      <c r="L21" s="16"/>
      <c r="M21" s="18" t="s">
        <v>4842</v>
      </c>
      <c r="N21" s="16"/>
      <c r="O21" s="18" t="s">
        <v>5543</v>
      </c>
      <c r="P21" s="16"/>
      <c r="Q21" s="18"/>
      <c r="R21" s="16"/>
      <c r="S21" s="18"/>
      <c r="T21" s="20"/>
    </row>
    <row r="22" spans="1:20" ht="15.95" customHeight="1" x14ac:dyDescent="0.25">
      <c r="A22" s="18" t="s">
        <v>805</v>
      </c>
      <c r="B22" s="16"/>
      <c r="C22" s="18" t="s">
        <v>1939</v>
      </c>
      <c r="D22" s="16"/>
      <c r="E22" s="18" t="s">
        <v>2659</v>
      </c>
      <c r="F22" s="16"/>
      <c r="G22" s="18" t="s">
        <v>1202</v>
      </c>
      <c r="H22" s="16"/>
      <c r="I22" s="18" t="s">
        <v>3385</v>
      </c>
      <c r="J22" s="16"/>
      <c r="K22" s="18" t="s">
        <v>4130</v>
      </c>
      <c r="L22" s="16"/>
      <c r="M22" s="18" t="s">
        <v>4843</v>
      </c>
      <c r="N22" s="16"/>
      <c r="O22" s="18" t="s">
        <v>5544</v>
      </c>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t="s">
        <v>4131</v>
      </c>
      <c r="L24" s="16" t="str">
        <f>K24</f>
        <v>전쟁군주 아이템</v>
      </c>
      <c r="M24" s="18" t="s">
        <v>4844</v>
      </c>
      <c r="N24" s="16" t="str">
        <f>M24</f>
        <v>Item do Senhor da Guerra</v>
      </c>
      <c r="O24" s="18" t="s">
        <v>5545</v>
      </c>
      <c r="P24" s="16" t="str">
        <f>O24</f>
        <v>Предмет Вождя</v>
      </c>
      <c r="Q24" s="18"/>
      <c r="R24" s="16">
        <f>Q24</f>
        <v>0</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O3" sqref="O3:O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t="s">
        <v>4132</v>
      </c>
      <c r="L3" s="16" t="str">
        <f>TRIM(_xlfn.TEXTBEFORE(K3, ":"))</f>
        <v>아이템 종류</v>
      </c>
      <c r="M3" s="17" t="s">
        <v>4845</v>
      </c>
      <c r="N3" s="16" t="str">
        <f>TRIM(_xlfn.TEXTBEFORE(M3, ":"))</f>
        <v>Classe do Item</v>
      </c>
      <c r="O3" s="17" t="s">
        <v>5546</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t="s">
        <v>4066</v>
      </c>
      <c r="L4" s="16" t="str">
        <f>TRIM(_xlfn.TEXTAFTER(K3, ":"))</f>
        <v>심연 주얼</v>
      </c>
      <c r="M4" s="18" t="s">
        <v>4787</v>
      </c>
      <c r="N4" s="16" t="str">
        <f>TRIM(_xlfn.TEXTAFTER(M3, ":"))</f>
        <v>Joias Abissais</v>
      </c>
      <c r="O4" s="18" t="s">
        <v>5480</v>
      </c>
      <c r="P4" s="16" t="str">
        <f>TRIM(_xlfn.TEXTAFTER(O3, ":"))</f>
        <v>Самоцветы Бездны</v>
      </c>
      <c r="Q4" s="18"/>
      <c r="R4" s="16" t="e">
        <f>TRIM(_xlfn.TEXTAFTER(Q3, ":"))</f>
        <v>#N/A</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t="s">
        <v>4133</v>
      </c>
      <c r="L5" s="16" t="str">
        <f>TRIM(_xlfn.TEXTBEFORE(K4, ":"))</f>
        <v>아이템 희귀도</v>
      </c>
      <c r="M5" s="18" t="s">
        <v>4846</v>
      </c>
      <c r="N5" s="16" t="str">
        <f>TRIM(_xlfn.TEXTBEFORE(M4, ":"))</f>
        <v>Raridade</v>
      </c>
      <c r="O5" s="18" t="s">
        <v>5547</v>
      </c>
      <c r="P5" s="16" t="str">
        <f>TRIM(_xlfn.TEXTBEFORE(O4, ":"))</f>
        <v>Редкость</v>
      </c>
      <c r="Q5" s="18"/>
      <c r="R5" s="16" t="e">
        <f>TRIM(_xlfn.TEXTBEFORE(Q4, ":"))</f>
        <v>#N/A</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t="s">
        <v>4134</v>
      </c>
      <c r="L6" s="16" t="str">
        <f>TRIM(_xlfn.TEXTAFTER(K4,":"))</f>
        <v>희귀</v>
      </c>
      <c r="M6" s="18" t="s">
        <v>4847</v>
      </c>
      <c r="N6" s="16" t="str">
        <f>TRIM(_xlfn.TEXTAFTER(M4,":"))</f>
        <v>Raro</v>
      </c>
      <c r="O6" s="18" t="s">
        <v>5548</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861</v>
      </c>
      <c r="B8" s="16"/>
      <c r="C8" s="18" t="s">
        <v>1944</v>
      </c>
      <c r="D8" s="16"/>
      <c r="E8" s="18" t="s">
        <v>2664</v>
      </c>
      <c r="F8" s="16"/>
      <c r="G8" s="18" t="s">
        <v>1207</v>
      </c>
      <c r="H8" s="16"/>
      <c r="I8" s="18" t="s">
        <v>3390</v>
      </c>
      <c r="J8" s="16"/>
      <c r="K8" s="18" t="s">
        <v>4135</v>
      </c>
      <c r="L8" s="16"/>
      <c r="M8" s="18" t="s">
        <v>4848</v>
      </c>
      <c r="N8" s="16"/>
      <c r="O8" s="18" t="s">
        <v>5413</v>
      </c>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20"/>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283</v>
      </c>
      <c r="B13" s="16"/>
      <c r="C13" s="18" t="s">
        <v>1759</v>
      </c>
      <c r="D13" s="16"/>
      <c r="E13" s="18" t="s">
        <v>2478</v>
      </c>
      <c r="F13" s="16"/>
      <c r="G13" s="18" t="s">
        <v>1027</v>
      </c>
      <c r="H13" s="16"/>
      <c r="I13" s="18" t="s">
        <v>3196</v>
      </c>
      <c r="J13" s="16"/>
      <c r="K13" s="18" t="s">
        <v>3943</v>
      </c>
      <c r="L13" s="16"/>
      <c r="M13" s="18" t="s">
        <v>4672</v>
      </c>
      <c r="N13" s="16"/>
      <c r="O13" s="18" t="s">
        <v>5357</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862</v>
      </c>
      <c r="B15" s="16"/>
      <c r="C15" s="18" t="s">
        <v>1945</v>
      </c>
      <c r="D15" s="16"/>
      <c r="E15" s="18" t="s">
        <v>2665</v>
      </c>
      <c r="F15" s="16"/>
      <c r="G15" s="18" t="s">
        <v>1208</v>
      </c>
      <c r="H15" s="16"/>
      <c r="I15" s="18" t="s">
        <v>3391</v>
      </c>
      <c r="J15" s="16"/>
      <c r="K15" s="18" t="s">
        <v>4136</v>
      </c>
      <c r="L15" s="16"/>
      <c r="M15" s="18" t="s">
        <v>4849</v>
      </c>
      <c r="N15" s="16"/>
      <c r="O15" s="18" t="s">
        <v>5549</v>
      </c>
      <c r="P15" s="16"/>
      <c r="Q15" s="18"/>
      <c r="R15" s="16"/>
      <c r="S15" s="18"/>
      <c r="T15" s="20"/>
    </row>
    <row r="16" spans="1:20" ht="15.95" customHeight="1" x14ac:dyDescent="0.25">
      <c r="A16" s="18" t="s">
        <v>863</v>
      </c>
      <c r="B16" s="16"/>
      <c r="C16" s="18" t="s">
        <v>1946</v>
      </c>
      <c r="D16" s="16"/>
      <c r="E16" s="18" t="s">
        <v>2666</v>
      </c>
      <c r="F16" s="16"/>
      <c r="G16" s="18" t="s">
        <v>1209</v>
      </c>
      <c r="H16" s="16"/>
      <c r="I16" s="18" t="s">
        <v>3392</v>
      </c>
      <c r="J16" s="16"/>
      <c r="K16" s="18" t="s">
        <v>4137</v>
      </c>
      <c r="L16" s="16"/>
      <c r="M16" s="18" t="s">
        <v>4850</v>
      </c>
      <c r="N16" s="16"/>
      <c r="O16" s="18" t="s">
        <v>5550</v>
      </c>
      <c r="P16" s="16"/>
      <c r="Q16" s="18"/>
      <c r="R16" s="16"/>
      <c r="S16" s="18"/>
      <c r="T16" s="20"/>
    </row>
    <row r="17" spans="1:20" ht="15.95" customHeight="1" x14ac:dyDescent="0.25">
      <c r="A17" s="18" t="s">
        <v>864</v>
      </c>
      <c r="B17" s="16"/>
      <c r="C17" s="18" t="s">
        <v>1947</v>
      </c>
      <c r="D17" s="16"/>
      <c r="E17" s="18" t="s">
        <v>2667</v>
      </c>
      <c r="F17" s="16"/>
      <c r="G17" s="18" t="s">
        <v>1210</v>
      </c>
      <c r="H17" s="16"/>
      <c r="I17" s="18" t="s">
        <v>3393</v>
      </c>
      <c r="J17" s="16"/>
      <c r="K17" s="18" t="s">
        <v>4138</v>
      </c>
      <c r="L17" s="16"/>
      <c r="M17" s="18" t="s">
        <v>4851</v>
      </c>
      <c r="N17" s="16"/>
      <c r="O17" s="18" t="s">
        <v>5551</v>
      </c>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0"/>
    </row>
    <row r="19" spans="1:20" ht="15.95" customHeight="1" x14ac:dyDescent="0.25">
      <c r="A19" s="18" t="s">
        <v>865</v>
      </c>
      <c r="B19" s="16"/>
      <c r="C19" s="18" t="s">
        <v>1948</v>
      </c>
      <c r="D19" s="16"/>
      <c r="E19" s="18" t="s">
        <v>2668</v>
      </c>
      <c r="F19" s="16"/>
      <c r="G19" s="18" t="s">
        <v>1211</v>
      </c>
      <c r="H19" s="16"/>
      <c r="I19" s="18" t="s">
        <v>3394</v>
      </c>
      <c r="J19" s="16"/>
      <c r="K19" s="18" t="s">
        <v>4139</v>
      </c>
      <c r="L19" s="16"/>
      <c r="M19" s="18" t="s">
        <v>4852</v>
      </c>
      <c r="N19" s="16"/>
      <c r="O19" s="18" t="s">
        <v>5552</v>
      </c>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0"/>
    </row>
    <row r="21" spans="1:20" ht="15.95" customHeight="1" x14ac:dyDescent="0.25">
      <c r="A21" s="18" t="s">
        <v>866</v>
      </c>
      <c r="B21" s="16"/>
      <c r="C21" s="18" t="s">
        <v>1949</v>
      </c>
      <c r="D21" s="16"/>
      <c r="E21" s="18" t="s">
        <v>2669</v>
      </c>
      <c r="F21" s="16"/>
      <c r="G21" s="18" t="s">
        <v>1212</v>
      </c>
      <c r="H21" s="16"/>
      <c r="I21" s="18" t="s">
        <v>3395</v>
      </c>
      <c r="J21" s="16"/>
      <c r="K21" s="18" t="s">
        <v>4140</v>
      </c>
      <c r="L21" s="16"/>
      <c r="M21" s="18" t="s">
        <v>4853</v>
      </c>
      <c r="N21" s="16"/>
      <c r="O21" s="18" t="s">
        <v>5553</v>
      </c>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O3" sqref="O3:O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t="s">
        <v>4141</v>
      </c>
      <c r="L3" s="16" t="str">
        <f>TRIM(_xlfn.TEXTBEFORE(K3, ":"))</f>
        <v>아이템 종류</v>
      </c>
      <c r="M3" s="17" t="s">
        <v>4854</v>
      </c>
      <c r="N3" s="16" t="str">
        <f>TRIM(_xlfn.TEXTBEFORE(M3, ":"))</f>
        <v>Classe do Item</v>
      </c>
      <c r="O3" s="17" t="s">
        <v>5554</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t="s">
        <v>3857</v>
      </c>
      <c r="L4" s="16" t="str">
        <f>TRIM(_xlfn.TEXTAFTER(K3, ":"))</f>
        <v>허리띠</v>
      </c>
      <c r="M4" s="18" t="s">
        <v>4586</v>
      </c>
      <c r="N4" s="16" t="str">
        <f>TRIM(_xlfn.TEXTAFTER(M3, ":"))</f>
        <v>Cintos</v>
      </c>
      <c r="O4" s="18" t="s">
        <v>5269</v>
      </c>
      <c r="P4" s="16" t="str">
        <f>TRIM(_xlfn.TEXTAFTER(O3, ":"))</f>
        <v>Пояса</v>
      </c>
      <c r="Q4" s="18"/>
      <c r="R4" s="16" t="e">
        <f>TRIM(_xlfn.TEXTAFTER(Q3, ":"))</f>
        <v>#N/A</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t="s">
        <v>4142</v>
      </c>
      <c r="L5" s="16" t="str">
        <f>TRIM(_xlfn.TEXTBEFORE(K4, ":"))</f>
        <v>아이템 희귀도</v>
      </c>
      <c r="M5" s="18" t="s">
        <v>4855</v>
      </c>
      <c r="N5" s="16" t="str">
        <f>TRIM(_xlfn.TEXTBEFORE(M4, ":"))</f>
        <v>Raridade</v>
      </c>
      <c r="O5" s="18" t="s">
        <v>5555</v>
      </c>
      <c r="P5" s="16" t="str">
        <f>TRIM(_xlfn.TEXTBEFORE(O4, ":"))</f>
        <v>Редкость</v>
      </c>
      <c r="Q5" s="18"/>
      <c r="R5" s="16" t="e">
        <f>TRIM(_xlfn.TEXTBEFORE(Q4, ":"))</f>
        <v>#N/A</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t="s">
        <v>4143</v>
      </c>
      <c r="L6" s="16" t="str">
        <f>TRIM(_xlfn.TEXTAFTER(K4,":"))</f>
        <v>고유</v>
      </c>
      <c r="M6" s="18" t="s">
        <v>4856</v>
      </c>
      <c r="N6" s="16" t="str">
        <f>TRIM(_xlfn.TEXTAFTER(M4,":"))</f>
        <v>Único</v>
      </c>
      <c r="O6" s="18" t="s">
        <v>5556</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c r="R8" s="16"/>
      <c r="S8" s="18"/>
      <c r="T8" s="16"/>
    </row>
    <row r="9" spans="1:20" ht="15.95" customHeight="1" x14ac:dyDescent="0.25">
      <c r="A9" s="18" t="s">
        <v>116</v>
      </c>
      <c r="B9" s="16"/>
      <c r="C9" s="18" t="s">
        <v>1953</v>
      </c>
      <c r="D9" s="16"/>
      <c r="E9" s="18" t="s">
        <v>2673</v>
      </c>
      <c r="F9" s="16"/>
      <c r="G9" s="18" t="s">
        <v>1213</v>
      </c>
      <c r="H9" s="16"/>
      <c r="I9" s="18" t="s">
        <v>3399</v>
      </c>
      <c r="J9" s="16"/>
      <c r="K9" s="18" t="s">
        <v>4144</v>
      </c>
      <c r="L9" s="16"/>
      <c r="M9" s="18" t="s">
        <v>4857</v>
      </c>
      <c r="N9" s="16"/>
      <c r="O9" s="18" t="s">
        <v>5557</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1"/>
    </row>
    <row r="13" spans="1:20" ht="15.95" customHeight="1" x14ac:dyDescent="0.25">
      <c r="A13" s="18" t="s">
        <v>118</v>
      </c>
      <c r="B13" s="16"/>
      <c r="C13" s="18" t="s">
        <v>1954</v>
      </c>
      <c r="D13" s="16"/>
      <c r="E13" s="18" t="s">
        <v>2674</v>
      </c>
      <c r="F13" s="16"/>
      <c r="G13" s="18" t="s">
        <v>1214</v>
      </c>
      <c r="H13" s="16"/>
      <c r="I13" s="18" t="s">
        <v>3400</v>
      </c>
      <c r="J13" s="16"/>
      <c r="K13" s="18" t="s">
        <v>4145</v>
      </c>
      <c r="L13" s="16"/>
      <c r="M13" s="18" t="s">
        <v>4858</v>
      </c>
      <c r="N13" s="16"/>
      <c r="O13" s="18" t="s">
        <v>5558</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119</v>
      </c>
      <c r="B15" s="16"/>
      <c r="C15" s="18" t="s">
        <v>1955</v>
      </c>
      <c r="D15" s="16"/>
      <c r="E15" s="18" t="s">
        <v>2675</v>
      </c>
      <c r="F15" s="16"/>
      <c r="G15" s="18" t="s">
        <v>1215</v>
      </c>
      <c r="H15" s="16"/>
      <c r="I15" s="18" t="s">
        <v>3401</v>
      </c>
      <c r="J15" s="16"/>
      <c r="K15" s="18" t="s">
        <v>4146</v>
      </c>
      <c r="L15" s="16"/>
      <c r="M15" s="18" t="s">
        <v>4859</v>
      </c>
      <c r="N15" s="16"/>
      <c r="O15" s="18" t="s">
        <v>5559</v>
      </c>
      <c r="P15" s="16"/>
      <c r="Q15" s="18"/>
      <c r="R15" s="16"/>
      <c r="S15" s="18"/>
      <c r="T15" s="21"/>
    </row>
    <row r="16" spans="1:20" ht="15.95" customHeight="1" x14ac:dyDescent="0.25">
      <c r="A16" s="18" t="s">
        <v>120</v>
      </c>
      <c r="B16" s="16"/>
      <c r="C16" s="18" t="s">
        <v>1956</v>
      </c>
      <c r="D16" s="16"/>
      <c r="E16" s="18" t="s">
        <v>2676</v>
      </c>
      <c r="F16" s="16"/>
      <c r="G16" s="18" t="s">
        <v>1216</v>
      </c>
      <c r="H16" s="16"/>
      <c r="I16" s="18" t="s">
        <v>3402</v>
      </c>
      <c r="J16" s="16"/>
      <c r="K16" s="18" t="s">
        <v>4147</v>
      </c>
      <c r="L16" s="16"/>
      <c r="M16" s="18" t="s">
        <v>4860</v>
      </c>
      <c r="N16" s="16"/>
      <c r="O16" s="18" t="s">
        <v>5560</v>
      </c>
      <c r="P16" s="16"/>
      <c r="Q16" s="18"/>
      <c r="R16" s="16"/>
      <c r="S16" s="18"/>
      <c r="T16" s="21"/>
    </row>
    <row r="17" spans="1:20" ht="15.95" customHeight="1" x14ac:dyDescent="0.25">
      <c r="A17" s="18" t="s">
        <v>121</v>
      </c>
      <c r="B17" s="16"/>
      <c r="C17" s="18" t="s">
        <v>1957</v>
      </c>
      <c r="D17" s="16"/>
      <c r="E17" s="18" t="s">
        <v>2677</v>
      </c>
      <c r="F17" s="16"/>
      <c r="G17" s="18" t="s">
        <v>1217</v>
      </c>
      <c r="H17" s="16"/>
      <c r="I17" s="18" t="s">
        <v>3403</v>
      </c>
      <c r="J17" s="16"/>
      <c r="K17" s="18" t="s">
        <v>4148</v>
      </c>
      <c r="L17" s="16"/>
      <c r="M17" s="18" t="s">
        <v>4861</v>
      </c>
      <c r="N17" s="16"/>
      <c r="O17" s="18" t="s">
        <v>5561</v>
      </c>
      <c r="P17" s="16"/>
      <c r="Q17" s="18"/>
      <c r="R17" s="16"/>
      <c r="S17" s="18"/>
      <c r="T17" s="21"/>
    </row>
    <row r="18" spans="1:20" ht="15.95" customHeight="1" x14ac:dyDescent="0.25">
      <c r="A18" s="18" t="s">
        <v>122</v>
      </c>
      <c r="B18" s="16"/>
      <c r="C18" s="18" t="s">
        <v>1958</v>
      </c>
      <c r="D18" s="16"/>
      <c r="E18" s="18" t="s">
        <v>2678</v>
      </c>
      <c r="F18" s="16"/>
      <c r="G18" s="18" t="s">
        <v>8</v>
      </c>
      <c r="H18" s="16"/>
      <c r="I18" s="18" t="s">
        <v>3404</v>
      </c>
      <c r="J18" s="16"/>
      <c r="K18" s="18" t="s">
        <v>4149</v>
      </c>
      <c r="L18" s="16"/>
      <c r="M18" s="18" t="s">
        <v>4862</v>
      </c>
      <c r="N18" s="16"/>
      <c r="O18" s="18" t="s">
        <v>5562</v>
      </c>
      <c r="P18" s="16"/>
      <c r="Q18" s="18"/>
      <c r="R18" s="16"/>
      <c r="S18" s="18"/>
      <c r="T18" s="21"/>
    </row>
    <row r="19" spans="1:20" ht="15.95" customHeight="1" x14ac:dyDescent="0.25">
      <c r="A19" s="18" t="s">
        <v>123</v>
      </c>
      <c r="B19" s="16"/>
      <c r="C19" s="18" t="s">
        <v>1959</v>
      </c>
      <c r="D19" s="16"/>
      <c r="E19" s="18" t="s">
        <v>2679</v>
      </c>
      <c r="F19" s="16"/>
      <c r="G19" s="18" t="s">
        <v>1218</v>
      </c>
      <c r="H19" s="16"/>
      <c r="I19" s="18" t="s">
        <v>3405</v>
      </c>
      <c r="J19" s="16"/>
      <c r="K19" s="18" t="s">
        <v>4150</v>
      </c>
      <c r="L19" s="16"/>
      <c r="M19" s="18" t="s">
        <v>4863</v>
      </c>
      <c r="N19" s="16"/>
      <c r="O19" s="18" t="s">
        <v>5563</v>
      </c>
      <c r="P19" s="16"/>
      <c r="Q19" s="18"/>
      <c r="R19" s="16"/>
      <c r="S19" s="18"/>
      <c r="T19" s="21"/>
    </row>
    <row r="20" spans="1:20" ht="15.95" customHeight="1" x14ac:dyDescent="0.25">
      <c r="A20" s="18" t="s">
        <v>124</v>
      </c>
      <c r="B20" s="16"/>
      <c r="C20" s="18" t="s">
        <v>1960</v>
      </c>
      <c r="D20" s="16"/>
      <c r="E20" s="18" t="s">
        <v>2680</v>
      </c>
      <c r="F20" s="16"/>
      <c r="G20" s="18" t="s">
        <v>9</v>
      </c>
      <c r="H20" s="16"/>
      <c r="I20" s="18" t="s">
        <v>3406</v>
      </c>
      <c r="J20" s="16"/>
      <c r="K20" s="18" t="s">
        <v>4151</v>
      </c>
      <c r="L20" s="16"/>
      <c r="M20" s="18" t="s">
        <v>4864</v>
      </c>
      <c r="N20" s="16"/>
      <c r="O20" s="18" t="s">
        <v>5564</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125</v>
      </c>
      <c r="B22" s="16"/>
      <c r="C22" s="18" t="s">
        <v>1961</v>
      </c>
      <c r="D22" s="16"/>
      <c r="E22" s="18" t="s">
        <v>2681</v>
      </c>
      <c r="F22" s="16"/>
      <c r="G22" s="18" t="s">
        <v>10</v>
      </c>
      <c r="H22" s="16"/>
      <c r="I22" s="18" t="s">
        <v>3407</v>
      </c>
      <c r="J22" s="16"/>
      <c r="K22" s="18" t="s">
        <v>4152</v>
      </c>
      <c r="L22" s="16"/>
      <c r="M22" s="18" t="s">
        <v>4865</v>
      </c>
      <c r="N22" s="16"/>
      <c r="O22" s="18" t="s">
        <v>5565</v>
      </c>
      <c r="P22" s="16"/>
      <c r="Q22" s="18"/>
      <c r="R22" s="16"/>
      <c r="S22" s="18"/>
      <c r="T22" s="21"/>
    </row>
    <row r="23" spans="1:20" ht="15.95" customHeight="1" x14ac:dyDescent="0.25">
      <c r="A23" s="18" t="s">
        <v>126</v>
      </c>
      <c r="B23" s="16"/>
      <c r="C23" s="18" t="s">
        <v>1962</v>
      </c>
      <c r="D23" s="16"/>
      <c r="E23" s="18" t="s">
        <v>2682</v>
      </c>
      <c r="F23" s="16"/>
      <c r="G23" s="18" t="s">
        <v>11</v>
      </c>
      <c r="H23" s="16"/>
      <c r="I23" s="18" t="s">
        <v>3408</v>
      </c>
      <c r="J23" s="16"/>
      <c r="K23" s="18" t="s">
        <v>4153</v>
      </c>
      <c r="L23" s="16"/>
      <c r="M23" s="18" t="s">
        <v>4866</v>
      </c>
      <c r="N23" s="16"/>
      <c r="O23" s="18" t="s">
        <v>5566</v>
      </c>
      <c r="P23" s="16"/>
      <c r="Q23" s="18"/>
      <c r="R23" s="16"/>
      <c r="S23" s="18"/>
      <c r="T23" s="21"/>
    </row>
    <row r="24" spans="1:20" ht="15.95" customHeight="1" x14ac:dyDescent="0.25">
      <c r="A24" s="18" t="s">
        <v>127</v>
      </c>
      <c r="B24" s="16"/>
      <c r="C24" s="18" t="s">
        <v>1963</v>
      </c>
      <c r="D24" s="16"/>
      <c r="E24" s="18" t="s">
        <v>2683</v>
      </c>
      <c r="F24" s="16"/>
      <c r="G24" s="18" t="s">
        <v>12</v>
      </c>
      <c r="H24" s="16"/>
      <c r="I24" s="18" t="s">
        <v>3409</v>
      </c>
      <c r="J24" s="16"/>
      <c r="K24" s="18" t="s">
        <v>4154</v>
      </c>
      <c r="L24" s="16"/>
      <c r="M24" s="18" t="s">
        <v>4867</v>
      </c>
      <c r="N24" s="16"/>
      <c r="O24" s="18" t="s">
        <v>5567</v>
      </c>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1" stopIfTrue="1">
      <formula>NOT(ISERROR(A3))</formula>
    </cfRule>
  </conditionalFormatting>
  <conditionalFormatting sqref="A3:T51">
    <cfRule type="containsErrors" dxfId="80" priority="4" stopIfTrue="1">
      <formula>ISERROR(A3)</formula>
    </cfRule>
    <cfRule type="notContainsBlanks" dxfId="7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O3" sqref="O3:O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t="s">
        <v>3857</v>
      </c>
      <c r="L4" s="16" t="str">
        <f>TRIM(_xlfn.TEXTAFTER(K3, ":"))</f>
        <v>장화</v>
      </c>
      <c r="M4" s="18" t="s">
        <v>4586</v>
      </c>
      <c r="N4" s="16" t="str">
        <f>TRIM(_xlfn.TEXTAFTER(M3, ":"))</f>
        <v>Botas</v>
      </c>
      <c r="O4" s="18" t="s">
        <v>5269</v>
      </c>
      <c r="P4" s="16" t="str">
        <f>TRIM(_xlfn.TEXTAFTER(O3, ":"))</f>
        <v>Обувь</v>
      </c>
      <c r="Q4" s="18"/>
      <c r="R4" s="16" t="e">
        <f>TRIM(_xlfn.TEXTAFTER(Q3, ":"))</f>
        <v>#N/A</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t="s">
        <v>4155</v>
      </c>
      <c r="L5" s="16" t="str">
        <f>TRIM(_xlfn.TEXTBEFORE(K4, ":"))</f>
        <v>아이템 희귀도</v>
      </c>
      <c r="M5" s="18" t="s">
        <v>4868</v>
      </c>
      <c r="N5" s="16" t="str">
        <f>TRIM(_xlfn.TEXTBEFORE(M4, ":"))</f>
        <v>Raridade</v>
      </c>
      <c r="O5" s="18" t="s">
        <v>5568</v>
      </c>
      <c r="P5" s="16" t="str">
        <f>TRIM(_xlfn.TEXTBEFORE(O4, ":"))</f>
        <v>Редкость</v>
      </c>
      <c r="Q5" s="18"/>
      <c r="R5" s="16" t="e">
        <f>TRIM(_xlfn.TEXTBEFORE(Q4, ":"))</f>
        <v>#N/A</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t="s">
        <v>4156</v>
      </c>
      <c r="L6" s="16" t="str">
        <f>TRIM(_xlfn.TEXTAFTER(K4,":"))</f>
        <v>고유</v>
      </c>
      <c r="M6" s="18" t="s">
        <v>4869</v>
      </c>
      <c r="N6" s="16" t="str">
        <f>TRIM(_xlfn.TEXTAFTER(M4,":"))</f>
        <v>Único</v>
      </c>
      <c r="O6" s="18" t="s">
        <v>5569</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447</v>
      </c>
      <c r="B8" s="16"/>
      <c r="C8" s="18" t="s">
        <v>1965</v>
      </c>
      <c r="D8" s="16"/>
      <c r="E8" s="18" t="s">
        <v>2686</v>
      </c>
      <c r="F8" s="16"/>
      <c r="G8" s="18" t="s">
        <v>1221</v>
      </c>
      <c r="H8" s="16"/>
      <c r="I8" s="18" t="s">
        <v>3412</v>
      </c>
      <c r="J8" s="16"/>
      <c r="K8" s="18" t="s">
        <v>4157</v>
      </c>
      <c r="L8" s="16"/>
      <c r="M8" s="18" t="s">
        <v>4870</v>
      </c>
      <c r="N8" s="16"/>
      <c r="O8" s="18" t="s">
        <v>5570</v>
      </c>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16"/>
    </row>
    <row r="10" spans="1:20" ht="15.95" customHeight="1" x14ac:dyDescent="0.25">
      <c r="A10" s="18" t="s">
        <v>448</v>
      </c>
      <c r="B10" s="16"/>
      <c r="C10" s="18" t="s">
        <v>1966</v>
      </c>
      <c r="D10" s="16"/>
      <c r="E10" s="18" t="s">
        <v>2687</v>
      </c>
      <c r="F10" s="16"/>
      <c r="G10" s="18" t="s">
        <v>1222</v>
      </c>
      <c r="H10" s="16"/>
      <c r="I10" s="18" t="s">
        <v>3413</v>
      </c>
      <c r="J10" s="16"/>
      <c r="K10" s="18" t="s">
        <v>4158</v>
      </c>
      <c r="L10" s="16"/>
      <c r="M10" s="18" t="s">
        <v>4871</v>
      </c>
      <c r="N10" s="16"/>
      <c r="O10" s="18" t="s">
        <v>5571</v>
      </c>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c r="R11" s="16"/>
      <c r="S11" s="18"/>
      <c r="T11" s="16"/>
    </row>
    <row r="12" spans="1:20" ht="15.95" customHeight="1" x14ac:dyDescent="0.25">
      <c r="A12" s="18" t="s">
        <v>449</v>
      </c>
      <c r="B12" s="16"/>
      <c r="C12" s="18" t="s">
        <v>1819</v>
      </c>
      <c r="D12" s="16"/>
      <c r="E12" s="18" t="s">
        <v>2538</v>
      </c>
      <c r="F12" s="16"/>
      <c r="G12" s="18" t="s">
        <v>7</v>
      </c>
      <c r="H12" s="16"/>
      <c r="I12" s="18" t="s">
        <v>3258</v>
      </c>
      <c r="J12" s="16"/>
      <c r="K12" s="18" t="s">
        <v>4004</v>
      </c>
      <c r="L12" s="16"/>
      <c r="M12" s="18" t="s">
        <v>4731</v>
      </c>
      <c r="N12" s="16"/>
      <c r="O12" s="18" t="s">
        <v>5418</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450</v>
      </c>
      <c r="B14" s="16"/>
      <c r="C14" s="18" t="s">
        <v>1967</v>
      </c>
      <c r="D14" s="16"/>
      <c r="E14" s="18" t="s">
        <v>2688</v>
      </c>
      <c r="F14" s="16"/>
      <c r="G14" s="18" t="s">
        <v>1223</v>
      </c>
      <c r="H14" s="16"/>
      <c r="I14" s="18" t="s">
        <v>3414</v>
      </c>
      <c r="J14" s="16"/>
      <c r="K14" s="18" t="s">
        <v>4159</v>
      </c>
      <c r="L14" s="16"/>
      <c r="M14" s="18" t="s">
        <v>4872</v>
      </c>
      <c r="N14" s="16"/>
      <c r="O14" s="18" t="s">
        <v>5572</v>
      </c>
      <c r="P14" s="16"/>
      <c r="Q14" s="18"/>
      <c r="R14" s="16"/>
      <c r="S14" s="18"/>
      <c r="T14" s="21"/>
    </row>
    <row r="15" spans="1:20" ht="15.95" customHeight="1" x14ac:dyDescent="0.25">
      <c r="A15" s="18" t="s">
        <v>451</v>
      </c>
      <c r="B15" s="16"/>
      <c r="C15" s="18" t="s">
        <v>1968</v>
      </c>
      <c r="D15" s="16"/>
      <c r="E15" s="18" t="s">
        <v>2689</v>
      </c>
      <c r="F15" s="16"/>
      <c r="G15" s="18" t="s">
        <v>1224</v>
      </c>
      <c r="H15" s="16"/>
      <c r="I15" s="18" t="s">
        <v>3415</v>
      </c>
      <c r="J15" s="16"/>
      <c r="K15" s="18" t="s">
        <v>4160</v>
      </c>
      <c r="L15" s="16"/>
      <c r="M15" s="18" t="s">
        <v>4873</v>
      </c>
      <c r="N15" s="16"/>
      <c r="O15" s="18" t="s">
        <v>5573</v>
      </c>
      <c r="P15" s="16"/>
      <c r="Q15" s="18"/>
      <c r="R15" s="16"/>
      <c r="S15" s="18"/>
      <c r="T15" s="21"/>
    </row>
    <row r="16" spans="1:20" ht="15.95" customHeight="1" x14ac:dyDescent="0.25">
      <c r="A16" s="18" t="s">
        <v>452</v>
      </c>
      <c r="B16" s="16"/>
      <c r="C16" s="18" t="s">
        <v>1969</v>
      </c>
      <c r="D16" s="16"/>
      <c r="E16" s="18" t="s">
        <v>2690</v>
      </c>
      <c r="F16" s="16"/>
      <c r="G16" s="18" t="s">
        <v>1225</v>
      </c>
      <c r="H16" s="16"/>
      <c r="I16" s="18" t="s">
        <v>3416</v>
      </c>
      <c r="J16" s="16"/>
      <c r="K16" s="18" t="s">
        <v>4161</v>
      </c>
      <c r="L16" s="16"/>
      <c r="M16" s="18" t="s">
        <v>4874</v>
      </c>
      <c r="N16" s="16"/>
      <c r="O16" s="18" t="s">
        <v>5574</v>
      </c>
      <c r="P16" s="16"/>
      <c r="Q16" s="18"/>
      <c r="R16" s="16"/>
      <c r="S16" s="18"/>
      <c r="T16" s="21"/>
    </row>
    <row r="17" spans="1:20" ht="15.95" customHeight="1" x14ac:dyDescent="0.25">
      <c r="A17" s="18" t="s">
        <v>453</v>
      </c>
      <c r="B17" s="16"/>
      <c r="C17" s="18" t="s">
        <v>1970</v>
      </c>
      <c r="D17" s="16"/>
      <c r="E17" s="18" t="s">
        <v>2691</v>
      </c>
      <c r="F17" s="16"/>
      <c r="G17" s="18" t="s">
        <v>1226</v>
      </c>
      <c r="H17" s="16"/>
      <c r="I17" s="18" t="s">
        <v>3417</v>
      </c>
      <c r="J17" s="16"/>
      <c r="K17" s="18" t="s">
        <v>4162</v>
      </c>
      <c r="L17" s="16"/>
      <c r="M17" s="18" t="s">
        <v>4875</v>
      </c>
      <c r="N17" s="16"/>
      <c r="O17" s="18" t="s">
        <v>5575</v>
      </c>
      <c r="P17" s="16"/>
      <c r="Q17" s="18"/>
      <c r="R17" s="16"/>
      <c r="S17" s="18"/>
      <c r="T17" s="21"/>
    </row>
    <row r="18" spans="1:20" ht="15.95" customHeight="1" x14ac:dyDescent="0.25">
      <c r="A18" s="18" t="s">
        <v>454</v>
      </c>
      <c r="B18" s="16"/>
      <c r="C18" s="18" t="s">
        <v>1971</v>
      </c>
      <c r="D18" s="16"/>
      <c r="E18" s="18" t="s">
        <v>2692</v>
      </c>
      <c r="F18" s="16"/>
      <c r="G18" s="18" t="s">
        <v>1227</v>
      </c>
      <c r="H18" s="16"/>
      <c r="I18" s="18" t="s">
        <v>3418</v>
      </c>
      <c r="J18" s="16"/>
      <c r="K18" s="18" t="s">
        <v>4163</v>
      </c>
      <c r="L18" s="16"/>
      <c r="M18" s="18" t="s">
        <v>4876</v>
      </c>
      <c r="N18" s="16"/>
      <c r="O18" s="18" t="s">
        <v>5576</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455</v>
      </c>
      <c r="B20" s="16"/>
      <c r="C20" s="18" t="s">
        <v>1972</v>
      </c>
      <c r="D20" s="16"/>
      <c r="E20" s="18" t="s">
        <v>2693</v>
      </c>
      <c r="F20" s="16"/>
      <c r="G20" s="18" t="s">
        <v>1228</v>
      </c>
      <c r="H20" s="16"/>
      <c r="I20" s="18" t="s">
        <v>3419</v>
      </c>
      <c r="J20" s="16"/>
      <c r="K20" s="18" t="s">
        <v>4164</v>
      </c>
      <c r="L20" s="16"/>
      <c r="M20" s="18" t="s">
        <v>4877</v>
      </c>
      <c r="N20" s="16"/>
      <c r="O20" s="18" t="s">
        <v>5577</v>
      </c>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O3" sqref="O3:O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t="s">
        <v>4165</v>
      </c>
      <c r="L3" s="16" t="str">
        <f>TRIM(_xlfn.TEXTBEFORE(K3, ":"))</f>
        <v>아이템 종류</v>
      </c>
      <c r="M3" s="17" t="s">
        <v>4878</v>
      </c>
      <c r="N3" s="16" t="str">
        <f>TRIM(_xlfn.TEXTBEFORE(M3, ":"))</f>
        <v>Classe do Item</v>
      </c>
      <c r="O3" s="17" t="s">
        <v>5578</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t="s">
        <v>3857</v>
      </c>
      <c r="L4" s="16" t="str">
        <f>TRIM(_xlfn.TEXTAFTER(K3, ":"))</f>
        <v>장갑</v>
      </c>
      <c r="M4" s="18" t="s">
        <v>4586</v>
      </c>
      <c r="N4" s="16" t="str">
        <f>TRIM(_xlfn.TEXTAFTER(M3, ":"))</f>
        <v>Luvas</v>
      </c>
      <c r="O4" s="18" t="s">
        <v>5269</v>
      </c>
      <c r="P4" s="16" t="str">
        <f>TRIM(_xlfn.TEXTAFTER(O3, ":"))</f>
        <v>Перчатки</v>
      </c>
      <c r="Q4" s="18"/>
      <c r="R4" s="16" t="e">
        <f>TRIM(_xlfn.TEXTAFTER(Q3, ":"))</f>
        <v>#N/A</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t="s">
        <v>4166</v>
      </c>
      <c r="L5" s="16" t="str">
        <f>TRIM(_xlfn.TEXTBEFORE(K4, ":"))</f>
        <v>아이템 희귀도</v>
      </c>
      <c r="M5" s="18" t="s">
        <v>2695</v>
      </c>
      <c r="N5" s="16" t="str">
        <f>TRIM(_xlfn.TEXTBEFORE(M4, ":"))</f>
        <v>Raridade</v>
      </c>
      <c r="O5" s="18" t="s">
        <v>5579</v>
      </c>
      <c r="P5" s="16" t="str">
        <f>TRIM(_xlfn.TEXTBEFORE(O4, ":"))</f>
        <v>Редкость</v>
      </c>
      <c r="Q5" s="18"/>
      <c r="R5" s="16" t="e">
        <f>TRIM(_xlfn.TEXTBEFORE(Q4, ":"))</f>
        <v>#N/A</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t="s">
        <v>4167</v>
      </c>
      <c r="L6" s="16" t="str">
        <f>TRIM(_xlfn.TEXTAFTER(K4,":"))</f>
        <v>고유</v>
      </c>
      <c r="M6" s="18" t="s">
        <v>4879</v>
      </c>
      <c r="N6" s="16" t="str">
        <f>TRIM(_xlfn.TEXTAFTER(M4,":"))</f>
        <v>Único</v>
      </c>
      <c r="O6" s="18" t="s">
        <v>5580</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430</v>
      </c>
      <c r="B8" s="16"/>
      <c r="C8" s="18" t="s">
        <v>1976</v>
      </c>
      <c r="D8" s="16"/>
      <c r="E8" s="18" t="s">
        <v>2697</v>
      </c>
      <c r="F8" s="16"/>
      <c r="G8" s="18" t="s">
        <v>1232</v>
      </c>
      <c r="H8" s="16"/>
      <c r="I8" s="18" t="s">
        <v>3423</v>
      </c>
      <c r="J8" s="16"/>
      <c r="K8" s="18" t="s">
        <v>4168</v>
      </c>
      <c r="L8" s="16"/>
      <c r="M8" s="18" t="s">
        <v>2697</v>
      </c>
      <c r="N8" s="16"/>
      <c r="O8" s="18" t="s">
        <v>5581</v>
      </c>
      <c r="P8" s="16"/>
      <c r="Q8" s="18"/>
      <c r="R8" s="16"/>
      <c r="S8" s="18"/>
      <c r="T8" s="16"/>
    </row>
    <row r="9" spans="1:20" ht="15.95" customHeight="1" x14ac:dyDescent="0.25">
      <c r="A9" s="18" t="s">
        <v>431</v>
      </c>
      <c r="B9" s="16"/>
      <c r="C9" s="18" t="s">
        <v>1977</v>
      </c>
      <c r="D9" s="16"/>
      <c r="E9" s="18" t="s">
        <v>2698</v>
      </c>
      <c r="F9" s="16"/>
      <c r="G9" s="18" t="s">
        <v>1233</v>
      </c>
      <c r="H9" s="16"/>
      <c r="I9" s="18" t="s">
        <v>3424</v>
      </c>
      <c r="J9" s="16"/>
      <c r="K9" s="18" t="s">
        <v>4169</v>
      </c>
      <c r="L9" s="16"/>
      <c r="M9" s="18" t="s">
        <v>4880</v>
      </c>
      <c r="N9" s="16"/>
      <c r="O9" s="18" t="s">
        <v>5582</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c r="R11" s="16"/>
      <c r="S11" s="18"/>
      <c r="T11" s="16"/>
    </row>
    <row r="12" spans="1:20" ht="15.95" customHeight="1" x14ac:dyDescent="0.25">
      <c r="A12" s="18" t="s">
        <v>432</v>
      </c>
      <c r="B12" s="16"/>
      <c r="C12" s="18" t="s">
        <v>1978</v>
      </c>
      <c r="D12" s="16"/>
      <c r="E12" s="18" t="s">
        <v>2699</v>
      </c>
      <c r="F12" s="16"/>
      <c r="G12" s="18" t="s">
        <v>1234</v>
      </c>
      <c r="H12" s="16"/>
      <c r="I12" s="18" t="s">
        <v>3425</v>
      </c>
      <c r="J12" s="16"/>
      <c r="K12" s="18" t="s">
        <v>4170</v>
      </c>
      <c r="L12" s="16"/>
      <c r="M12" s="18" t="s">
        <v>4881</v>
      </c>
      <c r="N12" s="16"/>
      <c r="O12" s="18" t="s">
        <v>5583</v>
      </c>
      <c r="P12" s="16"/>
      <c r="Q12" s="18"/>
      <c r="R12" s="16"/>
      <c r="S12" s="18"/>
      <c r="T12" s="21"/>
    </row>
    <row r="13" spans="1:20" ht="15.95" customHeight="1" x14ac:dyDescent="0.25">
      <c r="A13" s="18" t="s">
        <v>433</v>
      </c>
      <c r="B13" s="16"/>
      <c r="C13" s="18" t="s">
        <v>433</v>
      </c>
      <c r="D13" s="16"/>
      <c r="E13" s="18" t="s">
        <v>2700</v>
      </c>
      <c r="F13" s="16"/>
      <c r="G13" s="18" t="s">
        <v>1235</v>
      </c>
      <c r="H13" s="16"/>
      <c r="I13" s="18" t="s">
        <v>3426</v>
      </c>
      <c r="J13" s="16"/>
      <c r="K13" s="18" t="s">
        <v>4171</v>
      </c>
      <c r="L13" s="16"/>
      <c r="M13" s="18" t="s">
        <v>1235</v>
      </c>
      <c r="N13" s="16"/>
      <c r="O13" s="18" t="s">
        <v>5584</v>
      </c>
      <c r="P13" s="16"/>
      <c r="Q13" s="18"/>
      <c r="R13" s="16"/>
      <c r="S13" s="18"/>
      <c r="T13" s="21"/>
    </row>
    <row r="14" spans="1:20" ht="15.95" customHeight="1" x14ac:dyDescent="0.25">
      <c r="A14" s="18" t="s">
        <v>434</v>
      </c>
      <c r="B14" s="16"/>
      <c r="C14" s="18" t="s">
        <v>1979</v>
      </c>
      <c r="D14" s="16"/>
      <c r="E14" s="18" t="s">
        <v>2701</v>
      </c>
      <c r="F14" s="16"/>
      <c r="G14" s="18" t="s">
        <v>434</v>
      </c>
      <c r="H14" s="16"/>
      <c r="I14" s="18" t="s">
        <v>3427</v>
      </c>
      <c r="J14" s="16"/>
      <c r="K14" s="18" t="s">
        <v>4172</v>
      </c>
      <c r="L14" s="16"/>
      <c r="M14" s="18" t="s">
        <v>2701</v>
      </c>
      <c r="N14" s="16"/>
      <c r="O14" s="18" t="s">
        <v>5585</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435</v>
      </c>
      <c r="B16" s="16"/>
      <c r="C16" s="18" t="s">
        <v>1980</v>
      </c>
      <c r="D16" s="16"/>
      <c r="E16" s="18" t="s">
        <v>2702</v>
      </c>
      <c r="F16" s="16"/>
      <c r="G16" s="18" t="s">
        <v>1236</v>
      </c>
      <c r="H16" s="16"/>
      <c r="I16" s="18" t="s">
        <v>3428</v>
      </c>
      <c r="J16" s="16"/>
      <c r="K16" s="18" t="s">
        <v>4173</v>
      </c>
      <c r="L16" s="16"/>
      <c r="M16" s="18" t="s">
        <v>4882</v>
      </c>
      <c r="N16" s="16"/>
      <c r="O16" s="18" t="s">
        <v>5586</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436</v>
      </c>
      <c r="B20" s="16"/>
      <c r="C20" s="18" t="s">
        <v>1981</v>
      </c>
      <c r="D20" s="16"/>
      <c r="E20" s="18" t="s">
        <v>2703</v>
      </c>
      <c r="F20" s="16"/>
      <c r="G20" s="18" t="s">
        <v>1237</v>
      </c>
      <c r="H20" s="16"/>
      <c r="I20" s="18" t="s">
        <v>3429</v>
      </c>
      <c r="J20" s="16"/>
      <c r="K20" s="18" t="s">
        <v>4174</v>
      </c>
      <c r="L20" s="16"/>
      <c r="M20" s="18" t="s">
        <v>4883</v>
      </c>
      <c r="N20" s="16"/>
      <c r="O20" s="18" t="s">
        <v>5587</v>
      </c>
      <c r="P20" s="16"/>
      <c r="Q20" s="18"/>
      <c r="R20" s="16"/>
      <c r="S20" s="18"/>
      <c r="T20" s="21"/>
    </row>
    <row r="21" spans="1:20" ht="15.95" customHeight="1" x14ac:dyDescent="0.25">
      <c r="A21" s="18" t="s">
        <v>437</v>
      </c>
      <c r="B21" s="16"/>
      <c r="C21" s="18" t="s">
        <v>1982</v>
      </c>
      <c r="D21" s="16"/>
      <c r="E21" s="18" t="s">
        <v>2704</v>
      </c>
      <c r="F21" s="16"/>
      <c r="G21" s="18" t="s">
        <v>1238</v>
      </c>
      <c r="H21" s="16"/>
      <c r="I21" s="18" t="s">
        <v>3430</v>
      </c>
      <c r="J21" s="16"/>
      <c r="K21" s="18" t="s">
        <v>4175</v>
      </c>
      <c r="L21" s="16"/>
      <c r="M21" s="18" t="s">
        <v>4884</v>
      </c>
      <c r="N21" s="16"/>
      <c r="O21" s="18" t="s">
        <v>5588</v>
      </c>
      <c r="P21" s="16"/>
      <c r="Q21" s="18"/>
      <c r="R21" s="16"/>
      <c r="S21" s="18"/>
      <c r="T21" s="21"/>
    </row>
    <row r="22" spans="1:20" ht="15.95" customHeight="1" x14ac:dyDescent="0.25">
      <c r="A22" s="18" t="s">
        <v>438</v>
      </c>
      <c r="B22" s="16"/>
      <c r="C22" s="18" t="s">
        <v>1983</v>
      </c>
      <c r="D22" s="16"/>
      <c r="E22" s="18" t="s">
        <v>2705</v>
      </c>
      <c r="F22" s="16"/>
      <c r="G22" s="18" t="s">
        <v>1239</v>
      </c>
      <c r="H22" s="16"/>
      <c r="I22" s="18" t="s">
        <v>3431</v>
      </c>
      <c r="J22" s="16"/>
      <c r="K22" s="18" t="s">
        <v>4176</v>
      </c>
      <c r="L22" s="16"/>
      <c r="M22" s="18" t="s">
        <v>4885</v>
      </c>
      <c r="N22" s="16"/>
      <c r="O22" s="18" t="s">
        <v>5589</v>
      </c>
      <c r="P22" s="16"/>
      <c r="Q22" s="18"/>
      <c r="R22" s="16"/>
      <c r="S22" s="18"/>
      <c r="T22" s="21"/>
    </row>
    <row r="23" spans="1:20" ht="15.95" customHeight="1" x14ac:dyDescent="0.25">
      <c r="A23" s="18" t="s">
        <v>439</v>
      </c>
      <c r="B23" s="16"/>
      <c r="C23" s="18" t="s">
        <v>1984</v>
      </c>
      <c r="D23" s="16"/>
      <c r="E23" s="18" t="s">
        <v>2706</v>
      </c>
      <c r="F23" s="16"/>
      <c r="G23" s="18" t="s">
        <v>1240</v>
      </c>
      <c r="H23" s="16"/>
      <c r="I23" s="18" t="s">
        <v>3432</v>
      </c>
      <c r="J23" s="16"/>
      <c r="K23" s="18" t="s">
        <v>4177</v>
      </c>
      <c r="L23" s="16"/>
      <c r="M23" s="18" t="s">
        <v>4886</v>
      </c>
      <c r="N23" s="16"/>
      <c r="O23" s="18" t="s">
        <v>5590</v>
      </c>
      <c r="P23" s="16"/>
      <c r="Q23" s="18"/>
      <c r="R23" s="16"/>
      <c r="S23" s="18"/>
      <c r="T23" s="21"/>
    </row>
    <row r="24" spans="1:20" ht="15.95" customHeight="1" x14ac:dyDescent="0.25">
      <c r="A24" s="18" t="s">
        <v>440</v>
      </c>
      <c r="B24" s="16"/>
      <c r="C24" s="18" t="s">
        <v>1985</v>
      </c>
      <c r="D24" s="16"/>
      <c r="E24" s="18" t="s">
        <v>2707</v>
      </c>
      <c r="F24" s="16"/>
      <c r="G24" s="18" t="s">
        <v>1241</v>
      </c>
      <c r="H24" s="16"/>
      <c r="I24" s="18" t="s">
        <v>3433</v>
      </c>
      <c r="J24" s="16"/>
      <c r="K24" s="18" t="s">
        <v>4178</v>
      </c>
      <c r="L24" s="16"/>
      <c r="M24" s="18" t="s">
        <v>4887</v>
      </c>
      <c r="N24" s="16"/>
      <c r="O24" s="18" t="s">
        <v>5591</v>
      </c>
      <c r="P24" s="16"/>
      <c r="Q24" s="18"/>
      <c r="R24" s="16"/>
      <c r="S24" s="18"/>
      <c r="T24" s="21"/>
    </row>
    <row r="25" spans="1:20" ht="15.95" customHeight="1" x14ac:dyDescent="0.25">
      <c r="A25" s="18" t="s">
        <v>441</v>
      </c>
      <c r="B25" s="16"/>
      <c r="C25" s="18" t="s">
        <v>1986</v>
      </c>
      <c r="D25" s="16"/>
      <c r="E25" s="18" t="s">
        <v>2708</v>
      </c>
      <c r="F25" s="16"/>
      <c r="G25" s="18" t="s">
        <v>1242</v>
      </c>
      <c r="H25" s="16"/>
      <c r="I25" s="18" t="s">
        <v>3434</v>
      </c>
      <c r="J25" s="16"/>
      <c r="K25" s="18" t="s">
        <v>4179</v>
      </c>
      <c r="L25" s="16"/>
      <c r="M25" s="18" t="s">
        <v>4888</v>
      </c>
      <c r="N25" s="16"/>
      <c r="O25" s="18" t="s">
        <v>5592</v>
      </c>
      <c r="P25" s="16"/>
      <c r="Q25" s="18"/>
      <c r="R25" s="16"/>
      <c r="S25" s="18"/>
      <c r="T25" s="21"/>
    </row>
    <row r="26" spans="1:20" ht="15.95" customHeight="1" x14ac:dyDescent="0.25">
      <c r="A26" s="18" t="s">
        <v>442</v>
      </c>
      <c r="B26" s="16"/>
      <c r="C26" s="18" t="s">
        <v>1987</v>
      </c>
      <c r="D26" s="16"/>
      <c r="E26" s="18" t="s">
        <v>2709</v>
      </c>
      <c r="F26" s="16"/>
      <c r="G26" s="18" t="s">
        <v>1243</v>
      </c>
      <c r="H26" s="16"/>
      <c r="I26" s="18" t="s">
        <v>4</v>
      </c>
      <c r="J26" s="16"/>
      <c r="K26" s="18" t="s">
        <v>4180</v>
      </c>
      <c r="L26" s="16"/>
      <c r="M26" s="18" t="s">
        <v>4889</v>
      </c>
      <c r="N26" s="16"/>
      <c r="O26" s="18" t="s">
        <v>5593</v>
      </c>
      <c r="P26" s="16"/>
      <c r="Q26" s="18"/>
      <c r="R26" s="16"/>
      <c r="S26" s="18"/>
      <c r="T26" s="21"/>
    </row>
    <row r="27" spans="1:20" ht="15.95" customHeight="1" x14ac:dyDescent="0.25">
      <c r="A27" s="18" t="s">
        <v>4</v>
      </c>
      <c r="B27" s="16"/>
      <c r="C27" s="18" t="s">
        <v>4</v>
      </c>
      <c r="D27" s="16"/>
      <c r="E27" s="18" t="s">
        <v>4</v>
      </c>
      <c r="F27" s="16"/>
      <c r="G27" s="18" t="s">
        <v>4</v>
      </c>
      <c r="H27" s="16"/>
      <c r="I27" s="18" t="s">
        <v>3435</v>
      </c>
      <c r="J27" s="16"/>
      <c r="K27" s="18" t="s">
        <v>4</v>
      </c>
      <c r="L27" s="16"/>
      <c r="M27" s="18" t="s">
        <v>4</v>
      </c>
      <c r="N27" s="16"/>
      <c r="O27" s="18" t="s">
        <v>4</v>
      </c>
      <c r="P27" s="16"/>
      <c r="Q27" s="18"/>
      <c r="R27" s="16"/>
      <c r="S27" s="18"/>
      <c r="T27" s="21"/>
    </row>
    <row r="28" spans="1:20" ht="15.95" customHeight="1" x14ac:dyDescent="0.25">
      <c r="A28" s="18" t="s">
        <v>443</v>
      </c>
      <c r="B28" s="16"/>
      <c r="C28" s="18" t="s">
        <v>1988</v>
      </c>
      <c r="D28" s="16"/>
      <c r="E28" s="18" t="s">
        <v>2710</v>
      </c>
      <c r="F28" s="16"/>
      <c r="G28" s="18" t="s">
        <v>1244</v>
      </c>
      <c r="H28" s="16"/>
      <c r="I28" s="18" t="s">
        <v>3436</v>
      </c>
      <c r="J28" s="16"/>
      <c r="K28" s="18" t="s">
        <v>4181</v>
      </c>
      <c r="L28" s="16"/>
      <c r="M28" s="18" t="s">
        <v>4890</v>
      </c>
      <c r="N28" s="16"/>
      <c r="O28" s="18" t="s">
        <v>5594</v>
      </c>
      <c r="P28" s="16"/>
      <c r="Q28" s="18"/>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t="e" cm="1">
        <f t="array" ref="K29">- 침묵의 형제단 코랄리토</f>
        <v>#NAME?</v>
      </c>
      <c r="L29" s="16"/>
      <c r="M29" s="18" t="e">
        <f>- Coralito, Irmandade do Silêncio</f>
        <v>#NAME?</v>
      </c>
      <c r="N29" s="16"/>
      <c r="O29" s="18" t="s">
        <v>5595</v>
      </c>
      <c r="P29" s="16"/>
      <c r="Q29" s="18"/>
      <c r="R29" s="16"/>
      <c r="S29" s="18"/>
      <c r="T29" s="21"/>
    </row>
    <row r="30" spans="1:20" ht="15.95" customHeight="1" x14ac:dyDescent="0.25">
      <c r="A30" s="18"/>
      <c r="B30" s="16"/>
      <c r="C30" s="18"/>
      <c r="D30" s="16"/>
      <c r="E30" s="18"/>
      <c r="F30" s="16"/>
      <c r="G30" s="18" t="s">
        <v>1246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O3" sqref="O3:O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t="s">
        <v>4182</v>
      </c>
      <c r="L3" s="16" t="str">
        <f>TRIM(_xlfn.TEXTBEFORE(K3, ":"))</f>
        <v>아이템 종류</v>
      </c>
      <c r="M3" s="17" t="s">
        <v>4891</v>
      </c>
      <c r="N3" s="16" t="str">
        <f>TRIM(_xlfn.TEXTBEFORE(M3, ":"))</f>
        <v>Classe do Item</v>
      </c>
      <c r="O3" s="17" t="s">
        <v>5596</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t="s">
        <v>3857</v>
      </c>
      <c r="L4" s="16" t="str">
        <f>TRIM(_xlfn.TEXTAFTER(K3, ":"))</f>
        <v>활</v>
      </c>
      <c r="M4" s="18" t="s">
        <v>4586</v>
      </c>
      <c r="N4" s="16" t="str">
        <f>TRIM(_xlfn.TEXTAFTER(M3, ":"))</f>
        <v>Arcos</v>
      </c>
      <c r="O4" s="18" t="s">
        <v>5269</v>
      </c>
      <c r="P4" s="16" t="str">
        <f>TRIM(_xlfn.TEXTAFTER(O3, ":"))</f>
        <v>Луки</v>
      </c>
      <c r="Q4" s="18"/>
      <c r="R4" s="16" t="e">
        <f>TRIM(_xlfn.TEXTAFTER(Q3, ":"))</f>
        <v>#N/A</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t="s">
        <v>4183</v>
      </c>
      <c r="L5" s="16" t="str">
        <f>TRIM(_xlfn.TEXTBEFORE(K4, ":"))</f>
        <v>아이템 희귀도</v>
      </c>
      <c r="M5" s="18" t="s">
        <v>4892</v>
      </c>
      <c r="N5" s="16" t="str">
        <f>TRIM(_xlfn.TEXTBEFORE(M4, ":"))</f>
        <v>Raridade</v>
      </c>
      <c r="O5" s="18" t="s">
        <v>5597</v>
      </c>
      <c r="P5" s="16" t="str">
        <f>TRIM(_xlfn.TEXTBEFORE(O4, ":"))</f>
        <v>Редкость</v>
      </c>
      <c r="Q5" s="18"/>
      <c r="R5" s="16" t="e">
        <f>TRIM(_xlfn.TEXTBEFORE(Q4, ":"))</f>
        <v>#N/A</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t="s">
        <v>4184</v>
      </c>
      <c r="L6" s="16" t="str">
        <f>TRIM(_xlfn.TEXTAFTER(K4,":"))</f>
        <v>고유</v>
      </c>
      <c r="M6" s="18" t="s">
        <v>4893</v>
      </c>
      <c r="N6" s="16" t="str">
        <f>TRIM(_xlfn.TEXTAFTER(M4,":"))</f>
        <v>Único</v>
      </c>
      <c r="O6" s="18" t="s">
        <v>5598</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371</v>
      </c>
      <c r="B8" s="16"/>
      <c r="C8" s="18" t="s">
        <v>1993</v>
      </c>
      <c r="D8" s="16"/>
      <c r="E8" s="18" t="s">
        <v>2714</v>
      </c>
      <c r="F8" s="16"/>
      <c r="G8" s="18" t="s">
        <v>1250</v>
      </c>
      <c r="H8" s="16"/>
      <c r="I8" s="18" t="s">
        <v>3441</v>
      </c>
      <c r="J8" s="16"/>
      <c r="K8" s="18" t="s">
        <v>4185</v>
      </c>
      <c r="L8" s="16"/>
      <c r="M8" s="18" t="s">
        <v>2714</v>
      </c>
      <c r="N8" s="16"/>
      <c r="O8" s="18" t="s">
        <v>5599</v>
      </c>
      <c r="P8" s="16"/>
      <c r="Q8" s="18"/>
      <c r="R8" s="16"/>
      <c r="S8" s="18"/>
      <c r="T8" s="16"/>
    </row>
    <row r="9" spans="1:20" ht="15.95" customHeight="1" x14ac:dyDescent="0.25">
      <c r="A9" s="18" t="s">
        <v>372</v>
      </c>
      <c r="B9" s="16"/>
      <c r="C9" s="18" t="s">
        <v>1994</v>
      </c>
      <c r="D9" s="16"/>
      <c r="E9" s="18" t="s">
        <v>2715</v>
      </c>
      <c r="F9" s="16"/>
      <c r="G9" s="18" t="s">
        <v>1251</v>
      </c>
      <c r="H9" s="16"/>
      <c r="I9" s="18" t="s">
        <v>3442</v>
      </c>
      <c r="J9" s="16"/>
      <c r="K9" s="18" t="s">
        <v>4186</v>
      </c>
      <c r="L9" s="16"/>
      <c r="M9" s="18" t="s">
        <v>4894</v>
      </c>
      <c r="N9" s="16"/>
      <c r="O9" s="18" t="s">
        <v>5600</v>
      </c>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c r="R10" s="16"/>
      <c r="S10" s="18"/>
      <c r="T10" s="16"/>
    </row>
    <row r="11" spans="1:20" ht="15.95" customHeight="1" x14ac:dyDescent="0.25">
      <c r="A11" s="18" t="s">
        <v>373</v>
      </c>
      <c r="B11" s="16"/>
      <c r="C11" s="18" t="s">
        <v>1996</v>
      </c>
      <c r="D11" s="16"/>
      <c r="E11" s="18" t="s">
        <v>2717</v>
      </c>
      <c r="F11" s="16"/>
      <c r="G11" s="18" t="s">
        <v>1253</v>
      </c>
      <c r="H11" s="16"/>
      <c r="I11" s="18" t="s">
        <v>3444</v>
      </c>
      <c r="J11" s="16"/>
      <c r="K11" s="18" t="s">
        <v>4188</v>
      </c>
      <c r="L11" s="16"/>
      <c r="M11" s="18" t="s">
        <v>4896</v>
      </c>
      <c r="N11" s="16"/>
      <c r="O11" s="18" t="s">
        <v>5602</v>
      </c>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c r="R13" s="16"/>
      <c r="S13" s="18"/>
      <c r="T13" s="21"/>
    </row>
    <row r="14" spans="1:20" ht="15.95" customHeight="1" x14ac:dyDescent="0.25">
      <c r="A14" s="18" t="s">
        <v>374</v>
      </c>
      <c r="B14" s="16"/>
      <c r="C14" s="18" t="s">
        <v>1997</v>
      </c>
      <c r="D14" s="16"/>
      <c r="E14" s="18" t="s">
        <v>2718</v>
      </c>
      <c r="F14" s="16"/>
      <c r="G14" s="18" t="s">
        <v>1254</v>
      </c>
      <c r="H14" s="16"/>
      <c r="I14" s="18" t="s">
        <v>3445</v>
      </c>
      <c r="J14" s="16"/>
      <c r="K14" s="18" t="s">
        <v>4189</v>
      </c>
      <c r="L14" s="16"/>
      <c r="M14" s="18" t="s">
        <v>4897</v>
      </c>
      <c r="N14" s="16"/>
      <c r="O14" s="18" t="s">
        <v>5603</v>
      </c>
      <c r="P14" s="16"/>
      <c r="Q14" s="18"/>
      <c r="R14" s="16"/>
      <c r="S14" s="18"/>
      <c r="T14" s="21"/>
    </row>
    <row r="15" spans="1:20" ht="15.95" customHeight="1" x14ac:dyDescent="0.25">
      <c r="A15" s="18" t="s">
        <v>375</v>
      </c>
      <c r="B15" s="16"/>
      <c r="C15" s="18" t="s">
        <v>1998</v>
      </c>
      <c r="D15" s="16"/>
      <c r="E15" s="18" t="s">
        <v>2719</v>
      </c>
      <c r="F15" s="16"/>
      <c r="G15" s="18" t="s">
        <v>375</v>
      </c>
      <c r="H15" s="16"/>
      <c r="I15" s="18" t="s">
        <v>3446</v>
      </c>
      <c r="J15" s="16"/>
      <c r="K15" s="18" t="s">
        <v>4190</v>
      </c>
      <c r="L15" s="16"/>
      <c r="M15" s="18" t="s">
        <v>2719</v>
      </c>
      <c r="N15" s="16"/>
      <c r="O15" s="18" t="s">
        <v>5604</v>
      </c>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1"/>
    </row>
    <row r="17" spans="1:20" ht="15.95" customHeight="1" x14ac:dyDescent="0.25">
      <c r="A17" s="18" t="s">
        <v>197</v>
      </c>
      <c r="B17" s="16"/>
      <c r="C17" s="18" t="s">
        <v>1999</v>
      </c>
      <c r="D17" s="16"/>
      <c r="E17" s="18" t="s">
        <v>2720</v>
      </c>
      <c r="F17" s="16"/>
      <c r="G17" s="18" t="s">
        <v>1255</v>
      </c>
      <c r="H17" s="16"/>
      <c r="I17" s="18" t="s">
        <v>3447</v>
      </c>
      <c r="J17" s="16"/>
      <c r="K17" s="18" t="s">
        <v>4191</v>
      </c>
      <c r="L17" s="16"/>
      <c r="M17" s="18" t="s">
        <v>4898</v>
      </c>
      <c r="N17" s="16"/>
      <c r="O17" s="18" t="s">
        <v>5605</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240</v>
      </c>
      <c r="B19" s="16"/>
      <c r="C19" s="18" t="s">
        <v>2000</v>
      </c>
      <c r="D19" s="16"/>
      <c r="E19" s="18" t="s">
        <v>2721</v>
      </c>
      <c r="F19" s="16"/>
      <c r="G19" s="18" t="s">
        <v>1256</v>
      </c>
      <c r="H19" s="16"/>
      <c r="I19" s="18" t="s">
        <v>3448</v>
      </c>
      <c r="J19" s="16"/>
      <c r="K19" s="18" t="s">
        <v>4192</v>
      </c>
      <c r="L19" s="16"/>
      <c r="M19" s="18" t="s">
        <v>4899</v>
      </c>
      <c r="N19" s="16"/>
      <c r="O19" s="18" t="s">
        <v>5606</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376</v>
      </c>
      <c r="B21" s="16"/>
      <c r="C21" s="18" t="s">
        <v>2001</v>
      </c>
      <c r="D21" s="16"/>
      <c r="E21" s="18" t="s">
        <v>2722</v>
      </c>
      <c r="F21" s="16"/>
      <c r="G21" s="18" t="s">
        <v>1257</v>
      </c>
      <c r="H21" s="16"/>
      <c r="I21" s="18" t="s">
        <v>3449</v>
      </c>
      <c r="J21" s="16"/>
      <c r="K21" s="18" t="s">
        <v>4193</v>
      </c>
      <c r="L21" s="16"/>
      <c r="M21" s="18" t="s">
        <v>4900</v>
      </c>
      <c r="N21" s="16"/>
      <c r="O21" s="18" t="s">
        <v>5607</v>
      </c>
      <c r="P21" s="16"/>
      <c r="Q21" s="18"/>
      <c r="R21" s="16"/>
      <c r="S21" s="18"/>
      <c r="T21" s="21"/>
    </row>
    <row r="22" spans="1:20" ht="15.95" customHeight="1" x14ac:dyDescent="0.25">
      <c r="A22" s="18" t="s">
        <v>377</v>
      </c>
      <c r="B22" s="16"/>
      <c r="C22" s="18" t="s">
        <v>2002</v>
      </c>
      <c r="D22" s="16"/>
      <c r="E22" s="18" t="s">
        <v>2723</v>
      </c>
      <c r="F22" s="16"/>
      <c r="G22" s="18" t="s">
        <v>1258</v>
      </c>
      <c r="H22" s="16"/>
      <c r="I22" s="18" t="s">
        <v>3450</v>
      </c>
      <c r="J22" s="16"/>
      <c r="K22" s="18" t="s">
        <v>4194</v>
      </c>
      <c r="L22" s="16"/>
      <c r="M22" s="18" t="s">
        <v>4901</v>
      </c>
      <c r="N22" s="16"/>
      <c r="O22" s="18" t="s">
        <v>5608</v>
      </c>
      <c r="P22" s="16"/>
      <c r="Q22" s="18"/>
      <c r="R22" s="16"/>
      <c r="S22" s="18"/>
      <c r="T22" s="21"/>
    </row>
    <row r="23" spans="1:20" ht="15.95" customHeight="1" x14ac:dyDescent="0.25">
      <c r="A23" s="18" t="s">
        <v>378</v>
      </c>
      <c r="B23" s="16"/>
      <c r="C23" s="18" t="s">
        <v>2003</v>
      </c>
      <c r="D23" s="16"/>
      <c r="E23" s="18" t="s">
        <v>2724</v>
      </c>
      <c r="F23" s="16"/>
      <c r="G23" s="18" t="s">
        <v>1259</v>
      </c>
      <c r="H23" s="16"/>
      <c r="I23" s="18" t="s">
        <v>3451</v>
      </c>
      <c r="J23" s="16"/>
      <c r="K23" s="18" t="s">
        <v>4195</v>
      </c>
      <c r="L23" s="16"/>
      <c r="M23" s="18" t="s">
        <v>4902</v>
      </c>
      <c r="N23" s="16"/>
      <c r="O23" s="18" t="s">
        <v>5609</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379</v>
      </c>
      <c r="B25" s="16"/>
      <c r="C25" s="18" t="s">
        <v>2004</v>
      </c>
      <c r="D25" s="16"/>
      <c r="E25" s="18" t="s">
        <v>2725</v>
      </c>
      <c r="F25" s="16"/>
      <c r="G25" s="18" t="s">
        <v>1260</v>
      </c>
      <c r="H25" s="16"/>
      <c r="I25" s="18" t="s">
        <v>3452</v>
      </c>
      <c r="J25" s="16"/>
      <c r="K25" s="18" t="s">
        <v>4196</v>
      </c>
      <c r="L25" s="16"/>
      <c r="M25" s="18" t="s">
        <v>4903</v>
      </c>
      <c r="N25" s="16"/>
      <c r="O25" s="18" t="s">
        <v>5610</v>
      </c>
      <c r="P25" s="16"/>
      <c r="Q25" s="18"/>
      <c r="R25" s="16"/>
      <c r="S25" s="18"/>
      <c r="T25" s="21"/>
    </row>
    <row r="26" spans="1:20" ht="15.95" customHeight="1" x14ac:dyDescent="0.25">
      <c r="A26" s="18" t="s">
        <v>380</v>
      </c>
      <c r="B26" s="16"/>
      <c r="C26" s="18" t="s">
        <v>2005</v>
      </c>
      <c r="D26" s="16"/>
      <c r="E26" s="18" t="s">
        <v>2726</v>
      </c>
      <c r="F26" s="16"/>
      <c r="G26" s="18" t="s">
        <v>1261</v>
      </c>
      <c r="H26" s="16"/>
      <c r="I26" s="18" t="s">
        <v>3453</v>
      </c>
      <c r="J26" s="16"/>
      <c r="K26" s="18" t="s">
        <v>4197</v>
      </c>
      <c r="L26" s="16"/>
      <c r="M26" s="18" t="s">
        <v>4904</v>
      </c>
      <c r="N26" s="16"/>
      <c r="O26" s="18" t="s">
        <v>5611</v>
      </c>
      <c r="P26" s="16"/>
      <c r="Q26" s="18"/>
      <c r="R26" s="16"/>
      <c r="S26" s="18"/>
      <c r="T26" s="21"/>
    </row>
    <row r="27" spans="1:20" ht="15.95" customHeight="1" x14ac:dyDescent="0.25">
      <c r="A27" s="18" t="s">
        <v>381</v>
      </c>
      <c r="B27" s="16"/>
      <c r="C27" s="18" t="s">
        <v>2006</v>
      </c>
      <c r="D27" s="16"/>
      <c r="E27" s="18" t="s">
        <v>2727</v>
      </c>
      <c r="F27" s="16"/>
      <c r="G27" s="18" t="s">
        <v>1262</v>
      </c>
      <c r="H27" s="16"/>
      <c r="I27" s="18" t="s">
        <v>3454</v>
      </c>
      <c r="J27" s="16"/>
      <c r="K27" s="18" t="s">
        <v>4198</v>
      </c>
      <c r="L27" s="16"/>
      <c r="M27" s="18" t="s">
        <v>4905</v>
      </c>
      <c r="N27" s="16"/>
      <c r="O27" s="18" t="s">
        <v>5612</v>
      </c>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O3" sqref="O3:O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t="s">
        <v>4199</v>
      </c>
      <c r="L3" s="16" t="str">
        <f>TRIM(_xlfn.TEXTBEFORE(K3, ":"))</f>
        <v>아이템 종류</v>
      </c>
      <c r="M3" s="17" t="s">
        <v>5189</v>
      </c>
      <c r="N3" s="16" t="str">
        <f>TRIM(_xlfn.TEXTBEFORE(M3, ":"))</f>
        <v>Classe do Item</v>
      </c>
      <c r="O3" s="17" t="s">
        <v>5613</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t="s">
        <v>3857</v>
      </c>
      <c r="L4" s="16" t="str">
        <f>TRIM(_xlfn.TEXTAFTER(K3, ":"))</f>
        <v>클로</v>
      </c>
      <c r="M4" s="18" t="s">
        <v>4586</v>
      </c>
      <c r="N4" s="16" t="str">
        <f>TRIM(_xlfn.TEXTAFTER(M3, ":"))</f>
        <v>Garras</v>
      </c>
      <c r="O4" s="18" t="s">
        <v>5269</v>
      </c>
      <c r="P4" s="16" t="str">
        <f>TRIM(_xlfn.TEXTAFTER(O3, ":"))</f>
        <v>Когти</v>
      </c>
      <c r="Q4" s="18"/>
      <c r="R4" s="16" t="e">
        <f>TRIM(_xlfn.TEXTAFTER(Q3, ":"))</f>
        <v>#N/A</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t="s">
        <v>4200</v>
      </c>
      <c r="L5" s="16" t="str">
        <f>TRIM(_xlfn.TEXTBEFORE(K4, ":"))</f>
        <v>아이템 희귀도</v>
      </c>
      <c r="M5" s="18" t="s">
        <v>5190</v>
      </c>
      <c r="N5" s="16" t="str">
        <f>TRIM(_xlfn.TEXTBEFORE(M4, ":"))</f>
        <v>Raridade</v>
      </c>
      <c r="O5" s="18" t="s">
        <v>5614</v>
      </c>
      <c r="P5" s="16" t="str">
        <f>TRIM(_xlfn.TEXTBEFORE(O4, ":"))</f>
        <v>Редкость</v>
      </c>
      <c r="Q5" s="18"/>
      <c r="R5" s="16" t="e">
        <f>TRIM(_xlfn.TEXTBEFORE(Q4, ":"))</f>
        <v>#N/A</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t="s">
        <v>4201</v>
      </c>
      <c r="L6" s="16" t="str">
        <f>TRIM(_xlfn.TEXTAFTER(K4,":"))</f>
        <v>고유</v>
      </c>
      <c r="M6" s="18" t="s">
        <v>5191</v>
      </c>
      <c r="N6" s="16" t="str">
        <f>TRIM(_xlfn.TEXTAFTER(M4,":"))</f>
        <v>Único</v>
      </c>
      <c r="O6" s="18" t="s">
        <v>5615</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131</v>
      </c>
      <c r="B8" s="16"/>
      <c r="C8" s="18" t="s">
        <v>2010</v>
      </c>
      <c r="D8" s="16"/>
      <c r="E8" s="18" t="s">
        <v>2731</v>
      </c>
      <c r="F8" s="16"/>
      <c r="G8" s="18" t="s">
        <v>1266</v>
      </c>
      <c r="H8" s="16"/>
      <c r="I8" s="18" t="s">
        <v>3458</v>
      </c>
      <c r="J8" s="16"/>
      <c r="K8" s="18" t="s">
        <v>4202</v>
      </c>
      <c r="L8" s="16"/>
      <c r="M8" s="18" t="s">
        <v>2731</v>
      </c>
      <c r="N8" s="16"/>
      <c r="O8" s="18" t="s">
        <v>5616</v>
      </c>
      <c r="P8" s="16"/>
      <c r="Q8" s="18"/>
      <c r="R8" s="16"/>
      <c r="S8" s="18"/>
      <c r="T8" s="16"/>
    </row>
    <row r="9" spans="1:20" ht="15.95" customHeight="1" x14ac:dyDescent="0.25">
      <c r="A9" s="18" t="s">
        <v>132</v>
      </c>
      <c r="B9" s="16"/>
      <c r="C9" s="18" t="s">
        <v>2011</v>
      </c>
      <c r="D9" s="16"/>
      <c r="E9" s="18" t="s">
        <v>2732</v>
      </c>
      <c r="F9" s="16"/>
      <c r="G9" s="18" t="s">
        <v>1267</v>
      </c>
      <c r="H9" s="16"/>
      <c r="I9" s="18" t="s">
        <v>3459</v>
      </c>
      <c r="J9" s="16"/>
      <c r="K9" s="18" t="s">
        <v>4203</v>
      </c>
      <c r="L9" s="16"/>
      <c r="M9" s="18" t="s">
        <v>5192</v>
      </c>
      <c r="N9" s="16"/>
      <c r="O9" s="18" t="s">
        <v>5617</v>
      </c>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136</v>
      </c>
      <c r="B15" s="16"/>
      <c r="C15" s="18" t="s">
        <v>1619</v>
      </c>
      <c r="D15" s="16"/>
      <c r="E15" s="18" t="s">
        <v>2366</v>
      </c>
      <c r="F15" s="16"/>
      <c r="G15" s="18" t="s">
        <v>893</v>
      </c>
      <c r="H15" s="16"/>
      <c r="I15" s="18" t="s">
        <v>3080</v>
      </c>
      <c r="J15" s="16"/>
      <c r="K15" s="18" t="s">
        <v>3831</v>
      </c>
      <c r="L15" s="16"/>
      <c r="M15" s="18" t="s">
        <v>4559</v>
      </c>
      <c r="N15" s="16"/>
      <c r="O15" s="18" t="s">
        <v>5242</v>
      </c>
      <c r="P15" s="16"/>
      <c r="Q15" s="18"/>
      <c r="R15" s="16"/>
      <c r="S15" s="18"/>
      <c r="T15" s="21"/>
    </row>
    <row r="16" spans="1:20" ht="15.95" customHeight="1" x14ac:dyDescent="0.25">
      <c r="A16" s="18" t="s">
        <v>137</v>
      </c>
      <c r="B16" s="16"/>
      <c r="C16" s="18" t="s">
        <v>2013</v>
      </c>
      <c r="D16" s="16"/>
      <c r="E16" s="18" t="s">
        <v>2734</v>
      </c>
      <c r="F16" s="16"/>
      <c r="G16" s="18" t="s">
        <v>137</v>
      </c>
      <c r="H16" s="16"/>
      <c r="I16" s="18" t="s">
        <v>3461</v>
      </c>
      <c r="J16" s="16"/>
      <c r="K16" s="18" t="s">
        <v>4205</v>
      </c>
      <c r="L16" s="16"/>
      <c r="M16" s="18" t="s">
        <v>2734</v>
      </c>
      <c r="N16" s="16"/>
      <c r="O16" s="18" t="s">
        <v>5619</v>
      </c>
      <c r="P16" s="16"/>
      <c r="Q16" s="18"/>
      <c r="R16" s="16"/>
      <c r="S16" s="18"/>
      <c r="T16" s="21"/>
    </row>
    <row r="17" spans="1:20" ht="15.95" customHeight="1" x14ac:dyDescent="0.25">
      <c r="A17" s="18" t="s">
        <v>138</v>
      </c>
      <c r="B17" s="16"/>
      <c r="C17" s="18" t="s">
        <v>138</v>
      </c>
      <c r="D17" s="16"/>
      <c r="E17" s="18" t="s">
        <v>138</v>
      </c>
      <c r="F17" s="16"/>
      <c r="G17" s="18" t="s">
        <v>138</v>
      </c>
      <c r="H17" s="16"/>
      <c r="I17" s="18" t="s">
        <v>3462</v>
      </c>
      <c r="J17" s="16"/>
      <c r="K17" s="18" t="s">
        <v>4206</v>
      </c>
      <c r="L17" s="16"/>
      <c r="M17" s="18" t="s">
        <v>138</v>
      </c>
      <c r="N17" s="16"/>
      <c r="O17" s="18" t="s">
        <v>5620</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139</v>
      </c>
      <c r="B19" s="16"/>
      <c r="C19" s="18" t="s">
        <v>2014</v>
      </c>
      <c r="D19" s="16"/>
      <c r="E19" s="18" t="s">
        <v>2735</v>
      </c>
      <c r="F19" s="16"/>
      <c r="G19" s="18" t="s">
        <v>1269</v>
      </c>
      <c r="H19" s="16"/>
      <c r="I19" s="18" t="s">
        <v>3463</v>
      </c>
      <c r="J19" s="16"/>
      <c r="K19" s="18" t="s">
        <v>4207</v>
      </c>
      <c r="L19" s="16"/>
      <c r="M19" s="18" t="s">
        <v>5193</v>
      </c>
      <c r="N19" s="16"/>
      <c r="O19" s="18" t="s">
        <v>5621</v>
      </c>
      <c r="P19" s="16"/>
      <c r="Q19" s="18"/>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111</v>
      </c>
      <c r="B21" s="16"/>
      <c r="C21" s="18" t="s">
        <v>1691</v>
      </c>
      <c r="D21" s="16"/>
      <c r="E21" s="18" t="s">
        <v>2325</v>
      </c>
      <c r="F21" s="16"/>
      <c r="G21" s="18" t="s">
        <v>958</v>
      </c>
      <c r="H21" s="16"/>
      <c r="I21" s="18" t="s">
        <v>3127</v>
      </c>
      <c r="J21" s="16"/>
      <c r="K21" s="18" t="s">
        <v>3787</v>
      </c>
      <c r="L21" s="16"/>
      <c r="M21" s="18" t="s">
        <v>4605</v>
      </c>
      <c r="N21" s="16"/>
      <c r="O21" s="18" t="s">
        <v>5288</v>
      </c>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1"/>
    </row>
    <row r="23" spans="1:20" ht="15.95" customHeight="1" x14ac:dyDescent="0.25">
      <c r="A23" s="18" t="s">
        <v>140</v>
      </c>
      <c r="B23" s="16"/>
      <c r="C23" s="18" t="s">
        <v>2015</v>
      </c>
      <c r="D23" s="16"/>
      <c r="E23" s="18" t="s">
        <v>2736</v>
      </c>
      <c r="F23" s="16"/>
      <c r="G23" s="18" t="s">
        <v>1270</v>
      </c>
      <c r="H23" s="16"/>
      <c r="I23" s="18" t="s">
        <v>3464</v>
      </c>
      <c r="J23" s="16"/>
      <c r="K23" s="18" t="s">
        <v>4208</v>
      </c>
      <c r="L23" s="16"/>
      <c r="M23" s="18" t="s">
        <v>5194</v>
      </c>
      <c r="N23" s="16"/>
      <c r="O23" s="18" t="s">
        <v>5622</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141</v>
      </c>
      <c r="B25" s="16"/>
      <c r="C25" s="18" t="s">
        <v>2016</v>
      </c>
      <c r="D25" s="16"/>
      <c r="E25" s="18" t="s">
        <v>2737</v>
      </c>
      <c r="F25" s="16"/>
      <c r="G25" s="18" t="s">
        <v>1271</v>
      </c>
      <c r="H25" s="16"/>
      <c r="I25" s="18" t="s">
        <v>3465</v>
      </c>
      <c r="J25" s="16"/>
      <c r="K25" s="18" t="s">
        <v>4209</v>
      </c>
      <c r="L25" s="16"/>
      <c r="M25" s="18" t="s">
        <v>5195</v>
      </c>
      <c r="N25" s="16"/>
      <c r="O25" s="18" t="s">
        <v>5623</v>
      </c>
      <c r="P25" s="16"/>
      <c r="Q25" s="18"/>
      <c r="R25" s="16"/>
      <c r="S25" s="18"/>
      <c r="T25" s="21"/>
    </row>
    <row r="26" spans="1:20" ht="15.95" customHeight="1" x14ac:dyDescent="0.25">
      <c r="A26" s="18" t="s">
        <v>142</v>
      </c>
      <c r="B26" s="16"/>
      <c r="C26" s="18" t="s">
        <v>2017</v>
      </c>
      <c r="D26" s="16"/>
      <c r="E26" s="18" t="s">
        <v>2738</v>
      </c>
      <c r="F26" s="16"/>
      <c r="G26" s="18" t="s">
        <v>1272</v>
      </c>
      <c r="H26" s="16"/>
      <c r="I26" s="18" t="s">
        <v>3466</v>
      </c>
      <c r="J26" s="16"/>
      <c r="K26" s="18" t="s">
        <v>4210</v>
      </c>
      <c r="L26" s="16"/>
      <c r="M26" s="18" t="s">
        <v>5196</v>
      </c>
      <c r="N26" s="16"/>
      <c r="O26" s="18" t="s">
        <v>5624</v>
      </c>
      <c r="P26" s="16"/>
      <c r="Q26" s="18"/>
      <c r="R26" s="16"/>
      <c r="S26" s="18"/>
      <c r="T26" s="21"/>
    </row>
    <row r="27" spans="1:20" ht="15.95" customHeight="1" x14ac:dyDescent="0.25">
      <c r="A27" s="18" t="s">
        <v>143</v>
      </c>
      <c r="B27" s="16"/>
      <c r="C27" s="18" t="s">
        <v>2018</v>
      </c>
      <c r="D27" s="16"/>
      <c r="E27" s="18" t="s">
        <v>2739</v>
      </c>
      <c r="F27" s="16"/>
      <c r="G27" s="18" t="s">
        <v>1273</v>
      </c>
      <c r="H27" s="16"/>
      <c r="I27" s="18" t="s">
        <v>3467</v>
      </c>
      <c r="J27" s="16"/>
      <c r="K27" s="18" t="s">
        <v>4211</v>
      </c>
      <c r="L27" s="16"/>
      <c r="M27" s="18" t="s">
        <v>5197</v>
      </c>
      <c r="N27" s="16"/>
      <c r="O27" s="18" t="s">
        <v>5625</v>
      </c>
      <c r="P27" s="16"/>
      <c r="Q27" s="18"/>
      <c r="R27" s="16"/>
      <c r="S27" s="18"/>
      <c r="T27" s="21"/>
    </row>
    <row r="28" spans="1:20" ht="15.95" customHeight="1" x14ac:dyDescent="0.25">
      <c r="A28" s="18" t="s">
        <v>144</v>
      </c>
      <c r="B28" s="16"/>
      <c r="C28" s="18" t="s">
        <v>2019</v>
      </c>
      <c r="D28" s="16"/>
      <c r="E28" s="18" t="s">
        <v>2740</v>
      </c>
      <c r="F28" s="16"/>
      <c r="G28" s="18" t="s">
        <v>1274</v>
      </c>
      <c r="H28" s="16"/>
      <c r="I28" s="18" t="s">
        <v>3468</v>
      </c>
      <c r="J28" s="16"/>
      <c r="K28" s="18" t="s">
        <v>4212</v>
      </c>
      <c r="L28" s="16"/>
      <c r="M28" s="18" t="s">
        <v>5198</v>
      </c>
      <c r="N28" s="16"/>
      <c r="O28" s="18" t="s">
        <v>5626</v>
      </c>
      <c r="P28" s="16"/>
      <c r="Q28" s="18"/>
      <c r="R28" s="16"/>
      <c r="S28" s="18"/>
      <c r="T28" s="21"/>
    </row>
    <row r="29" spans="1:20" ht="15.95" customHeight="1" x14ac:dyDescent="0.25">
      <c r="A29" s="18" t="s">
        <v>145</v>
      </c>
      <c r="B29" s="16"/>
      <c r="C29" s="18" t="s">
        <v>2020</v>
      </c>
      <c r="D29" s="16"/>
      <c r="E29" s="18" t="s">
        <v>2741</v>
      </c>
      <c r="F29" s="16"/>
      <c r="G29" s="18" t="s">
        <v>1275</v>
      </c>
      <c r="H29" s="16"/>
      <c r="I29" s="18" t="s">
        <v>3469</v>
      </c>
      <c r="J29" s="16"/>
      <c r="K29" s="18" t="s">
        <v>4213</v>
      </c>
      <c r="L29" s="16"/>
      <c r="M29" s="18" t="s">
        <v>5199</v>
      </c>
      <c r="N29" s="16"/>
      <c r="O29" s="18" t="s">
        <v>5627</v>
      </c>
      <c r="P29" s="16"/>
      <c r="Q29" s="18"/>
      <c r="R29" s="16"/>
      <c r="S29" s="18"/>
      <c r="T29" s="21"/>
    </row>
    <row r="30" spans="1:20" ht="15.95" customHeight="1" x14ac:dyDescent="0.25">
      <c r="A30" s="18" t="s">
        <v>146</v>
      </c>
      <c r="B30" s="16"/>
      <c r="C30" s="18" t="s">
        <v>2021</v>
      </c>
      <c r="D30" s="16"/>
      <c r="E30" s="18" t="s">
        <v>2742</v>
      </c>
      <c r="F30" s="16"/>
      <c r="G30" s="18" t="s">
        <v>1276</v>
      </c>
      <c r="H30" s="16"/>
      <c r="I30" s="18" t="s">
        <v>3470</v>
      </c>
      <c r="J30" s="16"/>
      <c r="K30" s="18" t="s">
        <v>4214</v>
      </c>
      <c r="L30" s="16"/>
      <c r="M30" s="18" t="s">
        <v>5200</v>
      </c>
      <c r="N30" s="16"/>
      <c r="O30" s="18" t="s">
        <v>5628</v>
      </c>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c r="R31" s="16"/>
      <c r="S31" s="18"/>
      <c r="T31" s="21"/>
    </row>
    <row r="32" spans="1:20" ht="15.95" customHeight="1" x14ac:dyDescent="0.25">
      <c r="A32" s="18" t="s">
        <v>147</v>
      </c>
      <c r="B32" s="16"/>
      <c r="C32" s="18" t="s">
        <v>2022</v>
      </c>
      <c r="D32" s="16"/>
      <c r="E32" s="18" t="s">
        <v>2743</v>
      </c>
      <c r="F32" s="16"/>
      <c r="G32" s="18" t="s">
        <v>1277</v>
      </c>
      <c r="H32" s="16"/>
      <c r="I32" s="18" t="s">
        <v>3471</v>
      </c>
      <c r="J32" s="16"/>
      <c r="K32" s="18" t="s">
        <v>4215</v>
      </c>
      <c r="L32" s="16"/>
      <c r="M32" s="18" t="s">
        <v>5201</v>
      </c>
      <c r="N32" s="16"/>
      <c r="O32" s="18" t="s">
        <v>5629</v>
      </c>
      <c r="P32" s="16"/>
      <c r="Q32" s="18"/>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t="s">
        <v>4216</v>
      </c>
      <c r="L33" s="16"/>
      <c r="M33" s="18" t="e">
        <f>- Atalui, Sacerdotisa Vaal</f>
        <v>#NAME?</v>
      </c>
      <c r="N33" s="16"/>
      <c r="O33" s="18" t="e">
        <f>- Аталуи, жрица ваал</f>
        <v>#NAME?</v>
      </c>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O3" sqref="O3:O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t="s">
        <v>4217</v>
      </c>
      <c r="L3" s="16" t="str">
        <f>TRIM(_xlfn.TEXTBEFORE(K3, ":"))</f>
        <v>아이템 종류</v>
      </c>
      <c r="M3" s="17" t="s">
        <v>4906</v>
      </c>
      <c r="N3" s="16" t="str">
        <f>TRIM(_xlfn.TEXTBEFORE(M3, ":"))</f>
        <v>Classe do Item</v>
      </c>
      <c r="O3" s="17" t="s">
        <v>5630</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t="s">
        <v>3857</v>
      </c>
      <c r="L4" s="16" t="str">
        <f>TRIM(_xlfn.TEXTAFTER(K3, ":"))</f>
        <v>단검</v>
      </c>
      <c r="M4" s="18" t="s">
        <v>4586</v>
      </c>
      <c r="N4" s="16" t="str">
        <f>TRIM(_xlfn.TEXTAFTER(M3, ":"))</f>
        <v>Adagas</v>
      </c>
      <c r="O4" s="18" t="s">
        <v>5269</v>
      </c>
      <c r="P4" s="16" t="str">
        <f>TRIM(_xlfn.TEXTAFTER(O3, ":"))</f>
        <v>Кинжалы</v>
      </c>
      <c r="Q4" s="18"/>
      <c r="R4" s="16" t="e">
        <f>TRIM(_xlfn.TEXTAFTER(Q3, ":"))</f>
        <v>#N/A</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t="s">
        <v>4218</v>
      </c>
      <c r="L5" s="16" t="str">
        <f>TRIM(_xlfn.TEXTBEFORE(K4, ":"))</f>
        <v>아이템 희귀도</v>
      </c>
      <c r="M5" s="18" t="s">
        <v>4907</v>
      </c>
      <c r="N5" s="16" t="str">
        <f>TRIM(_xlfn.TEXTBEFORE(M4, ":"))</f>
        <v>Raridade</v>
      </c>
      <c r="O5" s="18" t="s">
        <v>5631</v>
      </c>
      <c r="P5" s="16" t="str">
        <f>TRIM(_xlfn.TEXTBEFORE(O4, ":"))</f>
        <v>Редкость</v>
      </c>
      <c r="Q5" s="18"/>
      <c r="R5" s="16" t="e">
        <f>TRIM(_xlfn.TEXTBEFORE(Q4, ":"))</f>
        <v>#N/A</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t="s">
        <v>4219</v>
      </c>
      <c r="L6" s="16" t="str">
        <f>TRIM(_xlfn.TEXTAFTER(K4,":"))</f>
        <v>고유</v>
      </c>
      <c r="M6" s="18" t="s">
        <v>4908</v>
      </c>
      <c r="N6" s="16" t="str">
        <f>TRIM(_xlfn.TEXTAFTER(M4,":"))</f>
        <v>Único</v>
      </c>
      <c r="O6" s="18" t="s">
        <v>5632</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173</v>
      </c>
      <c r="B8" s="16"/>
      <c r="C8" s="18" t="s">
        <v>2027</v>
      </c>
      <c r="D8" s="16"/>
      <c r="E8" s="18" t="s">
        <v>2747</v>
      </c>
      <c r="F8" s="16"/>
      <c r="G8" s="18" t="s">
        <v>1282</v>
      </c>
      <c r="H8" s="16"/>
      <c r="I8" s="18" t="s">
        <v>3476</v>
      </c>
      <c r="J8" s="16"/>
      <c r="K8" s="18" t="s">
        <v>4220</v>
      </c>
      <c r="L8" s="16"/>
      <c r="M8" s="18" t="s">
        <v>4909</v>
      </c>
      <c r="N8" s="16"/>
      <c r="O8" s="18" t="s">
        <v>5633</v>
      </c>
      <c r="P8" s="16"/>
      <c r="Q8" s="18"/>
      <c r="R8" s="16"/>
      <c r="S8" s="18"/>
      <c r="T8" s="16"/>
    </row>
    <row r="9" spans="1:20" ht="15.95" customHeight="1" x14ac:dyDescent="0.25">
      <c r="A9" s="18" t="s">
        <v>174</v>
      </c>
      <c r="B9" s="16"/>
      <c r="C9" s="18" t="s">
        <v>2028</v>
      </c>
      <c r="D9" s="16"/>
      <c r="E9" s="18" t="s">
        <v>2748</v>
      </c>
      <c r="F9" s="16"/>
      <c r="G9" s="18" t="s">
        <v>1283</v>
      </c>
      <c r="H9" s="16"/>
      <c r="I9" s="18" t="s">
        <v>3477</v>
      </c>
      <c r="J9" s="16"/>
      <c r="K9" s="18" t="s">
        <v>4221</v>
      </c>
      <c r="L9" s="16"/>
      <c r="M9" s="18" t="s">
        <v>4910</v>
      </c>
      <c r="N9" s="16"/>
      <c r="O9" s="18" t="s">
        <v>5634</v>
      </c>
      <c r="P9" s="16"/>
      <c r="Q9" s="18"/>
      <c r="R9" s="16"/>
      <c r="S9" s="18"/>
      <c r="T9" s="16"/>
    </row>
    <row r="10" spans="1:20" ht="15.95" customHeight="1" x14ac:dyDescent="0.25">
      <c r="A10" s="18" t="s">
        <v>175</v>
      </c>
      <c r="B10" s="16"/>
      <c r="C10" s="18" t="s">
        <v>2029</v>
      </c>
      <c r="D10" s="16"/>
      <c r="E10" s="18" t="s">
        <v>2749</v>
      </c>
      <c r="F10" s="16"/>
      <c r="G10" s="18" t="s">
        <v>1284</v>
      </c>
      <c r="H10" s="16"/>
      <c r="I10" s="18" t="s">
        <v>3478</v>
      </c>
      <c r="J10" s="16"/>
      <c r="K10" s="18" t="s">
        <v>4222</v>
      </c>
      <c r="L10" s="16"/>
      <c r="M10" s="18" t="s">
        <v>4911</v>
      </c>
      <c r="N10" s="16"/>
      <c r="O10" s="18" t="s">
        <v>5635</v>
      </c>
      <c r="P10" s="16"/>
      <c r="Q10" s="18"/>
      <c r="R10" s="16"/>
      <c r="S10" s="18"/>
      <c r="T10" s="16"/>
    </row>
    <row r="11" spans="1:20" ht="15.95" customHeight="1" x14ac:dyDescent="0.25">
      <c r="A11" s="18" t="s">
        <v>176</v>
      </c>
      <c r="B11" s="16"/>
      <c r="C11" s="18" t="s">
        <v>2030</v>
      </c>
      <c r="D11" s="16"/>
      <c r="E11" s="18" t="s">
        <v>2750</v>
      </c>
      <c r="F11" s="16"/>
      <c r="G11" s="18" t="s">
        <v>1285</v>
      </c>
      <c r="H11" s="16"/>
      <c r="I11" s="18" t="s">
        <v>3479</v>
      </c>
      <c r="J11" s="16"/>
      <c r="K11" s="18" t="s">
        <v>4223</v>
      </c>
      <c r="L11" s="16"/>
      <c r="M11" s="18" t="s">
        <v>4912</v>
      </c>
      <c r="N11" s="16"/>
      <c r="O11" s="18" t="s">
        <v>5636</v>
      </c>
      <c r="P11" s="16"/>
      <c r="Q11" s="18"/>
      <c r="R11" s="16"/>
      <c r="S11" s="18"/>
      <c r="T11" s="16"/>
    </row>
    <row r="12" spans="1:20" ht="15.95" customHeight="1" x14ac:dyDescent="0.25">
      <c r="A12" s="18" t="s">
        <v>156</v>
      </c>
      <c r="B12" s="16"/>
      <c r="C12" s="18" t="s">
        <v>1866</v>
      </c>
      <c r="D12" s="16"/>
      <c r="E12" s="18" t="s">
        <v>2584</v>
      </c>
      <c r="F12" s="16"/>
      <c r="G12" s="18" t="s">
        <v>1131</v>
      </c>
      <c r="H12" s="16"/>
      <c r="I12" s="18" t="s">
        <v>3307</v>
      </c>
      <c r="J12" s="16"/>
      <c r="K12" s="18" t="s">
        <v>4052</v>
      </c>
      <c r="L12" s="16"/>
      <c r="M12" s="18" t="s">
        <v>4775</v>
      </c>
      <c r="N12" s="16"/>
      <c r="O12" s="18" t="s">
        <v>5466</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177</v>
      </c>
      <c r="B15" s="16"/>
      <c r="C15" s="18" t="s">
        <v>2031</v>
      </c>
      <c r="D15" s="16"/>
      <c r="E15" s="18" t="s">
        <v>2751</v>
      </c>
      <c r="F15" s="16"/>
      <c r="G15" s="18" t="s">
        <v>1286</v>
      </c>
      <c r="H15" s="16"/>
      <c r="I15" s="18" t="s">
        <v>3480</v>
      </c>
      <c r="J15" s="16"/>
      <c r="K15" s="18" t="s">
        <v>4224</v>
      </c>
      <c r="L15" s="16"/>
      <c r="M15" s="18" t="s">
        <v>4913</v>
      </c>
      <c r="N15" s="16"/>
      <c r="O15" s="18" t="s">
        <v>5637</v>
      </c>
      <c r="P15" s="16"/>
      <c r="Q15" s="18"/>
      <c r="R15" s="16"/>
      <c r="S15" s="18"/>
      <c r="T15" s="21"/>
    </row>
    <row r="16" spans="1:20" ht="15.95" customHeight="1" x14ac:dyDescent="0.25">
      <c r="A16" s="18" t="s">
        <v>178</v>
      </c>
      <c r="B16" s="16"/>
      <c r="C16" s="18" t="s">
        <v>2032</v>
      </c>
      <c r="D16" s="16"/>
      <c r="E16" s="18" t="s">
        <v>2752</v>
      </c>
      <c r="F16" s="16"/>
      <c r="G16" s="18" t="s">
        <v>178</v>
      </c>
      <c r="H16" s="16"/>
      <c r="I16" s="18" t="s">
        <v>3481</v>
      </c>
      <c r="J16" s="16"/>
      <c r="K16" s="18" t="s">
        <v>4225</v>
      </c>
      <c r="L16" s="16"/>
      <c r="M16" s="18" t="s">
        <v>2752</v>
      </c>
      <c r="N16" s="16"/>
      <c r="O16" s="18" t="s">
        <v>5638</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179</v>
      </c>
      <c r="B18" s="16"/>
      <c r="C18" s="18" t="s">
        <v>2033</v>
      </c>
      <c r="D18" s="16"/>
      <c r="E18" s="18" t="s">
        <v>2753</v>
      </c>
      <c r="F18" s="16"/>
      <c r="G18" s="18" t="s">
        <v>1287</v>
      </c>
      <c r="H18" s="16"/>
      <c r="I18" s="18" t="s">
        <v>3482</v>
      </c>
      <c r="J18" s="16"/>
      <c r="K18" s="18" t="s">
        <v>4226</v>
      </c>
      <c r="L18" s="16"/>
      <c r="M18" s="18" t="s">
        <v>4914</v>
      </c>
      <c r="N18" s="16"/>
      <c r="O18" s="18" t="s">
        <v>5639</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117</v>
      </c>
      <c r="B20" s="16"/>
      <c r="C20" s="18" t="s">
        <v>1742</v>
      </c>
      <c r="D20" s="16"/>
      <c r="E20" s="18" t="s">
        <v>2461</v>
      </c>
      <c r="F20" s="16"/>
      <c r="G20" s="18" t="s">
        <v>1010</v>
      </c>
      <c r="H20" s="16"/>
      <c r="I20" s="18" t="s">
        <v>3179</v>
      </c>
      <c r="J20" s="16"/>
      <c r="K20" s="18" t="s">
        <v>3926</v>
      </c>
      <c r="L20" s="16"/>
      <c r="M20" s="18" t="s">
        <v>4655</v>
      </c>
      <c r="N20" s="16"/>
      <c r="O20" s="18" t="s">
        <v>5340</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161</v>
      </c>
      <c r="B22" s="16"/>
      <c r="C22" s="18" t="s">
        <v>1870</v>
      </c>
      <c r="D22" s="16"/>
      <c r="E22" s="18" t="s">
        <v>2588</v>
      </c>
      <c r="F22" s="16"/>
      <c r="G22" s="18" t="s">
        <v>1133</v>
      </c>
      <c r="H22" s="16"/>
      <c r="I22" s="18" t="s">
        <v>3312</v>
      </c>
      <c r="J22" s="16"/>
      <c r="K22" s="18" t="s">
        <v>4057</v>
      </c>
      <c r="L22" s="16"/>
      <c r="M22" s="18" t="s">
        <v>4778</v>
      </c>
      <c r="N22" s="16"/>
      <c r="O22" s="18" t="s">
        <v>5471</v>
      </c>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1"/>
    </row>
    <row r="24" spans="1:20" ht="15.95" customHeight="1" x14ac:dyDescent="0.25">
      <c r="A24" s="18" t="s">
        <v>180</v>
      </c>
      <c r="B24" s="16"/>
      <c r="C24" s="18" t="s">
        <v>2034</v>
      </c>
      <c r="D24" s="16"/>
      <c r="E24" s="18" t="s">
        <v>2754</v>
      </c>
      <c r="F24" s="16"/>
      <c r="G24" s="18" t="s">
        <v>1288</v>
      </c>
      <c r="H24" s="16"/>
      <c r="I24" s="18" t="s">
        <v>3483</v>
      </c>
      <c r="J24" s="16"/>
      <c r="K24" s="18" t="s">
        <v>4227</v>
      </c>
      <c r="L24" s="16"/>
      <c r="M24" s="18" t="s">
        <v>4915</v>
      </c>
      <c r="N24" s="16"/>
      <c r="O24" s="18" t="s">
        <v>5640</v>
      </c>
      <c r="P24" s="16"/>
      <c r="Q24" s="18"/>
      <c r="R24" s="16"/>
      <c r="S24" s="18"/>
      <c r="T24" s="21"/>
    </row>
    <row r="25" spans="1:20" ht="15.95" customHeight="1" x14ac:dyDescent="0.25">
      <c r="A25" s="18" t="s">
        <v>181</v>
      </c>
      <c r="B25" s="16"/>
      <c r="C25" s="18" t="s">
        <v>2035</v>
      </c>
      <c r="D25" s="16"/>
      <c r="E25" s="18" t="s">
        <v>2755</v>
      </c>
      <c r="F25" s="16"/>
      <c r="G25" s="18" t="s">
        <v>1289</v>
      </c>
      <c r="H25" s="16"/>
      <c r="I25" s="18" t="s">
        <v>3484</v>
      </c>
      <c r="J25" s="16"/>
      <c r="K25" s="18" t="s">
        <v>4228</v>
      </c>
      <c r="L25" s="16"/>
      <c r="M25" s="18" t="s">
        <v>4916</v>
      </c>
      <c r="N25" s="16"/>
      <c r="O25" s="18" t="s">
        <v>5641</v>
      </c>
      <c r="P25" s="16"/>
      <c r="Q25" s="18"/>
      <c r="R25" s="16"/>
      <c r="S25" s="18"/>
      <c r="T25" s="21"/>
    </row>
    <row r="26" spans="1:20" ht="15.95" customHeight="1" x14ac:dyDescent="0.25">
      <c r="A26" s="18" t="s">
        <v>182</v>
      </c>
      <c r="B26" s="16"/>
      <c r="C26" s="18" t="s">
        <v>2036</v>
      </c>
      <c r="D26" s="16"/>
      <c r="E26" s="18" t="s">
        <v>2756</v>
      </c>
      <c r="F26" s="16"/>
      <c r="G26" s="18" t="s">
        <v>1290</v>
      </c>
      <c r="H26" s="16"/>
      <c r="I26" s="18" t="s">
        <v>3485</v>
      </c>
      <c r="J26" s="16"/>
      <c r="K26" s="18" t="s">
        <v>4229</v>
      </c>
      <c r="L26" s="16"/>
      <c r="M26" s="18" t="s">
        <v>4917</v>
      </c>
      <c r="N26" s="16"/>
      <c r="O26" s="18" t="s">
        <v>5642</v>
      </c>
      <c r="P26" s="16"/>
      <c r="Q26" s="18"/>
      <c r="R26" s="16"/>
      <c r="S26" s="18"/>
      <c r="T26" s="21"/>
    </row>
    <row r="27" spans="1:20" ht="15.95" customHeight="1" x14ac:dyDescent="0.25">
      <c r="A27" s="18" t="s">
        <v>183</v>
      </c>
      <c r="B27" s="16"/>
      <c r="C27" s="18" t="s">
        <v>2037</v>
      </c>
      <c r="D27" s="16"/>
      <c r="E27" s="18" t="s">
        <v>2757</v>
      </c>
      <c r="F27" s="16"/>
      <c r="G27" s="18" t="s">
        <v>1291</v>
      </c>
      <c r="H27" s="16"/>
      <c r="I27" s="18" t="s">
        <v>3486</v>
      </c>
      <c r="J27" s="16"/>
      <c r="K27" s="18" t="s">
        <v>4230</v>
      </c>
      <c r="L27" s="16"/>
      <c r="M27" s="18" t="s">
        <v>4918</v>
      </c>
      <c r="N27" s="16"/>
      <c r="O27" s="18" t="s">
        <v>5643</v>
      </c>
      <c r="P27" s="16"/>
      <c r="Q27" s="18"/>
      <c r="R27" s="16"/>
      <c r="S27" s="18"/>
      <c r="T27" s="21"/>
    </row>
    <row r="28" spans="1:20" ht="15.95" customHeight="1" x14ac:dyDescent="0.25">
      <c r="A28" s="18" t="s">
        <v>184</v>
      </c>
      <c r="B28" s="16"/>
      <c r="C28" s="18" t="s">
        <v>2038</v>
      </c>
      <c r="D28" s="16"/>
      <c r="E28" s="18" t="s">
        <v>2758</v>
      </c>
      <c r="F28" s="16"/>
      <c r="G28" s="18" t="s">
        <v>1292</v>
      </c>
      <c r="H28" s="16"/>
      <c r="I28" s="18" t="s">
        <v>3487</v>
      </c>
      <c r="J28" s="16"/>
      <c r="K28" s="18" t="s">
        <v>4231</v>
      </c>
      <c r="L28" s="16"/>
      <c r="M28" s="18" t="s">
        <v>4919</v>
      </c>
      <c r="N28" s="16"/>
      <c r="O28" s="18" t="s">
        <v>5644</v>
      </c>
      <c r="P28" s="16"/>
      <c r="Q28" s="18"/>
      <c r="R28" s="16"/>
      <c r="S28" s="18"/>
      <c r="T28" s="21"/>
    </row>
    <row r="29" spans="1:20" ht="15.95" customHeight="1" x14ac:dyDescent="0.25">
      <c r="A29" s="18" t="s">
        <v>185</v>
      </c>
      <c r="B29" s="16"/>
      <c r="C29" s="18" t="s">
        <v>2039</v>
      </c>
      <c r="D29" s="16"/>
      <c r="E29" s="18" t="s">
        <v>2759</v>
      </c>
      <c r="F29" s="16"/>
      <c r="G29" s="18" t="s">
        <v>1293</v>
      </c>
      <c r="H29" s="16"/>
      <c r="I29" s="18" t="s">
        <v>3488</v>
      </c>
      <c r="J29" s="16"/>
      <c r="K29" s="18" t="s">
        <v>4232</v>
      </c>
      <c r="L29" s="16"/>
      <c r="M29" s="18" t="s">
        <v>4920</v>
      </c>
      <c r="N29" s="16"/>
      <c r="O29" s="18" t="s">
        <v>5645</v>
      </c>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c r="R30" s="16"/>
      <c r="S30" s="18"/>
      <c r="T30" s="21"/>
    </row>
    <row r="31" spans="1:20" ht="15.95" customHeight="1" x14ac:dyDescent="0.25">
      <c r="A31" s="18" t="s">
        <v>186</v>
      </c>
      <c r="B31" s="16"/>
      <c r="C31" s="18" t="s">
        <v>2040</v>
      </c>
      <c r="D31" s="16"/>
      <c r="E31" s="18" t="s">
        <v>2760</v>
      </c>
      <c r="F31" s="16"/>
      <c r="G31" s="18" t="s">
        <v>1294</v>
      </c>
      <c r="H31" s="16"/>
      <c r="I31" s="18" t="s">
        <v>3489</v>
      </c>
      <c r="J31" s="16"/>
      <c r="K31" s="18" t="s">
        <v>4233</v>
      </c>
      <c r="L31" s="16"/>
      <c r="M31" s="18" t="s">
        <v>4921</v>
      </c>
      <c r="N31" s="16"/>
      <c r="O31" s="18" t="s">
        <v>5646</v>
      </c>
      <c r="P31" s="16"/>
      <c r="Q31" s="18"/>
      <c r="R31" s="16"/>
      <c r="S31" s="18"/>
      <c r="T31" s="21"/>
    </row>
    <row r="32" spans="1:20" ht="15.95" customHeight="1" x14ac:dyDescent="0.25">
      <c r="A32" s="18" t="s">
        <v>187</v>
      </c>
      <c r="B32" s="16"/>
      <c r="C32" s="18" t="s">
        <v>2041</v>
      </c>
      <c r="D32" s="16"/>
      <c r="E32" s="18" t="s">
        <v>2761</v>
      </c>
      <c r="F32" s="16"/>
      <c r="G32" s="18" t="s">
        <v>1295</v>
      </c>
      <c r="H32" s="16"/>
      <c r="I32" s="18" t="s">
        <v>3490</v>
      </c>
      <c r="J32" s="16"/>
      <c r="K32" s="18" t="s">
        <v>4234</v>
      </c>
      <c r="L32" s="16"/>
      <c r="M32" s="18" t="s">
        <v>4922</v>
      </c>
      <c r="N32" s="16"/>
      <c r="O32" s="18" t="s">
        <v>5647</v>
      </c>
      <c r="P32" s="16"/>
      <c r="Q32" s="18"/>
      <c r="R32" s="16"/>
      <c r="S32" s="18"/>
      <c r="T32" s="21"/>
    </row>
    <row r="33" spans="1:20" ht="15.95" customHeight="1" x14ac:dyDescent="0.25">
      <c r="A33" s="22" t="s">
        <v>188</v>
      </c>
      <c r="B33" s="16"/>
      <c r="C33" s="18" t="s">
        <v>2042</v>
      </c>
      <c r="D33" s="16"/>
      <c r="E33" s="18" t="s">
        <v>2762</v>
      </c>
      <c r="F33" s="16"/>
      <c r="G33" s="18" t="s">
        <v>1296</v>
      </c>
      <c r="H33" s="16"/>
      <c r="I33" s="18" t="s">
        <v>3491</v>
      </c>
      <c r="J33" s="16"/>
      <c r="K33" s="18" t="s">
        <v>4235</v>
      </c>
      <c r="L33" s="16"/>
      <c r="M33" s="18" t="s">
        <v>4923</v>
      </c>
      <c r="N33" s="16"/>
      <c r="O33" s="18" t="s">
        <v>5648</v>
      </c>
      <c r="P33" s="16"/>
      <c r="Q33" s="18"/>
      <c r="R33" s="16"/>
      <c r="S33" s="18"/>
      <c r="T33" s="21"/>
    </row>
    <row r="34" spans="1:20" ht="15.95" customHeight="1" x14ac:dyDescent="0.25">
      <c r="A34" s="18" t="s">
        <v>189</v>
      </c>
      <c r="B34" s="16"/>
      <c r="C34" s="18" t="s">
        <v>2043</v>
      </c>
      <c r="D34" s="16"/>
      <c r="E34" s="18" t="s">
        <v>2763</v>
      </c>
      <c r="F34" s="16"/>
      <c r="G34" s="18" t="s">
        <v>1297</v>
      </c>
      <c r="H34" s="16"/>
      <c r="I34" s="18" t="s">
        <v>3492</v>
      </c>
      <c r="J34" s="16"/>
      <c r="K34" s="18" t="s">
        <v>4236</v>
      </c>
      <c r="L34" s="16"/>
      <c r="M34" s="18" t="s">
        <v>4924</v>
      </c>
      <c r="N34" s="16"/>
      <c r="O34" s="18" t="s">
        <v>5649</v>
      </c>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O3" sqref="O3:O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t="s">
        <v>4237</v>
      </c>
      <c r="L3" s="16" t="str">
        <f>TRIM(_xlfn.TEXTBEFORE(K3, ":"))</f>
        <v>아이템 종류</v>
      </c>
      <c r="M3" s="17" t="s">
        <v>4925</v>
      </c>
      <c r="N3" s="16" t="str">
        <f>TRIM(_xlfn.TEXTBEFORE(M3, ":"))</f>
        <v>Classe do Item</v>
      </c>
      <c r="O3" s="17" t="s">
        <v>5650</v>
      </c>
      <c r="P3" s="16" t="str">
        <f>TRIM(_xlfn.TEXTBEFORE(O3, ":"))</f>
        <v>Класс предмета</v>
      </c>
      <c r="Q3" s="17"/>
      <c r="R3" s="16" t="e">
        <f>TRIM(_xlfn.TEXTBEFORE(Q3, ":"))</f>
        <v>#N/A</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t="s">
        <v>3857</v>
      </c>
      <c r="L4" s="16" t="str">
        <f>TRIM(_xlfn.TEXTAFTER(K3, ":"))</f>
        <v>주얼</v>
      </c>
      <c r="M4" s="18" t="s">
        <v>4586</v>
      </c>
      <c r="N4" s="16" t="str">
        <f>TRIM(_xlfn.TEXTAFTER(M3, ":"))</f>
        <v>Joias</v>
      </c>
      <c r="O4" s="18" t="s">
        <v>5269</v>
      </c>
      <c r="P4" s="16" t="str">
        <f>TRIM(_xlfn.TEXTAFTER(O3, ":"))</f>
        <v>Самоцветы</v>
      </c>
      <c r="Q4" s="18"/>
      <c r="R4" s="16" t="e">
        <f>TRIM(_xlfn.TEXTAFTER(Q3, ":"))</f>
        <v>#N/A</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t="s">
        <v>4238</v>
      </c>
      <c r="L5" s="16" t="str">
        <f>TRIM(_xlfn.TEXTBEFORE(K4, ":"))</f>
        <v>아이템 희귀도</v>
      </c>
      <c r="M5" s="18" t="s">
        <v>2765</v>
      </c>
      <c r="N5" s="16" t="str">
        <f>TRIM(_xlfn.TEXTBEFORE(M4, ":"))</f>
        <v>Raridade</v>
      </c>
      <c r="O5" s="18" t="s">
        <v>5651</v>
      </c>
      <c r="P5" s="16" t="str">
        <f>TRIM(_xlfn.TEXTBEFORE(O4, ":"))</f>
        <v>Редкость</v>
      </c>
      <c r="Q5" s="18"/>
      <c r="R5" s="16" t="e">
        <f>TRIM(_xlfn.TEXTBEFORE(Q4, ":"))</f>
        <v>#N/A</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t="s">
        <v>4239</v>
      </c>
      <c r="L6" s="16" t="str">
        <f>TRIM(_xlfn.TEXTAFTER(K4,":"))</f>
        <v>고유</v>
      </c>
      <c r="M6" s="18" t="s">
        <v>4926</v>
      </c>
      <c r="N6" s="16" t="str">
        <f>TRIM(_xlfn.TEXTAFTER(M4,":"))</f>
        <v>Único</v>
      </c>
      <c r="O6" s="18" t="s">
        <v>5652</v>
      </c>
      <c r="P6" s="16" t="str">
        <f>TRIM(_xlfn.TEXTAFTER(O4,":"))</f>
        <v>Уникальный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117</v>
      </c>
      <c r="B8" s="16"/>
      <c r="C8" s="18" t="s">
        <v>1742</v>
      </c>
      <c r="D8" s="16"/>
      <c r="E8" s="18" t="s">
        <v>2461</v>
      </c>
      <c r="F8" s="16"/>
      <c r="G8" s="18" t="s">
        <v>1010</v>
      </c>
      <c r="H8" s="16"/>
      <c r="I8" s="18" t="s">
        <v>3179</v>
      </c>
      <c r="J8" s="16"/>
      <c r="K8" s="18" t="s">
        <v>3926</v>
      </c>
      <c r="L8" s="16"/>
      <c r="M8" s="18" t="s">
        <v>4655</v>
      </c>
      <c r="N8" s="16"/>
      <c r="O8" s="18" t="s">
        <v>5340</v>
      </c>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20"/>
    </row>
    <row r="10" spans="1:20" ht="15.95" customHeight="1" x14ac:dyDescent="0.25">
      <c r="A10" s="18" t="s">
        <v>683</v>
      </c>
      <c r="B10" s="16"/>
      <c r="C10" s="18" t="s">
        <v>2047</v>
      </c>
      <c r="D10" s="16"/>
      <c r="E10" s="18" t="s">
        <v>2767</v>
      </c>
      <c r="F10" s="16"/>
      <c r="G10" s="18" t="s">
        <v>1301</v>
      </c>
      <c r="H10" s="16"/>
      <c r="I10" s="18" t="s">
        <v>3496</v>
      </c>
      <c r="J10" s="16"/>
      <c r="K10" s="18" t="s">
        <v>4240</v>
      </c>
      <c r="L10" s="16"/>
      <c r="M10" s="18" t="s">
        <v>4927</v>
      </c>
      <c r="N10" s="16"/>
      <c r="O10" s="18" t="s">
        <v>5653</v>
      </c>
      <c r="P10" s="16"/>
      <c r="Q10" s="18"/>
      <c r="R10" s="16"/>
      <c r="S10" s="18"/>
      <c r="T10" s="20"/>
    </row>
    <row r="11" spans="1:20" ht="15.95" customHeight="1" x14ac:dyDescent="0.25">
      <c r="A11" s="18" t="s">
        <v>684</v>
      </c>
      <c r="B11" s="16"/>
      <c r="C11" s="18" t="s">
        <v>2048</v>
      </c>
      <c r="D11" s="16"/>
      <c r="E11" s="18" t="s">
        <v>2768</v>
      </c>
      <c r="F11" s="16"/>
      <c r="G11" s="18" t="s">
        <v>1302</v>
      </c>
      <c r="H11" s="16"/>
      <c r="I11" s="18" t="s">
        <v>3497</v>
      </c>
      <c r="J11" s="16"/>
      <c r="K11" s="18" t="s">
        <v>4241</v>
      </c>
      <c r="L11" s="16"/>
      <c r="M11" s="18" t="s">
        <v>4928</v>
      </c>
      <c r="N11" s="16"/>
      <c r="O11" s="18" t="s">
        <v>5654</v>
      </c>
      <c r="P11" s="16"/>
      <c r="Q11" s="18"/>
      <c r="R11" s="16"/>
      <c r="S11" s="18"/>
      <c r="T11" s="20"/>
    </row>
    <row r="12" spans="1:20" ht="15.95" customHeight="1" x14ac:dyDescent="0.25">
      <c r="A12" s="18" t="s">
        <v>685</v>
      </c>
      <c r="B12" s="16"/>
      <c r="C12" s="18" t="s">
        <v>2049</v>
      </c>
      <c r="D12" s="16"/>
      <c r="E12" s="18" t="s">
        <v>2769</v>
      </c>
      <c r="F12" s="16"/>
      <c r="G12" s="18" t="s">
        <v>1303</v>
      </c>
      <c r="H12" s="16"/>
      <c r="I12" s="18" t="s">
        <v>3498</v>
      </c>
      <c r="J12" s="16"/>
      <c r="K12" s="18" t="s">
        <v>4242</v>
      </c>
      <c r="L12" s="16"/>
      <c r="M12" s="18" t="s">
        <v>4929</v>
      </c>
      <c r="N12" s="16"/>
      <c r="O12" s="18" t="s">
        <v>5655</v>
      </c>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0"/>
    </row>
    <row r="14" spans="1:20" ht="15.95" customHeight="1" x14ac:dyDescent="0.25">
      <c r="A14" s="18" t="s">
        <v>686</v>
      </c>
      <c r="B14" s="16"/>
      <c r="C14" s="18" t="s">
        <v>2050</v>
      </c>
      <c r="D14" s="16"/>
      <c r="E14" s="18" t="s">
        <v>2770</v>
      </c>
      <c r="F14" s="16"/>
      <c r="G14" s="18" t="s">
        <v>1304</v>
      </c>
      <c r="H14" s="16"/>
      <c r="I14" s="18" t="s">
        <v>3499</v>
      </c>
      <c r="J14" s="16"/>
      <c r="K14" s="18" t="s">
        <v>4243</v>
      </c>
      <c r="L14" s="16"/>
      <c r="M14" s="18" t="s">
        <v>4930</v>
      </c>
      <c r="N14" s="16"/>
      <c r="O14" s="18" t="s">
        <v>5656</v>
      </c>
      <c r="P14" s="16"/>
      <c r="Q14" s="18"/>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t="e" cm="1">
        <f t="array" ref="K15">-도살자 바르쿨</f>
        <v>#NAME?</v>
      </c>
      <c r="L15" s="16"/>
      <c r="M15" s="18" t="e">
        <f>- Barkhul, o Açougueiro</f>
        <v>#NAME?</v>
      </c>
      <c r="N15" s="16"/>
      <c r="O15" s="18" t="s">
        <v>5657</v>
      </c>
      <c r="P15" s="16"/>
      <c r="Q15" s="18"/>
      <c r="R15" s="16"/>
      <c r="S15" s="18"/>
      <c r="T15" s="20"/>
    </row>
    <row r="16" spans="1:20" ht="15.95" customHeight="1" x14ac:dyDescent="0.25">
      <c r="A16" s="18" t="s">
        <v>4</v>
      </c>
      <c r="B16" s="16"/>
      <c r="C16" s="18" t="s">
        <v>4</v>
      </c>
      <c r="D16" s="16"/>
      <c r="E16" s="18" t="s">
        <v>4</v>
      </c>
      <c r="F16" s="16"/>
      <c r="G16" s="18" t="s">
        <v>1306</v>
      </c>
      <c r="H16" s="16"/>
      <c r="I16" s="18" t="s">
        <v>3501</v>
      </c>
      <c r="J16" s="16"/>
      <c r="K16" s="18" t="s">
        <v>4</v>
      </c>
      <c r="L16" s="16"/>
      <c r="M16" s="18" t="s">
        <v>4</v>
      </c>
      <c r="N16" s="16"/>
      <c r="O16" s="18" t="s">
        <v>5658</v>
      </c>
      <c r="P16" s="16"/>
      <c r="Q16" s="18"/>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t="s">
        <v>4244</v>
      </c>
      <c r="L17" s="16"/>
      <c r="M17" s="18" t="s">
        <v>4931</v>
      </c>
      <c r="N17" s="16"/>
      <c r="O17" s="18" t="e" cm="1">
        <f t="array" ref="O17">- Гавул Мясник</f>
        <v>#NAME?</v>
      </c>
      <c r="P17" s="16"/>
      <c r="Q17" s="18"/>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t="s">
        <v>5659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3" priority="2" stopIfTrue="1">
      <formula>NOT(ISERROR(A3))</formula>
    </cfRule>
  </conditionalFormatting>
  <conditionalFormatting sqref="A3:T51">
    <cfRule type="containsErrors" dxfId="62" priority="1" stopIfTrue="1">
      <formula>ISERROR(A3)</formula>
    </cfRule>
    <cfRule type="notContainsBlanks" dxfId="6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O3" sqref="O3:O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t="s">
        <v>4245</v>
      </c>
      <c r="L3" s="16" t="str">
        <f>TRIM(_xlfn.TEXTBEFORE(K3, ":"))</f>
        <v>아이템 종류</v>
      </c>
      <c r="M3" s="17" t="s">
        <v>4932</v>
      </c>
      <c r="N3" s="16" t="str">
        <f>TRIM(_xlfn.TEXTBEFORE(M3, ":"))</f>
        <v>Classe do Item</v>
      </c>
      <c r="O3" s="17" t="s">
        <v>5660</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t="s">
        <v>3857</v>
      </c>
      <c r="L4" s="16" t="str">
        <f>TRIM(_xlfn.TEXTAFTER(K3, ":"))</f>
        <v>화살통</v>
      </c>
      <c r="M4" s="18" t="s">
        <v>4586</v>
      </c>
      <c r="N4" s="16" t="str">
        <f>TRIM(_xlfn.TEXTAFTER(M3, ":"))</f>
        <v>Aljavas</v>
      </c>
      <c r="O4" s="18" t="s">
        <v>5269</v>
      </c>
      <c r="P4" s="16" t="str">
        <f>TRIM(_xlfn.TEXTAFTER(O3, ":"))</f>
        <v>Колчаны</v>
      </c>
      <c r="Q4" s="18"/>
      <c r="R4" s="16" t="e">
        <f>TRIM(_xlfn.TEXTAFTER(Q3, ":"))</f>
        <v>#N/A</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t="s">
        <v>4246</v>
      </c>
      <c r="L5" s="16" t="str">
        <f>TRIM(_xlfn.TEXTBEFORE(K4, ":"))</f>
        <v>아이템 희귀도</v>
      </c>
      <c r="M5" s="18" t="s">
        <v>4933</v>
      </c>
      <c r="N5" s="16" t="str">
        <f>TRIM(_xlfn.TEXTBEFORE(M4, ":"))</f>
        <v>Raridade</v>
      </c>
      <c r="O5" s="18" t="s">
        <v>5661</v>
      </c>
      <c r="P5" s="16" t="str">
        <f>TRIM(_xlfn.TEXTBEFORE(O4, ":"))</f>
        <v>Редкость</v>
      </c>
      <c r="Q5" s="18"/>
      <c r="R5" s="16" t="e">
        <f>TRIM(_xlfn.TEXTBEFORE(Q4, ":"))</f>
        <v>#N/A</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t="s">
        <v>4247</v>
      </c>
      <c r="L6" s="16" t="str">
        <f>TRIM(_xlfn.TEXTAFTER(K4,":"))</f>
        <v>고유</v>
      </c>
      <c r="M6" s="18" t="s">
        <v>4934</v>
      </c>
      <c r="N6" s="16" t="str">
        <f>TRIM(_xlfn.TEXTAFTER(M4,":"))</f>
        <v>Único</v>
      </c>
      <c r="O6" s="18" t="s">
        <v>5662</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c r="R8" s="16"/>
      <c r="S8" s="18"/>
      <c r="T8" s="16"/>
    </row>
    <row r="9" spans="1:20" ht="15.95" customHeight="1" x14ac:dyDescent="0.25">
      <c r="A9" s="18" t="s">
        <v>416</v>
      </c>
      <c r="B9" s="16"/>
      <c r="C9" s="18" t="s">
        <v>2056</v>
      </c>
      <c r="D9" s="16"/>
      <c r="E9" s="18" t="s">
        <v>2775</v>
      </c>
      <c r="F9" s="16"/>
      <c r="G9" s="18" t="s">
        <v>1311</v>
      </c>
      <c r="H9" s="16"/>
      <c r="I9" s="18" t="s">
        <v>3507</v>
      </c>
      <c r="J9" s="16"/>
      <c r="K9" s="18" t="s">
        <v>4248</v>
      </c>
      <c r="L9" s="16"/>
      <c r="M9" s="18" t="s">
        <v>4935</v>
      </c>
      <c r="N9" s="16"/>
      <c r="O9" s="18" t="s">
        <v>5663</v>
      </c>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16"/>
    </row>
    <row r="11" spans="1:20" ht="15.95" customHeight="1" x14ac:dyDescent="0.25">
      <c r="A11" s="18" t="s">
        <v>417</v>
      </c>
      <c r="B11" s="16"/>
      <c r="C11" s="18" t="s">
        <v>2057</v>
      </c>
      <c r="D11" s="16"/>
      <c r="E11" s="18" t="s">
        <v>2776</v>
      </c>
      <c r="F11" s="16"/>
      <c r="G11" s="18" t="s">
        <v>1312</v>
      </c>
      <c r="H11" s="16"/>
      <c r="I11" s="18" t="s">
        <v>3508</v>
      </c>
      <c r="J11" s="16"/>
      <c r="K11" s="18" t="s">
        <v>4249</v>
      </c>
      <c r="L11" s="16"/>
      <c r="M11" s="18" t="s">
        <v>4936</v>
      </c>
      <c r="N11" s="16"/>
      <c r="O11" s="18" t="s">
        <v>5664</v>
      </c>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1"/>
    </row>
    <row r="13" spans="1:20" ht="15.95" customHeight="1" x14ac:dyDescent="0.25">
      <c r="A13" s="18" t="s">
        <v>418</v>
      </c>
      <c r="B13" s="16"/>
      <c r="C13" s="18" t="s">
        <v>2058</v>
      </c>
      <c r="D13" s="16"/>
      <c r="E13" s="18" t="s">
        <v>2777</v>
      </c>
      <c r="F13" s="16"/>
      <c r="G13" s="18" t="s">
        <v>1313</v>
      </c>
      <c r="H13" s="16"/>
      <c r="I13" s="18" t="s">
        <v>3509</v>
      </c>
      <c r="J13" s="16"/>
      <c r="K13" s="18" t="s">
        <v>4250</v>
      </c>
      <c r="L13" s="16"/>
      <c r="M13" s="18" t="s">
        <v>4937</v>
      </c>
      <c r="N13" s="16"/>
      <c r="O13" s="18" t="s">
        <v>5665</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419</v>
      </c>
      <c r="B15" s="16"/>
      <c r="C15" s="18" t="s">
        <v>2059</v>
      </c>
      <c r="D15" s="16"/>
      <c r="E15" s="18" t="s">
        <v>2778</v>
      </c>
      <c r="F15" s="16"/>
      <c r="G15" s="18" t="s">
        <v>1314</v>
      </c>
      <c r="H15" s="16"/>
      <c r="I15" s="18" t="s">
        <v>3510</v>
      </c>
      <c r="J15" s="16"/>
      <c r="K15" s="18" t="s">
        <v>4251</v>
      </c>
      <c r="L15" s="16"/>
      <c r="M15" s="18" t="s">
        <v>4938</v>
      </c>
      <c r="N15" s="16"/>
      <c r="O15" s="18" t="s">
        <v>5666</v>
      </c>
      <c r="P15" s="16"/>
      <c r="Q15" s="18"/>
      <c r="R15" s="16"/>
      <c r="S15" s="18"/>
      <c r="T15" s="21"/>
    </row>
    <row r="16" spans="1:20" ht="15.95" customHeight="1" x14ac:dyDescent="0.25">
      <c r="A16" s="18" t="s">
        <v>420</v>
      </c>
      <c r="B16" s="16"/>
      <c r="C16" s="18" t="s">
        <v>2060</v>
      </c>
      <c r="D16" s="16"/>
      <c r="E16" s="18" t="s">
        <v>2779</v>
      </c>
      <c r="F16" s="16"/>
      <c r="G16" s="18" t="s">
        <v>1315</v>
      </c>
      <c r="H16" s="16"/>
      <c r="I16" s="18" t="s">
        <v>3511</v>
      </c>
      <c r="J16" s="16"/>
      <c r="K16" s="18" t="s">
        <v>4252</v>
      </c>
      <c r="L16" s="16"/>
      <c r="M16" s="18" t="s">
        <v>4939</v>
      </c>
      <c r="N16" s="16"/>
      <c r="O16" s="18" t="s">
        <v>5667</v>
      </c>
      <c r="P16" s="16"/>
      <c r="Q16" s="18"/>
      <c r="R16" s="16"/>
      <c r="S16" s="18"/>
      <c r="T16" s="21"/>
    </row>
    <row r="17" spans="1:20" ht="15.95" customHeight="1" x14ac:dyDescent="0.25">
      <c r="A17" s="18" t="s">
        <v>421</v>
      </c>
      <c r="B17" s="16"/>
      <c r="C17" s="18" t="s">
        <v>2061</v>
      </c>
      <c r="D17" s="16"/>
      <c r="E17" s="18" t="s">
        <v>2780</v>
      </c>
      <c r="F17" s="16"/>
      <c r="G17" s="18" t="s">
        <v>1316</v>
      </c>
      <c r="H17" s="16"/>
      <c r="I17" s="18" t="s">
        <v>3512</v>
      </c>
      <c r="J17" s="16"/>
      <c r="K17" s="18" t="s">
        <v>4253</v>
      </c>
      <c r="L17" s="16"/>
      <c r="M17" s="18" t="s">
        <v>4940</v>
      </c>
      <c r="N17" s="16"/>
      <c r="O17" s="18" t="s">
        <v>5668</v>
      </c>
      <c r="P17" s="16"/>
      <c r="Q17" s="18"/>
      <c r="R17" s="16"/>
      <c r="S17" s="18"/>
      <c r="T17" s="21"/>
    </row>
    <row r="18" spans="1:20" ht="15.95" customHeight="1" x14ac:dyDescent="0.25">
      <c r="A18" s="18" t="s">
        <v>422</v>
      </c>
      <c r="B18" s="16"/>
      <c r="C18" s="18" t="s">
        <v>2062</v>
      </c>
      <c r="D18" s="16"/>
      <c r="E18" s="18" t="s">
        <v>2781</v>
      </c>
      <c r="F18" s="16"/>
      <c r="G18" s="18" t="s">
        <v>1317</v>
      </c>
      <c r="H18" s="16"/>
      <c r="I18" s="18" t="s">
        <v>3513</v>
      </c>
      <c r="J18" s="16"/>
      <c r="K18" s="18" t="s">
        <v>4254</v>
      </c>
      <c r="L18" s="16"/>
      <c r="M18" s="18" t="s">
        <v>4941</v>
      </c>
      <c r="N18" s="16"/>
      <c r="O18" s="18" t="s">
        <v>5669</v>
      </c>
      <c r="P18" s="16"/>
      <c r="Q18" s="18"/>
      <c r="R18" s="16"/>
      <c r="S18" s="18"/>
      <c r="T18" s="21"/>
    </row>
    <row r="19" spans="1:20" ht="15.95" customHeight="1" x14ac:dyDescent="0.25">
      <c r="A19" s="18" t="s">
        <v>423</v>
      </c>
      <c r="B19" s="16"/>
      <c r="C19" s="18" t="s">
        <v>2063</v>
      </c>
      <c r="D19" s="16"/>
      <c r="E19" s="18" t="s">
        <v>2782</v>
      </c>
      <c r="F19" s="16"/>
      <c r="G19" s="18" t="s">
        <v>1318</v>
      </c>
      <c r="H19" s="16"/>
      <c r="I19" s="18" t="s">
        <v>3514</v>
      </c>
      <c r="J19" s="16"/>
      <c r="K19" s="18" t="s">
        <v>4255</v>
      </c>
      <c r="L19" s="16"/>
      <c r="M19" s="18" t="s">
        <v>4942</v>
      </c>
      <c r="N19" s="16"/>
      <c r="O19" s="18" t="s">
        <v>5670</v>
      </c>
      <c r="P19" s="16"/>
      <c r="Q19" s="18"/>
      <c r="R19" s="16"/>
      <c r="S19" s="18"/>
      <c r="T19" s="21"/>
    </row>
    <row r="20" spans="1:20" ht="15.95" customHeight="1" x14ac:dyDescent="0.25">
      <c r="A20" s="18" t="s">
        <v>424</v>
      </c>
      <c r="B20" s="16"/>
      <c r="C20" s="18" t="s">
        <v>2064</v>
      </c>
      <c r="D20" s="16"/>
      <c r="E20" s="18" t="s">
        <v>2783</v>
      </c>
      <c r="F20" s="16"/>
      <c r="G20" s="18" t="s">
        <v>1319</v>
      </c>
      <c r="H20" s="16"/>
      <c r="I20" s="18" t="s">
        <v>3515</v>
      </c>
      <c r="J20" s="16"/>
      <c r="K20" s="18" t="s">
        <v>4256</v>
      </c>
      <c r="L20" s="16"/>
      <c r="M20" s="18" t="s">
        <v>4943</v>
      </c>
      <c r="N20" s="16"/>
      <c r="O20" s="18" t="s">
        <v>5671</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425</v>
      </c>
      <c r="B22" s="16"/>
      <c r="C22" s="18" t="s">
        <v>2065</v>
      </c>
      <c r="D22" s="16"/>
      <c r="E22" s="18" t="s">
        <v>2784</v>
      </c>
      <c r="F22" s="16"/>
      <c r="G22" s="18" t="s">
        <v>1320</v>
      </c>
      <c r="H22" s="16"/>
      <c r="I22" s="18" t="s">
        <v>3516</v>
      </c>
      <c r="J22" s="16"/>
      <c r="K22" s="18" t="s">
        <v>4257</v>
      </c>
      <c r="L22" s="16"/>
      <c r="M22" s="18" t="s">
        <v>4944</v>
      </c>
      <c r="N22" s="16"/>
      <c r="O22" s="18" t="s">
        <v>5672</v>
      </c>
      <c r="P22" s="16"/>
      <c r="Q22" s="18"/>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t="e" cm="1">
        <f t="array" ref="K23">- 바알 궁수 키라비</f>
        <v>#NAME?</v>
      </c>
      <c r="L23" s="16"/>
      <c r="M23" s="18" t="e">
        <f>- Kiravi, Arqueiro Vaal</f>
        <v>#NAME?</v>
      </c>
      <c r="N23" s="16"/>
      <c r="O23" s="18" t="e">
        <f>- Кирави, лучник ваал</f>
        <v>#NAME?</v>
      </c>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O3" sqref="O3:O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t="s">
        <v>4258</v>
      </c>
      <c r="L3" s="16" t="str">
        <f>TRIM(_xlfn.TEXTBEFORE(K3, ":"))</f>
        <v>아이템 종류</v>
      </c>
      <c r="M3" s="17" t="s">
        <v>4945</v>
      </c>
      <c r="N3" s="16" t="str">
        <f>TRIM(_xlfn.TEXTBEFORE(M3, ":"))</f>
        <v>Classe do Item</v>
      </c>
      <c r="O3" s="17" t="s">
        <v>5673</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t="s">
        <v>3857</v>
      </c>
      <c r="L4" s="16" t="str">
        <f>TRIM(_xlfn.TEXTAFTER(K3, ":"))</f>
        <v>셉터</v>
      </c>
      <c r="M4" s="18" t="s">
        <v>4586</v>
      </c>
      <c r="N4" s="16" t="str">
        <f>TRIM(_xlfn.TEXTAFTER(M3, ":"))</f>
        <v>Cetros</v>
      </c>
      <c r="O4" s="18" t="s">
        <v>5269</v>
      </c>
      <c r="P4" s="16" t="str">
        <f>TRIM(_xlfn.TEXTAFTER(O3, ":"))</f>
        <v>Скипетры</v>
      </c>
      <c r="Q4" s="18"/>
      <c r="R4" s="16" t="e">
        <f>TRIM(_xlfn.TEXTAFTER(Q3, ":"))</f>
        <v>#N/A</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t="s">
        <v>4259</v>
      </c>
      <c r="L5" s="16" t="str">
        <f>TRIM(_xlfn.TEXTBEFORE(K4, ":"))</f>
        <v>아이템 희귀도</v>
      </c>
      <c r="M5" s="18" t="s">
        <v>4946</v>
      </c>
      <c r="N5" s="16" t="str">
        <f>TRIM(_xlfn.TEXTBEFORE(M4, ":"))</f>
        <v>Raridade</v>
      </c>
      <c r="O5" s="18" t="s">
        <v>5674</v>
      </c>
      <c r="P5" s="16" t="str">
        <f>TRIM(_xlfn.TEXTBEFORE(O4, ":"))</f>
        <v>Редкость</v>
      </c>
      <c r="Q5" s="18"/>
      <c r="R5" s="16" t="e">
        <f>TRIM(_xlfn.TEXTBEFORE(Q4, ":"))</f>
        <v>#N/A</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t="s">
        <v>4260</v>
      </c>
      <c r="L6" s="16" t="str">
        <f>TRIM(_xlfn.TEXTAFTER(K4,":"))</f>
        <v>고유</v>
      </c>
      <c r="M6" s="18" t="s">
        <v>4947</v>
      </c>
      <c r="N6" s="16" t="str">
        <f>TRIM(_xlfn.TEXTAFTER(M4,":"))</f>
        <v>Único</v>
      </c>
      <c r="O6" s="18" t="s">
        <v>5675</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350</v>
      </c>
      <c r="B8" s="16"/>
      <c r="C8" s="18" t="s">
        <v>2070</v>
      </c>
      <c r="D8" s="16"/>
      <c r="E8" s="18" t="s">
        <v>2788</v>
      </c>
      <c r="F8" s="16"/>
      <c r="G8" s="18" t="s">
        <v>350</v>
      </c>
      <c r="H8" s="16"/>
      <c r="I8" s="18" t="s">
        <v>3521</v>
      </c>
      <c r="J8" s="16"/>
      <c r="K8" s="18" t="s">
        <v>4261</v>
      </c>
      <c r="L8" s="16"/>
      <c r="M8" s="18" t="s">
        <v>2788</v>
      </c>
      <c r="N8" s="16"/>
      <c r="O8" s="18" t="s">
        <v>5676</v>
      </c>
      <c r="P8" s="16"/>
      <c r="Q8" s="18"/>
      <c r="R8" s="16"/>
      <c r="S8" s="18"/>
      <c r="T8" s="16"/>
    </row>
    <row r="9" spans="1:20" ht="15.95" customHeight="1" x14ac:dyDescent="0.25">
      <c r="A9" s="18" t="s">
        <v>351</v>
      </c>
      <c r="B9" s="16"/>
      <c r="C9" s="18" t="s">
        <v>2071</v>
      </c>
      <c r="D9" s="16"/>
      <c r="E9" s="18" t="s">
        <v>2789</v>
      </c>
      <c r="F9" s="16"/>
      <c r="G9" s="18" t="s">
        <v>1324</v>
      </c>
      <c r="H9" s="16"/>
      <c r="I9" s="18" t="s">
        <v>3522</v>
      </c>
      <c r="J9" s="16"/>
      <c r="K9" s="18" t="s">
        <v>4262</v>
      </c>
      <c r="L9" s="16"/>
      <c r="M9" s="18" t="s">
        <v>4948</v>
      </c>
      <c r="N9" s="16"/>
      <c r="O9" s="18" t="s">
        <v>5677</v>
      </c>
      <c r="P9" s="16"/>
      <c r="Q9" s="18"/>
      <c r="R9" s="16"/>
      <c r="S9" s="18"/>
      <c r="T9" s="16"/>
    </row>
    <row r="10" spans="1:20" ht="15.95" customHeight="1" x14ac:dyDescent="0.25">
      <c r="A10" s="18" t="s">
        <v>352</v>
      </c>
      <c r="B10" s="16"/>
      <c r="C10" s="18" t="s">
        <v>2072</v>
      </c>
      <c r="D10" s="16"/>
      <c r="E10" s="18" t="s">
        <v>2790</v>
      </c>
      <c r="F10" s="16"/>
      <c r="G10" s="18" t="s">
        <v>1325</v>
      </c>
      <c r="H10" s="16"/>
      <c r="I10" s="18" t="s">
        <v>3523</v>
      </c>
      <c r="J10" s="16"/>
      <c r="K10" s="18" t="s">
        <v>4263</v>
      </c>
      <c r="L10" s="16"/>
      <c r="M10" s="18" t="s">
        <v>4949</v>
      </c>
      <c r="N10" s="16"/>
      <c r="O10" s="18" t="s">
        <v>5678</v>
      </c>
      <c r="P10" s="16"/>
      <c r="Q10" s="18"/>
      <c r="R10" s="16"/>
      <c r="S10" s="18"/>
      <c r="T10" s="16"/>
    </row>
    <row r="11" spans="1:20" ht="15.95" customHeight="1" x14ac:dyDescent="0.25">
      <c r="A11" s="18" t="s">
        <v>353</v>
      </c>
      <c r="B11" s="16"/>
      <c r="C11" s="18" t="s">
        <v>2073</v>
      </c>
      <c r="D11" s="16"/>
      <c r="E11" s="18" t="s">
        <v>2791</v>
      </c>
      <c r="F11" s="16"/>
      <c r="G11" s="18" t="s">
        <v>1326</v>
      </c>
      <c r="H11" s="16"/>
      <c r="I11" s="18" t="s">
        <v>3524</v>
      </c>
      <c r="J11" s="16"/>
      <c r="K11" s="18" t="s">
        <v>4264</v>
      </c>
      <c r="L11" s="16"/>
      <c r="M11" s="18" t="s">
        <v>4950</v>
      </c>
      <c r="N11" s="16"/>
      <c r="O11" s="18" t="s">
        <v>5679</v>
      </c>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354</v>
      </c>
      <c r="B15" s="16"/>
      <c r="C15" s="18" t="s">
        <v>2074</v>
      </c>
      <c r="D15" s="16"/>
      <c r="E15" s="18" t="s">
        <v>2792</v>
      </c>
      <c r="F15" s="16"/>
      <c r="G15" s="18" t="s">
        <v>1327</v>
      </c>
      <c r="H15" s="16"/>
      <c r="I15" s="18" t="s">
        <v>3525</v>
      </c>
      <c r="J15" s="16"/>
      <c r="K15" s="18" t="s">
        <v>4265</v>
      </c>
      <c r="L15" s="16"/>
      <c r="M15" s="18" t="s">
        <v>4952</v>
      </c>
      <c r="N15" s="16"/>
      <c r="O15" s="18" t="s">
        <v>5680</v>
      </c>
      <c r="P15" s="16"/>
      <c r="Q15" s="18"/>
      <c r="R15" s="16"/>
      <c r="S15" s="18"/>
      <c r="T15" s="21"/>
    </row>
    <row r="16" spans="1:20" ht="15.95" customHeight="1" x14ac:dyDescent="0.25">
      <c r="A16" s="18" t="s">
        <v>355</v>
      </c>
      <c r="B16" s="16"/>
      <c r="C16" s="18" t="s">
        <v>355</v>
      </c>
      <c r="D16" s="16"/>
      <c r="E16" s="18" t="s">
        <v>2793</v>
      </c>
      <c r="F16" s="16"/>
      <c r="G16" s="18" t="s">
        <v>1328</v>
      </c>
      <c r="H16" s="16"/>
      <c r="I16" s="18" t="s">
        <v>3526</v>
      </c>
      <c r="J16" s="16"/>
      <c r="K16" s="18" t="s">
        <v>4266</v>
      </c>
      <c r="L16" s="16"/>
      <c r="M16" s="18" t="s">
        <v>1328</v>
      </c>
      <c r="N16" s="16"/>
      <c r="O16" s="18" t="s">
        <v>5681</v>
      </c>
      <c r="P16" s="16"/>
      <c r="Q16" s="18"/>
      <c r="R16" s="16"/>
      <c r="S16" s="18"/>
      <c r="T16" s="21"/>
    </row>
    <row r="17" spans="1:20" ht="15.95" customHeight="1" x14ac:dyDescent="0.25">
      <c r="A17" s="18" t="s">
        <v>356</v>
      </c>
      <c r="B17" s="16"/>
      <c r="C17" s="18" t="s">
        <v>356</v>
      </c>
      <c r="D17" s="16"/>
      <c r="E17" s="18" t="s">
        <v>356</v>
      </c>
      <c r="F17" s="16"/>
      <c r="G17" s="18" t="s">
        <v>356</v>
      </c>
      <c r="H17" s="16"/>
      <c r="I17" s="18" t="s">
        <v>3527</v>
      </c>
      <c r="J17" s="16"/>
      <c r="K17" s="18" t="s">
        <v>4267</v>
      </c>
      <c r="L17" s="16"/>
      <c r="M17" s="18" t="s">
        <v>356</v>
      </c>
      <c r="N17" s="16"/>
      <c r="O17" s="18" t="s">
        <v>5682</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357</v>
      </c>
      <c r="B19" s="16"/>
      <c r="C19" s="18" t="s">
        <v>2075</v>
      </c>
      <c r="D19" s="16"/>
      <c r="E19" s="18" t="s">
        <v>2794</v>
      </c>
      <c r="F19" s="16"/>
      <c r="G19" s="18" t="s">
        <v>1329</v>
      </c>
      <c r="H19" s="16"/>
      <c r="I19" s="18" t="s">
        <v>3528</v>
      </c>
      <c r="J19" s="16"/>
      <c r="K19" s="18" t="s">
        <v>4268</v>
      </c>
      <c r="L19" s="16"/>
      <c r="M19" s="18" t="s">
        <v>4953</v>
      </c>
      <c r="N19" s="16"/>
      <c r="O19" s="18" t="s">
        <v>5683</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340</v>
      </c>
      <c r="B21" s="16"/>
      <c r="C21" s="18" t="s">
        <v>1909</v>
      </c>
      <c r="D21" s="16"/>
      <c r="E21" s="18" t="s">
        <v>2627</v>
      </c>
      <c r="F21" s="16"/>
      <c r="G21" s="18" t="s">
        <v>1170</v>
      </c>
      <c r="H21" s="16"/>
      <c r="I21" s="18" t="s">
        <v>3352</v>
      </c>
      <c r="J21" s="16"/>
      <c r="K21" s="18" t="s">
        <v>4097</v>
      </c>
      <c r="L21" s="16"/>
      <c r="M21" s="18" t="s">
        <v>4815</v>
      </c>
      <c r="N21" s="16"/>
      <c r="O21" s="18" t="s">
        <v>5511</v>
      </c>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1"/>
    </row>
    <row r="23" spans="1:20" ht="15.95" customHeight="1" x14ac:dyDescent="0.25">
      <c r="A23" s="18" t="s">
        <v>358</v>
      </c>
      <c r="B23" s="16"/>
      <c r="C23" s="18" t="s">
        <v>2076</v>
      </c>
      <c r="D23" s="16"/>
      <c r="E23" s="18" t="s">
        <v>2795</v>
      </c>
      <c r="F23" s="16"/>
      <c r="G23" s="18" t="s">
        <v>1330</v>
      </c>
      <c r="H23" s="16"/>
      <c r="I23" s="18" t="s">
        <v>3529</v>
      </c>
      <c r="J23" s="16"/>
      <c r="K23" s="18" t="s">
        <v>4269</v>
      </c>
      <c r="L23" s="16"/>
      <c r="M23" s="18" t="s">
        <v>4954</v>
      </c>
      <c r="N23" s="16"/>
      <c r="O23" s="18" t="s">
        <v>5684</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359</v>
      </c>
      <c r="B25" s="16"/>
      <c r="C25" s="18" t="s">
        <v>2077</v>
      </c>
      <c r="D25" s="16"/>
      <c r="E25" s="18" t="s">
        <v>2796</v>
      </c>
      <c r="F25" s="16"/>
      <c r="G25" s="18" t="s">
        <v>1331</v>
      </c>
      <c r="H25" s="16"/>
      <c r="I25" s="18" t="s">
        <v>3530</v>
      </c>
      <c r="J25" s="16"/>
      <c r="K25" s="18" t="s">
        <v>4270</v>
      </c>
      <c r="L25" s="16"/>
      <c r="M25" s="18" t="s">
        <v>4955</v>
      </c>
      <c r="N25" s="16"/>
      <c r="O25" s="18" t="s">
        <v>5685</v>
      </c>
      <c r="P25" s="16"/>
      <c r="Q25" s="18"/>
      <c r="R25" s="16"/>
      <c r="S25" s="18"/>
      <c r="T25" s="21"/>
    </row>
    <row r="26" spans="1:20" ht="15.95" customHeight="1" x14ac:dyDescent="0.25">
      <c r="A26" s="18" t="s">
        <v>360</v>
      </c>
      <c r="B26" s="16"/>
      <c r="C26" s="18" t="s">
        <v>2078</v>
      </c>
      <c r="D26" s="16"/>
      <c r="E26" s="18" t="s">
        <v>2797</v>
      </c>
      <c r="F26" s="16"/>
      <c r="G26" s="18" t="s">
        <v>1332</v>
      </c>
      <c r="H26" s="16"/>
      <c r="I26" s="18" t="s">
        <v>3531</v>
      </c>
      <c r="J26" s="16"/>
      <c r="K26" s="18" t="s">
        <v>4271</v>
      </c>
      <c r="L26" s="16"/>
      <c r="M26" s="18" t="s">
        <v>4956</v>
      </c>
      <c r="N26" s="16"/>
      <c r="O26" s="18" t="s">
        <v>5686</v>
      </c>
      <c r="P26" s="16"/>
      <c r="Q26" s="18"/>
      <c r="R26" s="16"/>
      <c r="S26" s="18"/>
      <c r="T26" s="21"/>
    </row>
    <row r="27" spans="1:20" ht="15.95" customHeight="1" x14ac:dyDescent="0.25">
      <c r="A27" s="18" t="s">
        <v>361</v>
      </c>
      <c r="B27" s="16"/>
      <c r="C27" s="18" t="s">
        <v>2079</v>
      </c>
      <c r="D27" s="16"/>
      <c r="E27" s="18" t="s">
        <v>2798</v>
      </c>
      <c r="F27" s="16"/>
      <c r="G27" s="18" t="s">
        <v>1333</v>
      </c>
      <c r="H27" s="16"/>
      <c r="I27" s="18" t="s">
        <v>3532</v>
      </c>
      <c r="J27" s="16"/>
      <c r="K27" s="18" t="s">
        <v>4272</v>
      </c>
      <c r="L27" s="16"/>
      <c r="M27" s="18" t="s">
        <v>4957</v>
      </c>
      <c r="N27" s="16"/>
      <c r="O27" s="18" t="s">
        <v>5687</v>
      </c>
      <c r="P27" s="16"/>
      <c r="Q27" s="18"/>
      <c r="R27" s="16"/>
      <c r="S27" s="18"/>
      <c r="T27" s="21"/>
    </row>
    <row r="28" spans="1:20" ht="15.95" customHeight="1" x14ac:dyDescent="0.25">
      <c r="A28" s="18" t="s">
        <v>362</v>
      </c>
      <c r="B28" s="16"/>
      <c r="C28" s="18" t="s">
        <v>2080</v>
      </c>
      <c r="D28" s="16"/>
      <c r="E28" s="18" t="s">
        <v>2799</v>
      </c>
      <c r="F28" s="16"/>
      <c r="G28" s="18" t="s">
        <v>1334</v>
      </c>
      <c r="H28" s="16"/>
      <c r="I28" s="18" t="s">
        <v>3533</v>
      </c>
      <c r="J28" s="16"/>
      <c r="K28" s="18" t="s">
        <v>4273</v>
      </c>
      <c r="L28" s="16"/>
      <c r="M28" s="18" t="s">
        <v>4958</v>
      </c>
      <c r="N28" s="16"/>
      <c r="O28" s="18" t="s">
        <v>5688</v>
      </c>
      <c r="P28" s="16"/>
      <c r="Q28" s="18"/>
      <c r="R28" s="16"/>
      <c r="S28" s="18"/>
      <c r="T28" s="21"/>
    </row>
    <row r="29" spans="1:20" ht="15.95" customHeight="1" x14ac:dyDescent="0.25">
      <c r="A29" s="18" t="s">
        <v>363</v>
      </c>
      <c r="B29" s="16"/>
      <c r="C29" s="18" t="s">
        <v>2081</v>
      </c>
      <c r="D29" s="16"/>
      <c r="E29" s="18" t="s">
        <v>2800</v>
      </c>
      <c r="F29" s="16"/>
      <c r="G29" s="18" t="s">
        <v>1335</v>
      </c>
      <c r="H29" s="16"/>
      <c r="I29" s="18" t="s">
        <v>3534</v>
      </c>
      <c r="J29" s="16"/>
      <c r="K29" s="18" t="s">
        <v>4274</v>
      </c>
      <c r="L29" s="16"/>
      <c r="M29" s="18" t="s">
        <v>4959</v>
      </c>
      <c r="N29" s="16"/>
      <c r="O29" s="18" t="s">
        <v>5689</v>
      </c>
      <c r="P29" s="16"/>
      <c r="Q29" s="18"/>
      <c r="R29" s="16"/>
      <c r="S29" s="18"/>
      <c r="T29" s="21"/>
    </row>
    <row r="30" spans="1:20" ht="15.95" customHeight="1" x14ac:dyDescent="0.25">
      <c r="A30" s="18" t="s">
        <v>364</v>
      </c>
      <c r="B30" s="16"/>
      <c r="C30" s="18" t="s">
        <v>2082</v>
      </c>
      <c r="D30" s="16"/>
      <c r="E30" s="18" t="s">
        <v>2801</v>
      </c>
      <c r="F30" s="16"/>
      <c r="G30" s="18" t="s">
        <v>1336</v>
      </c>
      <c r="H30" s="16"/>
      <c r="I30" s="18" t="s">
        <v>3535</v>
      </c>
      <c r="J30" s="16"/>
      <c r="K30" s="18" t="s">
        <v>4275</v>
      </c>
      <c r="L30" s="16"/>
      <c r="M30" s="18" t="s">
        <v>4960</v>
      </c>
      <c r="N30" s="16"/>
      <c r="O30" s="18" t="s">
        <v>5690</v>
      </c>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c r="R31" s="16"/>
      <c r="S31" s="18"/>
      <c r="T31" s="21"/>
    </row>
    <row r="32" spans="1:20" ht="15.95" customHeight="1" x14ac:dyDescent="0.25">
      <c r="A32" s="18" t="s">
        <v>365</v>
      </c>
      <c r="B32" s="16"/>
      <c r="C32" s="18" t="s">
        <v>2083</v>
      </c>
      <c r="D32" s="16"/>
      <c r="E32" s="18" t="s">
        <v>2802</v>
      </c>
      <c r="F32" s="16"/>
      <c r="G32" s="18" t="s">
        <v>1337</v>
      </c>
      <c r="H32" s="16"/>
      <c r="I32" s="18" t="s">
        <v>3536</v>
      </c>
      <c r="J32" s="16"/>
      <c r="K32" s="18" t="s">
        <v>4276</v>
      </c>
      <c r="L32" s="16"/>
      <c r="M32" s="18" t="s">
        <v>4961</v>
      </c>
      <c r="N32" s="16"/>
      <c r="O32" s="18" t="s">
        <v>5691</v>
      </c>
      <c r="P32" s="16"/>
      <c r="Q32" s="18"/>
      <c r="R32" s="16"/>
      <c r="S32" s="18"/>
      <c r="T32" s="21"/>
    </row>
    <row r="33" spans="1:20" ht="15.95" customHeight="1" x14ac:dyDescent="0.25">
      <c r="A33" s="22" t="s">
        <v>366</v>
      </c>
      <c r="B33" s="16"/>
      <c r="C33" s="18" t="s">
        <v>2084</v>
      </c>
      <c r="D33" s="16"/>
      <c r="E33" s="18" t="s">
        <v>2803</v>
      </c>
      <c r="F33" s="16"/>
      <c r="G33" s="18" t="s">
        <v>1338</v>
      </c>
      <c r="H33" s="16"/>
      <c r="I33" s="18" t="s">
        <v>3537</v>
      </c>
      <c r="J33" s="16"/>
      <c r="K33" s="18" t="s">
        <v>4277</v>
      </c>
      <c r="L33" s="16"/>
      <c r="M33" s="18" t="s">
        <v>4962</v>
      </c>
      <c r="N33" s="16"/>
      <c r="O33" s="18" t="s">
        <v>5692</v>
      </c>
      <c r="P33" s="16"/>
      <c r="Q33" s="18"/>
      <c r="R33" s="16"/>
      <c r="S33" s="18"/>
      <c r="T33" s="21"/>
    </row>
    <row r="34" spans="1:20" ht="15.95" customHeight="1" x14ac:dyDescent="0.25">
      <c r="A34" s="18" t="s">
        <v>367</v>
      </c>
      <c r="B34" s="16"/>
      <c r="C34" s="18" t="s">
        <v>2085</v>
      </c>
      <c r="D34" s="16"/>
      <c r="E34" s="18" t="s">
        <v>2804</v>
      </c>
      <c r="F34" s="16"/>
      <c r="G34" s="18" t="s">
        <v>1339</v>
      </c>
      <c r="H34" s="16"/>
      <c r="I34" s="18" t="s">
        <v>3538</v>
      </c>
      <c r="J34" s="16"/>
      <c r="K34" s="18" t="s">
        <v>4278</v>
      </c>
      <c r="L34" s="16"/>
      <c r="M34" s="18" t="s">
        <v>4963</v>
      </c>
      <c r="N34" s="16"/>
      <c r="O34" s="18" t="s">
        <v>5693</v>
      </c>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O3" sqref="O3:O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t="s">
        <v>4279</v>
      </c>
      <c r="L3" s="16" t="str">
        <f>TRIM(_xlfn.TEXTBEFORE(K3, ":"))</f>
        <v>아이템 종류</v>
      </c>
      <c r="M3" s="17" t="s">
        <v>4964</v>
      </c>
      <c r="N3" s="16" t="str">
        <f>TRIM(_xlfn.TEXTBEFORE(M3, ":"))</f>
        <v>Classe do Item</v>
      </c>
      <c r="O3" s="17" t="s">
        <v>5694</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t="s">
        <v>3857</v>
      </c>
      <c r="L4" s="16" t="str">
        <f>TRIM(_xlfn.TEXTAFTER(K3, ":"))</f>
        <v>지팡이</v>
      </c>
      <c r="M4" s="18" t="s">
        <v>4586</v>
      </c>
      <c r="N4" s="16" t="str">
        <f>TRIM(_xlfn.TEXTAFTER(M3, ":"))</f>
        <v>Cajados</v>
      </c>
      <c r="O4" s="18" t="s">
        <v>5269</v>
      </c>
      <c r="P4" s="16" t="str">
        <f>TRIM(_xlfn.TEXTAFTER(O3, ":"))</f>
        <v>Посохи</v>
      </c>
      <c r="Q4" s="18"/>
      <c r="R4" s="16" t="e">
        <f>TRIM(_xlfn.TEXTAFTER(Q3, ":"))</f>
        <v>#N/A</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t="s">
        <v>4280</v>
      </c>
      <c r="L5" s="16" t="str">
        <f>TRIM(_xlfn.TEXTBEFORE(K4, ":"))</f>
        <v>아이템 희귀도</v>
      </c>
      <c r="M5" s="18" t="s">
        <v>4965</v>
      </c>
      <c r="N5" s="16" t="str">
        <f>TRIM(_xlfn.TEXTBEFORE(M4, ":"))</f>
        <v>Raridade</v>
      </c>
      <c r="O5" s="18" t="s">
        <v>5695</v>
      </c>
      <c r="P5" s="16" t="str">
        <f>TRIM(_xlfn.TEXTBEFORE(O4, ":"))</f>
        <v>Редкость</v>
      </c>
      <c r="Q5" s="18"/>
      <c r="R5" s="16" t="e">
        <f>TRIM(_xlfn.TEXTBEFORE(Q4, ":"))</f>
        <v>#N/A</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t="s">
        <v>4281</v>
      </c>
      <c r="L6" s="16" t="str">
        <f>TRIM(_xlfn.TEXTAFTER(K4,":"))</f>
        <v>고유</v>
      </c>
      <c r="M6" s="18" t="s">
        <v>4966</v>
      </c>
      <c r="N6" s="16" t="str">
        <f>TRIM(_xlfn.TEXTAFTER(M4,":"))</f>
        <v>Único</v>
      </c>
      <c r="O6" s="18" t="s">
        <v>5696</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385</v>
      </c>
      <c r="B8" s="16"/>
      <c r="C8" s="18" t="s">
        <v>2089</v>
      </c>
      <c r="D8" s="16"/>
      <c r="E8" s="18" t="s">
        <v>2808</v>
      </c>
      <c r="F8" s="16"/>
      <c r="G8" s="18" t="s">
        <v>1343</v>
      </c>
      <c r="H8" s="16"/>
      <c r="I8" s="18" t="s">
        <v>3542</v>
      </c>
      <c r="J8" s="16"/>
      <c r="K8" s="18" t="s">
        <v>4282</v>
      </c>
      <c r="L8" s="16"/>
      <c r="M8" s="18" t="s">
        <v>4967</v>
      </c>
      <c r="N8" s="16"/>
      <c r="O8" s="18" t="s">
        <v>5697</v>
      </c>
      <c r="P8" s="16"/>
      <c r="Q8" s="18"/>
      <c r="R8" s="16"/>
      <c r="S8" s="18"/>
      <c r="T8" s="16"/>
    </row>
    <row r="9" spans="1:20" ht="15.95" customHeight="1" x14ac:dyDescent="0.25">
      <c r="A9" s="18" t="s">
        <v>386</v>
      </c>
      <c r="B9" s="16"/>
      <c r="C9" s="18" t="s">
        <v>2090</v>
      </c>
      <c r="D9" s="16"/>
      <c r="E9" s="18" t="s">
        <v>2809</v>
      </c>
      <c r="F9" s="16"/>
      <c r="G9" s="18" t="s">
        <v>1344</v>
      </c>
      <c r="H9" s="16"/>
      <c r="I9" s="18" t="s">
        <v>3543</v>
      </c>
      <c r="J9" s="16"/>
      <c r="K9" s="18" t="s">
        <v>4283</v>
      </c>
      <c r="L9" s="16"/>
      <c r="M9" s="18" t="s">
        <v>4968</v>
      </c>
      <c r="N9" s="16"/>
      <c r="O9" s="18" t="s">
        <v>5698</v>
      </c>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387</v>
      </c>
      <c r="B14" s="16"/>
      <c r="C14" s="18" t="s">
        <v>1833</v>
      </c>
      <c r="D14" s="16"/>
      <c r="E14" s="18" t="s">
        <v>2552</v>
      </c>
      <c r="F14" s="16"/>
      <c r="G14" s="18" t="s">
        <v>1099</v>
      </c>
      <c r="H14" s="16"/>
      <c r="I14" s="18" t="s">
        <v>3273</v>
      </c>
      <c r="J14" s="16"/>
      <c r="K14" s="18" t="s">
        <v>4019</v>
      </c>
      <c r="L14" s="16"/>
      <c r="M14" s="18" t="s">
        <v>4744</v>
      </c>
      <c r="N14" s="16"/>
      <c r="O14" s="18" t="s">
        <v>5433</v>
      </c>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1"/>
    </row>
    <row r="16" spans="1:20" ht="15.95" customHeight="1" x14ac:dyDescent="0.25">
      <c r="A16" s="18" t="s">
        <v>198</v>
      </c>
      <c r="B16" s="16"/>
      <c r="C16" s="18" t="s">
        <v>1675</v>
      </c>
      <c r="D16" s="16"/>
      <c r="E16" s="18" t="s">
        <v>2395</v>
      </c>
      <c r="F16" s="16"/>
      <c r="G16" s="18" t="s">
        <v>942</v>
      </c>
      <c r="H16" s="16"/>
      <c r="I16" s="18" t="s">
        <v>3110</v>
      </c>
      <c r="J16" s="16"/>
      <c r="K16" s="18" t="s">
        <v>3860</v>
      </c>
      <c r="L16" s="16"/>
      <c r="M16" s="18" t="s">
        <v>4589</v>
      </c>
      <c r="N16" s="16"/>
      <c r="O16" s="18" t="s">
        <v>5272</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388</v>
      </c>
      <c r="B18" s="16"/>
      <c r="C18" s="18" t="s">
        <v>2093</v>
      </c>
      <c r="D18" s="16"/>
      <c r="E18" s="18" t="s">
        <v>2812</v>
      </c>
      <c r="F18" s="16"/>
      <c r="G18" s="18" t="s">
        <v>1347</v>
      </c>
      <c r="H18" s="16"/>
      <c r="I18" s="18" t="s">
        <v>3546</v>
      </c>
      <c r="J18" s="16"/>
      <c r="K18" s="18" t="s">
        <v>4286</v>
      </c>
      <c r="L18" s="16"/>
      <c r="M18" s="18" t="s">
        <v>4971</v>
      </c>
      <c r="N18" s="16"/>
      <c r="O18" s="18" t="s">
        <v>5701</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389</v>
      </c>
      <c r="B20" s="16"/>
      <c r="C20" s="18" t="s">
        <v>2094</v>
      </c>
      <c r="D20" s="16"/>
      <c r="E20" s="18" t="s">
        <v>2813</v>
      </c>
      <c r="F20" s="16"/>
      <c r="G20" s="18" t="s">
        <v>1348</v>
      </c>
      <c r="H20" s="16"/>
      <c r="I20" s="18" t="s">
        <v>3547</v>
      </c>
      <c r="J20" s="16"/>
      <c r="K20" s="18" t="s">
        <v>4287</v>
      </c>
      <c r="L20" s="16"/>
      <c r="M20" s="18" t="s">
        <v>4972</v>
      </c>
      <c r="N20" s="16"/>
      <c r="O20" s="18" t="s">
        <v>5702</v>
      </c>
      <c r="P20" s="16"/>
      <c r="Q20" s="18"/>
      <c r="R20" s="16"/>
      <c r="S20" s="18"/>
      <c r="T20" s="21"/>
    </row>
    <row r="21" spans="1:20" ht="15.95" customHeight="1" x14ac:dyDescent="0.25">
      <c r="A21" s="18" t="s">
        <v>390</v>
      </c>
      <c r="B21" s="16"/>
      <c r="C21" s="18" t="s">
        <v>2095</v>
      </c>
      <c r="D21" s="16"/>
      <c r="E21" s="18" t="s">
        <v>2814</v>
      </c>
      <c r="F21" s="16"/>
      <c r="G21" s="18" t="s">
        <v>1349</v>
      </c>
      <c r="H21" s="16"/>
      <c r="I21" s="18" t="s">
        <v>3548</v>
      </c>
      <c r="J21" s="16"/>
      <c r="K21" s="18" t="s">
        <v>4288</v>
      </c>
      <c r="L21" s="16"/>
      <c r="M21" s="18" t="s">
        <v>4973</v>
      </c>
      <c r="N21" s="16"/>
      <c r="O21" s="18" t="s">
        <v>5703</v>
      </c>
      <c r="P21" s="16"/>
      <c r="Q21" s="18"/>
      <c r="R21" s="16"/>
      <c r="S21" s="18"/>
      <c r="T21" s="21"/>
    </row>
    <row r="22" spans="1:20" ht="15.95" customHeight="1" x14ac:dyDescent="0.25">
      <c r="A22" s="18" t="s">
        <v>391</v>
      </c>
      <c r="B22" s="16"/>
      <c r="C22" s="18" t="s">
        <v>2096</v>
      </c>
      <c r="D22" s="16"/>
      <c r="E22" s="18" t="s">
        <v>2815</v>
      </c>
      <c r="F22" s="16"/>
      <c r="G22" s="18" t="s">
        <v>1350</v>
      </c>
      <c r="H22" s="16"/>
      <c r="I22" s="18" t="s">
        <v>3549</v>
      </c>
      <c r="J22" s="16"/>
      <c r="K22" s="18" t="s">
        <v>4289</v>
      </c>
      <c r="L22" s="16"/>
      <c r="M22" s="18" t="s">
        <v>4974</v>
      </c>
      <c r="N22" s="16"/>
      <c r="O22" s="18" t="s">
        <v>5704</v>
      </c>
      <c r="P22" s="16"/>
      <c r="Q22" s="18"/>
      <c r="R22" s="16"/>
      <c r="S22" s="18"/>
      <c r="T22" s="21"/>
    </row>
    <row r="23" spans="1:20" ht="15.95" customHeight="1" x14ac:dyDescent="0.25">
      <c r="A23" s="18" t="s">
        <v>392</v>
      </c>
      <c r="B23" s="16"/>
      <c r="C23" s="18" t="s">
        <v>2097</v>
      </c>
      <c r="D23" s="16"/>
      <c r="E23" s="18" t="s">
        <v>2816</v>
      </c>
      <c r="F23" s="16"/>
      <c r="G23" s="18" t="s">
        <v>1351</v>
      </c>
      <c r="H23" s="16"/>
      <c r="I23" s="18" t="s">
        <v>3550</v>
      </c>
      <c r="J23" s="16"/>
      <c r="K23" s="18" t="s">
        <v>4290</v>
      </c>
      <c r="L23" s="16"/>
      <c r="M23" s="18" t="s">
        <v>4975</v>
      </c>
      <c r="N23" s="16"/>
      <c r="O23" s="18" t="s">
        <v>5705</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393</v>
      </c>
      <c r="B25" s="16"/>
      <c r="C25" s="18" t="s">
        <v>2098</v>
      </c>
      <c r="D25" s="16"/>
      <c r="E25" s="18" t="s">
        <v>2817</v>
      </c>
      <c r="F25" s="16"/>
      <c r="G25" s="18" t="s">
        <v>1352</v>
      </c>
      <c r="H25" s="16"/>
      <c r="I25" s="18" t="s">
        <v>3551</v>
      </c>
      <c r="J25" s="16"/>
      <c r="K25" s="18" t="s">
        <v>4291</v>
      </c>
      <c r="L25" s="16"/>
      <c r="M25" s="18" t="s">
        <v>4976</v>
      </c>
      <c r="N25" s="16"/>
      <c r="O25" s="18" t="s">
        <v>5706</v>
      </c>
      <c r="P25" s="16"/>
      <c r="Q25" s="18"/>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t="s">
        <v>4292</v>
      </c>
      <c r="L26" s="16"/>
      <c r="M26" s="18" t="e" cm="1">
        <f t="array" ref="M26">- Antigo ditado Ezomita.</f>
        <v>#NAME?</v>
      </c>
      <c r="N26" s="16"/>
      <c r="O26" s="18" t="e" cm="1">
        <f t="array" ref="O26">- Старая пословица эзомитов.</f>
        <v>#NAME?</v>
      </c>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O3" sqref="O3:O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t="s">
        <v>4293</v>
      </c>
      <c r="L3" s="16" t="str">
        <f>TRIM(_xlfn.TEXTBEFORE(K3, ":"))</f>
        <v>아이템 종류</v>
      </c>
      <c r="M3" s="17" t="s">
        <v>4977</v>
      </c>
      <c r="N3" s="16" t="str">
        <f>TRIM(_xlfn.TEXTBEFORE(M3, ":"))</f>
        <v>Classe do Item</v>
      </c>
      <c r="O3" s="17" t="s">
        <v>5707</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t="s">
        <v>3857</v>
      </c>
      <c r="L4" s="16" t="str">
        <f>TRIM(_xlfn.TEXTAFTER(K3, ":"))</f>
        <v>마법봉</v>
      </c>
      <c r="M4" s="18" t="s">
        <v>4586</v>
      </c>
      <c r="N4" s="16" t="str">
        <f>TRIM(_xlfn.TEXTAFTER(M3, ":"))</f>
        <v>Varinhas</v>
      </c>
      <c r="O4" s="18" t="s">
        <v>5269</v>
      </c>
      <c r="P4" s="16" t="str">
        <f>TRIM(_xlfn.TEXTAFTER(O3, ":"))</f>
        <v>Жезлы</v>
      </c>
      <c r="Q4" s="18"/>
      <c r="R4" s="16" t="e">
        <f>TRIM(_xlfn.TEXTAFTER(Q3, ":"))</f>
        <v>#N/A</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t="s">
        <v>4294</v>
      </c>
      <c r="L5" s="16" t="str">
        <f>TRIM(_xlfn.TEXTBEFORE(K4, ":"))</f>
        <v>아이템 희귀도</v>
      </c>
      <c r="M5" s="18" t="s">
        <v>4978</v>
      </c>
      <c r="N5" s="16" t="str">
        <f>TRIM(_xlfn.TEXTBEFORE(M4, ":"))</f>
        <v>Raridade</v>
      </c>
      <c r="O5" s="18" t="s">
        <v>5708</v>
      </c>
      <c r="P5" s="16" t="str">
        <f>TRIM(_xlfn.TEXTBEFORE(O4, ":"))</f>
        <v>Редкость</v>
      </c>
      <c r="Q5" s="18"/>
      <c r="R5" s="16" t="e">
        <f>TRIM(_xlfn.TEXTBEFORE(Q4, ":"))</f>
        <v>#N/A</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t="s">
        <v>4295</v>
      </c>
      <c r="L6" s="16" t="str">
        <f>TRIM(_xlfn.TEXTAFTER(K4,":"))</f>
        <v>고유</v>
      </c>
      <c r="M6" s="18" t="s">
        <v>4979</v>
      </c>
      <c r="N6" s="16" t="str">
        <f>TRIM(_xlfn.TEXTAFTER(M4,":"))</f>
        <v>Único</v>
      </c>
      <c r="O6" s="18" t="s">
        <v>5709</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193</v>
      </c>
      <c r="B8" s="16"/>
      <c r="C8" s="18" t="s">
        <v>2103</v>
      </c>
      <c r="D8" s="16"/>
      <c r="E8" s="18" t="s">
        <v>2821</v>
      </c>
      <c r="F8" s="16"/>
      <c r="G8" s="18" t="s">
        <v>1356</v>
      </c>
      <c r="H8" s="16"/>
      <c r="I8" s="18" t="s">
        <v>3556</v>
      </c>
      <c r="J8" s="16"/>
      <c r="K8" s="18" t="s">
        <v>4296</v>
      </c>
      <c r="L8" s="16"/>
      <c r="M8" s="18" t="s">
        <v>4980</v>
      </c>
      <c r="N8" s="16"/>
      <c r="O8" s="18" t="s">
        <v>5710</v>
      </c>
      <c r="P8" s="16"/>
      <c r="Q8" s="18"/>
      <c r="R8" s="16"/>
      <c r="S8" s="18"/>
      <c r="T8" s="16"/>
    </row>
    <row r="9" spans="1:20" ht="15.95" customHeight="1" x14ac:dyDescent="0.25">
      <c r="A9" s="18" t="s">
        <v>194</v>
      </c>
      <c r="B9" s="16"/>
      <c r="C9" s="18" t="s">
        <v>2104</v>
      </c>
      <c r="D9" s="16"/>
      <c r="E9" s="18" t="s">
        <v>2822</v>
      </c>
      <c r="F9" s="16"/>
      <c r="G9" s="18" t="s">
        <v>1357</v>
      </c>
      <c r="H9" s="16"/>
      <c r="I9" s="18" t="s">
        <v>3557</v>
      </c>
      <c r="J9" s="16"/>
      <c r="K9" s="18" t="s">
        <v>4297</v>
      </c>
      <c r="L9" s="16"/>
      <c r="M9" s="18" t="s">
        <v>4981</v>
      </c>
      <c r="N9" s="16"/>
      <c r="O9" s="18" t="s">
        <v>5711</v>
      </c>
      <c r="P9" s="16"/>
      <c r="Q9" s="18"/>
      <c r="R9" s="16"/>
      <c r="S9" s="18"/>
      <c r="T9" s="16"/>
    </row>
    <row r="10" spans="1:20" ht="15.95" customHeight="1" x14ac:dyDescent="0.25">
      <c r="A10" s="18" t="s">
        <v>195</v>
      </c>
      <c r="B10" s="16"/>
      <c r="C10" s="18" t="s">
        <v>2105</v>
      </c>
      <c r="D10" s="16"/>
      <c r="E10" s="18" t="s">
        <v>2823</v>
      </c>
      <c r="F10" s="16"/>
      <c r="G10" s="18" t="s">
        <v>1358</v>
      </c>
      <c r="H10" s="16"/>
      <c r="I10" s="18" t="s">
        <v>3558</v>
      </c>
      <c r="J10" s="16"/>
      <c r="K10" s="18" t="s">
        <v>4298</v>
      </c>
      <c r="L10" s="16"/>
      <c r="M10" s="18" t="s">
        <v>4982</v>
      </c>
      <c r="N10" s="16"/>
      <c r="O10" s="18" t="s">
        <v>5712</v>
      </c>
      <c r="P10" s="16"/>
      <c r="Q10" s="18"/>
      <c r="R10" s="16"/>
      <c r="S10" s="18"/>
      <c r="T10" s="16"/>
    </row>
    <row r="11" spans="1:20" ht="15.95" customHeight="1" x14ac:dyDescent="0.25">
      <c r="A11" s="18" t="s">
        <v>196</v>
      </c>
      <c r="B11" s="16"/>
      <c r="C11" s="18" t="s">
        <v>2106</v>
      </c>
      <c r="D11" s="16"/>
      <c r="E11" s="18" t="s">
        <v>2824</v>
      </c>
      <c r="F11" s="16"/>
      <c r="G11" s="18" t="s">
        <v>1359</v>
      </c>
      <c r="H11" s="16"/>
      <c r="I11" s="18" t="s">
        <v>3559</v>
      </c>
      <c r="J11" s="16"/>
      <c r="K11" s="18" t="s">
        <v>4299</v>
      </c>
      <c r="L11" s="16"/>
      <c r="M11" s="18" t="s">
        <v>4983</v>
      </c>
      <c r="N11" s="16"/>
      <c r="O11" s="18" t="s">
        <v>5713</v>
      </c>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1"/>
    </row>
    <row r="13" spans="1:20" ht="15.95" customHeight="1" x14ac:dyDescent="0.25">
      <c r="A13" s="18" t="s">
        <v>197</v>
      </c>
      <c r="B13" s="16"/>
      <c r="C13" s="18" t="s">
        <v>1999</v>
      </c>
      <c r="D13" s="16"/>
      <c r="E13" s="18" t="s">
        <v>2720</v>
      </c>
      <c r="F13" s="16"/>
      <c r="G13" s="18" t="s">
        <v>1255</v>
      </c>
      <c r="H13" s="16"/>
      <c r="I13" s="18" t="s">
        <v>3447</v>
      </c>
      <c r="J13" s="16"/>
      <c r="K13" s="18" t="s">
        <v>4191</v>
      </c>
      <c r="L13" s="16"/>
      <c r="M13" s="18" t="s">
        <v>4898</v>
      </c>
      <c r="N13" s="16"/>
      <c r="O13" s="18" t="s">
        <v>5605</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198</v>
      </c>
      <c r="B15" s="16"/>
      <c r="C15" s="18" t="s">
        <v>1675</v>
      </c>
      <c r="D15" s="16"/>
      <c r="E15" s="18" t="s">
        <v>2395</v>
      </c>
      <c r="F15" s="16"/>
      <c r="G15" s="18" t="s">
        <v>942</v>
      </c>
      <c r="H15" s="16"/>
      <c r="I15" s="18" t="s">
        <v>3110</v>
      </c>
      <c r="J15" s="16"/>
      <c r="K15" s="18" t="s">
        <v>3860</v>
      </c>
      <c r="L15" s="16"/>
      <c r="M15" s="18" t="s">
        <v>4589</v>
      </c>
      <c r="N15" s="16"/>
      <c r="O15" s="18" t="s">
        <v>5272</v>
      </c>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1"/>
    </row>
    <row r="17" spans="1:20" ht="15.95" customHeight="1" x14ac:dyDescent="0.25">
      <c r="A17" s="18" t="s">
        <v>199</v>
      </c>
      <c r="B17" s="16"/>
      <c r="C17" s="18" t="s">
        <v>2107</v>
      </c>
      <c r="D17" s="16"/>
      <c r="E17" s="18" t="s">
        <v>2825</v>
      </c>
      <c r="F17" s="16"/>
      <c r="G17" s="18" t="s">
        <v>1360</v>
      </c>
      <c r="H17" s="16"/>
      <c r="I17" s="18" t="s">
        <v>3560</v>
      </c>
      <c r="J17" s="16"/>
      <c r="K17" s="18" t="s">
        <v>4300</v>
      </c>
      <c r="L17" s="16"/>
      <c r="M17" s="18" t="s">
        <v>4984</v>
      </c>
      <c r="N17" s="16"/>
      <c r="O17" s="18" t="s">
        <v>5714</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200</v>
      </c>
      <c r="B19" s="16"/>
      <c r="C19" s="18" t="s">
        <v>2108</v>
      </c>
      <c r="D19" s="16"/>
      <c r="E19" s="18" t="s">
        <v>2826</v>
      </c>
      <c r="F19" s="16"/>
      <c r="G19" s="18" t="s">
        <v>1361</v>
      </c>
      <c r="H19" s="16"/>
      <c r="I19" s="18" t="s">
        <v>3561</v>
      </c>
      <c r="J19" s="16"/>
      <c r="K19" s="18" t="s">
        <v>4301</v>
      </c>
      <c r="L19" s="16"/>
      <c r="M19" s="18" t="s">
        <v>4985</v>
      </c>
      <c r="N19" s="16"/>
      <c r="O19" s="18" t="s">
        <v>5715</v>
      </c>
      <c r="P19" s="16"/>
      <c r="Q19" s="18"/>
      <c r="R19" s="16"/>
      <c r="S19" s="18"/>
      <c r="T19" s="21"/>
    </row>
    <row r="20" spans="1:20" ht="15.95" customHeight="1" x14ac:dyDescent="0.25">
      <c r="A20" s="18" t="s">
        <v>201</v>
      </c>
      <c r="B20" s="16"/>
      <c r="C20" s="18" t="s">
        <v>2109</v>
      </c>
      <c r="D20" s="16"/>
      <c r="E20" s="18" t="s">
        <v>2827</v>
      </c>
      <c r="F20" s="16"/>
      <c r="G20" s="18" t="s">
        <v>1362</v>
      </c>
      <c r="H20" s="16"/>
      <c r="I20" s="18" t="s">
        <v>3562</v>
      </c>
      <c r="J20" s="16"/>
      <c r="K20" s="18" t="s">
        <v>4302</v>
      </c>
      <c r="L20" s="16"/>
      <c r="M20" s="18" t="s">
        <v>4986</v>
      </c>
      <c r="N20" s="16"/>
      <c r="O20" s="18" t="s">
        <v>5716</v>
      </c>
      <c r="P20" s="16"/>
      <c r="Q20" s="18"/>
      <c r="R20" s="16"/>
      <c r="S20" s="18"/>
      <c r="T20" s="21"/>
    </row>
    <row r="21" spans="1:20" ht="15.95" customHeight="1" x14ac:dyDescent="0.25">
      <c r="A21" s="18" t="s">
        <v>202</v>
      </c>
      <c r="B21" s="16"/>
      <c r="C21" s="18" t="s">
        <v>2110</v>
      </c>
      <c r="D21" s="16"/>
      <c r="E21" s="18" t="s">
        <v>2828</v>
      </c>
      <c r="F21" s="16"/>
      <c r="G21" s="18" t="s">
        <v>1363</v>
      </c>
      <c r="H21" s="16"/>
      <c r="I21" s="18" t="s">
        <v>3563</v>
      </c>
      <c r="J21" s="16"/>
      <c r="K21" s="18" t="s">
        <v>4303</v>
      </c>
      <c r="L21" s="16"/>
      <c r="M21" s="18" t="s">
        <v>4987</v>
      </c>
      <c r="N21" s="16"/>
      <c r="O21" s="18" t="s">
        <v>5717</v>
      </c>
      <c r="P21" s="16"/>
      <c r="Q21" s="18"/>
      <c r="R21" s="16"/>
      <c r="S21" s="18"/>
      <c r="T21" s="21"/>
    </row>
    <row r="22" spans="1:20" ht="15.95" customHeight="1" x14ac:dyDescent="0.25">
      <c r="A22" s="18" t="s">
        <v>203</v>
      </c>
      <c r="B22" s="16"/>
      <c r="C22" s="18" t="s">
        <v>2111</v>
      </c>
      <c r="D22" s="16"/>
      <c r="E22" s="18" t="s">
        <v>2829</v>
      </c>
      <c r="F22" s="16"/>
      <c r="G22" s="18" t="s">
        <v>1364</v>
      </c>
      <c r="H22" s="16"/>
      <c r="I22" s="18" t="s">
        <v>3564</v>
      </c>
      <c r="J22" s="16"/>
      <c r="K22" s="18" t="s">
        <v>4304</v>
      </c>
      <c r="L22" s="16"/>
      <c r="M22" s="18" t="s">
        <v>4988</v>
      </c>
      <c r="N22" s="16"/>
      <c r="O22" s="18" t="s">
        <v>5718</v>
      </c>
      <c r="P22" s="16"/>
      <c r="Q22" s="18"/>
      <c r="R22" s="16"/>
      <c r="S22" s="18"/>
      <c r="T22" s="21"/>
    </row>
    <row r="23" spans="1:20" ht="15.95" customHeight="1" x14ac:dyDescent="0.25">
      <c r="A23" s="18" t="s">
        <v>204</v>
      </c>
      <c r="B23" s="16"/>
      <c r="C23" s="18" t="s">
        <v>2112</v>
      </c>
      <c r="D23" s="16"/>
      <c r="E23" s="18" t="s">
        <v>2830</v>
      </c>
      <c r="F23" s="16"/>
      <c r="G23" s="18" t="s">
        <v>1365</v>
      </c>
      <c r="H23" s="16"/>
      <c r="I23" s="18" t="s">
        <v>3565</v>
      </c>
      <c r="J23" s="16"/>
      <c r="K23" s="18" t="s">
        <v>4305</v>
      </c>
      <c r="L23" s="16"/>
      <c r="M23" s="18" t="s">
        <v>4989</v>
      </c>
      <c r="N23" s="16"/>
      <c r="O23" s="18" t="s">
        <v>5719</v>
      </c>
      <c r="P23" s="16"/>
      <c r="Q23" s="18"/>
      <c r="R23" s="16"/>
      <c r="S23" s="18"/>
      <c r="T23" s="21"/>
    </row>
    <row r="24" spans="1:20" ht="15.95" customHeight="1" x14ac:dyDescent="0.25">
      <c r="A24" s="18" t="s">
        <v>205</v>
      </c>
      <c r="B24" s="16"/>
      <c r="C24" s="18" t="s">
        <v>2113</v>
      </c>
      <c r="D24" s="16"/>
      <c r="E24" s="18" t="s">
        <v>2831</v>
      </c>
      <c r="F24" s="16"/>
      <c r="G24" s="18" t="s">
        <v>1366</v>
      </c>
      <c r="H24" s="16"/>
      <c r="I24" s="18" t="s">
        <v>3566</v>
      </c>
      <c r="J24" s="16"/>
      <c r="K24" s="18" t="s">
        <v>4306</v>
      </c>
      <c r="L24" s="16"/>
      <c r="M24" s="18" t="s">
        <v>4990</v>
      </c>
      <c r="N24" s="16"/>
      <c r="O24" s="18" t="s">
        <v>5720</v>
      </c>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c r="R25" s="16"/>
      <c r="S25" s="18"/>
      <c r="T25" s="21"/>
    </row>
    <row r="26" spans="1:20" ht="15.95" customHeight="1" x14ac:dyDescent="0.25">
      <c r="A26" s="18" t="s">
        <v>206</v>
      </c>
      <c r="B26" s="16"/>
      <c r="C26" s="18" t="s">
        <v>2114</v>
      </c>
      <c r="D26" s="16"/>
      <c r="E26" s="18" t="s">
        <v>2832</v>
      </c>
      <c r="F26" s="16"/>
      <c r="G26" s="18" t="s">
        <v>1367</v>
      </c>
      <c r="H26" s="16"/>
      <c r="I26" s="18" t="s">
        <v>3567</v>
      </c>
      <c r="J26" s="16"/>
      <c r="K26" s="18" t="s">
        <v>4307</v>
      </c>
      <c r="L26" s="16"/>
      <c r="M26" s="18" t="s">
        <v>4991</v>
      </c>
      <c r="N26" s="16"/>
      <c r="O26" s="18" t="s">
        <v>5721</v>
      </c>
      <c r="P26" s="16"/>
      <c r="Q26" s="18"/>
      <c r="R26" s="16"/>
      <c r="S26" s="18"/>
      <c r="T26" s="21"/>
    </row>
    <row r="27" spans="1:20" ht="15.95" customHeight="1" x14ac:dyDescent="0.25">
      <c r="A27" s="18" t="s">
        <v>207</v>
      </c>
      <c r="B27" s="16"/>
      <c r="C27" s="18" t="s">
        <v>2115</v>
      </c>
      <c r="D27" s="16"/>
      <c r="E27" s="18" t="s">
        <v>2833</v>
      </c>
      <c r="F27" s="16"/>
      <c r="G27" s="18" t="s">
        <v>1368</v>
      </c>
      <c r="H27" s="16"/>
      <c r="I27" s="18" t="s">
        <v>3568</v>
      </c>
      <c r="J27" s="16"/>
      <c r="K27" s="18" t="s">
        <v>4308</v>
      </c>
      <c r="L27" s="16"/>
      <c r="M27" s="18" t="s">
        <v>4992</v>
      </c>
      <c r="N27" s="16"/>
      <c r="O27" s="18" t="s">
        <v>5722</v>
      </c>
      <c r="P27" s="16"/>
      <c r="Q27" s="18"/>
      <c r="R27" s="16"/>
      <c r="S27" s="18"/>
      <c r="T27" s="21"/>
    </row>
    <row r="28" spans="1:20" ht="15.95" customHeight="1" x14ac:dyDescent="0.25">
      <c r="A28" s="18" t="s">
        <v>208</v>
      </c>
      <c r="B28" s="16"/>
      <c r="C28" s="18" t="s">
        <v>2116</v>
      </c>
      <c r="D28" s="16"/>
      <c r="E28" s="18" t="s">
        <v>2834</v>
      </c>
      <c r="F28" s="16"/>
      <c r="G28" s="18" t="s">
        <v>1369</v>
      </c>
      <c r="H28" s="16"/>
      <c r="I28" s="18" t="s">
        <v>3569</v>
      </c>
      <c r="J28" s="16"/>
      <c r="K28" s="18" t="s">
        <v>4309</v>
      </c>
      <c r="L28" s="16"/>
      <c r="M28" s="18" t="s">
        <v>4993</v>
      </c>
      <c r="N28" s="16"/>
      <c r="O28" s="18" t="s">
        <v>5723</v>
      </c>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O3" sqref="O3:O3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t="s">
        <v>4310</v>
      </c>
      <c r="L3" s="16" t="str">
        <f>TRIM(_xlfn.TEXTBEFORE(K3, ":"))</f>
        <v>아이템 종류</v>
      </c>
      <c r="M3" s="17" t="s">
        <v>4994</v>
      </c>
      <c r="N3" s="16" t="str">
        <f>TRIM(_xlfn.TEXTBEFORE(M3, ":"))</f>
        <v>Classe do Item</v>
      </c>
      <c r="O3" s="17" t="s">
        <v>5724</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t="s">
        <v>3857</v>
      </c>
      <c r="L4" s="16" t="str">
        <f>TRIM(_xlfn.TEXTAFTER(K3, ":"))</f>
        <v>전쟁지팡이</v>
      </c>
      <c r="M4" s="18" t="s">
        <v>4586</v>
      </c>
      <c r="N4" s="16" t="str">
        <f>TRIM(_xlfn.TEXTAFTER(M3, ":"))</f>
        <v>Cajados de Guerra</v>
      </c>
      <c r="O4" s="18" t="s">
        <v>5269</v>
      </c>
      <c r="P4" s="16" t="str">
        <f>TRIM(_xlfn.TEXTAFTER(O3, ":"))</f>
        <v>Воинские посохи</v>
      </c>
      <c r="Q4" s="18"/>
      <c r="R4" s="16" t="e">
        <f>TRIM(_xlfn.TEXTAFTER(Q3, ":"))</f>
        <v>#N/A</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t="s">
        <v>4311</v>
      </c>
      <c r="L5" s="16" t="str">
        <f>TRIM(_xlfn.TEXTBEFORE(K4, ":"))</f>
        <v>아이템 희귀도</v>
      </c>
      <c r="M5" s="18" t="s">
        <v>4995</v>
      </c>
      <c r="N5" s="16" t="str">
        <f>TRIM(_xlfn.TEXTBEFORE(M4, ":"))</f>
        <v>Raridade</v>
      </c>
      <c r="O5" s="18" t="s">
        <v>5725</v>
      </c>
      <c r="P5" s="16" t="str">
        <f>TRIM(_xlfn.TEXTBEFORE(O4, ":"))</f>
        <v>Редкость</v>
      </c>
      <c r="Q5" s="18"/>
      <c r="R5" s="16" t="e">
        <f>TRIM(_xlfn.TEXTBEFORE(Q4, ":"))</f>
        <v>#N/A</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t="s">
        <v>4312</v>
      </c>
      <c r="L6" s="16" t="str">
        <f>TRIM(_xlfn.TEXTAFTER(K4,":"))</f>
        <v>고유</v>
      </c>
      <c r="M6" s="18" t="s">
        <v>4996</v>
      </c>
      <c r="N6" s="16" t="str">
        <f>TRIM(_xlfn.TEXTAFTER(M4,":"))</f>
        <v>Único</v>
      </c>
      <c r="O6" s="18" t="s">
        <v>5726</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398</v>
      </c>
      <c r="B8" s="16"/>
      <c r="C8" s="18" t="s">
        <v>2120</v>
      </c>
      <c r="D8" s="16"/>
      <c r="E8" s="18" t="s">
        <v>2838</v>
      </c>
      <c r="F8" s="16"/>
      <c r="G8" s="18" t="s">
        <v>1373</v>
      </c>
      <c r="H8" s="16"/>
      <c r="I8" s="18" t="s">
        <v>3573</v>
      </c>
      <c r="J8" s="16"/>
      <c r="K8" s="18" t="s">
        <v>4313</v>
      </c>
      <c r="L8" s="16"/>
      <c r="M8" s="18" t="s">
        <v>4997</v>
      </c>
      <c r="N8" s="16"/>
      <c r="O8" s="18" t="s">
        <v>5727</v>
      </c>
      <c r="P8" s="16"/>
      <c r="Q8" s="18"/>
      <c r="R8" s="16"/>
      <c r="S8" s="18"/>
      <c r="T8" s="16"/>
    </row>
    <row r="9" spans="1:20" ht="15.95" customHeight="1" x14ac:dyDescent="0.25">
      <c r="A9" s="18" t="s">
        <v>399</v>
      </c>
      <c r="B9" s="16"/>
      <c r="C9" s="18" t="s">
        <v>2121</v>
      </c>
      <c r="D9" s="16"/>
      <c r="E9" s="18" t="s">
        <v>2839</v>
      </c>
      <c r="F9" s="16"/>
      <c r="G9" s="18" t="s">
        <v>1374</v>
      </c>
      <c r="H9" s="16"/>
      <c r="I9" s="18" t="s">
        <v>3574</v>
      </c>
      <c r="J9" s="16"/>
      <c r="K9" s="18" t="s">
        <v>4314</v>
      </c>
      <c r="L9" s="16"/>
      <c r="M9" s="18" t="s">
        <v>4998</v>
      </c>
      <c r="N9" s="16"/>
      <c r="O9" s="18" t="s">
        <v>5728</v>
      </c>
      <c r="P9" s="16"/>
      <c r="Q9" s="18"/>
      <c r="R9" s="16"/>
      <c r="S9" s="18"/>
      <c r="T9" s="16"/>
    </row>
    <row r="10" spans="1:20" ht="15.95" customHeight="1" x14ac:dyDescent="0.25">
      <c r="A10" s="18" t="s">
        <v>400</v>
      </c>
      <c r="B10" s="16"/>
      <c r="C10" s="18" t="s">
        <v>2122</v>
      </c>
      <c r="D10" s="16"/>
      <c r="E10" s="18" t="s">
        <v>2840</v>
      </c>
      <c r="F10" s="16"/>
      <c r="G10" s="18" t="s">
        <v>1375</v>
      </c>
      <c r="H10" s="16"/>
      <c r="I10" s="18" t="s">
        <v>3575</v>
      </c>
      <c r="J10" s="16"/>
      <c r="K10" s="18" t="s">
        <v>4315</v>
      </c>
      <c r="L10" s="16"/>
      <c r="M10" s="18" t="s">
        <v>4999</v>
      </c>
      <c r="N10" s="16"/>
      <c r="O10" s="18" t="s">
        <v>5729</v>
      </c>
      <c r="P10" s="16"/>
      <c r="Q10" s="18"/>
      <c r="R10" s="16"/>
      <c r="S10" s="18"/>
      <c r="T10" s="16"/>
    </row>
    <row r="11" spans="1:20" ht="15.95" customHeight="1" x14ac:dyDescent="0.25">
      <c r="A11" s="18" t="s">
        <v>401</v>
      </c>
      <c r="B11" s="16"/>
      <c r="C11" s="18" t="s">
        <v>2123</v>
      </c>
      <c r="D11" s="16"/>
      <c r="E11" s="18" t="s">
        <v>2841</v>
      </c>
      <c r="F11" s="16"/>
      <c r="G11" s="18" t="s">
        <v>1376</v>
      </c>
      <c r="H11" s="16"/>
      <c r="I11" s="18" t="s">
        <v>3576</v>
      </c>
      <c r="J11" s="16"/>
      <c r="K11" s="18" t="s">
        <v>4316</v>
      </c>
      <c r="L11" s="16"/>
      <c r="M11" s="18" t="s">
        <v>5000</v>
      </c>
      <c r="N11" s="16"/>
      <c r="O11" s="18" t="s">
        <v>5730</v>
      </c>
      <c r="P11" s="16"/>
      <c r="Q11" s="18"/>
      <c r="R11" s="16"/>
      <c r="S11" s="18"/>
      <c r="T11" s="16"/>
    </row>
    <row r="12" spans="1:20" ht="15.95" customHeight="1" x14ac:dyDescent="0.25">
      <c r="A12" s="18" t="s">
        <v>300</v>
      </c>
      <c r="B12" s="16"/>
      <c r="C12" s="18" t="s">
        <v>2091</v>
      </c>
      <c r="D12" s="16"/>
      <c r="E12" s="18" t="s">
        <v>2810</v>
      </c>
      <c r="F12" s="16"/>
      <c r="G12" s="18" t="s">
        <v>1345</v>
      </c>
      <c r="H12" s="16"/>
      <c r="I12" s="18" t="s">
        <v>3544</v>
      </c>
      <c r="J12" s="16"/>
      <c r="K12" s="18" t="s">
        <v>4284</v>
      </c>
      <c r="L12" s="16"/>
      <c r="M12" s="18" t="s">
        <v>4969</v>
      </c>
      <c r="N12" s="16"/>
      <c r="O12" s="18" t="s">
        <v>5699</v>
      </c>
      <c r="P12" s="16"/>
      <c r="Q12" s="18"/>
      <c r="R12" s="16"/>
      <c r="S12" s="18"/>
      <c r="T12" s="21"/>
    </row>
    <row r="13" spans="1:20" ht="15.95" customHeight="1" x14ac:dyDescent="0.25">
      <c r="A13" s="18" t="s">
        <v>255</v>
      </c>
      <c r="B13" s="16"/>
      <c r="C13" s="18" t="s">
        <v>2092</v>
      </c>
      <c r="D13" s="16"/>
      <c r="E13" s="18" t="s">
        <v>2811</v>
      </c>
      <c r="F13" s="16"/>
      <c r="G13" s="18" t="s">
        <v>1346</v>
      </c>
      <c r="H13" s="16"/>
      <c r="I13" s="18" t="s">
        <v>3545</v>
      </c>
      <c r="J13" s="16"/>
      <c r="K13" s="18" t="s">
        <v>4285</v>
      </c>
      <c r="L13" s="16"/>
      <c r="M13" s="18" t="s">
        <v>4970</v>
      </c>
      <c r="N13" s="16"/>
      <c r="O13" s="18" t="s">
        <v>5700</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c r="R15" s="16"/>
      <c r="S15" s="18"/>
      <c r="T15" s="21"/>
    </row>
    <row r="16" spans="1:20" ht="15.95" customHeight="1" x14ac:dyDescent="0.25">
      <c r="A16" s="18" t="s">
        <v>301</v>
      </c>
      <c r="B16" s="16"/>
      <c r="C16" s="18" t="s">
        <v>2124</v>
      </c>
      <c r="D16" s="16"/>
      <c r="E16" s="18" t="s">
        <v>2842</v>
      </c>
      <c r="F16" s="16"/>
      <c r="G16" s="18" t="s">
        <v>1377</v>
      </c>
      <c r="H16" s="16"/>
      <c r="I16" s="18" t="s">
        <v>3577</v>
      </c>
      <c r="J16" s="16"/>
      <c r="K16" s="18" t="s">
        <v>4317</v>
      </c>
      <c r="L16" s="16"/>
      <c r="M16" s="18" t="s">
        <v>5001</v>
      </c>
      <c r="N16" s="16"/>
      <c r="O16" s="18" t="s">
        <v>5731</v>
      </c>
      <c r="P16" s="16"/>
      <c r="Q16" s="18"/>
      <c r="R16" s="16"/>
      <c r="S16" s="18"/>
      <c r="T16" s="21"/>
    </row>
    <row r="17" spans="1:20" ht="15.95" customHeight="1" x14ac:dyDescent="0.25">
      <c r="A17" s="18" t="s">
        <v>402</v>
      </c>
      <c r="B17" s="16"/>
      <c r="C17" s="18" t="s">
        <v>402</v>
      </c>
      <c r="D17" s="16"/>
      <c r="E17" s="18" t="s">
        <v>2843</v>
      </c>
      <c r="F17" s="16"/>
      <c r="G17" s="18" t="s">
        <v>1378</v>
      </c>
      <c r="H17" s="16"/>
      <c r="I17" s="18" t="s">
        <v>3578</v>
      </c>
      <c r="J17" s="16"/>
      <c r="K17" s="18" t="s">
        <v>4318</v>
      </c>
      <c r="L17" s="16"/>
      <c r="M17" s="18" t="s">
        <v>1378</v>
      </c>
      <c r="N17" s="16"/>
      <c r="O17" s="18" t="s">
        <v>5732</v>
      </c>
      <c r="P17" s="16"/>
      <c r="Q17" s="18"/>
      <c r="R17" s="16"/>
      <c r="S17" s="18"/>
      <c r="T17" s="21"/>
    </row>
    <row r="18" spans="1:20" ht="15.95" customHeight="1" x14ac:dyDescent="0.25">
      <c r="A18" s="18" t="s">
        <v>403</v>
      </c>
      <c r="B18" s="16"/>
      <c r="C18" s="18" t="s">
        <v>403</v>
      </c>
      <c r="D18" s="16"/>
      <c r="E18" s="18" t="s">
        <v>403</v>
      </c>
      <c r="F18" s="16"/>
      <c r="G18" s="18" t="s">
        <v>403</v>
      </c>
      <c r="H18" s="16"/>
      <c r="I18" s="18" t="s">
        <v>3579</v>
      </c>
      <c r="J18" s="16"/>
      <c r="K18" s="18" t="s">
        <v>4319</v>
      </c>
      <c r="L18" s="16"/>
      <c r="M18" s="18" t="s">
        <v>403</v>
      </c>
      <c r="N18" s="16"/>
      <c r="O18" s="18" t="s">
        <v>5733</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404</v>
      </c>
      <c r="B20" s="16"/>
      <c r="C20" s="18" t="s">
        <v>1818</v>
      </c>
      <c r="D20" s="16"/>
      <c r="E20" s="18" t="s">
        <v>2537</v>
      </c>
      <c r="F20" s="16"/>
      <c r="G20" s="18" t="s">
        <v>1086</v>
      </c>
      <c r="H20" s="16"/>
      <c r="I20" s="18" t="s">
        <v>3257</v>
      </c>
      <c r="J20" s="16"/>
      <c r="K20" s="18" t="s">
        <v>4003</v>
      </c>
      <c r="L20" s="16"/>
      <c r="M20" s="18" t="s">
        <v>4730</v>
      </c>
      <c r="N20" s="16"/>
      <c r="O20" s="18" t="s">
        <v>5417</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117</v>
      </c>
      <c r="B22" s="16"/>
      <c r="C22" s="18" t="s">
        <v>1742</v>
      </c>
      <c r="D22" s="16"/>
      <c r="E22" s="18" t="s">
        <v>2461</v>
      </c>
      <c r="F22" s="16"/>
      <c r="G22" s="18" t="s">
        <v>1010</v>
      </c>
      <c r="H22" s="16"/>
      <c r="I22" s="18" t="s">
        <v>3179</v>
      </c>
      <c r="J22" s="16"/>
      <c r="K22" s="18" t="s">
        <v>3926</v>
      </c>
      <c r="L22" s="16"/>
      <c r="M22" s="18" t="s">
        <v>4655</v>
      </c>
      <c r="N22" s="16"/>
      <c r="O22" s="18" t="s">
        <v>5340</v>
      </c>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1"/>
    </row>
    <row r="24" spans="1:20" ht="15.95" customHeight="1" x14ac:dyDescent="0.25">
      <c r="A24" s="18" t="s">
        <v>388</v>
      </c>
      <c r="B24" s="16"/>
      <c r="C24" s="18" t="s">
        <v>2093</v>
      </c>
      <c r="D24" s="16"/>
      <c r="E24" s="18" t="s">
        <v>2812</v>
      </c>
      <c r="F24" s="16"/>
      <c r="G24" s="18" t="s">
        <v>1347</v>
      </c>
      <c r="H24" s="16"/>
      <c r="I24" s="18" t="s">
        <v>3546</v>
      </c>
      <c r="J24" s="16"/>
      <c r="K24" s="18" t="s">
        <v>4286</v>
      </c>
      <c r="L24" s="16"/>
      <c r="M24" s="18" t="s">
        <v>4971</v>
      </c>
      <c r="N24" s="16"/>
      <c r="O24" s="18" t="s">
        <v>5701</v>
      </c>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c r="R25" s="16"/>
      <c r="S25" s="18"/>
      <c r="T25" s="21"/>
    </row>
    <row r="26" spans="1:20" ht="15.95" customHeight="1" x14ac:dyDescent="0.25">
      <c r="A26" s="18" t="s">
        <v>405</v>
      </c>
      <c r="B26" s="16"/>
      <c r="C26" s="18" t="s">
        <v>2125</v>
      </c>
      <c r="D26" s="16"/>
      <c r="E26" s="18" t="s">
        <v>2844</v>
      </c>
      <c r="F26" s="16"/>
      <c r="G26" s="18" t="s">
        <v>1379</v>
      </c>
      <c r="H26" s="16"/>
      <c r="I26" s="18" t="s">
        <v>3580</v>
      </c>
      <c r="J26" s="16"/>
      <c r="K26" s="18" t="s">
        <v>4320</v>
      </c>
      <c r="L26" s="16"/>
      <c r="M26" s="18" t="s">
        <v>5002</v>
      </c>
      <c r="N26" s="16"/>
      <c r="O26" s="18" t="s">
        <v>5734</v>
      </c>
      <c r="P26" s="16"/>
      <c r="Q26" s="18"/>
      <c r="R26" s="16"/>
      <c r="S26" s="18"/>
      <c r="T26" s="21"/>
    </row>
    <row r="27" spans="1:20" ht="15.95" customHeight="1" x14ac:dyDescent="0.25">
      <c r="A27" s="18" t="s">
        <v>406</v>
      </c>
      <c r="B27" s="16"/>
      <c r="C27" s="18" t="s">
        <v>2126</v>
      </c>
      <c r="D27" s="16"/>
      <c r="E27" s="18" t="s">
        <v>2845</v>
      </c>
      <c r="F27" s="16"/>
      <c r="G27" s="18" t="s">
        <v>1380</v>
      </c>
      <c r="H27" s="16"/>
      <c r="I27" s="18" t="s">
        <v>3581</v>
      </c>
      <c r="J27" s="16"/>
      <c r="K27" s="18" t="s">
        <v>4321</v>
      </c>
      <c r="L27" s="16"/>
      <c r="M27" s="18" t="s">
        <v>5003</v>
      </c>
      <c r="N27" s="16"/>
      <c r="O27" s="18" t="s">
        <v>5735</v>
      </c>
      <c r="P27" s="16"/>
      <c r="Q27" s="18"/>
      <c r="R27" s="16"/>
      <c r="S27" s="18"/>
      <c r="T27" s="21"/>
    </row>
    <row r="28" spans="1:20" ht="15.95" customHeight="1" x14ac:dyDescent="0.25">
      <c r="A28" s="18" t="s">
        <v>407</v>
      </c>
      <c r="B28" s="16"/>
      <c r="C28" s="18" t="s">
        <v>2127</v>
      </c>
      <c r="D28" s="16"/>
      <c r="E28" s="18" t="s">
        <v>2846</v>
      </c>
      <c r="F28" s="16"/>
      <c r="G28" s="18" t="s">
        <v>1381</v>
      </c>
      <c r="H28" s="16"/>
      <c r="I28" s="18" t="s">
        <v>3582</v>
      </c>
      <c r="J28" s="16"/>
      <c r="K28" s="18" t="s">
        <v>4322</v>
      </c>
      <c r="L28" s="16"/>
      <c r="M28" s="18" t="s">
        <v>5004</v>
      </c>
      <c r="N28" s="16"/>
      <c r="O28" s="18" t="s">
        <v>5736</v>
      </c>
      <c r="P28" s="16"/>
      <c r="Q28" s="18"/>
      <c r="R28" s="16"/>
      <c r="S28" s="18"/>
      <c r="T28" s="21"/>
    </row>
    <row r="29" spans="1:20" ht="15.95" customHeight="1" x14ac:dyDescent="0.25">
      <c r="A29" s="18" t="s">
        <v>408</v>
      </c>
      <c r="B29" s="16"/>
      <c r="C29" s="18" t="s">
        <v>2128</v>
      </c>
      <c r="D29" s="16"/>
      <c r="E29" s="18" t="s">
        <v>2847</v>
      </c>
      <c r="F29" s="16"/>
      <c r="G29" s="18" t="s">
        <v>1382</v>
      </c>
      <c r="H29" s="16"/>
      <c r="I29" s="18" t="s">
        <v>3583</v>
      </c>
      <c r="J29" s="16"/>
      <c r="K29" s="18" t="s">
        <v>4323</v>
      </c>
      <c r="L29" s="16"/>
      <c r="M29" s="18" t="s">
        <v>5005</v>
      </c>
      <c r="N29" s="16"/>
      <c r="O29" s="18" t="s">
        <v>5737</v>
      </c>
      <c r="P29" s="16"/>
      <c r="Q29" s="18"/>
      <c r="R29" s="16"/>
      <c r="S29" s="18"/>
      <c r="T29" s="21"/>
    </row>
    <row r="30" spans="1:20" ht="15.95" customHeight="1" x14ac:dyDescent="0.25">
      <c r="A30" s="18" t="s">
        <v>409</v>
      </c>
      <c r="B30" s="16"/>
      <c r="C30" s="18" t="s">
        <v>2129</v>
      </c>
      <c r="D30" s="16"/>
      <c r="E30" s="18" t="s">
        <v>2848</v>
      </c>
      <c r="F30" s="16"/>
      <c r="G30" s="18" t="s">
        <v>1383</v>
      </c>
      <c r="H30" s="16"/>
      <c r="I30" s="18" t="s">
        <v>3584</v>
      </c>
      <c r="J30" s="16"/>
      <c r="K30" s="18" t="s">
        <v>4324</v>
      </c>
      <c r="L30" s="16"/>
      <c r="M30" s="18" t="s">
        <v>5006</v>
      </c>
      <c r="N30" s="16"/>
      <c r="O30" s="18" t="s">
        <v>5738</v>
      </c>
      <c r="P30" s="16"/>
      <c r="Q30" s="18"/>
      <c r="R30" s="16"/>
      <c r="S30" s="18"/>
      <c r="T30" s="21"/>
    </row>
    <row r="31" spans="1:20" ht="15.95" customHeight="1" x14ac:dyDescent="0.25">
      <c r="A31" s="18" t="s">
        <v>410</v>
      </c>
      <c r="B31" s="16"/>
      <c r="C31" s="18" t="s">
        <v>2130</v>
      </c>
      <c r="D31" s="16"/>
      <c r="E31" s="18" t="s">
        <v>2849</v>
      </c>
      <c r="F31" s="16"/>
      <c r="G31" s="18" t="s">
        <v>1384</v>
      </c>
      <c r="H31" s="16"/>
      <c r="I31" s="18" t="s">
        <v>3585</v>
      </c>
      <c r="J31" s="16"/>
      <c r="K31" s="18" t="s">
        <v>4325</v>
      </c>
      <c r="L31" s="16"/>
      <c r="M31" s="18" t="s">
        <v>5007</v>
      </c>
      <c r="N31" s="16"/>
      <c r="O31" s="18" t="s">
        <v>5739</v>
      </c>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c r="R32" s="16"/>
      <c r="S32" s="18"/>
      <c r="T32" s="21"/>
    </row>
    <row r="33" spans="1:20" ht="15.95" customHeight="1" x14ac:dyDescent="0.25">
      <c r="A33" s="22" t="s">
        <v>411</v>
      </c>
      <c r="B33" s="16"/>
      <c r="C33" s="18" t="s">
        <v>2131</v>
      </c>
      <c r="D33" s="16"/>
      <c r="E33" s="18" t="s">
        <v>2850</v>
      </c>
      <c r="F33" s="16"/>
      <c r="G33" s="18" t="s">
        <v>1385</v>
      </c>
      <c r="H33" s="16"/>
      <c r="I33" s="18" t="s">
        <v>3586</v>
      </c>
      <c r="J33" s="16"/>
      <c r="K33" s="18" t="s">
        <v>4326</v>
      </c>
      <c r="L33" s="16"/>
      <c r="M33" s="18" t="s">
        <v>5008</v>
      </c>
      <c r="N33" s="16"/>
      <c r="O33" s="18" t="s">
        <v>5740</v>
      </c>
      <c r="P33" s="16"/>
      <c r="Q33" s="18"/>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t="e" cm="1">
        <f t="array" ref="K34">- 대주교 조프리</f>
        <v>#NAME?</v>
      </c>
      <c r="L34" s="16"/>
      <c r="M34" s="18" t="e" cm="1">
        <f t="array" ref="M34">- Arcebispo Geofri</f>
        <v>#NAME?</v>
      </c>
      <c r="N34" s="16"/>
      <c r="O34" s="18" t="s">
        <v>5741</v>
      </c>
      <c r="P34" s="16"/>
      <c r="Q34" s="18"/>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t="s">
        <v>5742</v>
      </c>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t="s">
        <v>5743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O3" sqref="O3:O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t="s">
        <v>4327</v>
      </c>
      <c r="L3" s="16" t="str">
        <f>TRIM(_xlfn.TEXTBEFORE(K3, ":"))</f>
        <v>아이템 종류</v>
      </c>
      <c r="M3" s="17" t="s">
        <v>5009</v>
      </c>
      <c r="N3" s="16" t="str">
        <f>TRIM(_xlfn.TEXTBEFORE(M3, ":"))</f>
        <v>Classe do Item</v>
      </c>
      <c r="O3" s="17" t="s">
        <v>5744</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t="s">
        <v>3857</v>
      </c>
      <c r="L4" s="16" t="str">
        <f>TRIM(_xlfn.TEXTAFTER(K3, ":"))</f>
        <v>한손 검</v>
      </c>
      <c r="M4" s="18" t="s">
        <v>4586</v>
      </c>
      <c r="N4" s="16" t="str">
        <f>TRIM(_xlfn.TEXTAFTER(M3, ":"))</f>
        <v>Espadas de Uma Mão</v>
      </c>
      <c r="O4" s="18" t="s">
        <v>5269</v>
      </c>
      <c r="P4" s="16" t="str">
        <f>TRIM(_xlfn.TEXTAFTER(O3, ":"))</f>
        <v>Одноручные мечи</v>
      </c>
      <c r="Q4" s="18"/>
      <c r="R4" s="16" t="e">
        <f>TRIM(_xlfn.TEXTAFTER(Q3, ":"))</f>
        <v>#N/A</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t="s">
        <v>4328</v>
      </c>
      <c r="L5" s="16" t="str">
        <f>TRIM(_xlfn.TEXTBEFORE(K4, ":"))</f>
        <v>아이템 희귀도</v>
      </c>
      <c r="M5" s="18" t="s">
        <v>210</v>
      </c>
      <c r="N5" s="16" t="str">
        <f>TRIM(_xlfn.TEXTBEFORE(M4, ":"))</f>
        <v>Raridade</v>
      </c>
      <c r="O5" s="18" t="s">
        <v>5745</v>
      </c>
      <c r="P5" s="16" t="str">
        <f>TRIM(_xlfn.TEXTBEFORE(O4, ":"))</f>
        <v>Редкость</v>
      </c>
      <c r="Q5" s="18"/>
      <c r="R5" s="16" t="e">
        <f>TRIM(_xlfn.TEXTBEFORE(Q4, ":"))</f>
        <v>#N/A</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t="s">
        <v>4329</v>
      </c>
      <c r="L6" s="16" t="str">
        <f>TRIM(_xlfn.TEXTAFTER(K4,":"))</f>
        <v>고유</v>
      </c>
      <c r="M6" s="18" t="s">
        <v>5010</v>
      </c>
      <c r="N6" s="16" t="str">
        <f>TRIM(_xlfn.TEXTAFTER(M4,":"))</f>
        <v>Único</v>
      </c>
      <c r="O6" s="18" t="s">
        <v>5746</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c r="R8" s="16"/>
      <c r="S8" s="18"/>
      <c r="T8" s="16"/>
    </row>
    <row r="9" spans="1:20" ht="15.95" customHeight="1" x14ac:dyDescent="0.25">
      <c r="A9" s="18" t="s">
        <v>213</v>
      </c>
      <c r="B9" s="16"/>
      <c r="C9" s="18" t="s">
        <v>2136</v>
      </c>
      <c r="D9" s="16"/>
      <c r="E9" s="18" t="s">
        <v>2854</v>
      </c>
      <c r="F9" s="16"/>
      <c r="G9" s="18" t="s">
        <v>1392</v>
      </c>
      <c r="H9" s="16"/>
      <c r="I9" s="18" t="s">
        <v>3593</v>
      </c>
      <c r="J9" s="16"/>
      <c r="K9" s="18" t="s">
        <v>4331</v>
      </c>
      <c r="L9" s="16"/>
      <c r="M9" s="18" t="s">
        <v>5012</v>
      </c>
      <c r="N9" s="16"/>
      <c r="O9" s="18" t="s">
        <v>5748</v>
      </c>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c r="R10" s="16"/>
      <c r="S10" s="18"/>
      <c r="T10" s="16"/>
    </row>
    <row r="11" spans="1:20" ht="15.95" customHeight="1" x14ac:dyDescent="0.25">
      <c r="A11" s="18" t="s">
        <v>215</v>
      </c>
      <c r="B11" s="16"/>
      <c r="C11" s="18" t="s">
        <v>2138</v>
      </c>
      <c r="D11" s="16"/>
      <c r="E11" s="18" t="s">
        <v>2856</v>
      </c>
      <c r="F11" s="16"/>
      <c r="G11" s="18" t="s">
        <v>1394</v>
      </c>
      <c r="H11" s="16"/>
      <c r="I11" s="18" t="s">
        <v>3595</v>
      </c>
      <c r="J11" s="16"/>
      <c r="K11" s="18" t="s">
        <v>4333</v>
      </c>
      <c r="L11" s="16"/>
      <c r="M11" s="18" t="s">
        <v>5014</v>
      </c>
      <c r="N11" s="16"/>
      <c r="O11" s="18" t="s">
        <v>5750</v>
      </c>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216</v>
      </c>
      <c r="B15" s="16"/>
      <c r="C15" s="18" t="s">
        <v>2139</v>
      </c>
      <c r="D15" s="16"/>
      <c r="E15" s="18" t="s">
        <v>2857</v>
      </c>
      <c r="F15" s="16"/>
      <c r="G15" s="18" t="s">
        <v>1395</v>
      </c>
      <c r="H15" s="16"/>
      <c r="I15" s="18" t="s">
        <v>3596</v>
      </c>
      <c r="J15" s="16"/>
      <c r="K15" s="18" t="s">
        <v>4334</v>
      </c>
      <c r="L15" s="16"/>
      <c r="M15" s="18" t="s">
        <v>5015</v>
      </c>
      <c r="N15" s="16"/>
      <c r="O15" s="18" t="s">
        <v>5751</v>
      </c>
      <c r="P15" s="16"/>
      <c r="Q15" s="18"/>
      <c r="R15" s="16"/>
      <c r="S15" s="18"/>
      <c r="T15" s="21"/>
    </row>
    <row r="16" spans="1:20" ht="15.95" customHeight="1" x14ac:dyDescent="0.25">
      <c r="A16" s="18" t="s">
        <v>217</v>
      </c>
      <c r="B16" s="16"/>
      <c r="C16" s="18" t="s">
        <v>217</v>
      </c>
      <c r="D16" s="16"/>
      <c r="E16" s="18" t="s">
        <v>2858</v>
      </c>
      <c r="F16" s="16"/>
      <c r="G16" s="18" t="s">
        <v>1396</v>
      </c>
      <c r="H16" s="16"/>
      <c r="I16" s="18" t="s">
        <v>3597</v>
      </c>
      <c r="J16" s="16"/>
      <c r="K16" s="18" t="s">
        <v>4335</v>
      </c>
      <c r="L16" s="16"/>
      <c r="M16" s="18" t="s">
        <v>1396</v>
      </c>
      <c r="N16" s="16"/>
      <c r="O16" s="18" t="s">
        <v>5752</v>
      </c>
      <c r="P16" s="16"/>
      <c r="Q16" s="18"/>
      <c r="R16" s="16"/>
      <c r="S16" s="18"/>
      <c r="T16" s="21"/>
    </row>
    <row r="17" spans="1:20" ht="15.95" customHeight="1" x14ac:dyDescent="0.25">
      <c r="A17" s="18" t="s">
        <v>218</v>
      </c>
      <c r="B17" s="16"/>
      <c r="C17" s="18" t="s">
        <v>2140</v>
      </c>
      <c r="D17" s="16"/>
      <c r="E17" s="18" t="s">
        <v>2859</v>
      </c>
      <c r="F17" s="16"/>
      <c r="G17" s="18" t="s">
        <v>218</v>
      </c>
      <c r="H17" s="16"/>
      <c r="I17" s="18" t="s">
        <v>3598</v>
      </c>
      <c r="J17" s="16"/>
      <c r="K17" s="18" t="s">
        <v>4336</v>
      </c>
      <c r="L17" s="16"/>
      <c r="M17" s="18" t="s">
        <v>2859</v>
      </c>
      <c r="N17" s="16"/>
      <c r="O17" s="18" t="s">
        <v>5753</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219</v>
      </c>
      <c r="B19" s="16"/>
      <c r="C19" s="18" t="s">
        <v>2141</v>
      </c>
      <c r="D19" s="16"/>
      <c r="E19" s="18" t="s">
        <v>2860</v>
      </c>
      <c r="F19" s="16"/>
      <c r="G19" s="18" t="s">
        <v>1397</v>
      </c>
      <c r="H19" s="16"/>
      <c r="I19" s="18" t="s">
        <v>3599</v>
      </c>
      <c r="J19" s="16"/>
      <c r="K19" s="18" t="s">
        <v>4337</v>
      </c>
      <c r="L19" s="16"/>
      <c r="M19" s="18" t="s">
        <v>5016</v>
      </c>
      <c r="N19" s="16"/>
      <c r="O19" s="18" t="s">
        <v>5754</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220</v>
      </c>
      <c r="B21" s="16"/>
      <c r="C21" s="18" t="s">
        <v>2142</v>
      </c>
      <c r="D21" s="16"/>
      <c r="E21" s="18" t="s">
        <v>2861</v>
      </c>
      <c r="F21" s="16"/>
      <c r="G21" s="18" t="s">
        <v>1398</v>
      </c>
      <c r="H21" s="16"/>
      <c r="I21" s="18" t="s">
        <v>3600</v>
      </c>
      <c r="J21" s="16"/>
      <c r="K21" s="18" t="s">
        <v>4338</v>
      </c>
      <c r="L21" s="16"/>
      <c r="M21" s="18" t="s">
        <v>5017</v>
      </c>
      <c r="N21" s="16"/>
      <c r="O21" s="18" t="s">
        <v>5755</v>
      </c>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1"/>
    </row>
    <row r="23" spans="1:20" ht="15.95" customHeight="1" x14ac:dyDescent="0.25">
      <c r="A23" s="18" t="s">
        <v>221</v>
      </c>
      <c r="B23" s="16"/>
      <c r="C23" s="18" t="s">
        <v>2143</v>
      </c>
      <c r="D23" s="16"/>
      <c r="E23" s="18" t="s">
        <v>2862</v>
      </c>
      <c r="F23" s="16"/>
      <c r="G23" s="18" t="s">
        <v>1399</v>
      </c>
      <c r="H23" s="16"/>
      <c r="I23" s="18" t="s">
        <v>3601</v>
      </c>
      <c r="J23" s="16"/>
      <c r="K23" s="18" t="s">
        <v>4339</v>
      </c>
      <c r="L23" s="16"/>
      <c r="M23" s="18" t="s">
        <v>5018</v>
      </c>
      <c r="N23" s="16"/>
      <c r="O23" s="18" t="s">
        <v>5756</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222</v>
      </c>
      <c r="B25" s="16"/>
      <c r="C25" s="18" t="s">
        <v>2144</v>
      </c>
      <c r="D25" s="16"/>
      <c r="E25" s="18" t="s">
        <v>2863</v>
      </c>
      <c r="F25" s="16"/>
      <c r="G25" s="18" t="s">
        <v>1400</v>
      </c>
      <c r="H25" s="16"/>
      <c r="I25" s="18" t="s">
        <v>3602</v>
      </c>
      <c r="J25" s="16"/>
      <c r="K25" s="18" t="s">
        <v>4340</v>
      </c>
      <c r="L25" s="16"/>
      <c r="M25" s="18" t="s">
        <v>5019</v>
      </c>
      <c r="N25" s="16"/>
      <c r="O25" s="18" t="s">
        <v>5757</v>
      </c>
      <c r="P25" s="16"/>
      <c r="Q25" s="18"/>
      <c r="R25" s="16"/>
      <c r="S25" s="18"/>
      <c r="T25" s="21"/>
    </row>
    <row r="26" spans="1:20" ht="15.95" customHeight="1" x14ac:dyDescent="0.25">
      <c r="A26" s="18" t="s">
        <v>223</v>
      </c>
      <c r="B26" s="16"/>
      <c r="C26" s="18" t="s">
        <v>2145</v>
      </c>
      <c r="D26" s="16"/>
      <c r="E26" s="18" t="s">
        <v>2864</v>
      </c>
      <c r="F26" s="16"/>
      <c r="G26" s="18" t="s">
        <v>1401</v>
      </c>
      <c r="H26" s="16"/>
      <c r="I26" s="18" t="s">
        <v>3603</v>
      </c>
      <c r="J26" s="16"/>
      <c r="K26" s="18" t="s">
        <v>4341</v>
      </c>
      <c r="L26" s="16"/>
      <c r="M26" s="18" t="s">
        <v>5020</v>
      </c>
      <c r="N26" s="16"/>
      <c r="O26" s="18" t="s">
        <v>5758</v>
      </c>
      <c r="P26" s="16"/>
      <c r="Q26" s="18"/>
      <c r="R26" s="16"/>
      <c r="S26" s="18"/>
      <c r="T26" s="21"/>
    </row>
    <row r="27" spans="1:20" ht="15.95" customHeight="1" x14ac:dyDescent="0.25">
      <c r="A27" s="18" t="s">
        <v>224</v>
      </c>
      <c r="B27" s="16"/>
      <c r="C27" s="18" t="s">
        <v>2146</v>
      </c>
      <c r="D27" s="16"/>
      <c r="E27" s="18" t="s">
        <v>2865</v>
      </c>
      <c r="F27" s="16"/>
      <c r="G27" s="18" t="s">
        <v>1402</v>
      </c>
      <c r="H27" s="16"/>
      <c r="I27" s="18" t="s">
        <v>3604</v>
      </c>
      <c r="J27" s="16"/>
      <c r="K27" s="18" t="s">
        <v>4342</v>
      </c>
      <c r="L27" s="16"/>
      <c r="M27" s="18" t="s">
        <v>5021</v>
      </c>
      <c r="N27" s="16"/>
      <c r="O27" s="18" t="s">
        <v>5759</v>
      </c>
      <c r="P27" s="16"/>
      <c r="Q27" s="18"/>
      <c r="R27" s="16"/>
      <c r="S27" s="18"/>
      <c r="T27" s="21"/>
    </row>
    <row r="28" spans="1:20" ht="15.95" customHeight="1" x14ac:dyDescent="0.25">
      <c r="A28" s="18" t="s">
        <v>225</v>
      </c>
      <c r="B28" s="16"/>
      <c r="C28" s="18" t="s">
        <v>2147</v>
      </c>
      <c r="D28" s="16"/>
      <c r="E28" s="18" t="s">
        <v>2866</v>
      </c>
      <c r="F28" s="16"/>
      <c r="G28" s="18" t="s">
        <v>1403</v>
      </c>
      <c r="H28" s="16"/>
      <c r="I28" s="18" t="s">
        <v>3605</v>
      </c>
      <c r="J28" s="16"/>
      <c r="K28" s="18" t="s">
        <v>4343</v>
      </c>
      <c r="L28" s="16"/>
      <c r="M28" s="18" t="s">
        <v>5022</v>
      </c>
      <c r="N28" s="16"/>
      <c r="O28" s="18" t="s">
        <v>5760</v>
      </c>
      <c r="P28" s="16"/>
      <c r="Q28" s="18"/>
      <c r="R28" s="16"/>
      <c r="S28" s="18"/>
      <c r="T28" s="21"/>
    </row>
    <row r="29" spans="1:20" ht="15.95" customHeight="1" x14ac:dyDescent="0.25">
      <c r="A29" s="18" t="s">
        <v>226</v>
      </c>
      <c r="B29" s="16"/>
      <c r="C29" s="18" t="s">
        <v>2148</v>
      </c>
      <c r="D29" s="16"/>
      <c r="E29" s="18" t="s">
        <v>2867</v>
      </c>
      <c r="F29" s="16"/>
      <c r="G29" s="18" t="s">
        <v>1404</v>
      </c>
      <c r="H29" s="16"/>
      <c r="I29" s="18" t="s">
        <v>3606</v>
      </c>
      <c r="J29" s="16"/>
      <c r="K29" s="18" t="s">
        <v>4344</v>
      </c>
      <c r="L29" s="16"/>
      <c r="M29" s="18" t="s">
        <v>5023</v>
      </c>
      <c r="N29" s="16"/>
      <c r="O29" s="18" t="s">
        <v>5761</v>
      </c>
      <c r="P29" s="16"/>
      <c r="Q29" s="18"/>
      <c r="R29" s="16"/>
      <c r="S29" s="18"/>
      <c r="T29" s="21"/>
    </row>
    <row r="30" spans="1:20" ht="15.95" customHeight="1" x14ac:dyDescent="0.25">
      <c r="A30" s="18" t="s">
        <v>227</v>
      </c>
      <c r="B30" s="16"/>
      <c r="C30" s="18" t="s">
        <v>2149</v>
      </c>
      <c r="D30" s="16"/>
      <c r="E30" s="18" t="s">
        <v>2868</v>
      </c>
      <c r="F30" s="16"/>
      <c r="G30" s="18" t="s">
        <v>1405</v>
      </c>
      <c r="H30" s="16"/>
      <c r="I30" s="18" t="s">
        <v>3607</v>
      </c>
      <c r="J30" s="16"/>
      <c r="K30" s="18" t="s">
        <v>4345</v>
      </c>
      <c r="L30" s="16"/>
      <c r="M30" s="18" t="s">
        <v>5024</v>
      </c>
      <c r="N30" s="16"/>
      <c r="O30" s="18" t="s">
        <v>5762</v>
      </c>
      <c r="P30" s="16"/>
      <c r="Q30" s="18"/>
      <c r="R30" s="16"/>
      <c r="S30" s="18"/>
      <c r="T30" s="21"/>
    </row>
    <row r="31" spans="1:20" ht="15.95" customHeight="1" x14ac:dyDescent="0.25">
      <c r="A31" s="18" t="s">
        <v>228</v>
      </c>
      <c r="B31" s="16"/>
      <c r="C31" s="18" t="s">
        <v>2150</v>
      </c>
      <c r="D31" s="16"/>
      <c r="E31" s="18" t="s">
        <v>2869</v>
      </c>
      <c r="F31" s="16"/>
      <c r="G31" s="18" t="s">
        <v>1406</v>
      </c>
      <c r="H31" s="16"/>
      <c r="I31" s="18" t="s">
        <v>3608</v>
      </c>
      <c r="J31" s="16"/>
      <c r="K31" s="18" t="s">
        <v>4346</v>
      </c>
      <c r="L31" s="16"/>
      <c r="M31" s="18" t="s">
        <v>5025</v>
      </c>
      <c r="N31" s="16"/>
      <c r="O31" s="18" t="s">
        <v>5763</v>
      </c>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c r="R32" s="16"/>
      <c r="S32" s="18"/>
      <c r="T32" s="21"/>
    </row>
    <row r="33" spans="1:20" ht="15.95" customHeight="1" x14ac:dyDescent="0.25">
      <c r="A33" s="22" t="s">
        <v>229</v>
      </c>
      <c r="B33" s="16"/>
      <c r="C33" s="18" t="s">
        <v>2151</v>
      </c>
      <c r="D33" s="16"/>
      <c r="E33" s="18" t="s">
        <v>2870</v>
      </c>
      <c r="F33" s="16"/>
      <c r="G33" s="18" t="s">
        <v>1407</v>
      </c>
      <c r="H33" s="16"/>
      <c r="I33" s="18" t="s">
        <v>3609</v>
      </c>
      <c r="J33" s="16"/>
      <c r="K33" s="18" t="s">
        <v>4347</v>
      </c>
      <c r="L33" s="16"/>
      <c r="M33" s="18" t="s">
        <v>5026</v>
      </c>
      <c r="N33" s="16"/>
      <c r="O33" s="18" t="s">
        <v>5764</v>
      </c>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O3" sqref="O3:O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t="s">
        <v>4348</v>
      </c>
      <c r="L3" s="16" t="str">
        <f>TRIM(_xlfn.TEXTBEFORE(K3, ":"))</f>
        <v>아이템 종류</v>
      </c>
      <c r="M3" s="17" t="s">
        <v>5027</v>
      </c>
      <c r="N3" s="16" t="str">
        <f>TRIM(_xlfn.TEXTBEFORE(M3, ":"))</f>
        <v>Classe do Item</v>
      </c>
      <c r="O3" s="17" t="s">
        <v>5765</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t="s">
        <v>3857</v>
      </c>
      <c r="L4" s="16" t="str">
        <f>TRIM(_xlfn.TEXTAFTER(K3, ":"))</f>
        <v>날카로운 한손 검</v>
      </c>
      <c r="M4" s="18" t="s">
        <v>4586</v>
      </c>
      <c r="N4" s="16" t="str">
        <f>TRIM(_xlfn.TEXTAFTER(M3, ":"))</f>
        <v>Espadas de Estocada de Uma Mão</v>
      </c>
      <c r="O4" s="18" t="s">
        <v>5269</v>
      </c>
      <c r="P4" s="16" t="str">
        <f>TRIM(_xlfn.TEXTAFTER(O3, ":"))</f>
        <v>Шпаги</v>
      </c>
      <c r="Q4" s="18"/>
      <c r="R4" s="16" t="e">
        <f>TRIM(_xlfn.TEXTAFTER(Q3, ":"))</f>
        <v>#N/A</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t="s">
        <v>4349</v>
      </c>
      <c r="L5" s="16" t="str">
        <f>TRIM(_xlfn.TEXTBEFORE(K4, ":"))</f>
        <v>아이템 희귀도</v>
      </c>
      <c r="M5" s="18" t="s">
        <v>231</v>
      </c>
      <c r="N5" s="16" t="str">
        <f>TRIM(_xlfn.TEXTBEFORE(M4, ":"))</f>
        <v>Raridade</v>
      </c>
      <c r="O5" s="18" t="s">
        <v>5766</v>
      </c>
      <c r="P5" s="16" t="str">
        <f>TRIM(_xlfn.TEXTBEFORE(O4, ":"))</f>
        <v>Редкость</v>
      </c>
      <c r="Q5" s="18"/>
      <c r="R5" s="16" t="e">
        <f>TRIM(_xlfn.TEXTBEFORE(Q4, ":"))</f>
        <v>#N/A</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t="s">
        <v>4350</v>
      </c>
      <c r="L6" s="16" t="str">
        <f>TRIM(_xlfn.TEXTAFTER(K4,":"))</f>
        <v>고유</v>
      </c>
      <c r="M6" s="18" t="s">
        <v>5028</v>
      </c>
      <c r="N6" s="16" t="str">
        <f>TRIM(_xlfn.TEXTAFTER(M4,":"))</f>
        <v>Único</v>
      </c>
      <c r="O6" s="18" t="s">
        <v>5767</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c r="R8" s="16"/>
      <c r="S8" s="18"/>
      <c r="T8" s="16"/>
    </row>
    <row r="9" spans="1:20" ht="15.95" customHeight="1" x14ac:dyDescent="0.25">
      <c r="A9" s="18" t="s">
        <v>233</v>
      </c>
      <c r="B9" s="16"/>
      <c r="C9" s="18" t="s">
        <v>2154</v>
      </c>
      <c r="D9" s="16"/>
      <c r="E9" s="18" t="s">
        <v>2873</v>
      </c>
      <c r="F9" s="16"/>
      <c r="G9" s="18" t="s">
        <v>1410</v>
      </c>
      <c r="H9" s="16"/>
      <c r="I9" s="18" t="s">
        <v>3613</v>
      </c>
      <c r="J9" s="16"/>
      <c r="K9" s="18" t="s">
        <v>4351</v>
      </c>
      <c r="L9" s="16"/>
      <c r="M9" s="18" t="s">
        <v>5029</v>
      </c>
      <c r="N9" s="16"/>
      <c r="O9" s="18" t="s">
        <v>5768</v>
      </c>
      <c r="P9" s="16"/>
      <c r="Q9" s="18"/>
      <c r="R9" s="16"/>
      <c r="S9" s="18"/>
      <c r="T9" s="16"/>
    </row>
    <row r="10" spans="1:20" ht="15.95" customHeight="1" x14ac:dyDescent="0.25">
      <c r="A10" s="18" t="s">
        <v>234</v>
      </c>
      <c r="B10" s="16"/>
      <c r="C10" s="18" t="s">
        <v>2155</v>
      </c>
      <c r="D10" s="16"/>
      <c r="E10" s="18" t="s">
        <v>2874</v>
      </c>
      <c r="F10" s="16"/>
      <c r="G10" s="18" t="s">
        <v>1411</v>
      </c>
      <c r="H10" s="16"/>
      <c r="I10" s="18" t="s">
        <v>3614</v>
      </c>
      <c r="J10" s="16"/>
      <c r="K10" s="18" t="s">
        <v>4352</v>
      </c>
      <c r="L10" s="16"/>
      <c r="M10" s="18" t="s">
        <v>5030</v>
      </c>
      <c r="N10" s="16"/>
      <c r="O10" s="18" t="s">
        <v>5769</v>
      </c>
      <c r="P10" s="16"/>
      <c r="Q10" s="18"/>
      <c r="R10" s="16"/>
      <c r="S10" s="18"/>
      <c r="T10" s="16"/>
    </row>
    <row r="11" spans="1:20" ht="15.95" customHeight="1" x14ac:dyDescent="0.25">
      <c r="A11" s="18" t="s">
        <v>235</v>
      </c>
      <c r="B11" s="16"/>
      <c r="C11" s="18" t="s">
        <v>2156</v>
      </c>
      <c r="D11" s="16"/>
      <c r="E11" s="18" t="s">
        <v>2875</v>
      </c>
      <c r="F11" s="16"/>
      <c r="G11" s="18" t="s">
        <v>1412</v>
      </c>
      <c r="H11" s="16"/>
      <c r="I11" s="18" t="s">
        <v>3615</v>
      </c>
      <c r="J11" s="16"/>
      <c r="K11" s="18" t="s">
        <v>4353</v>
      </c>
      <c r="L11" s="16"/>
      <c r="M11" s="18" t="s">
        <v>5031</v>
      </c>
      <c r="N11" s="16"/>
      <c r="O11" s="18" t="s">
        <v>5770</v>
      </c>
      <c r="P11" s="16"/>
      <c r="Q11" s="18"/>
      <c r="R11" s="16"/>
      <c r="S11" s="18"/>
      <c r="T11" s="16"/>
    </row>
    <row r="12" spans="1:20" ht="15.95" customHeight="1" x14ac:dyDescent="0.25">
      <c r="A12" s="18" t="s">
        <v>236</v>
      </c>
      <c r="B12" s="16"/>
      <c r="C12" s="18" t="s">
        <v>2157</v>
      </c>
      <c r="D12" s="16"/>
      <c r="E12" s="18" t="s">
        <v>2876</v>
      </c>
      <c r="F12" s="16"/>
      <c r="G12" s="18" t="s">
        <v>1413</v>
      </c>
      <c r="H12" s="16"/>
      <c r="I12" s="18" t="s">
        <v>3616</v>
      </c>
      <c r="J12" s="16"/>
      <c r="K12" s="18" t="s">
        <v>4354</v>
      </c>
      <c r="L12" s="16"/>
      <c r="M12" s="18" t="s">
        <v>5032</v>
      </c>
      <c r="N12" s="16"/>
      <c r="O12" s="18" t="s">
        <v>5771</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237</v>
      </c>
      <c r="B15" s="16"/>
      <c r="C15" s="18" t="s">
        <v>2158</v>
      </c>
      <c r="D15" s="16"/>
      <c r="E15" s="18" t="s">
        <v>2877</v>
      </c>
      <c r="F15" s="16"/>
      <c r="G15" s="18" t="s">
        <v>1414</v>
      </c>
      <c r="H15" s="16"/>
      <c r="I15" s="18" t="s">
        <v>3617</v>
      </c>
      <c r="J15" s="16"/>
      <c r="K15" s="18" t="s">
        <v>4355</v>
      </c>
      <c r="L15" s="16"/>
      <c r="M15" s="18" t="s">
        <v>5033</v>
      </c>
      <c r="N15" s="16"/>
      <c r="O15" s="18" t="s">
        <v>5772</v>
      </c>
      <c r="P15" s="16"/>
      <c r="Q15" s="18"/>
      <c r="R15" s="16"/>
      <c r="S15" s="18"/>
      <c r="T15" s="21"/>
    </row>
    <row r="16" spans="1:20" ht="15.95" customHeight="1" x14ac:dyDescent="0.25">
      <c r="A16" s="18" t="s">
        <v>238</v>
      </c>
      <c r="B16" s="16"/>
      <c r="C16" s="18" t="s">
        <v>2159</v>
      </c>
      <c r="D16" s="16"/>
      <c r="E16" s="18" t="s">
        <v>2878</v>
      </c>
      <c r="F16" s="16"/>
      <c r="G16" s="18" t="s">
        <v>238</v>
      </c>
      <c r="H16" s="16"/>
      <c r="I16" s="18" t="s">
        <v>3618</v>
      </c>
      <c r="J16" s="16"/>
      <c r="K16" s="18" t="s">
        <v>4356</v>
      </c>
      <c r="L16" s="16"/>
      <c r="M16" s="18" t="s">
        <v>2878</v>
      </c>
      <c r="N16" s="16"/>
      <c r="O16" s="18" t="s">
        <v>5773</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239</v>
      </c>
      <c r="B18" s="16"/>
      <c r="C18" s="18" t="s">
        <v>2160</v>
      </c>
      <c r="D18" s="16"/>
      <c r="E18" s="18" t="s">
        <v>2879</v>
      </c>
      <c r="F18" s="16"/>
      <c r="G18" s="18" t="s">
        <v>1415</v>
      </c>
      <c r="H18" s="16"/>
      <c r="I18" s="18" t="s">
        <v>3619</v>
      </c>
      <c r="J18" s="16"/>
      <c r="K18" s="18" t="s">
        <v>4357</v>
      </c>
      <c r="L18" s="16"/>
      <c r="M18" s="18" t="s">
        <v>5034</v>
      </c>
      <c r="N18" s="16"/>
      <c r="O18" s="18" t="s">
        <v>5774</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240</v>
      </c>
      <c r="B20" s="16"/>
      <c r="C20" s="18" t="s">
        <v>2000</v>
      </c>
      <c r="D20" s="16"/>
      <c r="E20" s="18" t="s">
        <v>2721</v>
      </c>
      <c r="F20" s="16"/>
      <c r="G20" s="18" t="s">
        <v>1256</v>
      </c>
      <c r="H20" s="16"/>
      <c r="I20" s="18" t="s">
        <v>3448</v>
      </c>
      <c r="J20" s="16"/>
      <c r="K20" s="18" t="s">
        <v>4192</v>
      </c>
      <c r="L20" s="16"/>
      <c r="M20" s="18" t="s">
        <v>4899</v>
      </c>
      <c r="N20" s="16"/>
      <c r="O20" s="18" t="s">
        <v>5606</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241</v>
      </c>
      <c r="B22" s="16"/>
      <c r="C22" s="18" t="s">
        <v>2161</v>
      </c>
      <c r="D22" s="16"/>
      <c r="E22" s="18" t="s">
        <v>2880</v>
      </c>
      <c r="F22" s="16"/>
      <c r="G22" s="18" t="s">
        <v>1416</v>
      </c>
      <c r="H22" s="16"/>
      <c r="I22" s="18" t="s">
        <v>3620</v>
      </c>
      <c r="J22" s="16"/>
      <c r="K22" s="18" t="s">
        <v>4358</v>
      </c>
      <c r="L22" s="16"/>
      <c r="M22" s="18" t="s">
        <v>5035</v>
      </c>
      <c r="N22" s="16"/>
      <c r="O22" s="18" t="s">
        <v>5775</v>
      </c>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1"/>
    </row>
    <row r="24" spans="1:20" ht="15.95" customHeight="1" x14ac:dyDescent="0.25">
      <c r="A24" s="18" t="s">
        <v>242</v>
      </c>
      <c r="B24" s="16"/>
      <c r="C24" s="18" t="s">
        <v>2162</v>
      </c>
      <c r="D24" s="16"/>
      <c r="E24" s="18" t="s">
        <v>2881</v>
      </c>
      <c r="F24" s="16"/>
      <c r="G24" s="18" t="s">
        <v>1417</v>
      </c>
      <c r="H24" s="16"/>
      <c r="I24" s="18" t="s">
        <v>3621</v>
      </c>
      <c r="J24" s="16"/>
      <c r="K24" s="18" t="s">
        <v>4359</v>
      </c>
      <c r="L24" s="16"/>
      <c r="M24" s="18" t="s">
        <v>5036</v>
      </c>
      <c r="N24" s="16"/>
      <c r="O24" s="18" t="s">
        <v>5776</v>
      </c>
      <c r="P24" s="16"/>
      <c r="Q24" s="18"/>
      <c r="R24" s="16"/>
      <c r="S24" s="18"/>
      <c r="T24" s="21"/>
    </row>
    <row r="25" spans="1:20" ht="15.95" customHeight="1" x14ac:dyDescent="0.25">
      <c r="A25" s="18" t="s">
        <v>243</v>
      </c>
      <c r="B25" s="16"/>
      <c r="C25" s="18" t="s">
        <v>2163</v>
      </c>
      <c r="D25" s="16"/>
      <c r="E25" s="18" t="s">
        <v>2882</v>
      </c>
      <c r="F25" s="16"/>
      <c r="G25" s="18" t="s">
        <v>1418</v>
      </c>
      <c r="H25" s="16"/>
      <c r="I25" s="18" t="s">
        <v>3622</v>
      </c>
      <c r="J25" s="16"/>
      <c r="K25" s="18" t="s">
        <v>4360</v>
      </c>
      <c r="L25" s="16"/>
      <c r="M25" s="18" t="s">
        <v>5037</v>
      </c>
      <c r="N25" s="16"/>
      <c r="O25" s="18" t="s">
        <v>5777</v>
      </c>
      <c r="P25" s="16"/>
      <c r="Q25" s="18"/>
      <c r="R25" s="16"/>
      <c r="S25" s="18"/>
      <c r="T25" s="21"/>
    </row>
    <row r="26" spans="1:20" ht="15.95" customHeight="1" x14ac:dyDescent="0.25">
      <c r="A26" s="18" t="s">
        <v>244</v>
      </c>
      <c r="B26" s="16"/>
      <c r="C26" s="18" t="s">
        <v>2164</v>
      </c>
      <c r="D26" s="16"/>
      <c r="E26" s="18" t="s">
        <v>2883</v>
      </c>
      <c r="F26" s="16"/>
      <c r="G26" s="18" t="s">
        <v>1419</v>
      </c>
      <c r="H26" s="16"/>
      <c r="I26" s="18" t="s">
        <v>3623</v>
      </c>
      <c r="J26" s="16"/>
      <c r="K26" s="18" t="s">
        <v>4361</v>
      </c>
      <c r="L26" s="16"/>
      <c r="M26" s="18" t="s">
        <v>5038</v>
      </c>
      <c r="N26" s="16"/>
      <c r="O26" s="18" t="s">
        <v>5778</v>
      </c>
      <c r="P26" s="16"/>
      <c r="Q26" s="18"/>
      <c r="R26" s="16"/>
      <c r="S26" s="18"/>
      <c r="T26" s="21"/>
    </row>
    <row r="27" spans="1:20" ht="15.95" customHeight="1" x14ac:dyDescent="0.25">
      <c r="A27" s="18" t="s">
        <v>245</v>
      </c>
      <c r="B27" s="16"/>
      <c r="C27" s="18" t="s">
        <v>2165</v>
      </c>
      <c r="D27" s="16"/>
      <c r="E27" s="18" t="s">
        <v>2884</v>
      </c>
      <c r="F27" s="16"/>
      <c r="G27" s="18" t="s">
        <v>1420</v>
      </c>
      <c r="H27" s="16"/>
      <c r="I27" s="18" t="s">
        <v>3624</v>
      </c>
      <c r="J27" s="16"/>
      <c r="K27" s="18" t="s">
        <v>4362</v>
      </c>
      <c r="L27" s="16"/>
      <c r="M27" s="18" t="s">
        <v>5039</v>
      </c>
      <c r="N27" s="16"/>
      <c r="O27" s="18" t="s">
        <v>5779</v>
      </c>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c r="R28" s="16"/>
      <c r="S28" s="18"/>
      <c r="T28" s="21"/>
    </row>
    <row r="29" spans="1:20" ht="15.95" customHeight="1" x14ac:dyDescent="0.25">
      <c r="A29" s="18" t="s">
        <v>246</v>
      </c>
      <c r="B29" s="16"/>
      <c r="C29" s="18" t="s">
        <v>2166</v>
      </c>
      <c r="D29" s="16"/>
      <c r="E29" s="18" t="s">
        <v>2885</v>
      </c>
      <c r="F29" s="16"/>
      <c r="G29" s="18" t="s">
        <v>1421</v>
      </c>
      <c r="H29" s="16"/>
      <c r="I29" s="18" t="s">
        <v>3625</v>
      </c>
      <c r="J29" s="16"/>
      <c r="K29" s="18" t="s">
        <v>4363</v>
      </c>
      <c r="L29" s="16"/>
      <c r="M29" s="18" t="s">
        <v>5040</v>
      </c>
      <c r="N29" s="16"/>
      <c r="O29" s="18" t="s">
        <v>5780</v>
      </c>
      <c r="P29" s="16"/>
      <c r="Q29" s="18"/>
      <c r="R29" s="16"/>
      <c r="S29" s="18"/>
      <c r="T29" s="21"/>
    </row>
    <row r="30" spans="1:20" ht="15.95" customHeight="1" x14ac:dyDescent="0.25">
      <c r="A30" s="18" t="s">
        <v>247</v>
      </c>
      <c r="B30" s="16"/>
      <c r="C30" s="18" t="s">
        <v>2167</v>
      </c>
      <c r="D30" s="16"/>
      <c r="E30" s="18" t="s">
        <v>2886</v>
      </c>
      <c r="F30" s="16"/>
      <c r="G30" s="18" t="s">
        <v>1422</v>
      </c>
      <c r="H30" s="16"/>
      <c r="I30" s="18" t="s">
        <v>3626</v>
      </c>
      <c r="J30" s="16"/>
      <c r="K30" s="18" t="s">
        <v>4364</v>
      </c>
      <c r="L30" s="16"/>
      <c r="M30" s="18" t="s">
        <v>5041</v>
      </c>
      <c r="N30" s="16"/>
      <c r="O30" s="18" t="s">
        <v>5781</v>
      </c>
      <c r="P30" s="16"/>
      <c r="Q30" s="18"/>
      <c r="R30" s="16"/>
      <c r="S30" s="18"/>
      <c r="T30" s="21"/>
    </row>
    <row r="31" spans="1:20" ht="15.95" customHeight="1" x14ac:dyDescent="0.25">
      <c r="A31" s="18" t="s">
        <v>248</v>
      </c>
      <c r="B31" s="16"/>
      <c r="C31" s="18" t="s">
        <v>2168</v>
      </c>
      <c r="D31" s="16"/>
      <c r="E31" s="18" t="s">
        <v>2887</v>
      </c>
      <c r="F31" s="16"/>
      <c r="G31" s="18" t="s">
        <v>1423</v>
      </c>
      <c r="H31" s="16"/>
      <c r="I31" s="18" t="s">
        <v>3627</v>
      </c>
      <c r="J31" s="16"/>
      <c r="K31" s="18" t="s">
        <v>4365</v>
      </c>
      <c r="L31" s="16"/>
      <c r="M31" s="18" t="s">
        <v>5042</v>
      </c>
      <c r="N31" s="16"/>
      <c r="O31" s="18" t="s">
        <v>5782</v>
      </c>
      <c r="P31" s="16"/>
      <c r="Q31" s="18"/>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O3" sqref="O3:O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t="s">
        <v>4366</v>
      </c>
      <c r="L3" s="16" t="str">
        <f>TRIM(_xlfn.TEXTBEFORE(K3, ":"))</f>
        <v>아이템 종류</v>
      </c>
      <c r="M3" s="17" t="s">
        <v>5043</v>
      </c>
      <c r="N3" s="16" t="str">
        <f>TRIM(_xlfn.TEXTBEFORE(M3, ":"))</f>
        <v>Classe do Item</v>
      </c>
      <c r="O3" s="17" t="s">
        <v>5783</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t="s">
        <v>3857</v>
      </c>
      <c r="L4" s="16" t="str">
        <f>TRIM(_xlfn.TEXTAFTER(K3, ":"))</f>
        <v>양손 검</v>
      </c>
      <c r="M4" s="18" t="s">
        <v>4586</v>
      </c>
      <c r="N4" s="16" t="str">
        <f>TRIM(_xlfn.TEXTAFTER(M3, ":"))</f>
        <v>Espadas de Duas Mãos</v>
      </c>
      <c r="O4" s="18" t="s">
        <v>5269</v>
      </c>
      <c r="P4" s="16" t="str">
        <f>TRIM(_xlfn.TEXTAFTER(O3, ":"))</f>
        <v>Двуручные мечи</v>
      </c>
      <c r="Q4" s="18"/>
      <c r="R4" s="16" t="e">
        <f>TRIM(_xlfn.TEXTAFTER(Q3, ":"))</f>
        <v>#N/A</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t="s">
        <v>4367</v>
      </c>
      <c r="L5" s="16" t="str">
        <f>TRIM(_xlfn.TEXTBEFORE(K4, ":"))</f>
        <v>아이템 희귀도</v>
      </c>
      <c r="M5" s="18" t="s">
        <v>250</v>
      </c>
      <c r="N5" s="16" t="str">
        <f>TRIM(_xlfn.TEXTBEFORE(M4, ":"))</f>
        <v>Raridade</v>
      </c>
      <c r="O5" s="18" t="s">
        <v>5784</v>
      </c>
      <c r="P5" s="16" t="str">
        <f>TRIM(_xlfn.TEXTBEFORE(O4, ":"))</f>
        <v>Редкость</v>
      </c>
      <c r="Q5" s="18"/>
      <c r="R5" s="16" t="e">
        <f>TRIM(_xlfn.TEXTBEFORE(Q4, ":"))</f>
        <v>#N/A</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t="s">
        <v>4368</v>
      </c>
      <c r="L6" s="16" t="str">
        <f>TRIM(_xlfn.TEXTAFTER(K4,":"))</f>
        <v>고유</v>
      </c>
      <c r="M6" s="18" t="s">
        <v>5044</v>
      </c>
      <c r="N6" s="16" t="str">
        <f>TRIM(_xlfn.TEXTAFTER(M4,":"))</f>
        <v>Único</v>
      </c>
      <c r="O6" s="18" t="s">
        <v>5785</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252</v>
      </c>
      <c r="B8" s="16"/>
      <c r="C8" s="18" t="s">
        <v>2172</v>
      </c>
      <c r="D8" s="16"/>
      <c r="E8" s="18" t="s">
        <v>2890</v>
      </c>
      <c r="F8" s="16"/>
      <c r="G8" s="18" t="s">
        <v>1426</v>
      </c>
      <c r="H8" s="16"/>
      <c r="I8" s="18" t="s">
        <v>3631</v>
      </c>
      <c r="J8" s="16"/>
      <c r="K8" s="18" t="s">
        <v>4369</v>
      </c>
      <c r="L8" s="16"/>
      <c r="M8" s="18" t="s">
        <v>5045</v>
      </c>
      <c r="N8" s="16"/>
      <c r="O8" s="18" t="s">
        <v>5786</v>
      </c>
      <c r="P8" s="16"/>
      <c r="Q8" s="18"/>
      <c r="R8" s="16"/>
      <c r="S8" s="18"/>
      <c r="T8" s="16"/>
    </row>
    <row r="9" spans="1:20" ht="15.95" customHeight="1" x14ac:dyDescent="0.25">
      <c r="A9" s="18" t="s">
        <v>253</v>
      </c>
      <c r="B9" s="16"/>
      <c r="C9" s="18" t="s">
        <v>2173</v>
      </c>
      <c r="D9" s="16"/>
      <c r="E9" s="18" t="s">
        <v>2891</v>
      </c>
      <c r="F9" s="16"/>
      <c r="G9" s="18" t="s">
        <v>1427</v>
      </c>
      <c r="H9" s="16"/>
      <c r="I9" s="18" t="s">
        <v>3632</v>
      </c>
      <c r="J9" s="16"/>
      <c r="K9" s="18" t="s">
        <v>4370</v>
      </c>
      <c r="L9" s="16"/>
      <c r="M9" s="18" t="s">
        <v>5046</v>
      </c>
      <c r="N9" s="16"/>
      <c r="O9" s="18" t="s">
        <v>5787</v>
      </c>
      <c r="P9" s="16"/>
      <c r="Q9" s="18"/>
      <c r="R9" s="16"/>
      <c r="S9" s="18"/>
      <c r="T9" s="16"/>
    </row>
    <row r="10" spans="1:20" ht="15.95" customHeight="1" x14ac:dyDescent="0.25">
      <c r="A10" s="18" t="s">
        <v>254</v>
      </c>
      <c r="B10" s="16"/>
      <c r="C10" s="18" t="s">
        <v>2174</v>
      </c>
      <c r="D10" s="16"/>
      <c r="E10" s="18" t="s">
        <v>2892</v>
      </c>
      <c r="F10" s="16"/>
      <c r="G10" s="18" t="s">
        <v>1428</v>
      </c>
      <c r="H10" s="16"/>
      <c r="I10" s="18" t="s">
        <v>3633</v>
      </c>
      <c r="J10" s="16"/>
      <c r="K10" s="18" t="s">
        <v>4371</v>
      </c>
      <c r="L10" s="16"/>
      <c r="M10" s="18" t="s">
        <v>5047</v>
      </c>
      <c r="N10" s="16"/>
      <c r="O10" s="18" t="s">
        <v>5788</v>
      </c>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256</v>
      </c>
      <c r="B15" s="16"/>
      <c r="C15" s="18" t="s">
        <v>2175</v>
      </c>
      <c r="D15" s="16"/>
      <c r="E15" s="18" t="s">
        <v>2893</v>
      </c>
      <c r="F15" s="16"/>
      <c r="G15" s="18" t="s">
        <v>1429</v>
      </c>
      <c r="H15" s="16"/>
      <c r="I15" s="18" t="s">
        <v>3634</v>
      </c>
      <c r="J15" s="16"/>
      <c r="K15" s="18" t="s">
        <v>4372</v>
      </c>
      <c r="L15" s="16"/>
      <c r="M15" s="18" t="s">
        <v>5048</v>
      </c>
      <c r="N15" s="16"/>
      <c r="O15" s="18" t="s">
        <v>5789</v>
      </c>
      <c r="P15" s="16"/>
      <c r="Q15" s="18"/>
      <c r="R15" s="16"/>
      <c r="S15" s="18"/>
      <c r="T15" s="21"/>
    </row>
    <row r="16" spans="1:20" ht="15.95" customHeight="1" x14ac:dyDescent="0.25">
      <c r="A16" s="18" t="s">
        <v>257</v>
      </c>
      <c r="B16" s="16"/>
      <c r="C16" s="18" t="s">
        <v>257</v>
      </c>
      <c r="D16" s="16"/>
      <c r="E16" s="18" t="s">
        <v>2894</v>
      </c>
      <c r="F16" s="16"/>
      <c r="G16" s="18" t="s">
        <v>1430</v>
      </c>
      <c r="H16" s="16"/>
      <c r="I16" s="18" t="s">
        <v>3635</v>
      </c>
      <c r="J16" s="16"/>
      <c r="K16" s="18" t="s">
        <v>4373</v>
      </c>
      <c r="L16" s="16"/>
      <c r="M16" s="18" t="s">
        <v>1430</v>
      </c>
      <c r="N16" s="16"/>
      <c r="O16" s="18" t="s">
        <v>5790</v>
      </c>
      <c r="P16" s="16"/>
      <c r="Q16" s="18"/>
      <c r="R16" s="16"/>
      <c r="S16" s="18"/>
      <c r="T16" s="21"/>
    </row>
    <row r="17" spans="1:20" ht="15.95" customHeight="1" x14ac:dyDescent="0.25">
      <c r="A17" s="18" t="s">
        <v>258</v>
      </c>
      <c r="B17" s="16"/>
      <c r="C17" s="18" t="s">
        <v>1832</v>
      </c>
      <c r="D17" s="16"/>
      <c r="E17" s="18" t="s">
        <v>2551</v>
      </c>
      <c r="F17" s="16"/>
      <c r="G17" s="18" t="s">
        <v>258</v>
      </c>
      <c r="H17" s="16"/>
      <c r="I17" s="18" t="s">
        <v>3271</v>
      </c>
      <c r="J17" s="16"/>
      <c r="K17" s="18" t="s">
        <v>4017</v>
      </c>
      <c r="L17" s="16"/>
      <c r="M17" s="18" t="s">
        <v>2551</v>
      </c>
      <c r="N17" s="16"/>
      <c r="O17" s="18" t="s">
        <v>5431</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260</v>
      </c>
      <c r="B21" s="16"/>
      <c r="C21" s="18" t="s">
        <v>1780</v>
      </c>
      <c r="D21" s="16"/>
      <c r="E21" s="18" t="s">
        <v>2499</v>
      </c>
      <c r="F21" s="16"/>
      <c r="G21" s="18" t="s">
        <v>1048</v>
      </c>
      <c r="H21" s="16"/>
      <c r="I21" s="18" t="s">
        <v>3217</v>
      </c>
      <c r="J21" s="16"/>
      <c r="K21" s="18" t="s">
        <v>3964</v>
      </c>
      <c r="L21" s="16"/>
      <c r="M21" s="18" t="s">
        <v>4693</v>
      </c>
      <c r="N21" s="16"/>
      <c r="O21" s="18" t="s">
        <v>5378</v>
      </c>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1"/>
    </row>
    <row r="23" spans="1:20" ht="15.95" customHeight="1" x14ac:dyDescent="0.25">
      <c r="A23" s="18" t="s">
        <v>261</v>
      </c>
      <c r="B23" s="16"/>
      <c r="C23" s="18" t="s">
        <v>2177</v>
      </c>
      <c r="D23" s="16"/>
      <c r="E23" s="18" t="s">
        <v>2896</v>
      </c>
      <c r="F23" s="16"/>
      <c r="G23" s="18" t="s">
        <v>1432</v>
      </c>
      <c r="H23" s="16"/>
      <c r="I23" s="18" t="s">
        <v>3637</v>
      </c>
      <c r="J23" s="16"/>
      <c r="K23" s="18" t="s">
        <v>4375</v>
      </c>
      <c r="L23" s="16"/>
      <c r="M23" s="18" t="s">
        <v>5050</v>
      </c>
      <c r="N23" s="16"/>
      <c r="O23" s="18" t="s">
        <v>5792</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262</v>
      </c>
      <c r="B25" s="16"/>
      <c r="C25" s="18" t="s">
        <v>2178</v>
      </c>
      <c r="D25" s="16"/>
      <c r="E25" s="18" t="s">
        <v>2897</v>
      </c>
      <c r="F25" s="16"/>
      <c r="G25" s="18" t="s">
        <v>1433</v>
      </c>
      <c r="H25" s="16"/>
      <c r="I25" s="18" t="s">
        <v>3638</v>
      </c>
      <c r="J25" s="16"/>
      <c r="K25" s="18" t="s">
        <v>4376</v>
      </c>
      <c r="L25" s="16"/>
      <c r="M25" s="18" t="s">
        <v>5051</v>
      </c>
      <c r="N25" s="16"/>
      <c r="O25" s="18" t="s">
        <v>5793</v>
      </c>
      <c r="P25" s="16"/>
      <c r="Q25" s="18"/>
      <c r="R25" s="16"/>
      <c r="S25" s="18"/>
      <c r="T25" s="21"/>
    </row>
    <row r="26" spans="1:20" ht="15.95" customHeight="1" x14ac:dyDescent="0.25">
      <c r="A26" s="18" t="s">
        <v>263</v>
      </c>
      <c r="B26" s="16"/>
      <c r="C26" s="18" t="s">
        <v>2179</v>
      </c>
      <c r="D26" s="16"/>
      <c r="E26" s="18" t="s">
        <v>2898</v>
      </c>
      <c r="F26" s="16"/>
      <c r="G26" s="18" t="s">
        <v>1434</v>
      </c>
      <c r="H26" s="16"/>
      <c r="I26" s="18" t="s">
        <v>3639</v>
      </c>
      <c r="J26" s="16"/>
      <c r="K26" s="18" t="s">
        <v>4377</v>
      </c>
      <c r="L26" s="16"/>
      <c r="M26" s="18" t="s">
        <v>5052</v>
      </c>
      <c r="N26" s="16"/>
      <c r="O26" s="18" t="s">
        <v>5794</v>
      </c>
      <c r="P26" s="16"/>
      <c r="Q26" s="18"/>
      <c r="R26" s="16"/>
      <c r="S26" s="18"/>
      <c r="T26" s="21"/>
    </row>
    <row r="27" spans="1:20" ht="15.95" customHeight="1" x14ac:dyDescent="0.25">
      <c r="A27" s="18" t="s">
        <v>264</v>
      </c>
      <c r="B27" s="16"/>
      <c r="C27" s="18" t="s">
        <v>2180</v>
      </c>
      <c r="D27" s="16"/>
      <c r="E27" s="18" t="s">
        <v>2899</v>
      </c>
      <c r="F27" s="16"/>
      <c r="G27" s="18" t="s">
        <v>1435</v>
      </c>
      <c r="H27" s="16"/>
      <c r="I27" s="18" t="s">
        <v>3640</v>
      </c>
      <c r="J27" s="16"/>
      <c r="K27" s="18" t="s">
        <v>4378</v>
      </c>
      <c r="L27" s="16"/>
      <c r="M27" s="18" t="s">
        <v>5053</v>
      </c>
      <c r="N27" s="16"/>
      <c r="O27" s="18" t="s">
        <v>5795</v>
      </c>
      <c r="P27" s="16"/>
      <c r="Q27" s="18"/>
      <c r="R27" s="16"/>
      <c r="S27" s="18"/>
      <c r="T27" s="21"/>
    </row>
    <row r="28" spans="1:20" ht="15.95" customHeight="1" x14ac:dyDescent="0.25">
      <c r="A28" s="18" t="s">
        <v>265</v>
      </c>
      <c r="B28" s="16"/>
      <c r="C28" s="18" t="s">
        <v>2181</v>
      </c>
      <c r="D28" s="16"/>
      <c r="E28" s="18" t="s">
        <v>2900</v>
      </c>
      <c r="F28" s="16"/>
      <c r="G28" s="18" t="s">
        <v>1436</v>
      </c>
      <c r="H28" s="16"/>
      <c r="I28" s="18" t="s">
        <v>3641</v>
      </c>
      <c r="J28" s="16"/>
      <c r="K28" s="18" t="s">
        <v>4379</v>
      </c>
      <c r="L28" s="16"/>
      <c r="M28" s="18" t="s">
        <v>5054</v>
      </c>
      <c r="N28" s="16"/>
      <c r="O28" s="18" t="s">
        <v>5796</v>
      </c>
      <c r="P28" s="16"/>
      <c r="Q28" s="18"/>
      <c r="R28" s="16"/>
      <c r="S28" s="18"/>
      <c r="T28" s="21"/>
    </row>
    <row r="29" spans="1:20" ht="15.95" customHeight="1" x14ac:dyDescent="0.25">
      <c r="A29" s="18" t="s">
        <v>266</v>
      </c>
      <c r="B29" s="16"/>
      <c r="C29" s="18" t="s">
        <v>1851</v>
      </c>
      <c r="D29" s="16"/>
      <c r="E29" s="18" t="s">
        <v>2569</v>
      </c>
      <c r="F29" s="16"/>
      <c r="G29" s="18" t="s">
        <v>1116</v>
      </c>
      <c r="H29" s="16"/>
      <c r="I29" s="18" t="s">
        <v>3292</v>
      </c>
      <c r="J29" s="16"/>
      <c r="K29" s="18" t="s">
        <v>4037</v>
      </c>
      <c r="L29" s="16"/>
      <c r="M29" s="18" t="s">
        <v>4760</v>
      </c>
      <c r="N29" s="16"/>
      <c r="O29" s="18" t="s">
        <v>5451</v>
      </c>
      <c r="P29" s="16"/>
      <c r="Q29" s="18"/>
      <c r="R29" s="16"/>
      <c r="S29" s="18"/>
      <c r="T29" s="21"/>
    </row>
    <row r="30" spans="1:20" ht="15.95" customHeight="1" x14ac:dyDescent="0.25">
      <c r="A30" s="18" t="s">
        <v>267</v>
      </c>
      <c r="B30" s="16"/>
      <c r="C30" s="18" t="s">
        <v>2182</v>
      </c>
      <c r="D30" s="16"/>
      <c r="E30" s="18" t="s">
        <v>2901</v>
      </c>
      <c r="F30" s="16"/>
      <c r="G30" s="18" t="s">
        <v>1437</v>
      </c>
      <c r="H30" s="16"/>
      <c r="I30" s="18" t="s">
        <v>3642</v>
      </c>
      <c r="J30" s="16"/>
      <c r="K30" s="18" t="s">
        <v>4380</v>
      </c>
      <c r="L30" s="16"/>
      <c r="M30" s="18" t="s">
        <v>5055</v>
      </c>
      <c r="N30" s="16"/>
      <c r="O30" s="18" t="s">
        <v>5797</v>
      </c>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c r="R31" s="16"/>
      <c r="S31" s="18"/>
      <c r="T31" s="21"/>
    </row>
    <row r="32" spans="1:20" ht="15.95" customHeight="1" x14ac:dyDescent="0.25">
      <c r="A32" s="18" t="s">
        <v>268</v>
      </c>
      <c r="B32" s="16"/>
      <c r="C32" s="18" t="s">
        <v>2183</v>
      </c>
      <c r="D32" s="16"/>
      <c r="E32" s="18" t="s">
        <v>2902</v>
      </c>
      <c r="F32" s="16"/>
      <c r="G32" s="18" t="s">
        <v>1438</v>
      </c>
      <c r="H32" s="16"/>
      <c r="I32" s="18" t="s">
        <v>3643</v>
      </c>
      <c r="J32" s="16"/>
      <c r="K32" s="18" t="s">
        <v>4381</v>
      </c>
      <c r="L32" s="16"/>
      <c r="M32" s="18" t="s">
        <v>5056</v>
      </c>
      <c r="N32" s="16"/>
      <c r="O32" s="18" t="s">
        <v>5798</v>
      </c>
      <c r="P32" s="16"/>
      <c r="Q32" s="18"/>
      <c r="R32" s="16"/>
      <c r="S32" s="18"/>
      <c r="T32" s="21"/>
    </row>
    <row r="33" spans="1:20" ht="15.95" customHeight="1" x14ac:dyDescent="0.25">
      <c r="A33" s="22" t="s">
        <v>269</v>
      </c>
      <c r="B33" s="16"/>
      <c r="C33" s="18" t="s">
        <v>2184</v>
      </c>
      <c r="D33" s="16"/>
      <c r="E33" s="18" t="s">
        <v>2903</v>
      </c>
      <c r="F33" s="16"/>
      <c r="G33" s="18" t="s">
        <v>1439</v>
      </c>
      <c r="H33" s="16"/>
      <c r="I33" s="18" t="s">
        <v>3644</v>
      </c>
      <c r="J33" s="16"/>
      <c r="K33" s="18" t="s">
        <v>4382</v>
      </c>
      <c r="L33" s="16"/>
      <c r="M33" s="18" t="s">
        <v>5057</v>
      </c>
      <c r="N33" s="16"/>
      <c r="O33" s="18" t="s">
        <v>5799</v>
      </c>
      <c r="P33" s="16"/>
      <c r="Q33" s="18"/>
      <c r="R33" s="16"/>
      <c r="S33" s="18"/>
      <c r="T33" s="21"/>
    </row>
    <row r="34" spans="1:20" ht="15.95" customHeight="1" x14ac:dyDescent="0.25">
      <c r="A34" s="18" t="s">
        <v>270</v>
      </c>
      <c r="B34" s="16"/>
      <c r="C34" s="18" t="s">
        <v>2185</v>
      </c>
      <c r="D34" s="16"/>
      <c r="E34" s="18" t="s">
        <v>2904</v>
      </c>
      <c r="F34" s="16"/>
      <c r="G34" s="18" t="s">
        <v>1440</v>
      </c>
      <c r="H34" s="16"/>
      <c r="I34" s="18" t="s">
        <v>3645</v>
      </c>
      <c r="J34" s="16"/>
      <c r="K34" s="18" t="s">
        <v>4383</v>
      </c>
      <c r="L34" s="16"/>
      <c r="M34" s="18" t="s">
        <v>5058</v>
      </c>
      <c r="N34" s="16"/>
      <c r="O34" s="18" t="s">
        <v>5800</v>
      </c>
      <c r="P34" s="16"/>
      <c r="Q34" s="18"/>
      <c r="R34" s="16"/>
      <c r="S34" s="18"/>
      <c r="T34" s="21"/>
    </row>
    <row r="35" spans="1:20" ht="15.95" customHeight="1" x14ac:dyDescent="0.25">
      <c r="A35" s="18" t="s">
        <v>271</v>
      </c>
      <c r="B35" s="16"/>
      <c r="C35" s="18" t="s">
        <v>2186</v>
      </c>
      <c r="D35" s="16"/>
      <c r="E35" s="18" t="s">
        <v>2905</v>
      </c>
      <c r="F35" s="16"/>
      <c r="G35" s="18" t="s">
        <v>1441</v>
      </c>
      <c r="H35" s="16"/>
      <c r="I35" s="18" t="s">
        <v>3646</v>
      </c>
      <c r="J35" s="16"/>
      <c r="K35" s="18" t="s">
        <v>4384</v>
      </c>
      <c r="L35" s="16"/>
      <c r="M35" s="18" t="s">
        <v>5059</v>
      </c>
      <c r="N35" s="16"/>
      <c r="O35" s="18" t="s">
        <v>5801</v>
      </c>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2" stopIfTrue="1">
      <formula>NOT(ISERROR(A3))</formula>
    </cfRule>
  </conditionalFormatting>
  <conditionalFormatting sqref="A3:T51">
    <cfRule type="containsErrors" dxfId="38" priority="1" stopIfTrue="1">
      <formula>ISERROR(A3)</formula>
    </cfRule>
    <cfRule type="notContainsBlanks" dxfId="3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O3" sqref="O3:O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t="s">
        <v>4385</v>
      </c>
      <c r="L3" s="16" t="str">
        <f>TRIM(_xlfn.TEXTBEFORE(K3, ":"))</f>
        <v>아이템 종류</v>
      </c>
      <c r="M3" s="17" t="s">
        <v>5060</v>
      </c>
      <c r="N3" s="16" t="str">
        <f>TRIM(_xlfn.TEXTBEFORE(M3, ":"))</f>
        <v>Classe do Item</v>
      </c>
      <c r="O3" s="17" t="s">
        <v>5802</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t="s">
        <v>3857</v>
      </c>
      <c r="L4" s="16" t="str">
        <f>TRIM(_xlfn.TEXTAFTER(K3, ":"))</f>
        <v>한손 도끼</v>
      </c>
      <c r="M4" s="18" t="s">
        <v>4586</v>
      </c>
      <c r="N4" s="16" t="str">
        <f>TRIM(_xlfn.TEXTAFTER(M3, ":"))</f>
        <v>Machados de Uma Mão</v>
      </c>
      <c r="O4" s="18" t="s">
        <v>5269</v>
      </c>
      <c r="P4" s="16" t="str">
        <f>TRIM(_xlfn.TEXTAFTER(O3, ":"))</f>
        <v>Одноручные топоры</v>
      </c>
      <c r="Q4" s="18"/>
      <c r="R4" s="16" t="e">
        <f>TRIM(_xlfn.TEXTAFTER(Q3, ":"))</f>
        <v>#N/A</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t="s">
        <v>4386</v>
      </c>
      <c r="L5" s="16" t="str">
        <f>TRIM(_xlfn.TEXTBEFORE(K4, ":"))</f>
        <v>아이템 희귀도</v>
      </c>
      <c r="M5" s="18" t="s">
        <v>273</v>
      </c>
      <c r="N5" s="16" t="str">
        <f>TRIM(_xlfn.TEXTBEFORE(M4, ":"))</f>
        <v>Raridade</v>
      </c>
      <c r="O5" s="18" t="s">
        <v>5803</v>
      </c>
      <c r="P5" s="16" t="str">
        <f>TRIM(_xlfn.TEXTBEFORE(O4, ":"))</f>
        <v>Редкость</v>
      </c>
      <c r="Q5" s="18"/>
      <c r="R5" s="16" t="e">
        <f>TRIM(_xlfn.TEXTBEFORE(Q4, ":"))</f>
        <v>#N/A</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t="s">
        <v>4387</v>
      </c>
      <c r="L6" s="16" t="str">
        <f>TRIM(_xlfn.TEXTAFTER(K4,":"))</f>
        <v>고유</v>
      </c>
      <c r="M6" s="18" t="s">
        <v>5061</v>
      </c>
      <c r="N6" s="16" t="str">
        <f>TRIM(_xlfn.TEXTAFTER(M4,":"))</f>
        <v>Único</v>
      </c>
      <c r="O6" s="18" t="s">
        <v>5804</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275</v>
      </c>
      <c r="B8" s="16"/>
      <c r="C8" s="18" t="s">
        <v>2189</v>
      </c>
      <c r="D8" s="16"/>
      <c r="E8" s="18" t="s">
        <v>2908</v>
      </c>
      <c r="F8" s="16"/>
      <c r="G8" s="18" t="s">
        <v>1444</v>
      </c>
      <c r="H8" s="16"/>
      <c r="I8" s="18" t="s">
        <v>3650</v>
      </c>
      <c r="J8" s="16"/>
      <c r="K8" s="18" t="s">
        <v>4388</v>
      </c>
      <c r="L8" s="16"/>
      <c r="M8" s="18" t="s">
        <v>5062</v>
      </c>
      <c r="N8" s="16"/>
      <c r="O8" s="18" t="s">
        <v>5805</v>
      </c>
      <c r="P8" s="16"/>
      <c r="Q8" s="18"/>
      <c r="R8" s="16"/>
      <c r="S8" s="18"/>
      <c r="T8" s="16"/>
    </row>
    <row r="9" spans="1:20" ht="15.95" customHeight="1" x14ac:dyDescent="0.25">
      <c r="A9" s="18" t="s">
        <v>276</v>
      </c>
      <c r="B9" s="16"/>
      <c r="C9" s="18" t="s">
        <v>2190</v>
      </c>
      <c r="D9" s="16"/>
      <c r="E9" s="18" t="s">
        <v>2909</v>
      </c>
      <c r="F9" s="16"/>
      <c r="G9" s="18" t="s">
        <v>1445</v>
      </c>
      <c r="H9" s="16"/>
      <c r="I9" s="18" t="s">
        <v>3651</v>
      </c>
      <c r="J9" s="16"/>
      <c r="K9" s="18" t="s">
        <v>4389</v>
      </c>
      <c r="L9" s="16"/>
      <c r="M9" s="18" t="s">
        <v>5063</v>
      </c>
      <c r="N9" s="16"/>
      <c r="O9" s="18" t="s">
        <v>5806</v>
      </c>
      <c r="P9" s="16"/>
      <c r="Q9" s="18"/>
      <c r="R9" s="16"/>
      <c r="S9" s="18"/>
      <c r="T9" s="16"/>
    </row>
    <row r="10" spans="1:20" ht="15.95" customHeight="1" x14ac:dyDescent="0.25">
      <c r="A10" s="18" t="s">
        <v>277</v>
      </c>
      <c r="B10" s="16"/>
      <c r="C10" s="18" t="s">
        <v>2191</v>
      </c>
      <c r="D10" s="16"/>
      <c r="E10" s="18" t="s">
        <v>2910</v>
      </c>
      <c r="F10" s="16"/>
      <c r="G10" s="18" t="s">
        <v>1446</v>
      </c>
      <c r="H10" s="16"/>
      <c r="I10" s="18" t="s">
        <v>3652</v>
      </c>
      <c r="J10" s="16"/>
      <c r="K10" s="18" t="s">
        <v>4390</v>
      </c>
      <c r="L10" s="16"/>
      <c r="M10" s="18" t="s">
        <v>5064</v>
      </c>
      <c r="N10" s="16"/>
      <c r="O10" s="18" t="s">
        <v>5807</v>
      </c>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c r="R11" s="16"/>
      <c r="S11" s="18"/>
      <c r="T11" s="16"/>
    </row>
    <row r="12" spans="1:20" ht="15.95" customHeight="1" x14ac:dyDescent="0.25">
      <c r="A12" s="18" t="s">
        <v>278</v>
      </c>
      <c r="B12" s="16"/>
      <c r="C12" s="18" t="s">
        <v>2192</v>
      </c>
      <c r="D12" s="16"/>
      <c r="E12" s="18" t="s">
        <v>2911</v>
      </c>
      <c r="F12" s="16"/>
      <c r="G12" s="18" t="s">
        <v>1447</v>
      </c>
      <c r="H12" s="16"/>
      <c r="I12" s="18" t="s">
        <v>3653</v>
      </c>
      <c r="J12" s="16"/>
      <c r="K12" s="18" t="s">
        <v>4391</v>
      </c>
      <c r="L12" s="16"/>
      <c r="M12" s="18" t="s">
        <v>5065</v>
      </c>
      <c r="N12" s="16"/>
      <c r="O12" s="18" t="s">
        <v>5808</v>
      </c>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c r="R15" s="16"/>
      <c r="S15" s="18"/>
      <c r="T15" s="21"/>
    </row>
    <row r="16" spans="1:20" ht="15.95" customHeight="1" x14ac:dyDescent="0.25">
      <c r="A16" s="18" t="s">
        <v>279</v>
      </c>
      <c r="B16" s="16"/>
      <c r="C16" s="18" t="s">
        <v>2193</v>
      </c>
      <c r="D16" s="16"/>
      <c r="E16" s="18" t="s">
        <v>2912</v>
      </c>
      <c r="F16" s="16"/>
      <c r="G16" s="18" t="s">
        <v>1448</v>
      </c>
      <c r="H16" s="16"/>
      <c r="I16" s="18" t="s">
        <v>3654</v>
      </c>
      <c r="J16" s="16"/>
      <c r="K16" s="18" t="s">
        <v>4392</v>
      </c>
      <c r="L16" s="16"/>
      <c r="M16" s="18" t="s">
        <v>5066</v>
      </c>
      <c r="N16" s="16"/>
      <c r="O16" s="18" t="s">
        <v>5809</v>
      </c>
      <c r="P16" s="16"/>
      <c r="Q16" s="18"/>
      <c r="R16" s="16"/>
      <c r="S16" s="18"/>
      <c r="T16" s="21"/>
    </row>
    <row r="17" spans="1:20" ht="15.95" customHeight="1" x14ac:dyDescent="0.25">
      <c r="A17" s="18" t="s">
        <v>280</v>
      </c>
      <c r="B17" s="16"/>
      <c r="C17" s="18" t="s">
        <v>280</v>
      </c>
      <c r="D17" s="16"/>
      <c r="E17" s="18" t="s">
        <v>2913</v>
      </c>
      <c r="F17" s="16"/>
      <c r="G17" s="18" t="s">
        <v>1449</v>
      </c>
      <c r="H17" s="16"/>
      <c r="I17" s="18" t="s">
        <v>3655</v>
      </c>
      <c r="J17" s="16"/>
      <c r="K17" s="18" t="s">
        <v>4393</v>
      </c>
      <c r="L17" s="16"/>
      <c r="M17" s="18" t="s">
        <v>1449</v>
      </c>
      <c r="N17" s="16"/>
      <c r="O17" s="18" t="s">
        <v>5810</v>
      </c>
      <c r="P17" s="16"/>
      <c r="Q17" s="18"/>
      <c r="R17" s="16"/>
      <c r="S17" s="18"/>
      <c r="T17" s="21"/>
    </row>
    <row r="18" spans="1:20" ht="15.95" customHeight="1" x14ac:dyDescent="0.25">
      <c r="A18" s="18" t="s">
        <v>281</v>
      </c>
      <c r="B18" s="16"/>
      <c r="C18" s="18" t="s">
        <v>2194</v>
      </c>
      <c r="D18" s="16"/>
      <c r="E18" s="18" t="s">
        <v>2914</v>
      </c>
      <c r="F18" s="16"/>
      <c r="G18" s="18" t="s">
        <v>281</v>
      </c>
      <c r="H18" s="16"/>
      <c r="I18" s="18" t="s">
        <v>3656</v>
      </c>
      <c r="J18" s="16"/>
      <c r="K18" s="18" t="s">
        <v>4394</v>
      </c>
      <c r="L18" s="16"/>
      <c r="M18" s="18" t="s">
        <v>2914</v>
      </c>
      <c r="N18" s="16"/>
      <c r="O18" s="18" t="s">
        <v>5811</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282</v>
      </c>
      <c r="B20" s="16"/>
      <c r="C20" s="18" t="s">
        <v>2195</v>
      </c>
      <c r="D20" s="16"/>
      <c r="E20" s="18" t="s">
        <v>2915</v>
      </c>
      <c r="F20" s="16"/>
      <c r="G20" s="18" t="s">
        <v>1450</v>
      </c>
      <c r="H20" s="16"/>
      <c r="I20" s="18" t="s">
        <v>3657</v>
      </c>
      <c r="J20" s="16"/>
      <c r="K20" s="18" t="s">
        <v>4395</v>
      </c>
      <c r="L20" s="16"/>
      <c r="M20" s="18" t="s">
        <v>5067</v>
      </c>
      <c r="N20" s="16"/>
      <c r="O20" s="18" t="s">
        <v>5812</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283</v>
      </c>
      <c r="B22" s="16"/>
      <c r="C22" s="18" t="s">
        <v>1759</v>
      </c>
      <c r="D22" s="16"/>
      <c r="E22" s="18" t="s">
        <v>2478</v>
      </c>
      <c r="F22" s="16"/>
      <c r="G22" s="18" t="s">
        <v>1027</v>
      </c>
      <c r="H22" s="16"/>
      <c r="I22" s="18" t="s">
        <v>3196</v>
      </c>
      <c r="J22" s="16"/>
      <c r="K22" s="18" t="s">
        <v>3943</v>
      </c>
      <c r="L22" s="16"/>
      <c r="M22" s="18" t="s">
        <v>4672</v>
      </c>
      <c r="N22" s="16"/>
      <c r="O22" s="18" t="s">
        <v>5357</v>
      </c>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1"/>
    </row>
    <row r="24" spans="1:20" ht="15.95" customHeight="1" x14ac:dyDescent="0.25">
      <c r="A24" s="18" t="s">
        <v>284</v>
      </c>
      <c r="B24" s="16"/>
      <c r="C24" s="18" t="s">
        <v>2196</v>
      </c>
      <c r="D24" s="16"/>
      <c r="E24" s="18" t="s">
        <v>2916</v>
      </c>
      <c r="F24" s="16"/>
      <c r="G24" s="18" t="s">
        <v>1451</v>
      </c>
      <c r="H24" s="16"/>
      <c r="I24" s="18" t="s">
        <v>3658</v>
      </c>
      <c r="J24" s="16"/>
      <c r="K24" s="18" t="s">
        <v>4396</v>
      </c>
      <c r="L24" s="16"/>
      <c r="M24" s="18" t="s">
        <v>5068</v>
      </c>
      <c r="N24" s="16"/>
      <c r="O24" s="18" t="s">
        <v>5813</v>
      </c>
      <c r="P24" s="16"/>
      <c r="Q24" s="18"/>
      <c r="R24" s="16"/>
      <c r="S24" s="18"/>
      <c r="T24" s="21"/>
    </row>
    <row r="25" spans="1:20" ht="15.95" customHeight="1" x14ac:dyDescent="0.25">
      <c r="A25" s="18" t="s">
        <v>285</v>
      </c>
      <c r="B25" s="16"/>
      <c r="C25" s="18" t="s">
        <v>2197</v>
      </c>
      <c r="D25" s="16"/>
      <c r="E25" s="18" t="s">
        <v>2917</v>
      </c>
      <c r="F25" s="16"/>
      <c r="G25" s="18" t="s">
        <v>1452</v>
      </c>
      <c r="H25" s="16"/>
      <c r="I25" s="18" t="s">
        <v>3659</v>
      </c>
      <c r="J25" s="16"/>
      <c r="K25" s="18" t="s">
        <v>4397</v>
      </c>
      <c r="L25" s="16"/>
      <c r="M25" s="18" t="s">
        <v>5069</v>
      </c>
      <c r="N25" s="16"/>
      <c r="O25" s="18" t="s">
        <v>5814</v>
      </c>
      <c r="P25" s="16"/>
      <c r="Q25" s="18"/>
      <c r="R25" s="16"/>
      <c r="S25" s="18"/>
      <c r="T25" s="21"/>
    </row>
    <row r="26" spans="1:20" ht="15.95" customHeight="1" x14ac:dyDescent="0.25">
      <c r="A26" s="18" t="s">
        <v>286</v>
      </c>
      <c r="B26" s="16"/>
      <c r="C26" s="18" t="s">
        <v>2198</v>
      </c>
      <c r="D26" s="16"/>
      <c r="E26" s="18" t="s">
        <v>2918</v>
      </c>
      <c r="F26" s="16"/>
      <c r="G26" s="18" t="s">
        <v>1453</v>
      </c>
      <c r="H26" s="16"/>
      <c r="I26" s="18" t="s">
        <v>3660</v>
      </c>
      <c r="J26" s="16"/>
      <c r="K26" s="18" t="s">
        <v>4398</v>
      </c>
      <c r="L26" s="16"/>
      <c r="M26" s="18" t="s">
        <v>5070</v>
      </c>
      <c r="N26" s="16"/>
      <c r="O26" s="18" t="s">
        <v>5815</v>
      </c>
      <c r="P26" s="16"/>
      <c r="Q26" s="18"/>
      <c r="R26" s="16"/>
      <c r="S26" s="18"/>
      <c r="T26" s="21"/>
    </row>
    <row r="27" spans="1:20" ht="15.95" customHeight="1" x14ac:dyDescent="0.25">
      <c r="A27" s="18" t="s">
        <v>287</v>
      </c>
      <c r="B27" s="16"/>
      <c r="C27" s="18" t="s">
        <v>2199</v>
      </c>
      <c r="D27" s="16"/>
      <c r="E27" s="18" t="s">
        <v>2919</v>
      </c>
      <c r="F27" s="16"/>
      <c r="G27" s="18" t="s">
        <v>1454</v>
      </c>
      <c r="H27" s="16"/>
      <c r="I27" s="18" t="s">
        <v>3661</v>
      </c>
      <c r="J27" s="16"/>
      <c r="K27" s="18" t="s">
        <v>4399</v>
      </c>
      <c r="L27" s="16"/>
      <c r="M27" s="18" t="s">
        <v>5071</v>
      </c>
      <c r="N27" s="16"/>
      <c r="O27" s="18" t="s">
        <v>5816</v>
      </c>
      <c r="P27" s="16"/>
      <c r="Q27" s="18"/>
      <c r="R27" s="16"/>
      <c r="S27" s="18"/>
      <c r="T27" s="21"/>
    </row>
    <row r="28" spans="1:20" ht="15.95" customHeight="1" x14ac:dyDescent="0.25">
      <c r="A28" s="18" t="s">
        <v>288</v>
      </c>
      <c r="B28" s="16"/>
      <c r="C28" s="18" t="s">
        <v>2200</v>
      </c>
      <c r="D28" s="16"/>
      <c r="E28" s="18" t="s">
        <v>2920</v>
      </c>
      <c r="F28" s="16"/>
      <c r="G28" s="18" t="s">
        <v>1455</v>
      </c>
      <c r="H28" s="16"/>
      <c r="I28" s="18" t="s">
        <v>3662</v>
      </c>
      <c r="J28" s="16"/>
      <c r="K28" s="18" t="s">
        <v>4400</v>
      </c>
      <c r="L28" s="16"/>
      <c r="M28" s="18" t="s">
        <v>5072</v>
      </c>
      <c r="N28" s="16"/>
      <c r="O28" s="18" t="s">
        <v>5817</v>
      </c>
      <c r="P28" s="16"/>
      <c r="Q28" s="18"/>
      <c r="R28" s="16"/>
      <c r="S28" s="18"/>
      <c r="T28" s="21"/>
    </row>
    <row r="29" spans="1:20" ht="15.95" customHeight="1" x14ac:dyDescent="0.25">
      <c r="A29" s="18" t="s">
        <v>289</v>
      </c>
      <c r="B29" s="16"/>
      <c r="C29" s="18" t="s">
        <v>2201</v>
      </c>
      <c r="D29" s="16"/>
      <c r="E29" s="18" t="s">
        <v>2921</v>
      </c>
      <c r="F29" s="16"/>
      <c r="G29" s="18" t="s">
        <v>1456</v>
      </c>
      <c r="H29" s="16"/>
      <c r="I29" s="18" t="s">
        <v>3663</v>
      </c>
      <c r="J29" s="16"/>
      <c r="K29" s="18" t="s">
        <v>4401</v>
      </c>
      <c r="L29" s="16"/>
      <c r="M29" s="18" t="s">
        <v>5073</v>
      </c>
      <c r="N29" s="16"/>
      <c r="O29" s="18" t="s">
        <v>5818</v>
      </c>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c r="R30" s="16"/>
      <c r="S30" s="18"/>
      <c r="T30" s="21"/>
    </row>
    <row r="31" spans="1:20" ht="15.95" customHeight="1" x14ac:dyDescent="0.25">
      <c r="A31" s="18" t="s">
        <v>290</v>
      </c>
      <c r="B31" s="16"/>
      <c r="C31" s="18" t="s">
        <v>2202</v>
      </c>
      <c r="D31" s="16"/>
      <c r="E31" s="18" t="s">
        <v>2922</v>
      </c>
      <c r="F31" s="16"/>
      <c r="G31" s="18" t="s">
        <v>1457</v>
      </c>
      <c r="H31" s="16"/>
      <c r="I31" s="18" t="s">
        <v>3664</v>
      </c>
      <c r="J31" s="16"/>
      <c r="K31" s="18" t="s">
        <v>4402</v>
      </c>
      <c r="L31" s="16"/>
      <c r="M31" s="18" t="s">
        <v>5074</v>
      </c>
      <c r="N31" s="16"/>
      <c r="O31" s="18" t="s">
        <v>5819</v>
      </c>
      <c r="P31" s="16"/>
      <c r="Q31" s="18"/>
      <c r="R31" s="16"/>
      <c r="S31" s="18"/>
      <c r="T31" s="21"/>
    </row>
    <row r="32" spans="1:20" ht="15.95" customHeight="1" x14ac:dyDescent="0.25">
      <c r="A32" s="18" t="s">
        <v>291</v>
      </c>
      <c r="B32" s="16"/>
      <c r="C32" s="18" t="s">
        <v>2203</v>
      </c>
      <c r="D32" s="16"/>
      <c r="E32" s="18" t="s">
        <v>2923</v>
      </c>
      <c r="F32" s="16"/>
      <c r="G32" s="18" t="s">
        <v>1458</v>
      </c>
      <c r="H32" s="16"/>
      <c r="I32" s="18" t="s">
        <v>3665</v>
      </c>
      <c r="J32" s="16"/>
      <c r="K32" s="18" t="s">
        <v>4403</v>
      </c>
      <c r="L32" s="16"/>
      <c r="M32" s="18" t="s">
        <v>5075</v>
      </c>
      <c r="N32" s="16"/>
      <c r="O32" s="18" t="s">
        <v>5820</v>
      </c>
      <c r="P32" s="16"/>
      <c r="Q32" s="18"/>
      <c r="R32" s="16"/>
      <c r="S32" s="18"/>
      <c r="T32" s="21"/>
    </row>
    <row r="33" spans="1:20" ht="15.95" customHeight="1" x14ac:dyDescent="0.25">
      <c r="A33" s="22" t="s">
        <v>292</v>
      </c>
      <c r="B33" s="16"/>
      <c r="C33" s="18" t="s">
        <v>2204</v>
      </c>
      <c r="D33" s="16"/>
      <c r="E33" s="18" t="s">
        <v>2924</v>
      </c>
      <c r="F33" s="16"/>
      <c r="G33" s="18" t="s">
        <v>1459</v>
      </c>
      <c r="H33" s="16"/>
      <c r="I33" s="18" t="s">
        <v>3666</v>
      </c>
      <c r="J33" s="16"/>
      <c r="K33" s="18" t="s">
        <v>4404</v>
      </c>
      <c r="L33" s="16"/>
      <c r="M33" s="18" t="s">
        <v>5076</v>
      </c>
      <c r="N33" s="16"/>
      <c r="O33" s="18" t="s">
        <v>5821</v>
      </c>
      <c r="P33" s="16"/>
      <c r="Q33" s="18"/>
      <c r="R33" s="16"/>
      <c r="S33" s="18"/>
      <c r="T33" s="21"/>
    </row>
    <row r="34" spans="1:20" ht="15.95" customHeight="1" x14ac:dyDescent="0.25">
      <c r="A34" s="18" t="s">
        <v>293</v>
      </c>
      <c r="B34" s="16"/>
      <c r="C34" s="18" t="s">
        <v>2205</v>
      </c>
      <c r="D34" s="16"/>
      <c r="E34" s="18" t="s">
        <v>2925</v>
      </c>
      <c r="F34" s="16"/>
      <c r="G34" s="18" t="s">
        <v>1460</v>
      </c>
      <c r="H34" s="16"/>
      <c r="I34" s="18" t="s">
        <v>3667</v>
      </c>
      <c r="J34" s="16"/>
      <c r="K34" s="18" t="s">
        <v>4405</v>
      </c>
      <c r="L34" s="16"/>
      <c r="M34" s="18" t="s">
        <v>5077</v>
      </c>
      <c r="N34" s="16"/>
      <c r="O34" s="18" t="s">
        <v>5822</v>
      </c>
      <c r="P34" s="16"/>
      <c r="Q34" s="18"/>
      <c r="R34" s="16"/>
      <c r="S34" s="18"/>
      <c r="T34" s="21"/>
    </row>
    <row r="35" spans="1:20" ht="15.95" customHeight="1" x14ac:dyDescent="0.25">
      <c r="A35" s="18" t="s">
        <v>294</v>
      </c>
      <c r="B35" s="16"/>
      <c r="C35" s="18" t="s">
        <v>2206</v>
      </c>
      <c r="D35" s="16"/>
      <c r="E35" s="18" t="s">
        <v>2926</v>
      </c>
      <c r="F35" s="16"/>
      <c r="G35" s="18" t="s">
        <v>1461</v>
      </c>
      <c r="H35" s="16"/>
      <c r="I35" s="18" t="s">
        <v>3668</v>
      </c>
      <c r="J35" s="16"/>
      <c r="K35" s="18" t="s">
        <v>4406</v>
      </c>
      <c r="L35" s="16"/>
      <c r="M35" s="18" t="s">
        <v>5078</v>
      </c>
      <c r="N35" s="16"/>
      <c r="O35" s="18" t="s">
        <v>5823</v>
      </c>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O3" sqref="O3:O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t="s">
        <v>4407</v>
      </c>
      <c r="L3" s="16" t="str">
        <f>TRIM(_xlfn.TEXTBEFORE(K3, ":"))</f>
        <v>아이템 종류</v>
      </c>
      <c r="M3" s="17" t="s">
        <v>5079</v>
      </c>
      <c r="N3" s="16" t="str">
        <f>TRIM(_xlfn.TEXTBEFORE(M3, ":"))</f>
        <v>Classe do Item</v>
      </c>
      <c r="O3" s="17" t="s">
        <v>5824</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t="s">
        <v>3857</v>
      </c>
      <c r="L4" s="16" t="str">
        <f>TRIM(_xlfn.TEXTAFTER(K3, ":"))</f>
        <v>양손 도끼</v>
      </c>
      <c r="M4" s="18" t="s">
        <v>4586</v>
      </c>
      <c r="N4" s="16" t="str">
        <f>TRIM(_xlfn.TEXTAFTER(M3, ":"))</f>
        <v>Machados de Duas Mãos</v>
      </c>
      <c r="O4" s="18" t="s">
        <v>5269</v>
      </c>
      <c r="P4" s="16" t="str">
        <f>TRIM(_xlfn.TEXTAFTER(O3, ":"))</f>
        <v>Двуручные топоры</v>
      </c>
      <c r="Q4" s="18"/>
      <c r="R4" s="16" t="e">
        <f>TRIM(_xlfn.TEXTAFTER(Q3, ":"))</f>
        <v>#N/A</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t="s">
        <v>4408</v>
      </c>
      <c r="L5" s="16" t="str">
        <f>TRIM(_xlfn.TEXTBEFORE(K4, ":"))</f>
        <v>아이템 희귀도</v>
      </c>
      <c r="M5" s="18" t="s">
        <v>5080</v>
      </c>
      <c r="N5" s="16" t="str">
        <f>TRIM(_xlfn.TEXTBEFORE(M4, ":"))</f>
        <v>Raridade</v>
      </c>
      <c r="O5" s="18" t="s">
        <v>5825</v>
      </c>
      <c r="P5" s="16" t="str">
        <f>TRIM(_xlfn.TEXTBEFORE(O4, ":"))</f>
        <v>Редкость</v>
      </c>
      <c r="Q5" s="18"/>
      <c r="R5" s="16" t="e">
        <f>TRIM(_xlfn.TEXTBEFORE(Q4, ":"))</f>
        <v>#N/A</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t="s">
        <v>4409</v>
      </c>
      <c r="L6" s="16" t="str">
        <f>TRIM(_xlfn.TEXTAFTER(K4,":"))</f>
        <v>고유</v>
      </c>
      <c r="M6" s="18" t="s">
        <v>5081</v>
      </c>
      <c r="N6" s="16" t="str">
        <f>TRIM(_xlfn.TEXTAFTER(M4,":"))</f>
        <v>Único</v>
      </c>
      <c r="O6" s="18" t="s">
        <v>5826</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298</v>
      </c>
      <c r="B8" s="16"/>
      <c r="C8" s="18" t="s">
        <v>2210</v>
      </c>
      <c r="D8" s="16"/>
      <c r="E8" s="18" t="s">
        <v>2930</v>
      </c>
      <c r="F8" s="16"/>
      <c r="G8" s="18" t="s">
        <v>1465</v>
      </c>
      <c r="H8" s="16"/>
      <c r="I8" s="18" t="s">
        <v>3672</v>
      </c>
      <c r="J8" s="16"/>
      <c r="K8" s="18" t="s">
        <v>4410</v>
      </c>
      <c r="L8" s="16"/>
      <c r="M8" s="18" t="s">
        <v>5082</v>
      </c>
      <c r="N8" s="16"/>
      <c r="O8" s="18" t="s">
        <v>5827</v>
      </c>
      <c r="P8" s="16"/>
      <c r="Q8" s="18"/>
      <c r="R8" s="16"/>
      <c r="S8" s="18"/>
      <c r="T8" s="16"/>
    </row>
    <row r="9" spans="1:20" ht="15.95" customHeight="1" x14ac:dyDescent="0.25">
      <c r="A9" s="18" t="s">
        <v>299</v>
      </c>
      <c r="B9" s="16"/>
      <c r="C9" s="18" t="s">
        <v>2211</v>
      </c>
      <c r="D9" s="16"/>
      <c r="E9" s="18" t="s">
        <v>2931</v>
      </c>
      <c r="F9" s="16"/>
      <c r="G9" s="18" t="s">
        <v>1466</v>
      </c>
      <c r="H9" s="16"/>
      <c r="I9" s="18" t="s">
        <v>3673</v>
      </c>
      <c r="J9" s="16"/>
      <c r="K9" s="18" t="s">
        <v>4411</v>
      </c>
      <c r="L9" s="16"/>
      <c r="M9" s="18" t="s">
        <v>5083</v>
      </c>
      <c r="N9" s="16"/>
      <c r="O9" s="18" t="s">
        <v>5828</v>
      </c>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301</v>
      </c>
      <c r="B15" s="16"/>
      <c r="C15" s="18" t="s">
        <v>2124</v>
      </c>
      <c r="D15" s="16"/>
      <c r="E15" s="18" t="s">
        <v>2842</v>
      </c>
      <c r="F15" s="16"/>
      <c r="G15" s="18" t="s">
        <v>1377</v>
      </c>
      <c r="H15" s="16"/>
      <c r="I15" s="18" t="s">
        <v>3577</v>
      </c>
      <c r="J15" s="16"/>
      <c r="K15" s="18" t="s">
        <v>4317</v>
      </c>
      <c r="L15" s="16"/>
      <c r="M15" s="18" t="s">
        <v>5001</v>
      </c>
      <c r="N15" s="16"/>
      <c r="O15" s="18" t="s">
        <v>5731</v>
      </c>
      <c r="P15" s="16"/>
      <c r="Q15" s="18"/>
      <c r="R15" s="16"/>
      <c r="S15" s="18"/>
      <c r="T15" s="21"/>
    </row>
    <row r="16" spans="1:20" ht="15.95" customHeight="1" x14ac:dyDescent="0.25">
      <c r="A16" s="18" t="s">
        <v>302</v>
      </c>
      <c r="B16" s="16"/>
      <c r="C16" s="18" t="s">
        <v>302</v>
      </c>
      <c r="D16" s="16"/>
      <c r="E16" s="18" t="s">
        <v>2932</v>
      </c>
      <c r="F16" s="16"/>
      <c r="G16" s="18" t="s">
        <v>1467</v>
      </c>
      <c r="H16" s="16"/>
      <c r="I16" s="18" t="s">
        <v>3674</v>
      </c>
      <c r="J16" s="16"/>
      <c r="K16" s="18" t="s">
        <v>4412</v>
      </c>
      <c r="L16" s="16"/>
      <c r="M16" s="18" t="s">
        <v>1467</v>
      </c>
      <c r="N16" s="16"/>
      <c r="O16" s="18" t="s">
        <v>5829</v>
      </c>
      <c r="P16" s="16"/>
      <c r="Q16" s="18"/>
      <c r="R16" s="16"/>
      <c r="S16" s="18"/>
      <c r="T16" s="21"/>
    </row>
    <row r="17" spans="1:20" ht="15.95" customHeight="1" x14ac:dyDescent="0.25">
      <c r="A17" s="18" t="s">
        <v>303</v>
      </c>
      <c r="B17" s="16"/>
      <c r="C17" s="18" t="s">
        <v>2212</v>
      </c>
      <c r="D17" s="16"/>
      <c r="E17" s="18" t="s">
        <v>2933</v>
      </c>
      <c r="F17" s="16"/>
      <c r="G17" s="18" t="s">
        <v>303</v>
      </c>
      <c r="H17" s="16"/>
      <c r="I17" s="18" t="s">
        <v>3675</v>
      </c>
      <c r="J17" s="16"/>
      <c r="K17" s="18" t="s">
        <v>4413</v>
      </c>
      <c r="L17" s="16"/>
      <c r="M17" s="18" t="s">
        <v>2933</v>
      </c>
      <c r="N17" s="16"/>
      <c r="O17" s="18" t="s">
        <v>5830</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198</v>
      </c>
      <c r="B21" s="16"/>
      <c r="C21" s="18" t="s">
        <v>1675</v>
      </c>
      <c r="D21" s="16"/>
      <c r="E21" s="18" t="s">
        <v>2395</v>
      </c>
      <c r="F21" s="16"/>
      <c r="G21" s="18" t="s">
        <v>942</v>
      </c>
      <c r="H21" s="16"/>
      <c r="I21" s="18" t="s">
        <v>3110</v>
      </c>
      <c r="J21" s="16"/>
      <c r="K21" s="18" t="s">
        <v>3860</v>
      </c>
      <c r="L21" s="16"/>
      <c r="M21" s="18" t="s">
        <v>4589</v>
      </c>
      <c r="N21" s="16"/>
      <c r="O21" s="18" t="s">
        <v>5272</v>
      </c>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1"/>
    </row>
    <row r="23" spans="1:20" ht="15.95" customHeight="1" x14ac:dyDescent="0.25">
      <c r="A23" s="18" t="s">
        <v>304</v>
      </c>
      <c r="B23" s="16"/>
      <c r="C23" s="18" t="s">
        <v>2213</v>
      </c>
      <c r="D23" s="16"/>
      <c r="E23" s="18" t="s">
        <v>2934</v>
      </c>
      <c r="F23" s="16"/>
      <c r="G23" s="18" t="s">
        <v>1468</v>
      </c>
      <c r="H23" s="16"/>
      <c r="I23" s="18" t="s">
        <v>3676</v>
      </c>
      <c r="J23" s="16"/>
      <c r="K23" s="18" t="s">
        <v>4414</v>
      </c>
      <c r="L23" s="16"/>
      <c r="M23" s="18" t="s">
        <v>5084</v>
      </c>
      <c r="N23" s="16"/>
      <c r="O23" s="18" t="s">
        <v>5831</v>
      </c>
      <c r="P23" s="16"/>
      <c r="Q23" s="18"/>
      <c r="R23" s="16"/>
      <c r="S23" s="18"/>
      <c r="T23" s="21"/>
    </row>
    <row r="24" spans="1:20" ht="15.95" customHeight="1" x14ac:dyDescent="0.25">
      <c r="A24" s="18" t="s">
        <v>305</v>
      </c>
      <c r="B24" s="16"/>
      <c r="C24" s="18" t="s">
        <v>2214</v>
      </c>
      <c r="D24" s="16"/>
      <c r="E24" s="18" t="s">
        <v>2935</v>
      </c>
      <c r="F24" s="16"/>
      <c r="G24" s="18" t="s">
        <v>1469</v>
      </c>
      <c r="H24" s="16"/>
      <c r="I24" s="18" t="s">
        <v>3677</v>
      </c>
      <c r="J24" s="16"/>
      <c r="K24" s="18" t="s">
        <v>4415</v>
      </c>
      <c r="L24" s="16"/>
      <c r="M24" s="18" t="s">
        <v>5085</v>
      </c>
      <c r="N24" s="16"/>
      <c r="O24" s="18" t="s">
        <v>5832</v>
      </c>
      <c r="P24" s="16"/>
      <c r="Q24" s="18"/>
      <c r="R24" s="16"/>
      <c r="S24" s="18"/>
      <c r="T24" s="21"/>
    </row>
    <row r="25" spans="1:20" ht="15.95" customHeight="1" x14ac:dyDescent="0.25">
      <c r="A25" s="18" t="s">
        <v>306</v>
      </c>
      <c r="B25" s="16"/>
      <c r="C25" s="18" t="s">
        <v>2215</v>
      </c>
      <c r="D25" s="16"/>
      <c r="E25" s="18" t="s">
        <v>2936</v>
      </c>
      <c r="F25" s="16"/>
      <c r="G25" s="18" t="s">
        <v>1470</v>
      </c>
      <c r="H25" s="16"/>
      <c r="I25" s="18" t="s">
        <v>3678</v>
      </c>
      <c r="J25" s="16"/>
      <c r="K25" s="18" t="s">
        <v>4416</v>
      </c>
      <c r="L25" s="16"/>
      <c r="M25" s="18" t="s">
        <v>5086</v>
      </c>
      <c r="N25" s="16"/>
      <c r="O25" s="18" t="s">
        <v>5833</v>
      </c>
      <c r="P25" s="16"/>
      <c r="Q25" s="18"/>
      <c r="R25" s="16"/>
      <c r="S25" s="18"/>
      <c r="T25" s="21"/>
    </row>
    <row r="26" spans="1:20" ht="15.95" customHeight="1" x14ac:dyDescent="0.25">
      <c r="A26" s="18" t="s">
        <v>307</v>
      </c>
      <c r="B26" s="16"/>
      <c r="C26" s="18" t="s">
        <v>2216</v>
      </c>
      <c r="D26" s="16"/>
      <c r="E26" s="18" t="s">
        <v>2937</v>
      </c>
      <c r="F26" s="16"/>
      <c r="G26" s="18" t="s">
        <v>1471</v>
      </c>
      <c r="H26" s="16"/>
      <c r="I26" s="18" t="s">
        <v>3679</v>
      </c>
      <c r="J26" s="16"/>
      <c r="K26" s="18" t="s">
        <v>4417</v>
      </c>
      <c r="L26" s="16"/>
      <c r="M26" s="18" t="s">
        <v>5087</v>
      </c>
      <c r="N26" s="16"/>
      <c r="O26" s="18" t="s">
        <v>5834</v>
      </c>
      <c r="P26" s="16"/>
      <c r="Q26" s="18"/>
      <c r="R26" s="16"/>
      <c r="S26" s="18"/>
      <c r="T26" s="21"/>
    </row>
    <row r="27" spans="1:20" ht="15.95" customHeight="1" x14ac:dyDescent="0.25">
      <c r="A27" s="18" t="s">
        <v>308</v>
      </c>
      <c r="B27" s="16"/>
      <c r="C27" s="18" t="s">
        <v>2217</v>
      </c>
      <c r="D27" s="16"/>
      <c r="E27" s="18" t="s">
        <v>2938</v>
      </c>
      <c r="F27" s="16"/>
      <c r="G27" s="18" t="s">
        <v>1472</v>
      </c>
      <c r="H27" s="16"/>
      <c r="I27" s="18" t="s">
        <v>3680</v>
      </c>
      <c r="J27" s="16"/>
      <c r="K27" s="18" t="s">
        <v>4418</v>
      </c>
      <c r="L27" s="16"/>
      <c r="M27" s="18" t="s">
        <v>5088</v>
      </c>
      <c r="N27" s="16"/>
      <c r="O27" s="18" t="s">
        <v>5835</v>
      </c>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c r="R28" s="16"/>
      <c r="S28" s="18"/>
      <c r="T28" s="21"/>
    </row>
    <row r="29" spans="1:20" ht="15.95" customHeight="1" x14ac:dyDescent="0.25">
      <c r="A29" s="18" t="s">
        <v>309</v>
      </c>
      <c r="B29" s="16"/>
      <c r="C29" s="18" t="s">
        <v>2218</v>
      </c>
      <c r="D29" s="16"/>
      <c r="E29" s="18" t="s">
        <v>2939</v>
      </c>
      <c r="F29" s="16"/>
      <c r="G29" s="18" t="s">
        <v>1473</v>
      </c>
      <c r="H29" s="16"/>
      <c r="I29" s="18" t="s">
        <v>3681</v>
      </c>
      <c r="J29" s="16"/>
      <c r="K29" s="18" t="s">
        <v>4419</v>
      </c>
      <c r="L29" s="16"/>
      <c r="M29" s="18" t="s">
        <v>5089</v>
      </c>
      <c r="N29" s="16"/>
      <c r="O29" s="18" t="s">
        <v>5836</v>
      </c>
      <c r="P29" s="16"/>
      <c r="Q29" s="18"/>
      <c r="R29" s="16"/>
      <c r="S29" s="18"/>
      <c r="T29" s="21"/>
    </row>
    <row r="30" spans="1:20" ht="15.95" customHeight="1" x14ac:dyDescent="0.25">
      <c r="A30" s="18" t="s">
        <v>310</v>
      </c>
      <c r="B30" s="16"/>
      <c r="C30" s="18" t="s">
        <v>2219</v>
      </c>
      <c r="D30" s="16"/>
      <c r="E30" s="18" t="s">
        <v>2940</v>
      </c>
      <c r="F30" s="16"/>
      <c r="G30" s="18" t="s">
        <v>1474</v>
      </c>
      <c r="H30" s="16"/>
      <c r="I30" s="18" t="s">
        <v>3682</v>
      </c>
      <c r="J30" s="16"/>
      <c r="K30" s="18" t="s">
        <v>4420</v>
      </c>
      <c r="L30" s="16"/>
      <c r="M30" s="18" t="s">
        <v>5090</v>
      </c>
      <c r="N30" s="16"/>
      <c r="O30" s="18" t="s">
        <v>5837</v>
      </c>
      <c r="P30" s="16"/>
      <c r="Q30" s="18"/>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O3" sqref="O3:O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t="s">
        <v>4421</v>
      </c>
      <c r="L3" s="16" t="str">
        <f>TRIM(_xlfn.TEXTBEFORE(K3, ":"))</f>
        <v>아이템 종류</v>
      </c>
      <c r="M3" s="17" t="s">
        <v>5091</v>
      </c>
      <c r="N3" s="16" t="str">
        <f>TRIM(_xlfn.TEXTBEFORE(M3, ":"))</f>
        <v>Classe do Item</v>
      </c>
      <c r="O3" s="17" t="s">
        <v>5838</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t="s">
        <v>3857</v>
      </c>
      <c r="L4" s="16" t="str">
        <f>TRIM(_xlfn.TEXTAFTER(K3, ":"))</f>
        <v>한손 철퇴</v>
      </c>
      <c r="M4" s="18" t="s">
        <v>4586</v>
      </c>
      <c r="N4" s="16" t="str">
        <f>TRIM(_xlfn.TEXTAFTER(M3, ":"))</f>
        <v>Maças de Uma Mão</v>
      </c>
      <c r="O4" s="18" t="s">
        <v>5269</v>
      </c>
      <c r="P4" s="16" t="str">
        <f>TRIM(_xlfn.TEXTAFTER(O3, ":"))</f>
        <v>Одноручные булавы</v>
      </c>
      <c r="Q4" s="18"/>
      <c r="R4" s="16" t="e">
        <f>TRIM(_xlfn.TEXTAFTER(Q3, ":"))</f>
        <v>#N/A</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t="s">
        <v>4422</v>
      </c>
      <c r="L5" s="16" t="str">
        <f>TRIM(_xlfn.TEXTBEFORE(K4, ":"))</f>
        <v>아이템 희귀도</v>
      </c>
      <c r="M5" s="18" t="s">
        <v>5092</v>
      </c>
      <c r="N5" s="16" t="str">
        <f>TRIM(_xlfn.TEXTBEFORE(M4, ":"))</f>
        <v>Raridade</v>
      </c>
      <c r="O5" s="18" t="s">
        <v>5839</v>
      </c>
      <c r="P5" s="16" t="str">
        <f>TRIM(_xlfn.TEXTBEFORE(O4, ":"))</f>
        <v>Редкость</v>
      </c>
      <c r="Q5" s="18"/>
      <c r="R5" s="16" t="e">
        <f>TRIM(_xlfn.TEXTBEFORE(Q4, ":"))</f>
        <v>#N/A</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t="s">
        <v>4423</v>
      </c>
      <c r="L6" s="16" t="str">
        <f>TRIM(_xlfn.TEXTAFTER(K4,":"))</f>
        <v>고유</v>
      </c>
      <c r="M6" s="18" t="s">
        <v>5093</v>
      </c>
      <c r="N6" s="16" t="str">
        <f>TRIM(_xlfn.TEXTAFTER(M4,":"))</f>
        <v>Único</v>
      </c>
      <c r="O6" s="18" t="s">
        <v>5840</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314</v>
      </c>
      <c r="B8" s="16"/>
      <c r="C8" s="18" t="s">
        <v>2225</v>
      </c>
      <c r="D8" s="16"/>
      <c r="E8" s="18" t="s">
        <v>2944</v>
      </c>
      <c r="F8" s="16"/>
      <c r="G8" s="18" t="s">
        <v>1478</v>
      </c>
      <c r="H8" s="16"/>
      <c r="I8" s="18" t="s">
        <v>3686</v>
      </c>
      <c r="J8" s="16"/>
      <c r="K8" s="18" t="s">
        <v>4424</v>
      </c>
      <c r="L8" s="16"/>
      <c r="M8" s="18" t="s">
        <v>5094</v>
      </c>
      <c r="N8" s="16"/>
      <c r="O8" s="18" t="s">
        <v>5841</v>
      </c>
      <c r="P8" s="16"/>
      <c r="Q8" s="18"/>
      <c r="R8" s="16"/>
      <c r="S8" s="18"/>
      <c r="T8" s="16"/>
    </row>
    <row r="9" spans="1:20" ht="15.95" customHeight="1" x14ac:dyDescent="0.25">
      <c r="A9" s="18" t="s">
        <v>315</v>
      </c>
      <c r="B9" s="16"/>
      <c r="C9" s="18" t="s">
        <v>2226</v>
      </c>
      <c r="D9" s="16"/>
      <c r="E9" s="18" t="s">
        <v>2945</v>
      </c>
      <c r="F9" s="16"/>
      <c r="G9" s="18" t="s">
        <v>1479</v>
      </c>
      <c r="H9" s="16"/>
      <c r="I9" s="18" t="s">
        <v>3687</v>
      </c>
      <c r="J9" s="16"/>
      <c r="K9" s="18" t="s">
        <v>4425</v>
      </c>
      <c r="L9" s="16"/>
      <c r="M9" s="18" t="s">
        <v>5095</v>
      </c>
      <c r="N9" s="16"/>
      <c r="O9" s="18" t="s">
        <v>5842</v>
      </c>
      <c r="P9" s="16"/>
      <c r="Q9" s="18"/>
      <c r="R9" s="16"/>
      <c r="S9" s="18"/>
      <c r="T9" s="16"/>
    </row>
    <row r="10" spans="1:20" ht="15.95" customHeight="1" x14ac:dyDescent="0.25">
      <c r="A10" s="18" t="s">
        <v>316</v>
      </c>
      <c r="B10" s="16"/>
      <c r="C10" s="18" t="s">
        <v>2227</v>
      </c>
      <c r="D10" s="16"/>
      <c r="E10" s="18" t="s">
        <v>2946</v>
      </c>
      <c r="F10" s="16"/>
      <c r="G10" s="18" t="s">
        <v>1480</v>
      </c>
      <c r="H10" s="16"/>
      <c r="I10" s="18" t="s">
        <v>3688</v>
      </c>
      <c r="J10" s="16"/>
      <c r="K10" s="18" t="s">
        <v>4426</v>
      </c>
      <c r="L10" s="16"/>
      <c r="M10" s="18" t="s">
        <v>5096</v>
      </c>
      <c r="N10" s="16"/>
      <c r="O10" s="18" t="s">
        <v>5843</v>
      </c>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c r="R11" s="16"/>
      <c r="S11" s="18"/>
      <c r="T11" s="16"/>
    </row>
    <row r="12" spans="1:20" ht="15.95" customHeight="1" x14ac:dyDescent="0.25">
      <c r="A12" s="18" t="s">
        <v>317</v>
      </c>
      <c r="B12" s="16"/>
      <c r="C12" s="18" t="s">
        <v>2228</v>
      </c>
      <c r="D12" s="16"/>
      <c r="E12" s="18" t="s">
        <v>2947</v>
      </c>
      <c r="F12" s="16"/>
      <c r="G12" s="18" t="s">
        <v>1481</v>
      </c>
      <c r="H12" s="16"/>
      <c r="I12" s="18" t="s">
        <v>3689</v>
      </c>
      <c r="J12" s="16"/>
      <c r="K12" s="18" t="s">
        <v>4427</v>
      </c>
      <c r="L12" s="16"/>
      <c r="M12" s="18" t="s">
        <v>5097</v>
      </c>
      <c r="N12" s="16"/>
      <c r="O12" s="18" t="s">
        <v>5844</v>
      </c>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c r="R15" s="16"/>
      <c r="S15" s="18"/>
      <c r="T15" s="21"/>
    </row>
    <row r="16" spans="1:20" ht="15.95" customHeight="1" x14ac:dyDescent="0.25">
      <c r="A16" s="18" t="s">
        <v>318</v>
      </c>
      <c r="B16" s="16"/>
      <c r="C16" s="18" t="s">
        <v>1771</v>
      </c>
      <c r="D16" s="16"/>
      <c r="E16" s="18" t="s">
        <v>2490</v>
      </c>
      <c r="F16" s="16"/>
      <c r="G16" s="18" t="s">
        <v>1039</v>
      </c>
      <c r="H16" s="16"/>
      <c r="I16" s="18" t="s">
        <v>3208</v>
      </c>
      <c r="J16" s="16"/>
      <c r="K16" s="18" t="s">
        <v>3955</v>
      </c>
      <c r="L16" s="16"/>
      <c r="M16" s="18" t="s">
        <v>4684</v>
      </c>
      <c r="N16" s="16"/>
      <c r="O16" s="18" t="s">
        <v>5369</v>
      </c>
      <c r="P16" s="16"/>
      <c r="Q16" s="18"/>
      <c r="R16" s="16"/>
      <c r="S16" s="18"/>
      <c r="T16" s="21"/>
    </row>
    <row r="17" spans="1:20" ht="15.95" customHeight="1" x14ac:dyDescent="0.25">
      <c r="A17" s="18" t="s">
        <v>319</v>
      </c>
      <c r="B17" s="16"/>
      <c r="C17" s="18" t="s">
        <v>319</v>
      </c>
      <c r="D17" s="16"/>
      <c r="E17" s="18" t="s">
        <v>2948</v>
      </c>
      <c r="F17" s="16"/>
      <c r="G17" s="18" t="s">
        <v>1482</v>
      </c>
      <c r="H17" s="16"/>
      <c r="I17" s="18" t="s">
        <v>3690</v>
      </c>
      <c r="J17" s="16"/>
      <c r="K17" s="18" t="s">
        <v>4428</v>
      </c>
      <c r="L17" s="16"/>
      <c r="M17" s="18" t="s">
        <v>1482</v>
      </c>
      <c r="N17" s="16"/>
      <c r="O17" s="18" t="s">
        <v>5845</v>
      </c>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1"/>
    </row>
    <row r="19" spans="1:20" ht="15.95" customHeight="1" x14ac:dyDescent="0.25">
      <c r="A19" s="18" t="s">
        <v>320</v>
      </c>
      <c r="B19" s="16"/>
      <c r="C19" s="18" t="s">
        <v>1848</v>
      </c>
      <c r="D19" s="16"/>
      <c r="E19" s="18" t="s">
        <v>2566</v>
      </c>
      <c r="F19" s="16"/>
      <c r="G19" s="18" t="s">
        <v>1113</v>
      </c>
      <c r="H19" s="16"/>
      <c r="I19" s="18" t="s">
        <v>3289</v>
      </c>
      <c r="J19" s="16"/>
      <c r="K19" s="18" t="s">
        <v>4034</v>
      </c>
      <c r="L19" s="16"/>
      <c r="M19" s="18" t="s">
        <v>4757</v>
      </c>
      <c r="N19" s="16"/>
      <c r="O19" s="18" t="s">
        <v>5448</v>
      </c>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c r="R20" s="16"/>
      <c r="S20" s="18"/>
      <c r="T20" s="21"/>
    </row>
    <row r="21" spans="1:20" ht="15.95" customHeight="1" x14ac:dyDescent="0.25">
      <c r="A21" s="18" t="s">
        <v>321</v>
      </c>
      <c r="B21" s="16"/>
      <c r="C21" s="18" t="s">
        <v>1772</v>
      </c>
      <c r="D21" s="16"/>
      <c r="E21" s="18" t="s">
        <v>2491</v>
      </c>
      <c r="F21" s="16"/>
      <c r="G21" s="18" t="s">
        <v>1040</v>
      </c>
      <c r="H21" s="16"/>
      <c r="I21" s="18" t="s">
        <v>3209</v>
      </c>
      <c r="J21" s="16"/>
      <c r="K21" s="18" t="s">
        <v>3956</v>
      </c>
      <c r="L21" s="16"/>
      <c r="M21" s="18" t="s">
        <v>4685</v>
      </c>
      <c r="N21" s="16"/>
      <c r="O21" s="18" t="s">
        <v>5370</v>
      </c>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1"/>
    </row>
    <row r="23" spans="1:20" ht="15.95" customHeight="1" x14ac:dyDescent="0.25">
      <c r="A23" s="18" t="s">
        <v>322</v>
      </c>
      <c r="B23" s="16"/>
      <c r="C23" s="18" t="s">
        <v>2229</v>
      </c>
      <c r="D23" s="16"/>
      <c r="E23" s="18" t="s">
        <v>2949</v>
      </c>
      <c r="F23" s="16"/>
      <c r="G23" s="18" t="s">
        <v>1483</v>
      </c>
      <c r="H23" s="16"/>
      <c r="I23" s="18" t="s">
        <v>3691</v>
      </c>
      <c r="J23" s="16"/>
      <c r="K23" s="18" t="s">
        <v>4429</v>
      </c>
      <c r="L23" s="16"/>
      <c r="M23" s="18" t="s">
        <v>5098</v>
      </c>
      <c r="N23" s="16"/>
      <c r="O23" s="18" t="s">
        <v>5846</v>
      </c>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c r="R24" s="16"/>
      <c r="S24" s="18"/>
      <c r="T24" s="21"/>
    </row>
    <row r="25" spans="1:20" ht="15.95" customHeight="1" x14ac:dyDescent="0.25">
      <c r="A25" s="18" t="s">
        <v>323</v>
      </c>
      <c r="B25" s="16"/>
      <c r="C25" s="18" t="s">
        <v>2230</v>
      </c>
      <c r="D25" s="16"/>
      <c r="E25" s="18" t="s">
        <v>2950</v>
      </c>
      <c r="F25" s="16"/>
      <c r="G25" s="18" t="s">
        <v>1484</v>
      </c>
      <c r="H25" s="16"/>
      <c r="I25" s="18" t="s">
        <v>3692</v>
      </c>
      <c r="J25" s="16"/>
      <c r="K25" s="18" t="s">
        <v>4430</v>
      </c>
      <c r="L25" s="16"/>
      <c r="M25" s="18" t="s">
        <v>5099</v>
      </c>
      <c r="N25" s="16"/>
      <c r="O25" s="18" t="s">
        <v>5847</v>
      </c>
      <c r="P25" s="16"/>
      <c r="Q25" s="18"/>
      <c r="R25" s="16"/>
      <c r="S25" s="18"/>
      <c r="T25" s="21"/>
    </row>
    <row r="26" spans="1:20" ht="15.95" customHeight="1" x14ac:dyDescent="0.25">
      <c r="A26" s="18" t="s">
        <v>324</v>
      </c>
      <c r="B26" s="16"/>
      <c r="C26" s="18" t="s">
        <v>2231</v>
      </c>
      <c r="D26" s="16"/>
      <c r="E26" s="18" t="s">
        <v>2951</v>
      </c>
      <c r="F26" s="16"/>
      <c r="G26" s="18" t="s">
        <v>1485</v>
      </c>
      <c r="H26" s="16"/>
      <c r="I26" s="18" t="s">
        <v>3693</v>
      </c>
      <c r="J26" s="16"/>
      <c r="K26" s="18" t="s">
        <v>4431</v>
      </c>
      <c r="L26" s="16"/>
      <c r="M26" s="18" t="s">
        <v>5100</v>
      </c>
      <c r="N26" s="16"/>
      <c r="O26" s="18" t="s">
        <v>5848</v>
      </c>
      <c r="P26" s="16"/>
      <c r="Q26" s="18"/>
      <c r="R26" s="16"/>
      <c r="S26" s="18"/>
      <c r="T26" s="21"/>
    </row>
    <row r="27" spans="1:20" ht="15.95" customHeight="1" x14ac:dyDescent="0.25">
      <c r="A27" s="18" t="s">
        <v>325</v>
      </c>
      <c r="B27" s="16"/>
      <c r="C27" s="18" t="s">
        <v>2232</v>
      </c>
      <c r="D27" s="16"/>
      <c r="E27" s="18" t="s">
        <v>2952</v>
      </c>
      <c r="F27" s="16"/>
      <c r="G27" s="18" t="s">
        <v>1486</v>
      </c>
      <c r="H27" s="16"/>
      <c r="I27" s="18" t="s">
        <v>3694</v>
      </c>
      <c r="J27" s="16"/>
      <c r="K27" s="18" t="s">
        <v>4432</v>
      </c>
      <c r="L27" s="16"/>
      <c r="M27" s="18" t="s">
        <v>5101</v>
      </c>
      <c r="N27" s="16"/>
      <c r="O27" s="18" t="s">
        <v>5849</v>
      </c>
      <c r="P27" s="16"/>
      <c r="Q27" s="18"/>
      <c r="R27" s="16"/>
      <c r="S27" s="18"/>
      <c r="T27" s="21"/>
    </row>
    <row r="28" spans="1:20" ht="15.95" customHeight="1" x14ac:dyDescent="0.25">
      <c r="A28" s="18" t="s">
        <v>326</v>
      </c>
      <c r="B28" s="16"/>
      <c r="C28" s="18" t="s">
        <v>2233</v>
      </c>
      <c r="D28" s="16"/>
      <c r="E28" s="18" t="s">
        <v>2953</v>
      </c>
      <c r="F28" s="16"/>
      <c r="G28" s="18" t="s">
        <v>1487</v>
      </c>
      <c r="H28" s="16"/>
      <c r="I28" s="18" t="s">
        <v>3695</v>
      </c>
      <c r="J28" s="16"/>
      <c r="K28" s="18" t="s">
        <v>4433</v>
      </c>
      <c r="L28" s="16"/>
      <c r="M28" s="18" t="s">
        <v>5102</v>
      </c>
      <c r="N28" s="16"/>
      <c r="O28" s="18" t="s">
        <v>5850</v>
      </c>
      <c r="P28" s="16"/>
      <c r="Q28" s="18"/>
      <c r="R28" s="16"/>
      <c r="S28" s="18"/>
      <c r="T28" s="21"/>
    </row>
    <row r="29" spans="1:20" ht="15.95" customHeight="1" x14ac:dyDescent="0.25">
      <c r="A29" s="18" t="s">
        <v>327</v>
      </c>
      <c r="B29" s="16"/>
      <c r="C29" s="18" t="s">
        <v>2234</v>
      </c>
      <c r="D29" s="16"/>
      <c r="E29" s="18" t="s">
        <v>2954</v>
      </c>
      <c r="F29" s="16"/>
      <c r="G29" s="18" t="s">
        <v>1488</v>
      </c>
      <c r="H29" s="16"/>
      <c r="I29" s="18" t="s">
        <v>3696</v>
      </c>
      <c r="J29" s="16"/>
      <c r="K29" s="18" t="s">
        <v>4434</v>
      </c>
      <c r="L29" s="16"/>
      <c r="M29" s="18" t="s">
        <v>5103</v>
      </c>
      <c r="N29" s="16"/>
      <c r="O29" s="18" t="s">
        <v>5851</v>
      </c>
      <c r="P29" s="16"/>
      <c r="Q29" s="18"/>
      <c r="R29" s="16"/>
      <c r="S29" s="18"/>
      <c r="T29" s="21"/>
    </row>
    <row r="30" spans="1:20" ht="15.95" customHeight="1" x14ac:dyDescent="0.25">
      <c r="A30" s="18" t="s">
        <v>328</v>
      </c>
      <c r="B30" s="16"/>
      <c r="C30" s="18" t="s">
        <v>2235</v>
      </c>
      <c r="D30" s="16"/>
      <c r="E30" s="18" t="s">
        <v>2955</v>
      </c>
      <c r="F30" s="16"/>
      <c r="G30" s="18" t="s">
        <v>1489</v>
      </c>
      <c r="H30" s="16"/>
      <c r="I30" s="18" t="s">
        <v>3697</v>
      </c>
      <c r="J30" s="16"/>
      <c r="K30" s="18" t="s">
        <v>4435</v>
      </c>
      <c r="L30" s="16"/>
      <c r="M30" s="18" t="s">
        <v>5104</v>
      </c>
      <c r="N30" s="16"/>
      <c r="O30" s="18" t="s">
        <v>5852</v>
      </c>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c r="R31" s="16"/>
      <c r="S31" s="18"/>
      <c r="T31" s="21"/>
    </row>
    <row r="32" spans="1:20" ht="15.95" customHeight="1" x14ac:dyDescent="0.25">
      <c r="A32" s="18" t="s">
        <v>329</v>
      </c>
      <c r="B32" s="16"/>
      <c r="C32" s="18" t="s">
        <v>2236</v>
      </c>
      <c r="D32" s="16"/>
      <c r="E32" s="18" t="s">
        <v>2956</v>
      </c>
      <c r="F32" s="16"/>
      <c r="G32" s="18" t="s">
        <v>1490</v>
      </c>
      <c r="H32" s="16"/>
      <c r="I32" s="18" t="s">
        <v>3698</v>
      </c>
      <c r="J32" s="16"/>
      <c r="K32" s="18" t="s">
        <v>4436</v>
      </c>
      <c r="L32" s="16"/>
      <c r="M32" s="18" t="s">
        <v>5105</v>
      </c>
      <c r="N32" s="16"/>
      <c r="O32" s="18" t="s">
        <v>5853</v>
      </c>
      <c r="P32" s="16"/>
      <c r="Q32" s="18"/>
      <c r="R32" s="16"/>
      <c r="S32" s="18"/>
      <c r="T32" s="21"/>
    </row>
    <row r="33" spans="1:20" ht="15.95" customHeight="1" x14ac:dyDescent="0.25">
      <c r="A33" s="22" t="s">
        <v>330</v>
      </c>
      <c r="B33" s="16"/>
      <c r="C33" s="18" t="s">
        <v>2237</v>
      </c>
      <c r="D33" s="16"/>
      <c r="E33" s="18" t="s">
        <v>2957</v>
      </c>
      <c r="F33" s="16"/>
      <c r="G33" s="18" t="s">
        <v>1491</v>
      </c>
      <c r="H33" s="16"/>
      <c r="I33" s="18" t="s">
        <v>3699</v>
      </c>
      <c r="J33" s="16"/>
      <c r="K33" s="18" t="s">
        <v>4437</v>
      </c>
      <c r="L33" s="16"/>
      <c r="M33" s="18" t="s">
        <v>5106</v>
      </c>
      <c r="N33" s="16"/>
      <c r="O33" s="18" t="s">
        <v>5854</v>
      </c>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O3" sqref="O3:O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t="s">
        <v>4438</v>
      </c>
      <c r="L3" s="16" t="str">
        <f>TRIM(_xlfn.TEXTBEFORE(K3, ":"))</f>
        <v>아이템 종류</v>
      </c>
      <c r="M3" s="17" t="s">
        <v>5107</v>
      </c>
      <c r="N3" s="16" t="str">
        <f>TRIM(_xlfn.TEXTBEFORE(M3, ":"))</f>
        <v>Classe do Item</v>
      </c>
      <c r="O3" s="17" t="s">
        <v>5855</v>
      </c>
      <c r="P3" s="16" t="str">
        <f>TRIM(_xlfn.TEXTBEFORE(O3, ":"))</f>
        <v>Класс предмета</v>
      </c>
      <c r="Q3" s="17"/>
      <c r="R3" s="16" t="e">
        <f>TRIM(_xlfn.TEXTBEFORE(Q3, ":"))</f>
        <v>#N/A</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t="s">
        <v>3857</v>
      </c>
      <c r="L4" s="16" t="str">
        <f>TRIM(_xlfn.TEXTAFTER(K3, ":"))</f>
        <v>양손 철퇴</v>
      </c>
      <c r="M4" s="18" t="s">
        <v>4586</v>
      </c>
      <c r="N4" s="16" t="str">
        <f>TRIM(_xlfn.TEXTAFTER(M3, ":"))</f>
        <v>Maças de Duas Mãos</v>
      </c>
      <c r="O4" s="18" t="s">
        <v>5269</v>
      </c>
      <c r="P4" s="16" t="str">
        <f>TRIM(_xlfn.TEXTAFTER(O3, ":"))</f>
        <v>Двуручные булавы</v>
      </c>
      <c r="Q4" s="18"/>
      <c r="R4" s="16" t="e">
        <f>TRIM(_xlfn.TEXTAFTER(Q3, ":"))</f>
        <v>#N/A</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t="s">
        <v>4439</v>
      </c>
      <c r="L5" s="16" t="str">
        <f>TRIM(_xlfn.TEXTBEFORE(K4, ":"))</f>
        <v>아이템 희귀도</v>
      </c>
      <c r="M5" s="18" t="s">
        <v>5108</v>
      </c>
      <c r="N5" s="16" t="str">
        <f>TRIM(_xlfn.TEXTBEFORE(M4, ":"))</f>
        <v>Raridade</v>
      </c>
      <c r="O5" s="18" t="s">
        <v>5856</v>
      </c>
      <c r="P5" s="16" t="str">
        <f>TRIM(_xlfn.TEXTBEFORE(O4, ":"))</f>
        <v>Редкость</v>
      </c>
      <c r="Q5" s="18"/>
      <c r="R5" s="16" t="e">
        <f>TRIM(_xlfn.TEXTBEFORE(Q4, ":"))</f>
        <v>#N/A</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t="s">
        <v>4440</v>
      </c>
      <c r="L6" s="16" t="str">
        <f>TRIM(_xlfn.TEXTAFTER(K4,":"))</f>
        <v>고유</v>
      </c>
      <c r="M6" s="18" t="s">
        <v>5109</v>
      </c>
      <c r="N6" s="16" t="str">
        <f>TRIM(_xlfn.TEXTAFTER(M4,":"))</f>
        <v>Único</v>
      </c>
      <c r="O6" s="18" t="s">
        <v>5857</v>
      </c>
      <c r="P6" s="16" t="str">
        <f>TRIM(_xlfn.TEXTAFTER(O4,":"))</f>
        <v>Уникальный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334</v>
      </c>
      <c r="B8" s="16"/>
      <c r="C8" s="18" t="s">
        <v>2241</v>
      </c>
      <c r="D8" s="16"/>
      <c r="E8" s="18" t="s">
        <v>2961</v>
      </c>
      <c r="F8" s="16"/>
      <c r="G8" s="18" t="s">
        <v>1495</v>
      </c>
      <c r="H8" s="16"/>
      <c r="I8" s="18" t="s">
        <v>3703</v>
      </c>
      <c r="J8" s="16"/>
      <c r="K8" s="18" t="s">
        <v>4441</v>
      </c>
      <c r="L8" s="16"/>
      <c r="M8" s="18" t="s">
        <v>5110</v>
      </c>
      <c r="N8" s="16"/>
      <c r="O8" s="18" t="s">
        <v>5858</v>
      </c>
      <c r="P8" s="16"/>
      <c r="Q8" s="18"/>
      <c r="R8" s="16"/>
      <c r="S8" s="18"/>
      <c r="T8" s="16"/>
    </row>
    <row r="9" spans="1:20" ht="15.95" customHeight="1" x14ac:dyDescent="0.25">
      <c r="A9" s="18" t="s">
        <v>335</v>
      </c>
      <c r="B9" s="16"/>
      <c r="C9" s="18" t="s">
        <v>2242</v>
      </c>
      <c r="D9" s="16"/>
      <c r="E9" s="18" t="s">
        <v>2962</v>
      </c>
      <c r="F9" s="16"/>
      <c r="G9" s="18" t="s">
        <v>1496</v>
      </c>
      <c r="H9" s="16"/>
      <c r="I9" s="18" t="s">
        <v>3704</v>
      </c>
      <c r="J9" s="16"/>
      <c r="K9" s="18" t="s">
        <v>4442</v>
      </c>
      <c r="L9" s="16"/>
      <c r="M9" s="18" t="s">
        <v>5111</v>
      </c>
      <c r="N9" s="16"/>
      <c r="O9" s="18" t="s">
        <v>5859</v>
      </c>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c r="R10" s="16"/>
      <c r="S10" s="18"/>
      <c r="T10" s="16"/>
    </row>
    <row r="11" spans="1:20" ht="15.95" customHeight="1" x14ac:dyDescent="0.25">
      <c r="A11" s="18" t="s">
        <v>336</v>
      </c>
      <c r="B11" s="16"/>
      <c r="C11" s="18" t="s">
        <v>2243</v>
      </c>
      <c r="D11" s="16"/>
      <c r="E11" s="18" t="s">
        <v>2963</v>
      </c>
      <c r="F11" s="16"/>
      <c r="G11" s="18" t="s">
        <v>1497</v>
      </c>
      <c r="H11" s="16"/>
      <c r="I11" s="18" t="s">
        <v>3705</v>
      </c>
      <c r="J11" s="16"/>
      <c r="K11" s="18" t="s">
        <v>4443</v>
      </c>
      <c r="L11" s="16"/>
      <c r="M11" s="18" t="s">
        <v>5112</v>
      </c>
      <c r="N11" s="16"/>
      <c r="O11" s="18" t="s">
        <v>5860</v>
      </c>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c r="R14" s="16"/>
      <c r="S14" s="18"/>
      <c r="T14" s="21"/>
    </row>
    <row r="15" spans="1:20" ht="15.95" customHeight="1" x14ac:dyDescent="0.25">
      <c r="A15" s="18" t="s">
        <v>337</v>
      </c>
      <c r="B15" s="16"/>
      <c r="C15" s="18" t="s">
        <v>1882</v>
      </c>
      <c r="D15" s="16"/>
      <c r="E15" s="18" t="s">
        <v>2600</v>
      </c>
      <c r="F15" s="16"/>
      <c r="G15" s="18" t="s">
        <v>1145</v>
      </c>
      <c r="H15" s="16"/>
      <c r="I15" s="18" t="s">
        <v>3324</v>
      </c>
      <c r="J15" s="16"/>
      <c r="K15" s="18" t="s">
        <v>4069</v>
      </c>
      <c r="L15" s="16"/>
      <c r="M15" s="18" t="s">
        <v>4790</v>
      </c>
      <c r="N15" s="16"/>
      <c r="O15" s="18" t="s">
        <v>5483</v>
      </c>
      <c r="P15" s="16"/>
      <c r="Q15" s="18"/>
      <c r="R15" s="16"/>
      <c r="S15" s="18"/>
      <c r="T15" s="21"/>
    </row>
    <row r="16" spans="1:20" ht="15.95" customHeight="1" x14ac:dyDescent="0.25">
      <c r="A16" s="18" t="s">
        <v>338</v>
      </c>
      <c r="B16" s="16"/>
      <c r="C16" s="18" t="s">
        <v>338</v>
      </c>
      <c r="D16" s="16"/>
      <c r="E16" s="18" t="s">
        <v>2964</v>
      </c>
      <c r="F16" s="16"/>
      <c r="G16" s="18" t="s">
        <v>1498</v>
      </c>
      <c r="H16" s="16"/>
      <c r="I16" s="18" t="s">
        <v>3706</v>
      </c>
      <c r="J16" s="16"/>
      <c r="K16" s="18" t="s">
        <v>4444</v>
      </c>
      <c r="L16" s="16"/>
      <c r="M16" s="18" t="s">
        <v>1498</v>
      </c>
      <c r="N16" s="16"/>
      <c r="O16" s="18" t="s">
        <v>5861</v>
      </c>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1"/>
    </row>
    <row r="18" spans="1:20" ht="15.95" customHeight="1" x14ac:dyDescent="0.25">
      <c r="A18" s="18" t="s">
        <v>339</v>
      </c>
      <c r="B18" s="16"/>
      <c r="C18" s="18" t="s">
        <v>2244</v>
      </c>
      <c r="D18" s="16"/>
      <c r="E18" s="18" t="s">
        <v>2965</v>
      </c>
      <c r="F18" s="16"/>
      <c r="G18" s="18" t="s">
        <v>1499</v>
      </c>
      <c r="H18" s="16"/>
      <c r="I18" s="18" t="s">
        <v>3707</v>
      </c>
      <c r="J18" s="16"/>
      <c r="K18" s="18" t="s">
        <v>4445</v>
      </c>
      <c r="L18" s="16"/>
      <c r="M18" s="18" t="s">
        <v>5113</v>
      </c>
      <c r="N18" s="16"/>
      <c r="O18" s="18" t="s">
        <v>5862</v>
      </c>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1"/>
    </row>
    <row r="20" spans="1:20" ht="15.95" customHeight="1" x14ac:dyDescent="0.25">
      <c r="A20" s="18" t="s">
        <v>340</v>
      </c>
      <c r="B20" s="16"/>
      <c r="C20" s="18" t="s">
        <v>1909</v>
      </c>
      <c r="D20" s="16"/>
      <c r="E20" s="18" t="s">
        <v>2627</v>
      </c>
      <c r="F20" s="16"/>
      <c r="G20" s="18" t="s">
        <v>1170</v>
      </c>
      <c r="H20" s="16"/>
      <c r="I20" s="18" t="s">
        <v>3352</v>
      </c>
      <c r="J20" s="16"/>
      <c r="K20" s="18" t="s">
        <v>4097</v>
      </c>
      <c r="L20" s="16"/>
      <c r="M20" s="18" t="s">
        <v>4815</v>
      </c>
      <c r="N20" s="16"/>
      <c r="O20" s="18" t="s">
        <v>5511</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341</v>
      </c>
      <c r="B22" s="16"/>
      <c r="C22" s="18" t="s">
        <v>2245</v>
      </c>
      <c r="D22" s="16"/>
      <c r="E22" s="18" t="s">
        <v>2966</v>
      </c>
      <c r="F22" s="16"/>
      <c r="G22" s="18" t="s">
        <v>1500</v>
      </c>
      <c r="H22" s="16"/>
      <c r="I22" s="18" t="s">
        <v>3708</v>
      </c>
      <c r="J22" s="16"/>
      <c r="K22" s="18" t="s">
        <v>4446</v>
      </c>
      <c r="L22" s="16"/>
      <c r="M22" s="18" t="s">
        <v>5114</v>
      </c>
      <c r="N22" s="16"/>
      <c r="O22" s="18" t="s">
        <v>5863</v>
      </c>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1"/>
    </row>
    <row r="24" spans="1:20" ht="15.95" customHeight="1" x14ac:dyDescent="0.25">
      <c r="A24" s="18" t="s">
        <v>342</v>
      </c>
      <c r="B24" s="16"/>
      <c r="C24" s="18" t="s">
        <v>2246</v>
      </c>
      <c r="D24" s="16"/>
      <c r="E24" s="18" t="s">
        <v>2967</v>
      </c>
      <c r="F24" s="16"/>
      <c r="G24" s="18" t="s">
        <v>1501</v>
      </c>
      <c r="H24" s="16"/>
      <c r="I24" s="18" t="s">
        <v>3709</v>
      </c>
      <c r="J24" s="16"/>
      <c r="K24" s="18" t="s">
        <v>4447</v>
      </c>
      <c r="L24" s="16"/>
      <c r="M24" s="18" t="s">
        <v>5115</v>
      </c>
      <c r="N24" s="16"/>
      <c r="O24" s="18" t="s">
        <v>5864</v>
      </c>
      <c r="P24" s="16"/>
      <c r="Q24" s="18"/>
      <c r="R24" s="16"/>
      <c r="S24" s="18"/>
      <c r="T24" s="21"/>
    </row>
    <row r="25" spans="1:20" ht="15.95" customHeight="1" x14ac:dyDescent="0.25">
      <c r="A25" s="18" t="s">
        <v>343</v>
      </c>
      <c r="B25" s="16"/>
      <c r="C25" s="18" t="s">
        <v>2247</v>
      </c>
      <c r="D25" s="16"/>
      <c r="E25" s="18" t="s">
        <v>2968</v>
      </c>
      <c r="F25" s="16"/>
      <c r="G25" s="18" t="s">
        <v>1502</v>
      </c>
      <c r="H25" s="16"/>
      <c r="I25" s="18" t="s">
        <v>3710</v>
      </c>
      <c r="J25" s="16"/>
      <c r="K25" s="18" t="s">
        <v>4448</v>
      </c>
      <c r="L25" s="16"/>
      <c r="M25" s="18" t="s">
        <v>5116</v>
      </c>
      <c r="N25" s="16"/>
      <c r="O25" s="18" t="s">
        <v>5865</v>
      </c>
      <c r="P25" s="16"/>
      <c r="Q25" s="18"/>
      <c r="R25" s="16"/>
      <c r="S25" s="18"/>
      <c r="T25" s="21"/>
    </row>
    <row r="26" spans="1:20" ht="15.95" customHeight="1" x14ac:dyDescent="0.25">
      <c r="A26" s="18" t="s">
        <v>344</v>
      </c>
      <c r="B26" s="16"/>
      <c r="C26" s="18" t="s">
        <v>2248</v>
      </c>
      <c r="D26" s="16"/>
      <c r="E26" s="18" t="s">
        <v>2969</v>
      </c>
      <c r="F26" s="16"/>
      <c r="G26" s="18" t="s">
        <v>1503</v>
      </c>
      <c r="H26" s="16"/>
      <c r="I26" s="18" t="s">
        <v>3711</v>
      </c>
      <c r="J26" s="16"/>
      <c r="K26" s="18" t="s">
        <v>4449</v>
      </c>
      <c r="L26" s="16"/>
      <c r="M26" s="18" t="s">
        <v>5117</v>
      </c>
      <c r="N26" s="16"/>
      <c r="O26" s="18" t="s">
        <v>5866</v>
      </c>
      <c r="P26" s="16"/>
      <c r="Q26" s="18"/>
      <c r="R26" s="16"/>
      <c r="S26" s="18"/>
      <c r="T26" s="21"/>
    </row>
    <row r="27" spans="1:20" ht="15.95" customHeight="1" x14ac:dyDescent="0.25">
      <c r="A27" s="18" t="s">
        <v>345</v>
      </c>
      <c r="B27" s="16"/>
      <c r="C27" s="18" t="s">
        <v>2249</v>
      </c>
      <c r="D27" s="16"/>
      <c r="E27" s="18" t="s">
        <v>2970</v>
      </c>
      <c r="F27" s="16"/>
      <c r="G27" s="18" t="s">
        <v>1504</v>
      </c>
      <c r="H27" s="16"/>
      <c r="I27" s="18" t="s">
        <v>3712</v>
      </c>
      <c r="J27" s="16"/>
      <c r="K27" s="18" t="s">
        <v>4450</v>
      </c>
      <c r="L27" s="16"/>
      <c r="M27" s="18" t="s">
        <v>5118</v>
      </c>
      <c r="N27" s="16"/>
      <c r="O27" s="18" t="s">
        <v>5867</v>
      </c>
      <c r="P27" s="16"/>
      <c r="Q27" s="18"/>
      <c r="R27" s="16"/>
      <c r="S27" s="18"/>
      <c r="T27" s="21"/>
    </row>
    <row r="28" spans="1:20" ht="15.95" customHeight="1" x14ac:dyDescent="0.25">
      <c r="A28" s="18" t="s">
        <v>112</v>
      </c>
      <c r="B28" s="16"/>
      <c r="C28" s="18" t="s">
        <v>2250</v>
      </c>
      <c r="D28" s="16"/>
      <c r="E28" s="18" t="s">
        <v>2971</v>
      </c>
      <c r="F28" s="16"/>
      <c r="G28" s="18" t="s">
        <v>1505</v>
      </c>
      <c r="H28" s="16"/>
      <c r="I28" s="18" t="s">
        <v>3713</v>
      </c>
      <c r="J28" s="16"/>
      <c r="K28" s="18" t="s">
        <v>4451</v>
      </c>
      <c r="L28" s="16"/>
      <c r="M28" s="18" t="s">
        <v>5119</v>
      </c>
      <c r="N28" s="16"/>
      <c r="O28" s="18" t="s">
        <v>5868</v>
      </c>
      <c r="P28" s="16"/>
      <c r="Q28" s="18"/>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c r="R29" s="16"/>
      <c r="S29" s="18"/>
      <c r="T29" s="21"/>
    </row>
    <row r="30" spans="1:20" ht="15.95" customHeight="1" x14ac:dyDescent="0.25">
      <c r="A30" s="18" t="s">
        <v>346</v>
      </c>
      <c r="B30" s="16"/>
      <c r="C30" s="18" t="s">
        <v>2251</v>
      </c>
      <c r="D30" s="16"/>
      <c r="E30" s="18" t="s">
        <v>2972</v>
      </c>
      <c r="F30" s="16"/>
      <c r="G30" s="18" t="s">
        <v>1506</v>
      </c>
      <c r="H30" s="16"/>
      <c r="I30" s="18" t="s">
        <v>3714</v>
      </c>
      <c r="J30" s="16"/>
      <c r="K30" s="18" t="s">
        <v>4452</v>
      </c>
      <c r="L30" s="16"/>
      <c r="M30" s="18" t="s">
        <v>5120</v>
      </c>
      <c r="N30" s="16"/>
      <c r="O30" s="18" t="s">
        <v>5869</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 stopIfTrue="1">
      <formula>NOT(ISERROR(A3))</formula>
    </cfRule>
  </conditionalFormatting>
  <conditionalFormatting sqref="A3:T51">
    <cfRule type="containsErrors" dxfId="26" priority="1" stopIfTrue="1">
      <formula>ISERROR(A3)</formula>
    </cfRule>
    <cfRule type="notContainsBlanks" dxfId="2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O3" sqref="O3:O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c r="R3" s="16" t="e">
        <f>TRIM(_xlfn.TEXTBEFORE(Q3, ":"))</f>
        <v>#N/A</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t="s">
        <v>4066</v>
      </c>
      <c r="L4" s="16" t="str">
        <f>TRIM(_xlfn.TEXTAFTER(K3, ":"))</f>
        <v>강탈 브로치</v>
      </c>
      <c r="M4" s="18" t="s">
        <v>4787</v>
      </c>
      <c r="N4" s="16" t="str">
        <f>TRIM(_xlfn.TEXTAFTER(M3, ":"))</f>
        <v>Broches Heist</v>
      </c>
      <c r="O4" s="18" t="s">
        <v>5480</v>
      </c>
      <c r="P4" s="16" t="str">
        <f>TRIM(_xlfn.TEXTAFTER(O3, ":"))</f>
        <v>Разбойничьи броши</v>
      </c>
      <c r="Q4" s="18"/>
      <c r="R4" s="16" t="e">
        <f>TRIM(_xlfn.TEXTAFTER(Q3, ":"))</f>
        <v>#N/A</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c r="R5" s="16" t="e">
        <f>TRIM(_xlfn.TEXTBEFORE(Q4, ":"))</f>
        <v>#N/A</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t="s">
        <v>4455</v>
      </c>
      <c r="L6" s="16" t="str">
        <f>TRIM(_xlfn.TEXTAFTER(K4,":"))</f>
        <v>희귀</v>
      </c>
      <c r="M6" s="18" t="s">
        <v>5123</v>
      </c>
      <c r="N6" s="16" t="str">
        <f>TRIM(_xlfn.TEXTAFTER(M4,":"))</f>
        <v>Raro</v>
      </c>
      <c r="O6" s="18" t="s">
        <v>5872</v>
      </c>
      <c r="P6" s="16" t="str">
        <f>TRIM(_xlfn.TEXTAFTER(O4,":"))</f>
        <v>Редкий</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16"/>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16"/>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1"/>
    </row>
    <row r="13" spans="1:20" ht="15.95" customHeight="1" x14ac:dyDescent="0.25">
      <c r="A13" s="18" t="s">
        <v>462</v>
      </c>
      <c r="B13" s="16"/>
      <c r="C13" s="18" t="s">
        <v>1728</v>
      </c>
      <c r="D13" s="16"/>
      <c r="E13" s="18" t="s">
        <v>2447</v>
      </c>
      <c r="F13" s="16"/>
      <c r="G13" s="18" t="s">
        <v>996</v>
      </c>
      <c r="H13" s="16"/>
      <c r="I13" s="18" t="s">
        <v>3165</v>
      </c>
      <c r="J13" s="16"/>
      <c r="K13" s="18" t="s">
        <v>3912</v>
      </c>
      <c r="L13" s="16"/>
      <c r="M13" s="18" t="s">
        <v>4641</v>
      </c>
      <c r="N13" s="16"/>
      <c r="O13" s="18" t="s">
        <v>5326</v>
      </c>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1"/>
    </row>
    <row r="15" spans="1:20" ht="15.95" customHeight="1" x14ac:dyDescent="0.25">
      <c r="A15" s="18" t="s">
        <v>518</v>
      </c>
      <c r="B15" s="16"/>
      <c r="C15" s="18" t="s">
        <v>2257</v>
      </c>
      <c r="D15" s="16"/>
      <c r="E15" s="18" t="s">
        <v>2978</v>
      </c>
      <c r="F15" s="16"/>
      <c r="G15" s="18" t="s">
        <v>1512</v>
      </c>
      <c r="H15" s="16"/>
      <c r="I15" s="18" t="s">
        <v>3720</v>
      </c>
      <c r="J15" s="16"/>
      <c r="K15" s="18" t="s">
        <v>4458</v>
      </c>
      <c r="L15" s="16"/>
      <c r="M15" s="18" t="s">
        <v>5126</v>
      </c>
      <c r="N15" s="16"/>
      <c r="O15" s="18" t="s">
        <v>5875</v>
      </c>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1"/>
    </row>
    <row r="17" spans="1:20" ht="15.95" customHeight="1" x14ac:dyDescent="0.25">
      <c r="A17" s="18" t="s">
        <v>519</v>
      </c>
      <c r="B17" s="16"/>
      <c r="C17" s="18" t="s">
        <v>2258</v>
      </c>
      <c r="D17" s="16"/>
      <c r="E17" s="18" t="s">
        <v>2979</v>
      </c>
      <c r="F17" s="16"/>
      <c r="G17" s="18" t="s">
        <v>1513</v>
      </c>
      <c r="H17" s="16"/>
      <c r="I17" s="18" t="s">
        <v>3721</v>
      </c>
      <c r="J17" s="16"/>
      <c r="K17" s="18" t="s">
        <v>4459</v>
      </c>
      <c r="L17" s="16"/>
      <c r="M17" s="18" t="s">
        <v>5127</v>
      </c>
      <c r="N17" s="16"/>
      <c r="O17" s="18" t="s">
        <v>5876</v>
      </c>
      <c r="P17" s="16"/>
      <c r="Q17" s="18"/>
      <c r="R17" s="16"/>
      <c r="S17" s="18"/>
      <c r="T17" s="21"/>
    </row>
    <row r="18" spans="1:20" ht="15.95" customHeight="1" x14ac:dyDescent="0.25">
      <c r="A18" s="18" t="s">
        <v>520</v>
      </c>
      <c r="B18" s="16"/>
      <c r="C18" s="18" t="s">
        <v>2259</v>
      </c>
      <c r="D18" s="16"/>
      <c r="E18" s="18" t="s">
        <v>2980</v>
      </c>
      <c r="F18" s="16"/>
      <c r="G18" s="18" t="s">
        <v>1514</v>
      </c>
      <c r="H18" s="16"/>
      <c r="I18" s="18" t="s">
        <v>3722</v>
      </c>
      <c r="J18" s="16"/>
      <c r="K18" s="18" t="s">
        <v>4460</v>
      </c>
      <c r="L18" s="16"/>
      <c r="M18" s="18" t="s">
        <v>5128</v>
      </c>
      <c r="N18" s="16"/>
      <c r="O18" s="18" t="s">
        <v>5877</v>
      </c>
      <c r="P18" s="16"/>
      <c r="Q18" s="18"/>
      <c r="R18" s="16"/>
      <c r="S18" s="18"/>
      <c r="T18" s="21"/>
    </row>
    <row r="19" spans="1:20" ht="15.95" customHeight="1" x14ac:dyDescent="0.25">
      <c r="A19" s="18" t="s">
        <v>521</v>
      </c>
      <c r="B19" s="16"/>
      <c r="C19" s="18" t="s">
        <v>2260</v>
      </c>
      <c r="D19" s="16"/>
      <c r="E19" s="18" t="s">
        <v>2981</v>
      </c>
      <c r="F19" s="16"/>
      <c r="G19" s="18" t="s">
        <v>1515</v>
      </c>
      <c r="H19" s="16"/>
      <c r="I19" s="18" t="s">
        <v>3723</v>
      </c>
      <c r="J19" s="16"/>
      <c r="K19" s="18" t="s">
        <v>4461</v>
      </c>
      <c r="L19" s="16"/>
      <c r="M19" s="18" t="s">
        <v>5129</v>
      </c>
      <c r="N19" s="16"/>
      <c r="O19" s="18" t="s">
        <v>5878</v>
      </c>
      <c r="P19" s="16"/>
      <c r="Q19" s="18"/>
      <c r="R19" s="16"/>
      <c r="S19" s="18"/>
      <c r="T19" s="21"/>
    </row>
    <row r="20" spans="1:20" ht="15.95" customHeight="1" x14ac:dyDescent="0.25">
      <c r="A20" s="18" t="s">
        <v>522</v>
      </c>
      <c r="B20" s="16"/>
      <c r="C20" s="18" t="s">
        <v>2261</v>
      </c>
      <c r="D20" s="16"/>
      <c r="E20" s="18" t="s">
        <v>2982</v>
      </c>
      <c r="F20" s="16"/>
      <c r="G20" s="18" t="s">
        <v>1516</v>
      </c>
      <c r="H20" s="16"/>
      <c r="I20" s="18" t="s">
        <v>3724</v>
      </c>
      <c r="J20" s="16"/>
      <c r="K20" s="18" t="s">
        <v>4462</v>
      </c>
      <c r="L20" s="16"/>
      <c r="M20" s="18" t="s">
        <v>5130</v>
      </c>
      <c r="N20" s="16"/>
      <c r="O20" s="18" t="s">
        <v>5879</v>
      </c>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1"/>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2" stopIfTrue="1">
      <formula>NOT(ISERROR(A3))</formula>
    </cfRule>
  </conditionalFormatting>
  <conditionalFormatting sqref="A3:T51">
    <cfRule type="containsErrors" dxfId="23" priority="1" stopIfTrue="1">
      <formula>ISERROR(A3)</formula>
    </cfRule>
    <cfRule type="notContainsBlanks" dxfId="2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O3" sqref="O3:O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t="s">
        <v>4464</v>
      </c>
      <c r="L3" s="16" t="str">
        <f>TRIM(_xlfn.TEXTBEFORE(K3, ":"))</f>
        <v>아이템 종류</v>
      </c>
      <c r="M3" s="17" t="s">
        <v>5132</v>
      </c>
      <c r="N3" s="16" t="str">
        <f>TRIM(_xlfn.TEXTBEFORE(M3, ":"))</f>
        <v>Classe do Item</v>
      </c>
      <c r="O3" s="17" t="s">
        <v>5881</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t="s">
        <v>4066</v>
      </c>
      <c r="L4" s="16" t="str">
        <f>TRIM(_xlfn.TEXTAFTER(K3, ":"))</f>
        <v>강탈 망토</v>
      </c>
      <c r="M4" s="18" t="s">
        <v>4787</v>
      </c>
      <c r="N4" s="16" t="str">
        <f>TRIM(_xlfn.TEXTAFTER(M3, ":"))</f>
        <v>Capas Heist</v>
      </c>
      <c r="O4" s="18" t="s">
        <v>5480</v>
      </c>
      <c r="P4" s="16" t="str">
        <f>TRIM(_xlfn.TEXTAFTER(O3, ":"))</f>
        <v>Разбойничьи накидки</v>
      </c>
      <c r="Q4" s="18"/>
      <c r="R4" s="16" t="e">
        <f>TRIM(_xlfn.TEXTAFTER(Q3, ":"))</f>
        <v>#N/A</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t="s">
        <v>4465</v>
      </c>
      <c r="L5" s="16" t="str">
        <f>TRIM(_xlfn.TEXTBEFORE(K4, ":"))</f>
        <v>아이템 희귀도</v>
      </c>
      <c r="M5" s="18" t="s">
        <v>5133</v>
      </c>
      <c r="N5" s="16" t="str">
        <f>TRIM(_xlfn.TEXTBEFORE(M4, ":"))</f>
        <v>Raridade</v>
      </c>
      <c r="O5" s="18" t="s">
        <v>5882</v>
      </c>
      <c r="P5" s="16" t="str">
        <f>TRIM(_xlfn.TEXTBEFORE(O4, ":"))</f>
        <v>Редкость</v>
      </c>
      <c r="Q5" s="18"/>
      <c r="R5" s="16" t="e">
        <f>TRIM(_xlfn.TEXTBEFORE(Q4, ":"))</f>
        <v>#N/A</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t="s">
        <v>4466</v>
      </c>
      <c r="L6" s="16" t="str">
        <f>TRIM(_xlfn.TEXTAFTER(K4,":"))</f>
        <v>희귀</v>
      </c>
      <c r="M6" s="18" t="s">
        <v>5134</v>
      </c>
      <c r="N6" s="16" t="str">
        <f>TRIM(_xlfn.TEXTAFTER(M4,":"))</f>
        <v>Raro</v>
      </c>
      <c r="O6" s="18" t="s">
        <v>5883</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20"/>
    </row>
    <row r="11" spans="1:20" ht="15.95" customHeight="1" x14ac:dyDescent="0.25">
      <c r="A11" s="18" t="s">
        <v>758</v>
      </c>
      <c r="B11" s="16"/>
      <c r="C11" s="18" t="s">
        <v>2266</v>
      </c>
      <c r="D11" s="16"/>
      <c r="E11" s="18" t="s">
        <v>2987</v>
      </c>
      <c r="F11" s="16"/>
      <c r="G11" s="18" t="s">
        <v>1521</v>
      </c>
      <c r="H11" s="16"/>
      <c r="I11" s="18" t="s">
        <v>3729</v>
      </c>
      <c r="J11" s="16"/>
      <c r="K11" s="18" t="s">
        <v>4467</v>
      </c>
      <c r="L11" s="16"/>
      <c r="M11" s="18" t="s">
        <v>5135</v>
      </c>
      <c r="N11" s="16"/>
      <c r="O11" s="18" t="s">
        <v>5884</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117</v>
      </c>
      <c r="B13" s="16"/>
      <c r="C13" s="18" t="s">
        <v>1742</v>
      </c>
      <c r="D13" s="16"/>
      <c r="E13" s="18" t="s">
        <v>2461</v>
      </c>
      <c r="F13" s="16"/>
      <c r="G13" s="18" t="s">
        <v>1010</v>
      </c>
      <c r="H13" s="16"/>
      <c r="I13" s="18" t="s">
        <v>3179</v>
      </c>
      <c r="J13" s="16"/>
      <c r="K13" s="18" t="s">
        <v>3926</v>
      </c>
      <c r="L13" s="16"/>
      <c r="M13" s="18" t="s">
        <v>4655</v>
      </c>
      <c r="N13" s="16"/>
      <c r="O13" s="18" t="s">
        <v>5340</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759</v>
      </c>
      <c r="B15" s="16"/>
      <c r="C15" s="18" t="s">
        <v>2267</v>
      </c>
      <c r="D15" s="16"/>
      <c r="E15" s="18" t="s">
        <v>2988</v>
      </c>
      <c r="F15" s="16"/>
      <c r="G15" s="18" t="s">
        <v>1522</v>
      </c>
      <c r="H15" s="16"/>
      <c r="I15" s="18" t="s">
        <v>3730</v>
      </c>
      <c r="J15" s="16"/>
      <c r="K15" s="18" t="s">
        <v>4468</v>
      </c>
      <c r="L15" s="16"/>
      <c r="M15" s="18" t="s">
        <v>5136</v>
      </c>
      <c r="N15" s="16"/>
      <c r="O15" s="18" t="s">
        <v>5885</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760</v>
      </c>
      <c r="B17" s="16"/>
      <c r="C17" s="18" t="s">
        <v>2268</v>
      </c>
      <c r="D17" s="16"/>
      <c r="E17" s="18" t="s">
        <v>2989</v>
      </c>
      <c r="F17" s="16"/>
      <c r="G17" s="18" t="s">
        <v>1523</v>
      </c>
      <c r="H17" s="16"/>
      <c r="I17" s="18" t="s">
        <v>3731</v>
      </c>
      <c r="J17" s="16"/>
      <c r="K17" s="18" t="s">
        <v>4469</v>
      </c>
      <c r="L17" s="16"/>
      <c r="M17" s="18" t="s">
        <v>5137</v>
      </c>
      <c r="N17" s="16"/>
      <c r="O17" s="18" t="s">
        <v>5886</v>
      </c>
      <c r="P17" s="16"/>
      <c r="Q17" s="18"/>
      <c r="R17" s="16"/>
      <c r="S17" s="18"/>
      <c r="T17" s="20"/>
    </row>
    <row r="18" spans="1:20" ht="15.95" customHeight="1" x14ac:dyDescent="0.25">
      <c r="A18" s="18" t="s">
        <v>761</v>
      </c>
      <c r="B18" s="16"/>
      <c r="C18" s="18" t="s">
        <v>2269</v>
      </c>
      <c r="D18" s="16"/>
      <c r="E18" s="18" t="s">
        <v>2990</v>
      </c>
      <c r="F18" s="16"/>
      <c r="G18" s="18" t="s">
        <v>1524</v>
      </c>
      <c r="H18" s="16"/>
      <c r="I18" s="18" t="s">
        <v>3732</v>
      </c>
      <c r="J18" s="16"/>
      <c r="K18" s="18" t="s">
        <v>4470</v>
      </c>
      <c r="L18" s="16"/>
      <c r="M18" s="18" t="s">
        <v>5138</v>
      </c>
      <c r="N18" s="16"/>
      <c r="O18" s="18" t="s">
        <v>5887</v>
      </c>
      <c r="P18" s="16"/>
      <c r="Q18" s="18"/>
      <c r="R18" s="16"/>
      <c r="S18" s="18"/>
      <c r="T18" s="20"/>
    </row>
    <row r="19" spans="1:20" ht="15.95" customHeight="1" x14ac:dyDescent="0.25">
      <c r="A19" s="18" t="s">
        <v>762</v>
      </c>
      <c r="B19" s="16"/>
      <c r="C19" s="18" t="s">
        <v>2270</v>
      </c>
      <c r="D19" s="16"/>
      <c r="E19" s="18" t="s">
        <v>2991</v>
      </c>
      <c r="F19" s="16"/>
      <c r="G19" s="18" t="s">
        <v>1525</v>
      </c>
      <c r="H19" s="16"/>
      <c r="I19" s="18" t="s">
        <v>3733</v>
      </c>
      <c r="J19" s="16"/>
      <c r="K19" s="18" t="s">
        <v>4471</v>
      </c>
      <c r="L19" s="16"/>
      <c r="M19" s="18" t="s">
        <v>5139</v>
      </c>
      <c r="N19" s="16"/>
      <c r="O19" s="18" t="s">
        <v>5888</v>
      </c>
      <c r="P19" s="16"/>
      <c r="Q19" s="18"/>
      <c r="R19" s="16"/>
      <c r="S19" s="18"/>
      <c r="T19" s="20"/>
    </row>
    <row r="20" spans="1:20" ht="15.95" customHeight="1" x14ac:dyDescent="0.25">
      <c r="A20" s="18" t="s">
        <v>521</v>
      </c>
      <c r="B20" s="16"/>
      <c r="C20" s="18" t="s">
        <v>2260</v>
      </c>
      <c r="D20" s="16"/>
      <c r="E20" s="18" t="s">
        <v>2981</v>
      </c>
      <c r="F20" s="16"/>
      <c r="G20" s="18" t="s">
        <v>1515</v>
      </c>
      <c r="H20" s="16"/>
      <c r="I20" s="18" t="s">
        <v>3723</v>
      </c>
      <c r="J20" s="16"/>
      <c r="K20" s="18" t="s">
        <v>4461</v>
      </c>
      <c r="L20" s="16"/>
      <c r="M20" s="18" t="s">
        <v>5129</v>
      </c>
      <c r="N20" s="16"/>
      <c r="O20" s="18" t="s">
        <v>5878</v>
      </c>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 stopIfTrue="1">
      <formula>NOT(ISERROR(A3))</formula>
    </cfRule>
  </conditionalFormatting>
  <conditionalFormatting sqref="A3:T51">
    <cfRule type="containsErrors" dxfId="20" priority="1" stopIfTrue="1">
      <formula>ISERROR(A3)</formula>
    </cfRule>
    <cfRule type="notContainsBlanks" dxfId="1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O3" sqref="O3:O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t="s">
        <v>4472</v>
      </c>
      <c r="L3" s="16" t="str">
        <f>TRIM(_xlfn.TEXTBEFORE(K3, ":"))</f>
        <v>아이템 종류</v>
      </c>
      <c r="M3" s="17" t="s">
        <v>5140</v>
      </c>
      <c r="N3" s="16" t="str">
        <f>TRIM(_xlfn.TEXTBEFORE(M3, ":"))</f>
        <v>Classe do Item</v>
      </c>
      <c r="O3" s="17" t="s">
        <v>5889</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t="s">
        <v>4066</v>
      </c>
      <c r="L4" s="16" t="str">
        <f>TRIM(_xlfn.TEXTAFTER(K3, ":"))</f>
        <v>강탈 장비</v>
      </c>
      <c r="M4" s="18" t="s">
        <v>4787</v>
      </c>
      <c r="N4" s="16" t="str">
        <f>TRIM(_xlfn.TEXTAFTER(M3, ":"))</f>
        <v>Equipamento Heist</v>
      </c>
      <c r="O4" s="18" t="s">
        <v>5480</v>
      </c>
      <c r="P4" s="16" t="str">
        <f>TRIM(_xlfn.TEXTAFTER(O3, ":"))</f>
        <v>Разбойничьи принадлежности</v>
      </c>
      <c r="Q4" s="18"/>
      <c r="R4" s="16" t="e">
        <f>TRIM(_xlfn.TEXTAFTER(Q3, ":"))</f>
        <v>#N/A</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t="s">
        <v>4473</v>
      </c>
      <c r="L5" s="16" t="str">
        <f>TRIM(_xlfn.TEXTBEFORE(K4, ":"))</f>
        <v>아이템 희귀도</v>
      </c>
      <c r="M5" s="18" t="s">
        <v>5141</v>
      </c>
      <c r="N5" s="16" t="str">
        <f>TRIM(_xlfn.TEXTBEFORE(M4, ":"))</f>
        <v>Raridade</v>
      </c>
      <c r="O5" s="18" t="s">
        <v>5890</v>
      </c>
      <c r="P5" s="16" t="str">
        <f>TRIM(_xlfn.TEXTBEFORE(O4, ":"))</f>
        <v>Редкость</v>
      </c>
      <c r="Q5" s="18"/>
      <c r="R5" s="16" t="e">
        <f>TRIM(_xlfn.TEXTBEFORE(Q4, ":"))</f>
        <v>#N/A</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t="s">
        <v>4474</v>
      </c>
      <c r="L6" s="16" t="str">
        <f>TRIM(_xlfn.TEXTAFTER(K4,":"))</f>
        <v>희귀</v>
      </c>
      <c r="M6" s="18" t="s">
        <v>5142</v>
      </c>
      <c r="N6" s="16" t="str">
        <f>TRIM(_xlfn.TEXTAFTER(M4,":"))</f>
        <v>Raro</v>
      </c>
      <c r="O6" s="18" t="s">
        <v>5891</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c r="R10" s="16"/>
      <c r="S10" s="18"/>
      <c r="T10" s="20"/>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749</v>
      </c>
      <c r="B13" s="16"/>
      <c r="C13" s="18" t="s">
        <v>2274</v>
      </c>
      <c r="D13" s="16"/>
      <c r="E13" s="18" t="s">
        <v>2995</v>
      </c>
      <c r="F13" s="16"/>
      <c r="G13" s="18" t="s">
        <v>1529</v>
      </c>
      <c r="H13" s="16"/>
      <c r="I13" s="18" t="s">
        <v>3737</v>
      </c>
      <c r="J13" s="16"/>
      <c r="K13" s="18" t="s">
        <v>4475</v>
      </c>
      <c r="L13" s="16"/>
      <c r="M13" s="18" t="s">
        <v>5143</v>
      </c>
      <c r="N13" s="16"/>
      <c r="O13" s="18" t="s">
        <v>5892</v>
      </c>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c r="R14" s="16"/>
      <c r="S14" s="18"/>
      <c r="T14" s="20"/>
    </row>
    <row r="15" spans="1:20" ht="15.95" customHeight="1" x14ac:dyDescent="0.25">
      <c r="A15" s="18" t="s">
        <v>750</v>
      </c>
      <c r="B15" s="16"/>
      <c r="C15" s="18" t="s">
        <v>2275</v>
      </c>
      <c r="D15" s="16"/>
      <c r="E15" s="18" t="s">
        <v>2996</v>
      </c>
      <c r="F15" s="16"/>
      <c r="G15" s="18" t="s">
        <v>1530</v>
      </c>
      <c r="H15" s="16"/>
      <c r="I15" s="18" t="s">
        <v>3738</v>
      </c>
      <c r="J15" s="16"/>
      <c r="K15" s="18" t="s">
        <v>4476</v>
      </c>
      <c r="L15" s="16"/>
      <c r="M15" s="18" t="s">
        <v>5144</v>
      </c>
      <c r="N15" s="16"/>
      <c r="O15" s="18" t="s">
        <v>5893</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751</v>
      </c>
      <c r="B17" s="16"/>
      <c r="C17" s="18" t="s">
        <v>2276</v>
      </c>
      <c r="D17" s="16"/>
      <c r="E17" s="18" t="s">
        <v>2997</v>
      </c>
      <c r="F17" s="16"/>
      <c r="G17" s="18" t="s">
        <v>1531</v>
      </c>
      <c r="H17" s="16"/>
      <c r="I17" s="18" t="s">
        <v>3739</v>
      </c>
      <c r="J17" s="16"/>
      <c r="K17" s="18" t="s">
        <v>4477</v>
      </c>
      <c r="L17" s="16"/>
      <c r="M17" s="18" t="s">
        <v>5145</v>
      </c>
      <c r="N17" s="16"/>
      <c r="O17" s="18" t="s">
        <v>5894</v>
      </c>
      <c r="P17" s="16"/>
      <c r="Q17" s="18"/>
      <c r="R17" s="16"/>
      <c r="S17" s="18"/>
      <c r="T17" s="20"/>
    </row>
    <row r="18" spans="1:20" ht="15.95" customHeight="1" x14ac:dyDescent="0.25">
      <c r="A18" s="18" t="s">
        <v>752</v>
      </c>
      <c r="B18" s="16"/>
      <c r="C18" s="18" t="s">
        <v>2277</v>
      </c>
      <c r="D18" s="16"/>
      <c r="E18" s="18" t="s">
        <v>2998</v>
      </c>
      <c r="F18" s="16"/>
      <c r="G18" s="18" t="s">
        <v>1532</v>
      </c>
      <c r="H18" s="16"/>
      <c r="I18" s="18" t="s">
        <v>3740</v>
      </c>
      <c r="J18" s="16"/>
      <c r="K18" s="18" t="s">
        <v>4478</v>
      </c>
      <c r="L18" s="16"/>
      <c r="M18" s="18" t="s">
        <v>5146</v>
      </c>
      <c r="N18" s="16"/>
      <c r="O18" s="18" t="s">
        <v>5895</v>
      </c>
      <c r="P18" s="16"/>
      <c r="Q18" s="18"/>
      <c r="R18" s="16"/>
      <c r="S18" s="18"/>
      <c r="T18" s="20"/>
    </row>
    <row r="19" spans="1:20" ht="15.95" customHeight="1" x14ac:dyDescent="0.25">
      <c r="A19" s="18" t="s">
        <v>753</v>
      </c>
      <c r="B19" s="16"/>
      <c r="C19" s="18" t="s">
        <v>2278</v>
      </c>
      <c r="D19" s="16"/>
      <c r="E19" s="18" t="s">
        <v>2999</v>
      </c>
      <c r="F19" s="16"/>
      <c r="G19" s="18" t="s">
        <v>1533</v>
      </c>
      <c r="H19" s="16"/>
      <c r="I19" s="18" t="s">
        <v>3741</v>
      </c>
      <c r="J19" s="16"/>
      <c r="K19" s="18" t="s">
        <v>4479</v>
      </c>
      <c r="L19" s="16"/>
      <c r="M19" s="18" t="s">
        <v>5147</v>
      </c>
      <c r="N19" s="16"/>
      <c r="O19" s="18" t="s">
        <v>5896</v>
      </c>
      <c r="P19" s="16"/>
      <c r="Q19" s="18"/>
      <c r="R19" s="16"/>
      <c r="S19" s="18"/>
      <c r="T19" s="20"/>
    </row>
    <row r="20" spans="1:20" ht="15.95" customHeight="1" x14ac:dyDescent="0.25">
      <c r="A20" s="18" t="s">
        <v>754</v>
      </c>
      <c r="B20" s="16"/>
      <c r="C20" s="18" t="s">
        <v>2279</v>
      </c>
      <c r="D20" s="16"/>
      <c r="E20" s="18" t="s">
        <v>3000</v>
      </c>
      <c r="F20" s="16"/>
      <c r="G20" s="18" t="s">
        <v>1534</v>
      </c>
      <c r="H20" s="16"/>
      <c r="I20" s="18" t="s">
        <v>3742</v>
      </c>
      <c r="J20" s="16"/>
      <c r="K20" s="18" t="s">
        <v>4480</v>
      </c>
      <c r="L20" s="16"/>
      <c r="M20" s="18" t="s">
        <v>5148</v>
      </c>
      <c r="N20" s="16"/>
      <c r="O20" s="18" t="s">
        <v>5897</v>
      </c>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8" priority="1" stopIfTrue="1" operator="equal">
      <formula>"-"</formula>
    </cfRule>
    <cfRule type="cellIs" dxfId="17" priority="2" operator="between">
      <formula>"(Lowest value)"</formula>
      <formula>0</formula>
    </cfRule>
    <cfRule type="containsBlanks" dxfId="16" priority="3">
      <formula>LEN(TRIM(A3))=0</formula>
    </cfRule>
    <cfRule type="notContainsBlanks" dxfId="15" priority="4">
      <formula>LEN(TRIM(A3))&gt;0</formula>
    </cfRule>
  </conditionalFormatting>
  <conditionalFormatting sqref="B3:T3 A4:T51">
    <cfRule type="containsErrors" dxfId="14" priority="5" stopIfTrue="1">
      <formula>ISERROR(A3)</formula>
    </cfRule>
    <cfRule type="notContainsBlanks" dxfId="13" priority="7">
      <formula>LEN(TRIM(A3))&gt;0</formula>
    </cfRule>
  </conditionalFormatting>
  <conditionalFormatting sqref="C3:C51 E3:E51 G3:G51 I3:I51 K3:K51 M3:M51 O3:O51 Q3:Q51 S3:S51 A4:A51">
    <cfRule type="notContainsErrors" dxfId="12"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O3" sqref="O3:O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t="s">
        <v>4481</v>
      </c>
      <c r="L3" s="16" t="str">
        <f>TRIM(_xlfn.TEXTBEFORE(K3, ":"))</f>
        <v>아이템 종류</v>
      </c>
      <c r="M3" s="17" t="s">
        <v>5149</v>
      </c>
      <c r="N3" s="16" t="str">
        <f>TRIM(_xlfn.TEXTBEFORE(M3, ":"))</f>
        <v>Classe do Item</v>
      </c>
      <c r="O3" s="17" t="s">
        <v>5898</v>
      </c>
      <c r="P3" s="16" t="str">
        <f>TRIM(_xlfn.TEXTBEFORE(O3, ":"))</f>
        <v>Класс предмета</v>
      </c>
      <c r="Q3" s="17"/>
      <c r="R3" s="16" t="e">
        <f>TRIM(_xlfn.TEXTBEFORE(Q3, ":"))</f>
        <v>#N/A</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t="s">
        <v>3784</v>
      </c>
      <c r="L4" s="16" t="str">
        <f>TRIM(_xlfn.TEXTAFTER(K3, ":"))</f>
        <v>강탈 대상</v>
      </c>
      <c r="M4" s="18" t="s">
        <v>4568</v>
      </c>
      <c r="N4" s="16" t="str">
        <f>TRIM(_xlfn.TEXTAFTER(M3, ":"))</f>
        <v>Alvos Heist</v>
      </c>
      <c r="O4" s="18" t="s">
        <v>5252</v>
      </c>
      <c r="P4" s="16" t="str">
        <f>TRIM(_xlfn.TEXTAFTER(O3, ":"))</f>
        <v>Предметы кражи</v>
      </c>
      <c r="Q4" s="18"/>
      <c r="R4" s="16" t="e">
        <f>TRIM(_xlfn.TEXTAFTER(Q3, ":"))</f>
        <v>#N/A</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t="s">
        <v>4482</v>
      </c>
      <c r="L5" s="16" t="str">
        <f>TRIM(_xlfn.TEXTBEFORE(K4, ":"))</f>
        <v>아이템 희귀도</v>
      </c>
      <c r="M5" s="18" t="s">
        <v>5150</v>
      </c>
      <c r="N5" s="16" t="str">
        <f>TRIM(_xlfn.TEXTBEFORE(M4, ":"))</f>
        <v>Raridade</v>
      </c>
      <c r="O5" s="18" t="s">
        <v>5899</v>
      </c>
      <c r="P5" s="16" t="str">
        <f>TRIM(_xlfn.TEXTBEFORE(O4, ":"))</f>
        <v>Редкость</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c r="R6" s="16" t="e">
        <f>TRIM(_xlfn.TEXTAFTER(Q4,":"))</f>
        <v>#N/A</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t="s">
        <v>4483</v>
      </c>
      <c r="L7" s="16"/>
      <c r="M7" s="18" t="s">
        <v>5151</v>
      </c>
      <c r="N7" s="16"/>
      <c r="O7" s="18" t="s">
        <v>5900</v>
      </c>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c r="R8" s="16"/>
      <c r="S8" s="18"/>
      <c r="T8" s="20"/>
    </row>
    <row r="9" spans="1:20" ht="15.95" customHeight="1" x14ac:dyDescent="0.25">
      <c r="A9" s="18" t="s">
        <v>766</v>
      </c>
      <c r="B9" s="16"/>
      <c r="C9" s="18" t="s">
        <v>2283</v>
      </c>
      <c r="D9" s="16"/>
      <c r="E9" s="18" t="s">
        <v>3004</v>
      </c>
      <c r="F9" s="16"/>
      <c r="G9" s="18" t="s">
        <v>1538</v>
      </c>
      <c r="H9" s="16"/>
      <c r="I9" s="18" t="s">
        <v>3746</v>
      </c>
      <c r="J9" s="16"/>
      <c r="K9" s="18" t="s">
        <v>4484</v>
      </c>
      <c r="L9" s="16"/>
      <c r="M9" s="18" t="s">
        <v>5152</v>
      </c>
      <c r="N9" s="16"/>
      <c r="O9" s="18" t="s">
        <v>5901</v>
      </c>
      <c r="P9" s="16"/>
      <c r="Q9" s="18"/>
      <c r="R9" s="16"/>
      <c r="S9" s="18"/>
      <c r="T9" s="20"/>
    </row>
    <row r="10" spans="1:20" ht="15.95" customHeight="1" x14ac:dyDescent="0.25">
      <c r="A10" s="18" t="s">
        <v>4</v>
      </c>
      <c r="B10" s="16"/>
      <c r="C10" s="18" t="s">
        <v>4</v>
      </c>
      <c r="D10" s="16"/>
      <c r="E10" s="18" t="s">
        <v>4</v>
      </c>
      <c r="F10" s="16"/>
      <c r="G10" s="18" t="s">
        <v>1539</v>
      </c>
      <c r="H10" s="16"/>
      <c r="I10" s="18" t="s">
        <v>4</v>
      </c>
      <c r="J10" s="16"/>
      <c r="K10" s="18" t="s">
        <v>4</v>
      </c>
      <c r="L10" s="16"/>
      <c r="M10" s="18" t="s">
        <v>4</v>
      </c>
      <c r="N10" s="16"/>
      <c r="O10" s="18" t="s">
        <v>5902</v>
      </c>
      <c r="P10" s="16"/>
      <c r="Q10" s="18"/>
      <c r="R10" s="16"/>
      <c r="S10" s="18"/>
      <c r="T10" s="20"/>
    </row>
    <row r="11" spans="1:20" ht="15.95" customHeight="1" x14ac:dyDescent="0.25">
      <c r="A11" s="18" t="s">
        <v>767</v>
      </c>
      <c r="B11" s="16"/>
      <c r="C11" s="18" t="s">
        <v>2284</v>
      </c>
      <c r="D11" s="16"/>
      <c r="E11" s="18" t="s">
        <v>3005</v>
      </c>
      <c r="F11" s="16"/>
      <c r="G11" s="18" t="s">
        <v>4</v>
      </c>
      <c r="H11" s="16"/>
      <c r="I11" s="18" t="s">
        <v>3747</v>
      </c>
      <c r="J11" s="16"/>
      <c r="K11" s="18" t="s">
        <v>4485</v>
      </c>
      <c r="L11" s="16"/>
      <c r="M11" s="18" t="s">
        <v>5153</v>
      </c>
      <c r="N11" s="16"/>
      <c r="O11" s="18" t="s">
        <v>4</v>
      </c>
      <c r="P11" s="16"/>
      <c r="Q11" s="18"/>
      <c r="R11" s="16"/>
      <c r="S11" s="18"/>
      <c r="T11" s="20"/>
    </row>
    <row r="12" spans="1:20" ht="15.95" customHeight="1" x14ac:dyDescent="0.25">
      <c r="A12" s="18"/>
      <c r="B12" s="16"/>
      <c r="C12" s="18"/>
      <c r="D12" s="16"/>
      <c r="E12" s="18"/>
      <c r="F12" s="16"/>
      <c r="G12" s="18" t="s">
        <v>1540</v>
      </c>
      <c r="H12" s="16"/>
      <c r="I12" s="18"/>
      <c r="J12" s="16"/>
      <c r="K12" s="18"/>
      <c r="L12" s="16"/>
      <c r="M12" s="18"/>
      <c r="N12" s="16"/>
      <c r="O12" s="18" t="s">
        <v>5903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O3" sqref="O3:O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t="s">
        <v>4486</v>
      </c>
      <c r="L3" s="16" t="str">
        <f>TRIM(_xlfn.TEXTBEFORE(K3, ":"))</f>
        <v>아이템 종류</v>
      </c>
      <c r="M3" s="17" t="s">
        <v>5154</v>
      </c>
      <c r="N3" s="16" t="str">
        <f>TRIM(_xlfn.TEXTBEFORE(M3, ":"))</f>
        <v>Classe do Item</v>
      </c>
      <c r="O3" s="17" t="s">
        <v>5904</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t="s">
        <v>4066</v>
      </c>
      <c r="L4" s="16" t="str">
        <f>TRIM(_xlfn.TEXTAFTER(K3, ":"))</f>
        <v>강탈 도구</v>
      </c>
      <c r="M4" s="18" t="s">
        <v>4787</v>
      </c>
      <c r="N4" s="16" t="str">
        <f>TRIM(_xlfn.TEXTAFTER(M3, ":"))</f>
        <v>Ferramentas Heist</v>
      </c>
      <c r="O4" s="18" t="s">
        <v>5480</v>
      </c>
      <c r="P4" s="16" t="str">
        <f>TRIM(_xlfn.TEXTAFTER(O3, ":"))</f>
        <v>Разбойничий инструмент</v>
      </c>
      <c r="Q4" s="18"/>
      <c r="R4" s="16" t="e">
        <f>TRIM(_xlfn.TEXTAFTER(Q3, ":"))</f>
        <v>#N/A</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t="s">
        <v>4487</v>
      </c>
      <c r="L5" s="16" t="str">
        <f>TRIM(_xlfn.TEXTBEFORE(K4, ":"))</f>
        <v>아이템 희귀도</v>
      </c>
      <c r="M5" s="18" t="s">
        <v>5155</v>
      </c>
      <c r="N5" s="16" t="str">
        <f>TRIM(_xlfn.TEXTBEFORE(M4, ":"))</f>
        <v>Raridade</v>
      </c>
      <c r="O5" s="18" t="s">
        <v>5905</v>
      </c>
      <c r="P5" s="16" t="str">
        <f>TRIM(_xlfn.TEXTBEFORE(O4, ":"))</f>
        <v>Редкость</v>
      </c>
      <c r="Q5" s="18"/>
      <c r="R5" s="16" t="e">
        <f>TRIM(_xlfn.TEXTBEFORE(Q4, ":"))</f>
        <v>#N/A</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t="s">
        <v>4488</v>
      </c>
      <c r="L6" s="16" t="str">
        <f>TRIM(_xlfn.TEXTAFTER(K4,":"))</f>
        <v>희귀</v>
      </c>
      <c r="M6" s="18" t="s">
        <v>5156</v>
      </c>
      <c r="N6" s="16" t="str">
        <f>TRIM(_xlfn.TEXTAFTER(M4,":"))</f>
        <v>Raro</v>
      </c>
      <c r="O6" s="18" t="s">
        <v>5906</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737</v>
      </c>
      <c r="B8" s="16"/>
      <c r="C8" s="18" t="s">
        <v>2288</v>
      </c>
      <c r="D8" s="16"/>
      <c r="E8" s="18" t="s">
        <v>3009</v>
      </c>
      <c r="F8" s="16"/>
      <c r="G8" s="18" t="s">
        <v>1544</v>
      </c>
      <c r="H8" s="16"/>
      <c r="I8" s="18" t="s">
        <v>3751</v>
      </c>
      <c r="J8" s="16"/>
      <c r="K8" s="18" t="s">
        <v>4489</v>
      </c>
      <c r="L8" s="16"/>
      <c r="M8" s="18" t="s">
        <v>5157</v>
      </c>
      <c r="N8" s="16"/>
      <c r="O8" s="18" t="s">
        <v>5907</v>
      </c>
      <c r="P8" s="16"/>
      <c r="Q8" s="18"/>
      <c r="R8" s="16"/>
      <c r="S8" s="18"/>
      <c r="T8" s="20"/>
    </row>
    <row r="9" spans="1:20" ht="15.95" customHeight="1" x14ac:dyDescent="0.25">
      <c r="A9" s="18" t="s">
        <v>738</v>
      </c>
      <c r="B9" s="16"/>
      <c r="C9" s="18" t="s">
        <v>2289</v>
      </c>
      <c r="D9" s="16"/>
      <c r="E9" s="18" t="s">
        <v>3010</v>
      </c>
      <c r="F9" s="16"/>
      <c r="G9" s="18" t="s">
        <v>1545</v>
      </c>
      <c r="H9" s="16"/>
      <c r="I9" s="18" t="s">
        <v>3752</v>
      </c>
      <c r="J9" s="16"/>
      <c r="K9" s="18" t="s">
        <v>4490</v>
      </c>
      <c r="L9" s="16"/>
      <c r="M9" s="18" t="s">
        <v>5158</v>
      </c>
      <c r="N9" s="16"/>
      <c r="O9" s="18" t="s">
        <v>5908</v>
      </c>
      <c r="P9" s="16"/>
      <c r="Q9" s="18"/>
      <c r="R9" s="16"/>
      <c r="S9" s="18"/>
      <c r="T9" s="20"/>
    </row>
    <row r="10" spans="1:20" ht="15.95" customHeight="1" x14ac:dyDescent="0.25">
      <c r="A10" s="18" t="s">
        <v>739</v>
      </c>
      <c r="B10" s="16"/>
      <c r="C10" s="18" t="s">
        <v>2290</v>
      </c>
      <c r="D10" s="16"/>
      <c r="E10" s="18" t="s">
        <v>3011</v>
      </c>
      <c r="F10" s="16"/>
      <c r="G10" s="18" t="s">
        <v>1546</v>
      </c>
      <c r="H10" s="16"/>
      <c r="I10" s="18" t="s">
        <v>3753</v>
      </c>
      <c r="J10" s="16"/>
      <c r="K10" s="18" t="s">
        <v>4491</v>
      </c>
      <c r="L10" s="16"/>
      <c r="M10" s="18" t="s">
        <v>5159</v>
      </c>
      <c r="N10" s="16"/>
      <c r="O10" s="18" t="s">
        <v>5909</v>
      </c>
      <c r="P10" s="16"/>
      <c r="Q10" s="18"/>
      <c r="R10" s="16"/>
      <c r="S10" s="18"/>
      <c r="T10" s="20"/>
    </row>
    <row r="11" spans="1:20" ht="15.95" customHeight="1" x14ac:dyDescent="0.25">
      <c r="A11" s="18" t="s">
        <v>740</v>
      </c>
      <c r="B11" s="16"/>
      <c r="C11" s="18" t="s">
        <v>2291</v>
      </c>
      <c r="D11" s="16"/>
      <c r="E11" s="18" t="s">
        <v>3012</v>
      </c>
      <c r="F11" s="16"/>
      <c r="G11" s="18" t="s">
        <v>1547</v>
      </c>
      <c r="H11" s="16"/>
      <c r="I11" s="18" t="s">
        <v>3754</v>
      </c>
      <c r="J11" s="16"/>
      <c r="K11" s="18" t="s">
        <v>4492</v>
      </c>
      <c r="L11" s="16"/>
      <c r="M11" s="18" t="s">
        <v>5160</v>
      </c>
      <c r="N11" s="16"/>
      <c r="O11" s="18" t="s">
        <v>5910</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c r="R13" s="16"/>
      <c r="S13" s="18"/>
      <c r="T13" s="20"/>
    </row>
    <row r="14" spans="1:20" ht="15.95" customHeight="1" x14ac:dyDescent="0.25">
      <c r="A14" s="18" t="s">
        <v>741</v>
      </c>
      <c r="B14" s="16"/>
      <c r="C14" s="18" t="s">
        <v>2292</v>
      </c>
      <c r="D14" s="16"/>
      <c r="E14" s="18" t="s">
        <v>3013</v>
      </c>
      <c r="F14" s="16"/>
      <c r="G14" s="18" t="s">
        <v>1548</v>
      </c>
      <c r="H14" s="16"/>
      <c r="I14" s="18" t="s">
        <v>3755</v>
      </c>
      <c r="J14" s="16"/>
      <c r="K14" s="18" t="s">
        <v>4493</v>
      </c>
      <c r="L14" s="16"/>
      <c r="M14" s="18" t="s">
        <v>5161</v>
      </c>
      <c r="N14" s="16"/>
      <c r="O14" s="18" t="s">
        <v>5911</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653</v>
      </c>
      <c r="B16" s="16"/>
      <c r="C16" s="18" t="s">
        <v>1801</v>
      </c>
      <c r="D16" s="16"/>
      <c r="E16" s="18" t="s">
        <v>2520</v>
      </c>
      <c r="F16" s="16"/>
      <c r="G16" s="18" t="s">
        <v>1069</v>
      </c>
      <c r="H16" s="16"/>
      <c r="I16" s="18" t="s">
        <v>3239</v>
      </c>
      <c r="J16" s="16"/>
      <c r="K16" s="18" t="s">
        <v>3985</v>
      </c>
      <c r="L16" s="16"/>
      <c r="M16" s="18" t="s">
        <v>4714</v>
      </c>
      <c r="N16" s="16"/>
      <c r="O16" s="18" t="s">
        <v>5399</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742</v>
      </c>
      <c r="B18" s="16"/>
      <c r="C18" s="18" t="s">
        <v>2293</v>
      </c>
      <c r="D18" s="16"/>
      <c r="E18" s="18" t="s">
        <v>3014</v>
      </c>
      <c r="F18" s="16"/>
      <c r="G18" s="18" t="s">
        <v>1549</v>
      </c>
      <c r="H18" s="16"/>
      <c r="I18" s="18" t="s">
        <v>3756</v>
      </c>
      <c r="J18" s="16"/>
      <c r="K18" s="18" t="s">
        <v>4494</v>
      </c>
      <c r="L18" s="16"/>
      <c r="M18" s="18" t="s">
        <v>5162</v>
      </c>
      <c r="N18" s="16"/>
      <c r="O18" s="18" t="s">
        <v>5912</v>
      </c>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c r="R19" s="16"/>
      <c r="S19" s="18"/>
      <c r="T19" s="20"/>
    </row>
    <row r="20" spans="1:20" ht="15.95" customHeight="1" x14ac:dyDescent="0.25">
      <c r="A20" s="18" t="s">
        <v>743</v>
      </c>
      <c r="B20" s="16"/>
      <c r="C20" s="18" t="s">
        <v>2294</v>
      </c>
      <c r="D20" s="16"/>
      <c r="E20" s="18" t="s">
        <v>3015</v>
      </c>
      <c r="F20" s="16"/>
      <c r="G20" s="18" t="s">
        <v>1550</v>
      </c>
      <c r="H20" s="16"/>
      <c r="I20" s="18" t="s">
        <v>3757</v>
      </c>
      <c r="J20" s="16"/>
      <c r="K20" s="18" t="s">
        <v>4495</v>
      </c>
      <c r="L20" s="16"/>
      <c r="M20" s="18" t="s">
        <v>5163</v>
      </c>
      <c r="N20" s="16"/>
      <c r="O20" s="18" t="s">
        <v>5913</v>
      </c>
      <c r="P20" s="16"/>
      <c r="Q20" s="18"/>
      <c r="R20" s="16"/>
      <c r="S20" s="18"/>
      <c r="T20" s="20"/>
    </row>
    <row r="21" spans="1:20" ht="15.95" customHeight="1" x14ac:dyDescent="0.25">
      <c r="A21" s="18" t="s">
        <v>744</v>
      </c>
      <c r="B21" s="16"/>
      <c r="C21" s="18" t="s">
        <v>2295</v>
      </c>
      <c r="D21" s="16"/>
      <c r="E21" s="18" t="s">
        <v>3016</v>
      </c>
      <c r="F21" s="16"/>
      <c r="G21" s="18" t="s">
        <v>1551</v>
      </c>
      <c r="H21" s="16"/>
      <c r="I21" s="18" t="s">
        <v>3758</v>
      </c>
      <c r="J21" s="16"/>
      <c r="K21" s="18" t="s">
        <v>4496</v>
      </c>
      <c r="L21" s="16"/>
      <c r="M21" s="18" t="s">
        <v>5164</v>
      </c>
      <c r="N21" s="16"/>
      <c r="O21" s="18" t="s">
        <v>5914</v>
      </c>
      <c r="P21" s="16"/>
      <c r="Q21" s="18"/>
      <c r="R21" s="16"/>
      <c r="S21" s="18"/>
      <c r="T21" s="20"/>
    </row>
    <row r="22" spans="1:20" ht="15.95" customHeight="1" x14ac:dyDescent="0.25">
      <c r="A22" s="18" t="s">
        <v>745</v>
      </c>
      <c r="B22" s="16"/>
      <c r="C22" s="18" t="s">
        <v>2296</v>
      </c>
      <c r="D22" s="16"/>
      <c r="E22" s="18" t="s">
        <v>3017</v>
      </c>
      <c r="F22" s="16"/>
      <c r="G22" s="18" t="s">
        <v>1552</v>
      </c>
      <c r="H22" s="16"/>
      <c r="I22" s="18" t="s">
        <v>3759</v>
      </c>
      <c r="J22" s="16"/>
      <c r="K22" s="18" t="s">
        <v>4497</v>
      </c>
      <c r="L22" s="16"/>
      <c r="M22" s="18" t="s">
        <v>5165</v>
      </c>
      <c r="N22" s="16"/>
      <c r="O22" s="18" t="s">
        <v>5915</v>
      </c>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c r="R23" s="16"/>
      <c r="S23" s="18"/>
      <c r="T23" s="20"/>
    </row>
    <row r="24" spans="1:20" ht="15.95" customHeight="1" x14ac:dyDescent="0.25">
      <c r="A24" s="18" t="s">
        <v>523</v>
      </c>
      <c r="B24" s="16"/>
      <c r="C24" s="18" t="s">
        <v>2262</v>
      </c>
      <c r="D24" s="16"/>
      <c r="E24" s="18" t="s">
        <v>2983</v>
      </c>
      <c r="F24" s="16"/>
      <c r="G24" s="18" t="s">
        <v>1517</v>
      </c>
      <c r="H24" s="16"/>
      <c r="I24" s="18" t="s">
        <v>3725</v>
      </c>
      <c r="J24" s="16"/>
      <c r="K24" s="18" t="s">
        <v>4463</v>
      </c>
      <c r="L24" s="16"/>
      <c r="M24" s="18" t="s">
        <v>5131</v>
      </c>
      <c r="N24" s="16"/>
      <c r="O24" s="18" t="s">
        <v>5880</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O3" sqref="O3:O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t="s">
        <v>4498</v>
      </c>
      <c r="L3" s="16" t="str">
        <f>TRIM(_xlfn.TEXTBEFORE(K3, ":"))</f>
        <v>아이템 종류</v>
      </c>
      <c r="M3" s="17" t="s">
        <v>5166</v>
      </c>
      <c r="N3" s="16" t="str">
        <f>TRIM(_xlfn.TEXTBEFORE(M3, ":"))</f>
        <v>Classe do Item</v>
      </c>
      <c r="O3" s="17" t="s">
        <v>5916</v>
      </c>
      <c r="P3" s="16" t="str">
        <f>TRIM(_xlfn.TEXTBEFORE(O3, ":"))</f>
        <v>Класс предмета</v>
      </c>
      <c r="Q3" s="17"/>
      <c r="R3" s="16" t="e">
        <f>TRIM(_xlfn.TEXTBEFORE(Q3, ":"))</f>
        <v>#N/A</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t="s">
        <v>4066</v>
      </c>
      <c r="L4" s="16" t="str">
        <f>TRIM(_xlfn.TEXTAFTER(K3, ":"))</f>
        <v>장신구</v>
      </c>
      <c r="M4" s="18" t="s">
        <v>4787</v>
      </c>
      <c r="N4" s="16" t="str">
        <f>TRIM(_xlfn.TEXTAFTER(M3, ":"))</f>
        <v>Adornos</v>
      </c>
      <c r="O4" s="18" t="s">
        <v>5480</v>
      </c>
      <c r="P4" s="16" t="str">
        <f>TRIM(_xlfn.TEXTAFTER(O3, ":"))</f>
        <v>Украшения</v>
      </c>
      <c r="Q4" s="18"/>
      <c r="R4" s="16" t="e">
        <f>TRIM(_xlfn.TEXTAFTER(Q3, ":"))</f>
        <v>#N/A</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t="s">
        <v>4499</v>
      </c>
      <c r="L5" s="16" t="str">
        <f>TRIM(_xlfn.TEXTBEFORE(K4, ":"))</f>
        <v>아이템 희귀도</v>
      </c>
      <c r="M5" s="18" t="s">
        <v>5167</v>
      </c>
      <c r="N5" s="16" t="str">
        <f>TRIM(_xlfn.TEXTBEFORE(M4, ":"))</f>
        <v>Raridade</v>
      </c>
      <c r="O5" s="18" t="s">
        <v>5917</v>
      </c>
      <c r="P5" s="16" t="str">
        <f>TRIM(_xlfn.TEXTBEFORE(O4, ":"))</f>
        <v>Редкость</v>
      </c>
      <c r="Q5" s="18"/>
      <c r="R5" s="16" t="e">
        <f>TRIM(_xlfn.TEXTBEFORE(Q4, ":"))</f>
        <v>#N/A</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t="s">
        <v>4500</v>
      </c>
      <c r="L6" s="16" t="str">
        <f>TRIM(_xlfn.TEXTAFTER(K4,":"))</f>
        <v>희귀</v>
      </c>
      <c r="M6" s="18" t="s">
        <v>5168</v>
      </c>
      <c r="N6" s="16" t="str">
        <f>TRIM(_xlfn.TEXTAFTER(M4,":"))</f>
        <v>Raro</v>
      </c>
      <c r="O6" s="18" t="s">
        <v>5918</v>
      </c>
      <c r="P6" s="16" t="str">
        <f>TRIM(_xlfn.TEXTAFTER(O4,":"))</f>
        <v>Редкий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c r="R8" s="16"/>
      <c r="S8" s="18"/>
      <c r="T8" s="20"/>
    </row>
    <row r="9" spans="1:20" ht="15.95" customHeight="1" x14ac:dyDescent="0.25">
      <c r="A9" s="18" t="s">
        <v>1558</v>
      </c>
      <c r="B9" s="16"/>
      <c r="C9" s="18" t="s">
        <v>2300</v>
      </c>
      <c r="D9" s="16"/>
      <c r="E9" s="18" t="s">
        <v>3021</v>
      </c>
      <c r="F9" s="16"/>
      <c r="G9" s="18" t="s">
        <v>1577</v>
      </c>
      <c r="H9" s="16"/>
      <c r="I9" s="18" t="s">
        <v>3763</v>
      </c>
      <c r="J9" s="16"/>
      <c r="K9" s="18" t="s">
        <v>4501</v>
      </c>
      <c r="L9" s="16"/>
      <c r="M9" s="18" t="s">
        <v>5169</v>
      </c>
      <c r="N9" s="16"/>
      <c r="O9" s="18" t="s">
        <v>5919</v>
      </c>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c r="R12" s="16"/>
      <c r="S12" s="18"/>
      <c r="T12" s="20"/>
    </row>
    <row r="13" spans="1:20" ht="15.95" customHeight="1" x14ac:dyDescent="0.25">
      <c r="A13" s="18" t="s">
        <v>1559</v>
      </c>
      <c r="B13" s="16"/>
      <c r="C13" s="18" t="s">
        <v>2301</v>
      </c>
      <c r="D13" s="16"/>
      <c r="E13" s="18" t="s">
        <v>3022</v>
      </c>
      <c r="F13" s="16"/>
      <c r="G13" s="18" t="s">
        <v>1578</v>
      </c>
      <c r="H13" s="16"/>
      <c r="I13" s="18" t="s">
        <v>3764</v>
      </c>
      <c r="J13" s="16"/>
      <c r="K13" s="18" t="s">
        <v>4502</v>
      </c>
      <c r="L13" s="16"/>
      <c r="M13" s="18" t="s">
        <v>5170</v>
      </c>
      <c r="N13" s="16"/>
      <c r="O13" s="18" t="s">
        <v>5920</v>
      </c>
      <c r="P13" s="16"/>
      <c r="Q13" s="18"/>
      <c r="R13" s="16"/>
      <c r="S13" s="18"/>
      <c r="T13" s="20"/>
    </row>
    <row r="14" spans="1:20" ht="15.95" customHeight="1" x14ac:dyDescent="0.25">
      <c r="A14" s="18" t="s">
        <v>1560</v>
      </c>
      <c r="B14" s="16"/>
      <c r="C14" s="18" t="s">
        <v>2302</v>
      </c>
      <c r="D14" s="16"/>
      <c r="E14" s="18" t="s">
        <v>3023</v>
      </c>
      <c r="F14" s="16"/>
      <c r="G14" s="18" t="s">
        <v>1579</v>
      </c>
      <c r="H14" s="16"/>
      <c r="I14" s="18" t="s">
        <v>3765</v>
      </c>
      <c r="J14" s="16"/>
      <c r="K14" s="18" t="s">
        <v>4503</v>
      </c>
      <c r="L14" s="16"/>
      <c r="M14" s="18" t="s">
        <v>5171</v>
      </c>
      <c r="N14" s="16"/>
      <c r="O14" s="18" t="s">
        <v>5921</v>
      </c>
      <c r="P14" s="16"/>
      <c r="Q14" s="18"/>
      <c r="R14" s="16"/>
      <c r="S14" s="18"/>
      <c r="T14" s="20"/>
    </row>
    <row r="15" spans="1:20" ht="15.95" customHeight="1" x14ac:dyDescent="0.25">
      <c r="A15" s="18" t="s">
        <v>1561</v>
      </c>
      <c r="B15" s="16"/>
      <c r="C15" s="18" t="s">
        <v>2303</v>
      </c>
      <c r="D15" s="16"/>
      <c r="E15" s="18" t="s">
        <v>3024</v>
      </c>
      <c r="F15" s="16"/>
      <c r="G15" s="18" t="s">
        <v>1580</v>
      </c>
      <c r="H15" s="16"/>
      <c r="I15" s="18" t="s">
        <v>3766</v>
      </c>
      <c r="J15" s="16"/>
      <c r="K15" s="18" t="s">
        <v>4504</v>
      </c>
      <c r="L15" s="16"/>
      <c r="M15" s="18" t="s">
        <v>5172</v>
      </c>
      <c r="N15" s="16"/>
      <c r="O15" s="18" t="s">
        <v>5922</v>
      </c>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c r="R16" s="16"/>
      <c r="S16" s="18"/>
      <c r="T16" s="20"/>
    </row>
    <row r="17" spans="1:20" ht="15.95" customHeight="1" x14ac:dyDescent="0.25">
      <c r="A17" s="18" t="s">
        <v>1562</v>
      </c>
      <c r="B17" s="16"/>
      <c r="C17" s="18" t="s">
        <v>2304</v>
      </c>
      <c r="D17" s="16"/>
      <c r="E17" s="18" t="s">
        <v>3025</v>
      </c>
      <c r="F17" s="16"/>
      <c r="G17" s="18" t="s">
        <v>1581</v>
      </c>
      <c r="H17" s="16"/>
      <c r="I17" s="18" t="s">
        <v>3767</v>
      </c>
      <c r="J17" s="16"/>
      <c r="K17" s="18" t="s">
        <v>4505</v>
      </c>
      <c r="L17" s="16"/>
      <c r="M17" s="18" t="s">
        <v>5173</v>
      </c>
      <c r="N17" s="16"/>
      <c r="O17" s="18" t="s">
        <v>5923</v>
      </c>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c r="R18" s="16"/>
      <c r="S18" s="18"/>
      <c r="T18" s="20"/>
    </row>
    <row r="19" spans="1:20" ht="15.95" customHeight="1" x14ac:dyDescent="0.25">
      <c r="A19" s="18" t="s">
        <v>78</v>
      </c>
      <c r="B19" s="16"/>
      <c r="C19" s="18" t="s">
        <v>1640</v>
      </c>
      <c r="D19" s="16"/>
      <c r="E19" s="18" t="s">
        <v>2345</v>
      </c>
      <c r="F19" s="16"/>
      <c r="G19" s="18" t="s">
        <v>914</v>
      </c>
      <c r="H19" s="16"/>
      <c r="I19" s="18" t="s">
        <v>3055</v>
      </c>
      <c r="J19" s="16"/>
      <c r="K19" s="18" t="s">
        <v>3809</v>
      </c>
      <c r="L19" s="16"/>
      <c r="M19" s="18" t="s">
        <v>4539</v>
      </c>
      <c r="N19" s="16"/>
      <c r="O19" s="18" t="s">
        <v>5220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t="s">
        <v>4506</v>
      </c>
      <c r="L3" s="16" t="str">
        <f>TRIM(_xlfn.TEXTBEFORE(K3, ":"))</f>
        <v>아이템 종류</v>
      </c>
      <c r="M3" s="17" t="s">
        <v>5174</v>
      </c>
      <c r="N3" s="16" t="str">
        <f>TRIM(_xlfn.TEXTBEFORE(M3, ":"))</f>
        <v>Classe do Item</v>
      </c>
      <c r="O3" s="17" t="s">
        <v>5924</v>
      </c>
      <c r="P3" s="16" t="str">
        <f>TRIM(_xlfn.TEXTBEFORE(O3, ":"))</f>
        <v>Класс предмета</v>
      </c>
      <c r="Q3" s="17"/>
      <c r="R3" s="16" t="e">
        <f>TRIM(_xlfn.TEXTBEFORE(Q3, ":"))</f>
        <v>#N/A</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t="s">
        <v>3857</v>
      </c>
      <c r="L4" s="16" t="str">
        <f>TRIM(_xlfn.TEXTAFTER(K3, ":"))</f>
        <v>낚싯대</v>
      </c>
      <c r="M4" s="18" t="s">
        <v>4586</v>
      </c>
      <c r="N4" s="16" t="str">
        <f>TRIM(_xlfn.TEXTAFTER(M3, ":"))</f>
        <v>Varas de Pescar</v>
      </c>
      <c r="O4" s="18" t="s">
        <v>5269</v>
      </c>
      <c r="P4" s="16" t="str">
        <f>TRIM(_xlfn.TEXTAFTER(O3, ":"))</f>
        <v>Удочки</v>
      </c>
      <c r="Q4" s="18"/>
      <c r="R4" s="16" t="e">
        <f>TRIM(_xlfn.TEXTAFTER(Q3, ":"))</f>
        <v>#N/A</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t="s">
        <v>4507</v>
      </c>
      <c r="L5" s="16" t="str">
        <f>TRIM(_xlfn.TEXTBEFORE(K4, ":"))</f>
        <v>아이템 희귀도</v>
      </c>
      <c r="M5" s="18" t="s">
        <v>5175</v>
      </c>
      <c r="N5" s="16" t="str">
        <f>TRIM(_xlfn.TEXTBEFORE(M4, ":"))</f>
        <v>Raridade</v>
      </c>
      <c r="O5" s="18" t="s">
        <v>5925</v>
      </c>
      <c r="P5" s="16" t="str">
        <f>TRIM(_xlfn.TEXTBEFORE(O4, ":"))</f>
        <v>Редкость</v>
      </c>
      <c r="Q5" s="18"/>
      <c r="R5" s="16" t="e">
        <f>TRIM(_xlfn.TEXTBEFORE(Q4, ":"))</f>
        <v>#N/A</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t="s">
        <v>4508</v>
      </c>
      <c r="L6" s="16" t="str">
        <f>TRIM(_xlfn.TEXTAFTER(K4,":"))</f>
        <v>고유</v>
      </c>
      <c r="M6" s="18" t="s">
        <v>5176</v>
      </c>
      <c r="N6" s="16" t="str">
        <f>TRIM(_xlfn.TEXTAFTER(M4,":"))</f>
        <v>Único</v>
      </c>
      <c r="O6" s="18" t="s">
        <v>5926</v>
      </c>
      <c r="P6" s="16" t="str">
        <f>TRIM(_xlfn.TEXTAFTER(O4,":"))</f>
        <v>Уникальный</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c r="R7" s="16"/>
      <c r="S7" s="18"/>
      <c r="T7" s="20"/>
    </row>
    <row r="8" spans="1:20" ht="15.95" customHeight="1" x14ac:dyDescent="0.25">
      <c r="A8" s="18" t="s">
        <v>1565</v>
      </c>
      <c r="B8" s="16"/>
      <c r="C8" s="18" t="s">
        <v>2307</v>
      </c>
      <c r="D8" s="16"/>
      <c r="E8" s="18" t="s">
        <v>3028</v>
      </c>
      <c r="F8" s="16"/>
      <c r="G8" s="18" t="s">
        <v>1584</v>
      </c>
      <c r="H8" s="16"/>
      <c r="I8" s="18" t="s">
        <v>3770</v>
      </c>
      <c r="J8" s="16"/>
      <c r="K8" s="18" t="s">
        <v>4508</v>
      </c>
      <c r="L8" s="16"/>
      <c r="M8" s="18" t="s">
        <v>5176</v>
      </c>
      <c r="N8" s="16"/>
      <c r="O8" s="18" t="s">
        <v>5926</v>
      </c>
      <c r="P8" s="16"/>
      <c r="Q8" s="18"/>
      <c r="R8" s="16"/>
      <c r="S8" s="18"/>
      <c r="T8" s="20"/>
    </row>
    <row r="9" spans="1:20" ht="15.95" customHeight="1" x14ac:dyDescent="0.25">
      <c r="A9" s="18" t="s">
        <v>1566</v>
      </c>
      <c r="B9" s="16"/>
      <c r="C9" s="18" t="s">
        <v>2308</v>
      </c>
      <c r="D9" s="16"/>
      <c r="E9" s="18" t="s">
        <v>3029</v>
      </c>
      <c r="F9" s="16"/>
      <c r="G9" s="18" t="s">
        <v>1585</v>
      </c>
      <c r="H9" s="16"/>
      <c r="I9" s="18" t="s">
        <v>3771</v>
      </c>
      <c r="J9" s="16"/>
      <c r="K9" s="18" t="s">
        <v>4509</v>
      </c>
      <c r="L9" s="16"/>
      <c r="M9" s="18" t="s">
        <v>5177</v>
      </c>
      <c r="N9" s="16"/>
      <c r="O9" s="18" t="s">
        <v>5927</v>
      </c>
      <c r="P9" s="16"/>
      <c r="Q9" s="18"/>
      <c r="R9" s="16"/>
      <c r="S9" s="18"/>
      <c r="T9" s="20"/>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c r="R10" s="16"/>
      <c r="S10" s="18"/>
      <c r="T10" s="20"/>
    </row>
    <row r="11" spans="1:20" ht="15.95" customHeight="1" x14ac:dyDescent="0.25">
      <c r="A11" s="18" t="s">
        <v>1567</v>
      </c>
      <c r="B11" s="16"/>
      <c r="C11" s="18" t="s">
        <v>2309</v>
      </c>
      <c r="D11" s="16"/>
      <c r="E11" s="18" t="s">
        <v>3030</v>
      </c>
      <c r="F11" s="16"/>
      <c r="G11" s="18" t="s">
        <v>1586</v>
      </c>
      <c r="H11" s="16"/>
      <c r="I11" s="18" t="s">
        <v>3772</v>
      </c>
      <c r="J11" s="16"/>
      <c r="K11" s="18" t="s">
        <v>4510</v>
      </c>
      <c r="L11" s="16"/>
      <c r="M11" s="18" t="s">
        <v>5178</v>
      </c>
      <c r="N11" s="16"/>
      <c r="O11" s="18" t="s">
        <v>5928</v>
      </c>
      <c r="P11" s="16"/>
      <c r="Q11" s="18"/>
      <c r="R11" s="16"/>
      <c r="S11" s="18"/>
      <c r="T11" s="20"/>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c r="R13" s="16"/>
      <c r="S13" s="18"/>
      <c r="T13" s="20"/>
    </row>
    <row r="14" spans="1:20" ht="15.95" customHeight="1" x14ac:dyDescent="0.25">
      <c r="A14" s="18" t="s">
        <v>160</v>
      </c>
      <c r="B14" s="16"/>
      <c r="C14" s="18" t="s">
        <v>1869</v>
      </c>
      <c r="D14" s="16"/>
      <c r="E14" s="18" t="s">
        <v>2587</v>
      </c>
      <c r="F14" s="16"/>
      <c r="G14" s="18" t="s">
        <v>1132</v>
      </c>
      <c r="H14" s="16"/>
      <c r="I14" s="18" t="s">
        <v>3311</v>
      </c>
      <c r="J14" s="16"/>
      <c r="K14" s="18" t="s">
        <v>4056</v>
      </c>
      <c r="L14" s="16"/>
      <c r="M14" s="18" t="s">
        <v>4777</v>
      </c>
      <c r="N14" s="16"/>
      <c r="O14" s="18" t="s">
        <v>5470</v>
      </c>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c r="R17" s="16"/>
      <c r="S17" s="18"/>
      <c r="T17" s="20"/>
    </row>
    <row r="18" spans="1:20" ht="15.95" customHeight="1" x14ac:dyDescent="0.25">
      <c r="A18" s="18" t="s">
        <v>1568</v>
      </c>
      <c r="B18" s="16"/>
      <c r="C18" s="18" t="s">
        <v>2310</v>
      </c>
      <c r="D18" s="16"/>
      <c r="E18" s="18" t="s">
        <v>3031</v>
      </c>
      <c r="F18" s="16"/>
      <c r="G18" s="18" t="s">
        <v>1587</v>
      </c>
      <c r="H18" s="16"/>
      <c r="I18" s="18" t="s">
        <v>3773</v>
      </c>
      <c r="J18" s="16"/>
      <c r="K18" s="18" t="s">
        <v>4511</v>
      </c>
      <c r="L18" s="16"/>
      <c r="M18" s="18" t="s">
        <v>5179</v>
      </c>
      <c r="N18" s="16"/>
      <c r="O18" s="18" t="s">
        <v>5929</v>
      </c>
      <c r="P18" s="16"/>
      <c r="Q18" s="18"/>
      <c r="R18" s="16"/>
      <c r="S18" s="18"/>
      <c r="T18" s="20"/>
    </row>
    <row r="19" spans="1:20" ht="15.95" customHeight="1" x14ac:dyDescent="0.25">
      <c r="A19" s="18" t="s">
        <v>1569</v>
      </c>
      <c r="B19" s="16"/>
      <c r="C19" s="18" t="s">
        <v>2311</v>
      </c>
      <c r="D19" s="16"/>
      <c r="E19" s="18" t="s">
        <v>3032</v>
      </c>
      <c r="F19" s="16"/>
      <c r="G19" s="18" t="s">
        <v>1588</v>
      </c>
      <c r="H19" s="16"/>
      <c r="I19" s="18" t="s">
        <v>3774</v>
      </c>
      <c r="J19" s="16"/>
      <c r="K19" s="18" t="s">
        <v>4512</v>
      </c>
      <c r="L19" s="16"/>
      <c r="M19" s="18" t="s">
        <v>5180</v>
      </c>
      <c r="N19" s="16"/>
      <c r="O19" s="18" t="s">
        <v>5930</v>
      </c>
      <c r="P19" s="16"/>
      <c r="Q19" s="18"/>
      <c r="R19" s="16"/>
      <c r="S19" s="18"/>
      <c r="T19" s="20"/>
    </row>
    <row r="20" spans="1:20" ht="15.95" customHeight="1" x14ac:dyDescent="0.25">
      <c r="A20" s="18" t="s">
        <v>1570</v>
      </c>
      <c r="B20" s="16"/>
      <c r="C20" s="18" t="s">
        <v>2312</v>
      </c>
      <c r="D20" s="16"/>
      <c r="E20" s="18" t="s">
        <v>3033</v>
      </c>
      <c r="F20" s="16"/>
      <c r="G20" s="18" t="s">
        <v>1589</v>
      </c>
      <c r="H20" s="16"/>
      <c r="I20" s="18" t="s">
        <v>3775</v>
      </c>
      <c r="J20" s="16"/>
      <c r="K20" s="18" t="s">
        <v>4513</v>
      </c>
      <c r="L20" s="16"/>
      <c r="M20" s="18" t="s">
        <v>5181</v>
      </c>
      <c r="N20" s="16"/>
      <c r="O20" s="18" t="s">
        <v>5931</v>
      </c>
      <c r="P20" s="16"/>
      <c r="Q20" s="18"/>
      <c r="R20" s="16"/>
      <c r="S20" s="18"/>
      <c r="T20" s="20"/>
    </row>
    <row r="21" spans="1:20" ht="15.95" customHeight="1" x14ac:dyDescent="0.25">
      <c r="A21" s="18" t="s">
        <v>1571</v>
      </c>
      <c r="B21" s="16"/>
      <c r="C21" s="18" t="s">
        <v>2313</v>
      </c>
      <c r="D21" s="16"/>
      <c r="E21" s="18" t="s">
        <v>3034</v>
      </c>
      <c r="F21" s="16"/>
      <c r="G21" s="18" t="s">
        <v>1590</v>
      </c>
      <c r="H21" s="16"/>
      <c r="I21" s="18" t="s">
        <v>3776</v>
      </c>
      <c r="J21" s="16"/>
      <c r="K21" s="18" t="s">
        <v>4514</v>
      </c>
      <c r="L21" s="16"/>
      <c r="M21" s="18" t="s">
        <v>5182</v>
      </c>
      <c r="N21" s="16"/>
      <c r="O21" s="18" t="s">
        <v>5932</v>
      </c>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c r="R22" s="16"/>
      <c r="S22" s="18"/>
      <c r="T22" s="20"/>
    </row>
    <row r="23" spans="1:20" ht="15.95" customHeight="1" x14ac:dyDescent="0.25">
      <c r="A23" s="18" t="s">
        <v>1572</v>
      </c>
      <c r="B23" s="16"/>
      <c r="C23" s="18" t="s">
        <v>2314</v>
      </c>
      <c r="D23" s="16"/>
      <c r="E23" s="18" t="s">
        <v>3035</v>
      </c>
      <c r="F23" s="16"/>
      <c r="G23" s="18" t="s">
        <v>1591</v>
      </c>
      <c r="H23" s="16"/>
      <c r="I23" s="18" t="s">
        <v>3777</v>
      </c>
      <c r="J23" s="16"/>
      <c r="K23" s="18" t="s">
        <v>4515</v>
      </c>
      <c r="L23" s="16"/>
      <c r="M23" s="18" t="s">
        <v>5183</v>
      </c>
      <c r="N23" s="16"/>
      <c r="O23" s="18" t="s">
        <v>5933</v>
      </c>
      <c r="P23" s="16"/>
      <c r="Q23" s="18"/>
      <c r="R23" s="16"/>
      <c r="S23" s="18"/>
      <c r="T23" s="20"/>
    </row>
    <row r="24" spans="1:20" ht="15.95" customHeight="1" x14ac:dyDescent="0.25">
      <c r="A24" s="18" t="s">
        <v>1573</v>
      </c>
      <c r="B24" s="16"/>
      <c r="C24" s="18" t="s">
        <v>2315</v>
      </c>
      <c r="D24" s="16"/>
      <c r="E24" s="18" t="s">
        <v>3036</v>
      </c>
      <c r="F24" s="16"/>
      <c r="G24" s="18" t="s">
        <v>1592</v>
      </c>
      <c r="H24" s="16"/>
      <c r="I24" s="18" t="s">
        <v>3778</v>
      </c>
      <c r="J24" s="16"/>
      <c r="K24" s="18" t="s">
        <v>4516</v>
      </c>
      <c r="L24" s="16"/>
      <c r="M24" s="18" t="s">
        <v>5184</v>
      </c>
      <c r="N24" s="16"/>
      <c r="O24" s="18" t="s">
        <v>5934</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2023-11-15T02:35:52Z</dcterms:modified>
</cp:coreProperties>
</file>