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F9894D6F-E87B-448D-80E2-9DE11ABCBCA6}" xr6:coauthVersionLast="47" xr6:coauthVersionMax="47" xr10:uidLastSave="{00000000-0000-0000-0000-000000000000}"/>
  <bookViews>
    <workbookView xWindow="-1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9" i="70" l="1"/>
  <c r="T8" i="70"/>
  <c r="T8" i="71"/>
  <c r="T9" i="72"/>
  <c r="T39" i="2"/>
  <c r="S39" i="2"/>
  <c r="Q39" i="2"/>
  <c r="R39" i="2" s="1"/>
  <c r="P39" i="2"/>
  <c r="O39" i="2"/>
  <c r="N39" i="2"/>
  <c r="M39" i="2"/>
  <c r="L39" i="2"/>
  <c r="K39" i="2"/>
  <c r="J39" i="2"/>
  <c r="I39" i="2"/>
  <c r="H39" i="2"/>
  <c r="G39" i="2"/>
  <c r="E39" i="2"/>
  <c r="F39" i="2" s="1"/>
  <c r="C39" i="2"/>
  <c r="D39" i="2" s="1"/>
  <c r="B98" i="2"/>
  <c r="A98" i="2"/>
  <c r="A97" i="2"/>
  <c r="B97" i="2" s="1"/>
  <c r="A67" i="2"/>
  <c r="B67" i="2" s="1"/>
  <c r="B33" i="39" a="1"/>
  <c r="B33" i="39"/>
  <c r="C33" i="39" s="1"/>
  <c r="B32" i="39" a="1"/>
  <c r="B32" i="39"/>
  <c r="C32" i="39" s="1"/>
  <c r="B31" i="39" a="1"/>
  <c r="B31" i="39"/>
  <c r="C31" i="39" s="1"/>
  <c r="B30" i="39" a="1"/>
  <c r="B30" i="39"/>
  <c r="C30" i="39" s="1"/>
  <c r="B29" i="39" a="1"/>
  <c r="B29" i="39"/>
  <c r="C29" i="39" s="1"/>
  <c r="B28" i="39" a="1"/>
  <c r="B28" i="39"/>
  <c r="C28" i="39" s="1"/>
  <c r="B27" i="39" a="1"/>
  <c r="B27" i="39"/>
  <c r="C27" i="39" s="1"/>
  <c r="B26" i="39" a="1"/>
  <c r="B26" i="39"/>
  <c r="C26" i="39" s="1"/>
  <c r="B25" i="39" a="1"/>
  <c r="B25" i="39"/>
  <c r="C25" i="39" s="1"/>
  <c r="B24" i="39" a="1"/>
  <c r="B24" i="39"/>
  <c r="C24" i="39" s="1"/>
  <c r="B23" i="39" a="1"/>
  <c r="B23" i="39"/>
  <c r="C23" i="39" s="1"/>
  <c r="B22" i="39" a="1"/>
  <c r="B22" i="39"/>
  <c r="C22" i="39" s="1"/>
  <c r="B21" i="39" a="1"/>
  <c r="B21" i="39"/>
  <c r="C21" i="39" s="1"/>
  <c r="B20" i="39" a="1"/>
  <c r="B20" i="39"/>
  <c r="C20" i="39" s="1"/>
  <c r="T6" i="86"/>
  <c r="R6" i="86"/>
  <c r="P6" i="86"/>
  <c r="N6" i="86"/>
  <c r="L6" i="86"/>
  <c r="J6" i="86"/>
  <c r="H6" i="86"/>
  <c r="F6" i="86"/>
  <c r="D6" i="86"/>
  <c r="B6" i="86"/>
  <c r="T5" i="86"/>
  <c r="R5" i="86"/>
  <c r="P5" i="86"/>
  <c r="N5" i="86"/>
  <c r="L5" i="86"/>
  <c r="J5" i="86"/>
  <c r="H5" i="86"/>
  <c r="F5" i="86"/>
  <c r="D5" i="86"/>
  <c r="B5" i="86"/>
  <c r="T4" i="86"/>
  <c r="S67" i="2" s="1"/>
  <c r="T67" i="2" s="1"/>
  <c r="R4" i="86"/>
  <c r="Q67" i="2" s="1"/>
  <c r="R67" i="2" s="1"/>
  <c r="P4" i="86"/>
  <c r="O67" i="2" s="1"/>
  <c r="P67" i="2" s="1"/>
  <c r="N4" i="86"/>
  <c r="M67" i="2" s="1"/>
  <c r="N67" i="2" s="1"/>
  <c r="L4" i="86"/>
  <c r="K67" i="2" s="1"/>
  <c r="L67" i="2" s="1"/>
  <c r="J4" i="86"/>
  <c r="I67" i="2" s="1"/>
  <c r="J67" i="2" s="1"/>
  <c r="H4" i="86"/>
  <c r="G67" i="2" s="1"/>
  <c r="H67" i="2" s="1"/>
  <c r="F4" i="86"/>
  <c r="E67" i="2" s="1"/>
  <c r="F67" i="2" s="1"/>
  <c r="D4" i="86"/>
  <c r="C67" i="2" s="1"/>
  <c r="D67"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98" i="2" s="1"/>
  <c r="T98" i="2" s="1"/>
  <c r="R4" i="85"/>
  <c r="Q98" i="2" s="1"/>
  <c r="R98" i="2" s="1"/>
  <c r="P4" i="85"/>
  <c r="O98" i="2" s="1"/>
  <c r="P98" i="2" s="1"/>
  <c r="N4" i="85"/>
  <c r="M98" i="2" s="1"/>
  <c r="N98" i="2" s="1"/>
  <c r="L4" i="85"/>
  <c r="K98" i="2" s="1"/>
  <c r="L98" i="2" s="1"/>
  <c r="J4" i="85"/>
  <c r="I98" i="2" s="1"/>
  <c r="J98" i="2" s="1"/>
  <c r="H4" i="85"/>
  <c r="G98" i="2" s="1"/>
  <c r="H98" i="2" s="1"/>
  <c r="F4" i="85"/>
  <c r="E98" i="2" s="1"/>
  <c r="F98" i="2" s="1"/>
  <c r="D4" i="85"/>
  <c r="C98" i="2" s="1"/>
  <c r="D98"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97" i="2" s="1"/>
  <c r="T97" i="2" s="1"/>
  <c r="R4" i="84"/>
  <c r="Q97" i="2" s="1"/>
  <c r="R97" i="2" s="1"/>
  <c r="P4" i="84"/>
  <c r="O97" i="2" s="1"/>
  <c r="P97" i="2" s="1"/>
  <c r="N4" i="84"/>
  <c r="M97" i="2" s="1"/>
  <c r="N97" i="2" s="1"/>
  <c r="L4" i="84"/>
  <c r="K97" i="2" s="1"/>
  <c r="L97" i="2" s="1"/>
  <c r="J4" i="84"/>
  <c r="I97" i="2" s="1"/>
  <c r="J97" i="2" s="1"/>
  <c r="H4" i="84"/>
  <c r="G97" i="2" s="1"/>
  <c r="H97" i="2" s="1"/>
  <c r="F4" i="84"/>
  <c r="E97" i="2" s="1"/>
  <c r="F97" i="2" s="1"/>
  <c r="D4" i="84"/>
  <c r="C97" i="2" s="1"/>
  <c r="D97" i="2" s="1"/>
  <c r="B4" i="84"/>
  <c r="T3" i="84"/>
  <c r="R3" i="84"/>
  <c r="P3" i="84"/>
  <c r="N3" i="84"/>
  <c r="L3" i="84"/>
  <c r="J3" i="84"/>
  <c r="H3" i="84"/>
  <c r="F3" i="84"/>
  <c r="D3" i="84"/>
  <c r="B3" i="84"/>
  <c r="A1" i="84"/>
  <c r="T5" i="2"/>
  <c r="R5" i="2"/>
  <c r="P5" i="2"/>
  <c r="N5" i="2"/>
  <c r="L5" i="2"/>
  <c r="J5" i="2"/>
  <c r="H5" i="2"/>
  <c r="F5" i="2"/>
  <c r="D5" i="2"/>
  <c r="B5" i="2"/>
  <c r="A39" i="2"/>
  <c r="B39" i="2" s="1"/>
  <c r="A38"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27"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96" i="2"/>
  <c r="L96" i="2" s="1"/>
  <c r="I96" i="2"/>
  <c r="J96" i="2" s="1"/>
  <c r="G95" i="2"/>
  <c r="H95" i="2" s="1"/>
  <c r="O94" i="2"/>
  <c r="P94" i="2" s="1"/>
  <c r="M94" i="2"/>
  <c r="N94" i="2" s="1"/>
  <c r="G94" i="2"/>
  <c r="H94" i="2" s="1"/>
  <c r="C94" i="2"/>
  <c r="D94" i="2" s="1"/>
  <c r="O66" i="2"/>
  <c r="P66" i="2" s="1"/>
  <c r="A96" i="2"/>
  <c r="B96" i="2" s="1"/>
  <c r="E93" i="2"/>
  <c r="F93" i="2" s="1"/>
  <c r="C93" i="2"/>
  <c r="D93" i="2" s="1"/>
  <c r="O81" i="2"/>
  <c r="P81" i="2" s="1"/>
  <c r="K81" i="2"/>
  <c r="L81" i="2" s="1"/>
  <c r="I81" i="2"/>
  <c r="J81" i="2" s="1"/>
  <c r="A81" i="2"/>
  <c r="B81" i="2" s="1"/>
  <c r="O107" i="2"/>
  <c r="P107" i="2" s="1"/>
  <c r="I107" i="2"/>
  <c r="J107" i="2" s="1"/>
  <c r="T6" i="81"/>
  <c r="R6" i="81"/>
  <c r="P6" i="81"/>
  <c r="N6" i="81"/>
  <c r="L6" i="81"/>
  <c r="J6" i="81"/>
  <c r="H6" i="81"/>
  <c r="F6" i="81"/>
  <c r="D6" i="81"/>
  <c r="B6" i="81"/>
  <c r="T5" i="81"/>
  <c r="R5" i="81"/>
  <c r="P5" i="81"/>
  <c r="N5" i="81"/>
  <c r="L5" i="81"/>
  <c r="J5" i="81"/>
  <c r="H5" i="81"/>
  <c r="F5" i="81"/>
  <c r="D5" i="81"/>
  <c r="B5" i="81"/>
  <c r="T4" i="81"/>
  <c r="S107" i="2" s="1"/>
  <c r="T107" i="2" s="1"/>
  <c r="R4" i="81"/>
  <c r="Q107" i="2" s="1"/>
  <c r="R107" i="2" s="1"/>
  <c r="P4" i="81"/>
  <c r="N4" i="81"/>
  <c r="M107" i="2" s="1"/>
  <c r="N107" i="2" s="1"/>
  <c r="L4" i="81"/>
  <c r="K107" i="2" s="1"/>
  <c r="L107" i="2" s="1"/>
  <c r="J4" i="81"/>
  <c r="H4" i="81"/>
  <c r="G107" i="2" s="1"/>
  <c r="H107" i="2" s="1"/>
  <c r="F4" i="81"/>
  <c r="E107" i="2" s="1"/>
  <c r="F107" i="2" s="1"/>
  <c r="D4" i="81"/>
  <c r="C107" i="2" s="1"/>
  <c r="D107" i="2" s="1"/>
  <c r="B4" i="81"/>
  <c r="A107" i="2" s="1"/>
  <c r="B107"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96" i="2" s="1"/>
  <c r="T96" i="2" s="1"/>
  <c r="R4" i="80"/>
  <c r="Q96" i="2" s="1"/>
  <c r="R96" i="2" s="1"/>
  <c r="P4" i="80"/>
  <c r="O96" i="2" s="1"/>
  <c r="P96" i="2" s="1"/>
  <c r="N4" i="80"/>
  <c r="M96" i="2" s="1"/>
  <c r="N96" i="2" s="1"/>
  <c r="L4" i="80"/>
  <c r="J4" i="80"/>
  <c r="H4" i="80"/>
  <c r="G96" i="2" s="1"/>
  <c r="H96" i="2" s="1"/>
  <c r="F4" i="80"/>
  <c r="E96" i="2" s="1"/>
  <c r="F96" i="2" s="1"/>
  <c r="D4" i="80"/>
  <c r="C96" i="2" s="1"/>
  <c r="D96"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5" i="2" s="1"/>
  <c r="T95" i="2" s="1"/>
  <c r="R4" i="79"/>
  <c r="Q95" i="2" s="1"/>
  <c r="R95" i="2" s="1"/>
  <c r="P4" i="79"/>
  <c r="O95" i="2" s="1"/>
  <c r="P95" i="2" s="1"/>
  <c r="N4" i="79"/>
  <c r="M95" i="2" s="1"/>
  <c r="N95" i="2" s="1"/>
  <c r="L4" i="79"/>
  <c r="K95" i="2" s="1"/>
  <c r="L95" i="2" s="1"/>
  <c r="J4" i="79"/>
  <c r="I95" i="2" s="1"/>
  <c r="J95" i="2" s="1"/>
  <c r="H4" i="79"/>
  <c r="F4" i="79"/>
  <c r="E95" i="2" s="1"/>
  <c r="F95" i="2" s="1"/>
  <c r="D4" i="79"/>
  <c r="C95" i="2" s="1"/>
  <c r="D95" i="2" s="1"/>
  <c r="B4" i="79"/>
  <c r="A95" i="2" s="1"/>
  <c r="B95"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4" i="2" s="1"/>
  <c r="T94" i="2" s="1"/>
  <c r="R4" i="78"/>
  <c r="Q94" i="2" s="1"/>
  <c r="R94" i="2" s="1"/>
  <c r="P4" i="78"/>
  <c r="N4" i="78"/>
  <c r="L4" i="78"/>
  <c r="K94" i="2" s="1"/>
  <c r="L94" i="2" s="1"/>
  <c r="J4" i="78"/>
  <c r="I94" i="2" s="1"/>
  <c r="J94" i="2" s="1"/>
  <c r="H4" i="78"/>
  <c r="F4" i="78"/>
  <c r="E94" i="2" s="1"/>
  <c r="F94" i="2" s="1"/>
  <c r="D4" i="78"/>
  <c r="B4" i="78"/>
  <c r="A94" i="2" s="1"/>
  <c r="B94"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3" i="2" s="1"/>
  <c r="T93" i="2" s="1"/>
  <c r="R4" i="77"/>
  <c r="Q93" i="2" s="1"/>
  <c r="R93" i="2" s="1"/>
  <c r="P4" i="77"/>
  <c r="O93" i="2" s="1"/>
  <c r="P93" i="2" s="1"/>
  <c r="N4" i="77"/>
  <c r="M93" i="2" s="1"/>
  <c r="N93" i="2" s="1"/>
  <c r="L4" i="77"/>
  <c r="K93" i="2" s="1"/>
  <c r="L93" i="2" s="1"/>
  <c r="J4" i="77"/>
  <c r="I93" i="2" s="1"/>
  <c r="J93" i="2" s="1"/>
  <c r="H4" i="77"/>
  <c r="G93" i="2" s="1"/>
  <c r="H93" i="2" s="1"/>
  <c r="F4" i="77"/>
  <c r="D4" i="77"/>
  <c r="B4" i="77"/>
  <c r="A93" i="2" s="1"/>
  <c r="B93"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66" i="2" s="1"/>
  <c r="T66" i="2" s="1"/>
  <c r="R4" i="76"/>
  <c r="Q66" i="2" s="1"/>
  <c r="R66" i="2" s="1"/>
  <c r="P4" i="76"/>
  <c r="N4" i="76"/>
  <c r="M66" i="2" s="1"/>
  <c r="N66" i="2" s="1"/>
  <c r="L4" i="76"/>
  <c r="K66" i="2" s="1"/>
  <c r="L66" i="2" s="1"/>
  <c r="J4" i="76"/>
  <c r="I66" i="2" s="1"/>
  <c r="J66" i="2" s="1"/>
  <c r="H4" i="76"/>
  <c r="G66" i="2" s="1"/>
  <c r="H66" i="2" s="1"/>
  <c r="F4" i="76"/>
  <c r="E66" i="2" s="1"/>
  <c r="F66" i="2" s="1"/>
  <c r="D4" i="76"/>
  <c r="C66" i="2" s="1"/>
  <c r="D66" i="2" s="1"/>
  <c r="B4" i="76"/>
  <c r="A66" i="2" s="1"/>
  <c r="B66"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1" i="2" s="1"/>
  <c r="T81" i="2" s="1"/>
  <c r="R4" i="75"/>
  <c r="Q81" i="2" s="1"/>
  <c r="R81" i="2" s="1"/>
  <c r="P4" i="75"/>
  <c r="N4" i="75"/>
  <c r="M81" i="2" s="1"/>
  <c r="N81" i="2" s="1"/>
  <c r="L4" i="75"/>
  <c r="J4" i="75"/>
  <c r="H4" i="75"/>
  <c r="G81" i="2" s="1"/>
  <c r="H81" i="2" s="1"/>
  <c r="F4" i="75"/>
  <c r="E81" i="2" s="1"/>
  <c r="F81" i="2" s="1"/>
  <c r="D4" i="75"/>
  <c r="C81" i="2" s="1"/>
  <c r="D81"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2" i="2"/>
  <c r="T42" i="2" s="1"/>
  <c r="Q42" i="2"/>
  <c r="R42" i="2" s="1"/>
  <c r="O42" i="2"/>
  <c r="P42" i="2" s="1"/>
  <c r="M42" i="2"/>
  <c r="N42" i="2" s="1"/>
  <c r="K42" i="2"/>
  <c r="L42" i="2" s="1"/>
  <c r="I42" i="2"/>
  <c r="J42" i="2" s="1"/>
  <c r="G42" i="2"/>
  <c r="H42" i="2" s="1"/>
  <c r="E42" i="2"/>
  <c r="F42" i="2" s="1"/>
  <c r="C42" i="2"/>
  <c r="D42" i="2" s="1"/>
  <c r="A42" i="2"/>
  <c r="B42"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S34" i="2"/>
  <c r="T34" i="2" s="1"/>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11" i="2"/>
  <c r="T10" i="2"/>
  <c r="T9" i="2"/>
  <c r="T8" i="2"/>
  <c r="T7" i="2"/>
  <c r="T4" i="2"/>
  <c r="R4" i="2"/>
  <c r="P4" i="2"/>
  <c r="N4" i="2"/>
  <c r="L4" i="2"/>
  <c r="J4" i="2"/>
  <c r="H4" i="2"/>
  <c r="F4" i="2"/>
  <c r="D4" i="2"/>
  <c r="B11" i="2"/>
  <c r="B4" i="2"/>
  <c r="S127" i="2"/>
  <c r="T127" i="2" s="1"/>
  <c r="S126" i="2"/>
  <c r="T126" i="2" s="1"/>
  <c r="S125" i="2"/>
  <c r="T125" i="2" s="1"/>
  <c r="S124" i="2"/>
  <c r="T124" i="2" s="1"/>
  <c r="S123" i="2"/>
  <c r="T123" i="2" s="1"/>
  <c r="S122" i="2"/>
  <c r="T122" i="2" s="1"/>
  <c r="S121" i="2"/>
  <c r="T121" i="2" s="1"/>
  <c r="S120" i="2"/>
  <c r="T120" i="2" s="1"/>
  <c r="S119" i="2"/>
  <c r="T119" i="2" s="1"/>
  <c r="S118" i="2"/>
  <c r="T118" i="2" s="1"/>
  <c r="S117" i="2"/>
  <c r="T117" i="2" s="1"/>
  <c r="S116" i="2"/>
  <c r="T116" i="2" s="1"/>
  <c r="S115" i="2"/>
  <c r="T115" i="2" s="1"/>
  <c r="S114" i="2"/>
  <c r="T114" i="2" s="1"/>
  <c r="S113" i="2"/>
  <c r="T113" i="2" s="1"/>
  <c r="S112" i="2"/>
  <c r="T112" i="2" s="1"/>
  <c r="S111" i="2"/>
  <c r="T111" i="2" s="1"/>
  <c r="S110" i="2"/>
  <c r="T110" i="2" s="1"/>
  <c r="S109" i="2"/>
  <c r="T109" i="2" s="1"/>
  <c r="S108" i="2"/>
  <c r="T108" i="2" s="1"/>
  <c r="S106" i="2"/>
  <c r="T106" i="2" s="1"/>
  <c r="S105" i="2"/>
  <c r="T105" i="2" s="1"/>
  <c r="S104" i="2"/>
  <c r="T104" i="2" s="1"/>
  <c r="S103" i="2"/>
  <c r="T103" i="2" s="1"/>
  <c r="S102" i="2"/>
  <c r="T102" i="2" s="1"/>
  <c r="S101" i="2"/>
  <c r="T101" i="2" s="1"/>
  <c r="S100" i="2"/>
  <c r="T100" i="2" s="1"/>
  <c r="S99" i="2"/>
  <c r="T99" i="2" s="1"/>
  <c r="S92" i="2"/>
  <c r="T92" i="2" s="1"/>
  <c r="S91" i="2"/>
  <c r="T91" i="2" s="1"/>
  <c r="S90" i="2"/>
  <c r="T90" i="2" s="1"/>
  <c r="S89" i="2"/>
  <c r="T89" i="2" s="1"/>
  <c r="S88" i="2"/>
  <c r="T88" i="2" s="1"/>
  <c r="S87" i="2"/>
  <c r="T87" i="2" s="1"/>
  <c r="S86" i="2"/>
  <c r="T86" i="2" s="1"/>
  <c r="S85" i="2"/>
  <c r="T85" i="2" s="1"/>
  <c r="S84" i="2"/>
  <c r="T84" i="2" s="1"/>
  <c r="S83" i="2"/>
  <c r="T83" i="2" s="1"/>
  <c r="S82" i="2"/>
  <c r="T82" i="2" s="1"/>
  <c r="S80" i="2"/>
  <c r="T80" i="2" s="1"/>
  <c r="S79" i="2"/>
  <c r="T79" i="2" s="1"/>
  <c r="S78" i="2"/>
  <c r="T78" i="2" s="1"/>
  <c r="S77" i="2"/>
  <c r="T77" i="2" s="1"/>
  <c r="S76" i="2"/>
  <c r="T76" i="2" s="1"/>
  <c r="S75" i="2"/>
  <c r="T75" i="2" s="1"/>
  <c r="S74" i="2"/>
  <c r="T74" i="2" s="1"/>
  <c r="S73" i="2"/>
  <c r="T73" i="2" s="1"/>
  <c r="S72" i="2"/>
  <c r="T72" i="2" s="1"/>
  <c r="S71" i="2"/>
  <c r="T71" i="2" s="1"/>
  <c r="S70" i="2"/>
  <c r="T70" i="2" s="1"/>
  <c r="S69" i="2"/>
  <c r="T69" i="2" s="1"/>
  <c r="S68" i="2"/>
  <c r="T68" i="2" s="1"/>
  <c r="S65" i="2"/>
  <c r="T65" i="2" s="1"/>
  <c r="S64" i="2"/>
  <c r="T64" i="2" s="1"/>
  <c r="S63" i="2"/>
  <c r="T63" i="2" s="1"/>
  <c r="Q127" i="2"/>
  <c r="R127" i="2" s="1"/>
  <c r="Q123" i="2"/>
  <c r="R123" i="2" s="1"/>
  <c r="Q122" i="2"/>
  <c r="R122" i="2" s="1"/>
  <c r="Q121" i="2"/>
  <c r="R121" i="2" s="1"/>
  <c r="Q120" i="2"/>
  <c r="R120" i="2" s="1"/>
  <c r="Q119" i="2"/>
  <c r="R119" i="2" s="1"/>
  <c r="Q118" i="2"/>
  <c r="R118" i="2" s="1"/>
  <c r="Q117" i="2"/>
  <c r="R117" i="2" s="1"/>
  <c r="Q116" i="2"/>
  <c r="R116" i="2" s="1"/>
  <c r="Q115" i="2"/>
  <c r="R115" i="2" s="1"/>
  <c r="Q114" i="2"/>
  <c r="R114" i="2" s="1"/>
  <c r="Q113" i="2"/>
  <c r="R113" i="2" s="1"/>
  <c r="Q112" i="2"/>
  <c r="R112" i="2" s="1"/>
  <c r="Q111" i="2"/>
  <c r="R111" i="2" s="1"/>
  <c r="Q110" i="2"/>
  <c r="R110" i="2" s="1"/>
  <c r="Q109" i="2"/>
  <c r="R109" i="2" s="1"/>
  <c r="Q108" i="2"/>
  <c r="R108" i="2" s="1"/>
  <c r="Q106" i="2"/>
  <c r="R106" i="2" s="1"/>
  <c r="Q105" i="2"/>
  <c r="R105" i="2" s="1"/>
  <c r="Q104" i="2"/>
  <c r="R104" i="2" s="1"/>
  <c r="Q103" i="2"/>
  <c r="R103" i="2" s="1"/>
  <c r="Q102" i="2"/>
  <c r="R102" i="2" s="1"/>
  <c r="Q101" i="2"/>
  <c r="R101" i="2" s="1"/>
  <c r="Q100" i="2"/>
  <c r="R100" i="2" s="1"/>
  <c r="Q99" i="2"/>
  <c r="R99" i="2" s="1"/>
  <c r="Q92" i="2"/>
  <c r="R92" i="2" s="1"/>
  <c r="Q91" i="2"/>
  <c r="R91" i="2" s="1"/>
  <c r="Q90" i="2"/>
  <c r="R90" i="2" s="1"/>
  <c r="Q89" i="2"/>
  <c r="R89" i="2" s="1"/>
  <c r="Q88" i="2"/>
  <c r="R88" i="2" s="1"/>
  <c r="Q87" i="2"/>
  <c r="R87" i="2" s="1"/>
  <c r="Q86" i="2"/>
  <c r="R86" i="2" s="1"/>
  <c r="Q85" i="2"/>
  <c r="R85" i="2" s="1"/>
  <c r="Q84" i="2"/>
  <c r="R84" i="2" s="1"/>
  <c r="Q83" i="2"/>
  <c r="R83" i="2" s="1"/>
  <c r="Q82" i="2"/>
  <c r="R82" i="2" s="1"/>
  <c r="Q80" i="2"/>
  <c r="R80" i="2" s="1"/>
  <c r="Q79" i="2"/>
  <c r="R79" i="2" s="1"/>
  <c r="Q78" i="2"/>
  <c r="R78" i="2" s="1"/>
  <c r="Q77" i="2"/>
  <c r="R77" i="2" s="1"/>
  <c r="Q76" i="2"/>
  <c r="R76" i="2" s="1"/>
  <c r="Q75" i="2"/>
  <c r="R75" i="2" s="1"/>
  <c r="Q74" i="2"/>
  <c r="R74" i="2" s="1"/>
  <c r="Q73" i="2"/>
  <c r="R73" i="2" s="1"/>
  <c r="Q72" i="2"/>
  <c r="R72" i="2" s="1"/>
  <c r="Q71" i="2"/>
  <c r="R71" i="2" s="1"/>
  <c r="Q70" i="2"/>
  <c r="R70" i="2" s="1"/>
  <c r="Q69" i="2"/>
  <c r="R69" i="2" s="1"/>
  <c r="Q68" i="2"/>
  <c r="R68" i="2" s="1"/>
  <c r="Q65" i="2"/>
  <c r="R65" i="2" s="1"/>
  <c r="Q64" i="2"/>
  <c r="R64" i="2" s="1"/>
  <c r="Q63" i="2"/>
  <c r="R63" i="2" s="1"/>
  <c r="O127" i="2"/>
  <c r="P127" i="2" s="1"/>
  <c r="O123" i="2"/>
  <c r="P123" i="2" s="1"/>
  <c r="O122" i="2"/>
  <c r="P122" i="2" s="1"/>
  <c r="O121" i="2"/>
  <c r="P121" i="2" s="1"/>
  <c r="O120" i="2"/>
  <c r="P120" i="2" s="1"/>
  <c r="O119" i="2"/>
  <c r="P119" i="2" s="1"/>
  <c r="O118" i="2"/>
  <c r="P118" i="2" s="1"/>
  <c r="O117" i="2"/>
  <c r="P117" i="2" s="1"/>
  <c r="O116" i="2"/>
  <c r="P116" i="2" s="1"/>
  <c r="O115" i="2"/>
  <c r="P115" i="2" s="1"/>
  <c r="O114" i="2"/>
  <c r="P114" i="2" s="1"/>
  <c r="O113" i="2"/>
  <c r="P113" i="2" s="1"/>
  <c r="O112" i="2"/>
  <c r="P112" i="2" s="1"/>
  <c r="O111" i="2"/>
  <c r="P111" i="2" s="1"/>
  <c r="O110" i="2"/>
  <c r="P110" i="2" s="1"/>
  <c r="O109" i="2"/>
  <c r="P109" i="2" s="1"/>
  <c r="O108" i="2"/>
  <c r="P108" i="2" s="1"/>
  <c r="O106" i="2"/>
  <c r="P106" i="2" s="1"/>
  <c r="O105" i="2"/>
  <c r="P105" i="2" s="1"/>
  <c r="O104" i="2"/>
  <c r="P104" i="2" s="1"/>
  <c r="O103" i="2"/>
  <c r="P103" i="2" s="1"/>
  <c r="O102" i="2"/>
  <c r="P102" i="2" s="1"/>
  <c r="O101" i="2"/>
  <c r="P101" i="2" s="1"/>
  <c r="O100" i="2"/>
  <c r="P100" i="2" s="1"/>
  <c r="O99" i="2"/>
  <c r="P99" i="2" s="1"/>
  <c r="O92" i="2"/>
  <c r="P92" i="2" s="1"/>
  <c r="O91" i="2"/>
  <c r="P91" i="2" s="1"/>
  <c r="O90" i="2"/>
  <c r="P90" i="2" s="1"/>
  <c r="O89" i="2"/>
  <c r="P89" i="2" s="1"/>
  <c r="O88" i="2"/>
  <c r="P88" i="2" s="1"/>
  <c r="O87" i="2"/>
  <c r="P87" i="2" s="1"/>
  <c r="O86" i="2"/>
  <c r="P86" i="2" s="1"/>
  <c r="O85" i="2"/>
  <c r="P85" i="2" s="1"/>
  <c r="O84" i="2"/>
  <c r="P84" i="2" s="1"/>
  <c r="O83" i="2"/>
  <c r="P83" i="2" s="1"/>
  <c r="O82" i="2"/>
  <c r="P82" i="2" s="1"/>
  <c r="O80" i="2"/>
  <c r="P80" i="2" s="1"/>
  <c r="O79" i="2"/>
  <c r="P79" i="2" s="1"/>
  <c r="O78" i="2"/>
  <c r="P78" i="2" s="1"/>
  <c r="O77" i="2"/>
  <c r="P77" i="2" s="1"/>
  <c r="O76" i="2"/>
  <c r="P76" i="2" s="1"/>
  <c r="O75" i="2"/>
  <c r="P75" i="2" s="1"/>
  <c r="O74" i="2"/>
  <c r="P74" i="2" s="1"/>
  <c r="O73" i="2"/>
  <c r="P73" i="2" s="1"/>
  <c r="O72" i="2"/>
  <c r="P72" i="2" s="1"/>
  <c r="O71" i="2"/>
  <c r="P71" i="2" s="1"/>
  <c r="O70" i="2"/>
  <c r="P70" i="2" s="1"/>
  <c r="O69" i="2"/>
  <c r="P69" i="2" s="1"/>
  <c r="O68" i="2"/>
  <c r="P68" i="2" s="1"/>
  <c r="O65" i="2"/>
  <c r="P65" i="2" s="1"/>
  <c r="O64" i="2"/>
  <c r="P64" i="2" s="1"/>
  <c r="O63" i="2"/>
  <c r="P63" i="2" s="1"/>
  <c r="M127" i="2"/>
  <c r="N127" i="2" s="1"/>
  <c r="M123" i="2"/>
  <c r="N123" i="2" s="1"/>
  <c r="M122" i="2"/>
  <c r="N122" i="2" s="1"/>
  <c r="M121" i="2"/>
  <c r="N121" i="2" s="1"/>
  <c r="M120" i="2"/>
  <c r="N120" i="2" s="1"/>
  <c r="M119" i="2"/>
  <c r="N119" i="2" s="1"/>
  <c r="M118" i="2"/>
  <c r="N118" i="2" s="1"/>
  <c r="M117" i="2"/>
  <c r="N117" i="2" s="1"/>
  <c r="M116" i="2"/>
  <c r="N116" i="2" s="1"/>
  <c r="M115" i="2"/>
  <c r="N115" i="2" s="1"/>
  <c r="M114" i="2"/>
  <c r="N114" i="2" s="1"/>
  <c r="M113" i="2"/>
  <c r="N113" i="2" s="1"/>
  <c r="M112" i="2"/>
  <c r="N112" i="2" s="1"/>
  <c r="M111" i="2"/>
  <c r="N111" i="2" s="1"/>
  <c r="M110" i="2"/>
  <c r="N110" i="2" s="1"/>
  <c r="M109" i="2"/>
  <c r="N109" i="2" s="1"/>
  <c r="M108" i="2"/>
  <c r="N108" i="2" s="1"/>
  <c r="M106" i="2"/>
  <c r="N106" i="2" s="1"/>
  <c r="M105" i="2"/>
  <c r="N105" i="2" s="1"/>
  <c r="M104" i="2"/>
  <c r="N104" i="2" s="1"/>
  <c r="M103" i="2"/>
  <c r="N103" i="2" s="1"/>
  <c r="M102" i="2"/>
  <c r="N102" i="2" s="1"/>
  <c r="M101" i="2"/>
  <c r="N101" i="2" s="1"/>
  <c r="M100" i="2"/>
  <c r="N100" i="2" s="1"/>
  <c r="M99" i="2"/>
  <c r="N99" i="2" s="1"/>
  <c r="M92" i="2"/>
  <c r="N92" i="2" s="1"/>
  <c r="M91" i="2"/>
  <c r="N91" i="2" s="1"/>
  <c r="M90" i="2"/>
  <c r="N90" i="2" s="1"/>
  <c r="M89" i="2"/>
  <c r="N89" i="2" s="1"/>
  <c r="M88" i="2"/>
  <c r="N88" i="2" s="1"/>
  <c r="M87" i="2"/>
  <c r="N87" i="2" s="1"/>
  <c r="M86" i="2"/>
  <c r="N86" i="2" s="1"/>
  <c r="M85" i="2"/>
  <c r="N85" i="2" s="1"/>
  <c r="M84" i="2"/>
  <c r="N84" i="2" s="1"/>
  <c r="M83" i="2"/>
  <c r="N83" i="2" s="1"/>
  <c r="M82" i="2"/>
  <c r="N82" i="2" s="1"/>
  <c r="M80" i="2"/>
  <c r="N80" i="2" s="1"/>
  <c r="M79" i="2"/>
  <c r="N79" i="2" s="1"/>
  <c r="M78" i="2"/>
  <c r="N78" i="2" s="1"/>
  <c r="M77" i="2"/>
  <c r="N77" i="2" s="1"/>
  <c r="M76" i="2"/>
  <c r="N76" i="2" s="1"/>
  <c r="M75" i="2"/>
  <c r="N75" i="2" s="1"/>
  <c r="M74" i="2"/>
  <c r="N74" i="2" s="1"/>
  <c r="M73" i="2"/>
  <c r="N73" i="2" s="1"/>
  <c r="M72" i="2"/>
  <c r="N72" i="2" s="1"/>
  <c r="M71" i="2"/>
  <c r="N71" i="2" s="1"/>
  <c r="M70" i="2"/>
  <c r="N70" i="2" s="1"/>
  <c r="M69" i="2"/>
  <c r="N69" i="2" s="1"/>
  <c r="M68" i="2"/>
  <c r="N68" i="2" s="1"/>
  <c r="M65" i="2"/>
  <c r="N65" i="2" s="1"/>
  <c r="M64" i="2"/>
  <c r="N64" i="2" s="1"/>
  <c r="M63" i="2"/>
  <c r="N63" i="2" s="1"/>
  <c r="K127" i="2"/>
  <c r="L127" i="2" s="1"/>
  <c r="K123" i="2"/>
  <c r="L123" i="2" s="1"/>
  <c r="K122" i="2"/>
  <c r="L122" i="2" s="1"/>
  <c r="K121" i="2"/>
  <c r="L121" i="2" s="1"/>
  <c r="K120" i="2"/>
  <c r="L120" i="2" s="1"/>
  <c r="K119" i="2"/>
  <c r="L119" i="2" s="1"/>
  <c r="K118" i="2"/>
  <c r="L118" i="2" s="1"/>
  <c r="K117" i="2"/>
  <c r="L117" i="2" s="1"/>
  <c r="K116" i="2"/>
  <c r="L116" i="2" s="1"/>
  <c r="K115" i="2"/>
  <c r="L115" i="2" s="1"/>
  <c r="K114" i="2"/>
  <c r="L114" i="2" s="1"/>
  <c r="K113" i="2"/>
  <c r="L113" i="2" s="1"/>
  <c r="K112" i="2"/>
  <c r="L112" i="2" s="1"/>
  <c r="K111" i="2"/>
  <c r="L111" i="2" s="1"/>
  <c r="K110" i="2"/>
  <c r="L110" i="2" s="1"/>
  <c r="K109" i="2"/>
  <c r="L109" i="2" s="1"/>
  <c r="K108" i="2"/>
  <c r="L108" i="2" s="1"/>
  <c r="K106" i="2"/>
  <c r="L106" i="2" s="1"/>
  <c r="K105" i="2"/>
  <c r="L105" i="2" s="1"/>
  <c r="K104" i="2"/>
  <c r="L104" i="2" s="1"/>
  <c r="K103" i="2"/>
  <c r="L103" i="2" s="1"/>
  <c r="K102" i="2"/>
  <c r="L102" i="2" s="1"/>
  <c r="K101" i="2"/>
  <c r="L101" i="2" s="1"/>
  <c r="K100" i="2"/>
  <c r="L100" i="2" s="1"/>
  <c r="K99" i="2"/>
  <c r="L99" i="2" s="1"/>
  <c r="K92" i="2"/>
  <c r="L92" i="2" s="1"/>
  <c r="K91" i="2"/>
  <c r="L91" i="2" s="1"/>
  <c r="K90" i="2"/>
  <c r="L90" i="2" s="1"/>
  <c r="K89" i="2"/>
  <c r="L89" i="2" s="1"/>
  <c r="K88" i="2"/>
  <c r="L88" i="2" s="1"/>
  <c r="K87" i="2"/>
  <c r="L87" i="2" s="1"/>
  <c r="K86" i="2"/>
  <c r="L86" i="2" s="1"/>
  <c r="K85" i="2"/>
  <c r="L85" i="2" s="1"/>
  <c r="K84" i="2"/>
  <c r="L84" i="2" s="1"/>
  <c r="K83" i="2"/>
  <c r="L83" i="2" s="1"/>
  <c r="K82" i="2"/>
  <c r="L82" i="2" s="1"/>
  <c r="K80" i="2"/>
  <c r="L80" i="2" s="1"/>
  <c r="K79" i="2"/>
  <c r="L79" i="2" s="1"/>
  <c r="K78" i="2"/>
  <c r="L78" i="2" s="1"/>
  <c r="K77" i="2"/>
  <c r="L77" i="2" s="1"/>
  <c r="K76" i="2"/>
  <c r="L76" i="2" s="1"/>
  <c r="K75" i="2"/>
  <c r="L75" i="2" s="1"/>
  <c r="K74" i="2"/>
  <c r="L74" i="2" s="1"/>
  <c r="K73" i="2"/>
  <c r="L73" i="2" s="1"/>
  <c r="K72" i="2"/>
  <c r="L72" i="2" s="1"/>
  <c r="K71" i="2"/>
  <c r="L71" i="2" s="1"/>
  <c r="K70" i="2"/>
  <c r="L70" i="2" s="1"/>
  <c r="K69" i="2"/>
  <c r="L69" i="2" s="1"/>
  <c r="K68" i="2"/>
  <c r="L68" i="2" s="1"/>
  <c r="K65" i="2"/>
  <c r="L65" i="2" s="1"/>
  <c r="K64" i="2"/>
  <c r="L64" i="2" s="1"/>
  <c r="K63" i="2"/>
  <c r="L63" i="2" s="1"/>
  <c r="I127" i="2"/>
  <c r="J127" i="2" s="1"/>
  <c r="I123" i="2"/>
  <c r="J123" i="2" s="1"/>
  <c r="I122" i="2"/>
  <c r="J122" i="2" s="1"/>
  <c r="I121" i="2"/>
  <c r="J121" i="2" s="1"/>
  <c r="I120" i="2"/>
  <c r="J120" i="2" s="1"/>
  <c r="I119" i="2"/>
  <c r="J119" i="2" s="1"/>
  <c r="I118" i="2"/>
  <c r="J118" i="2" s="1"/>
  <c r="I117" i="2"/>
  <c r="J117" i="2" s="1"/>
  <c r="I116" i="2"/>
  <c r="J116" i="2" s="1"/>
  <c r="I115" i="2"/>
  <c r="J115" i="2" s="1"/>
  <c r="I114" i="2"/>
  <c r="J114" i="2" s="1"/>
  <c r="I113" i="2"/>
  <c r="J113" i="2" s="1"/>
  <c r="I112" i="2"/>
  <c r="J112" i="2" s="1"/>
  <c r="I111" i="2"/>
  <c r="J111" i="2" s="1"/>
  <c r="I110" i="2"/>
  <c r="J110" i="2" s="1"/>
  <c r="I109" i="2"/>
  <c r="J109" i="2" s="1"/>
  <c r="I108" i="2"/>
  <c r="J108" i="2" s="1"/>
  <c r="I106" i="2"/>
  <c r="J106" i="2" s="1"/>
  <c r="I105" i="2"/>
  <c r="J105" i="2" s="1"/>
  <c r="I104" i="2"/>
  <c r="J104" i="2" s="1"/>
  <c r="I103" i="2"/>
  <c r="J103" i="2" s="1"/>
  <c r="I102" i="2"/>
  <c r="J102" i="2" s="1"/>
  <c r="I101" i="2"/>
  <c r="J101" i="2" s="1"/>
  <c r="I100" i="2"/>
  <c r="J100" i="2" s="1"/>
  <c r="I99" i="2"/>
  <c r="J99" i="2" s="1"/>
  <c r="I92" i="2"/>
  <c r="J92" i="2" s="1"/>
  <c r="I91" i="2"/>
  <c r="J91" i="2" s="1"/>
  <c r="I90" i="2"/>
  <c r="J90" i="2" s="1"/>
  <c r="I89" i="2"/>
  <c r="J89" i="2" s="1"/>
  <c r="I88" i="2"/>
  <c r="J88" i="2" s="1"/>
  <c r="I87" i="2"/>
  <c r="J87" i="2" s="1"/>
  <c r="I86" i="2"/>
  <c r="J86" i="2" s="1"/>
  <c r="I85" i="2"/>
  <c r="J85" i="2" s="1"/>
  <c r="I84" i="2"/>
  <c r="J84" i="2" s="1"/>
  <c r="I83" i="2"/>
  <c r="J83" i="2" s="1"/>
  <c r="I82" i="2"/>
  <c r="J82"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I65" i="2"/>
  <c r="J65" i="2" s="1"/>
  <c r="I64" i="2"/>
  <c r="J64" i="2" s="1"/>
  <c r="I63" i="2"/>
  <c r="J63" i="2" s="1"/>
  <c r="G127" i="2"/>
  <c r="H127" i="2" s="1"/>
  <c r="G123" i="2"/>
  <c r="H123" i="2" s="1"/>
  <c r="G122" i="2"/>
  <c r="H122" i="2" s="1"/>
  <c r="G121" i="2"/>
  <c r="H121" i="2" s="1"/>
  <c r="G120" i="2"/>
  <c r="H120" i="2" s="1"/>
  <c r="G119" i="2"/>
  <c r="H119" i="2" s="1"/>
  <c r="G118" i="2"/>
  <c r="H118" i="2" s="1"/>
  <c r="G117" i="2"/>
  <c r="H117" i="2" s="1"/>
  <c r="G116" i="2"/>
  <c r="H116" i="2" s="1"/>
  <c r="G115" i="2"/>
  <c r="H115" i="2" s="1"/>
  <c r="G114" i="2"/>
  <c r="H114" i="2" s="1"/>
  <c r="G113" i="2"/>
  <c r="H113" i="2" s="1"/>
  <c r="G112" i="2"/>
  <c r="H112" i="2" s="1"/>
  <c r="G111" i="2"/>
  <c r="H111" i="2" s="1"/>
  <c r="G110" i="2"/>
  <c r="H110" i="2" s="1"/>
  <c r="G109" i="2"/>
  <c r="H109" i="2" s="1"/>
  <c r="G108" i="2"/>
  <c r="H108" i="2" s="1"/>
  <c r="G106" i="2"/>
  <c r="H106" i="2" s="1"/>
  <c r="G105" i="2"/>
  <c r="H105" i="2" s="1"/>
  <c r="G104" i="2"/>
  <c r="H104" i="2" s="1"/>
  <c r="G103" i="2"/>
  <c r="H103" i="2" s="1"/>
  <c r="G102" i="2"/>
  <c r="H102" i="2" s="1"/>
  <c r="G101" i="2"/>
  <c r="H101" i="2" s="1"/>
  <c r="G100" i="2"/>
  <c r="H100" i="2" s="1"/>
  <c r="G99" i="2"/>
  <c r="H99" i="2" s="1"/>
  <c r="G92" i="2"/>
  <c r="H92" i="2" s="1"/>
  <c r="G91" i="2"/>
  <c r="H91" i="2" s="1"/>
  <c r="G90" i="2"/>
  <c r="H90" i="2" s="1"/>
  <c r="G89" i="2"/>
  <c r="H89" i="2" s="1"/>
  <c r="G88" i="2"/>
  <c r="H88" i="2" s="1"/>
  <c r="G87" i="2"/>
  <c r="H87" i="2" s="1"/>
  <c r="G86" i="2"/>
  <c r="H86" i="2" s="1"/>
  <c r="G85" i="2"/>
  <c r="H85" i="2" s="1"/>
  <c r="G84" i="2"/>
  <c r="H84" i="2" s="1"/>
  <c r="G83" i="2"/>
  <c r="H83" i="2" s="1"/>
  <c r="G82" i="2"/>
  <c r="H82" i="2" s="1"/>
  <c r="G80" i="2"/>
  <c r="H80" i="2" s="1"/>
  <c r="G79" i="2"/>
  <c r="H79" i="2" s="1"/>
  <c r="G78" i="2"/>
  <c r="H78" i="2" s="1"/>
  <c r="G77" i="2"/>
  <c r="H77" i="2" s="1"/>
  <c r="G76" i="2"/>
  <c r="H76" i="2" s="1"/>
  <c r="G75" i="2"/>
  <c r="H75" i="2" s="1"/>
  <c r="G74" i="2"/>
  <c r="H74" i="2" s="1"/>
  <c r="G73" i="2"/>
  <c r="H73" i="2" s="1"/>
  <c r="G72" i="2"/>
  <c r="H72" i="2" s="1"/>
  <c r="G71" i="2"/>
  <c r="H71" i="2" s="1"/>
  <c r="G70" i="2"/>
  <c r="H70" i="2" s="1"/>
  <c r="G69" i="2"/>
  <c r="H69" i="2" s="1"/>
  <c r="G68" i="2"/>
  <c r="H68" i="2" s="1"/>
  <c r="G65" i="2"/>
  <c r="H65" i="2" s="1"/>
  <c r="G64" i="2"/>
  <c r="H64" i="2" s="1"/>
  <c r="G63" i="2"/>
  <c r="H63" i="2" s="1"/>
  <c r="E127" i="2"/>
  <c r="F127" i="2" s="1"/>
  <c r="E123" i="2"/>
  <c r="F123" i="2" s="1"/>
  <c r="E122" i="2"/>
  <c r="F122" i="2" s="1"/>
  <c r="E121" i="2"/>
  <c r="F121" i="2" s="1"/>
  <c r="E120" i="2"/>
  <c r="F120" i="2" s="1"/>
  <c r="E119" i="2"/>
  <c r="F119" i="2" s="1"/>
  <c r="E118" i="2"/>
  <c r="F118" i="2" s="1"/>
  <c r="E117" i="2"/>
  <c r="F117" i="2" s="1"/>
  <c r="E116" i="2"/>
  <c r="F116" i="2" s="1"/>
  <c r="E115" i="2"/>
  <c r="F115" i="2" s="1"/>
  <c r="E114" i="2"/>
  <c r="F114" i="2" s="1"/>
  <c r="E113" i="2"/>
  <c r="F113" i="2" s="1"/>
  <c r="E112" i="2"/>
  <c r="F112" i="2" s="1"/>
  <c r="E111" i="2"/>
  <c r="F111" i="2" s="1"/>
  <c r="E110" i="2"/>
  <c r="F110" i="2" s="1"/>
  <c r="E109" i="2"/>
  <c r="F109" i="2" s="1"/>
  <c r="E108" i="2"/>
  <c r="F108" i="2" s="1"/>
  <c r="E106" i="2"/>
  <c r="F106" i="2" s="1"/>
  <c r="E105" i="2"/>
  <c r="F105" i="2" s="1"/>
  <c r="E104" i="2"/>
  <c r="F104" i="2" s="1"/>
  <c r="E103" i="2"/>
  <c r="F103" i="2" s="1"/>
  <c r="E102" i="2"/>
  <c r="F102" i="2" s="1"/>
  <c r="E101" i="2"/>
  <c r="F101" i="2" s="1"/>
  <c r="E100" i="2"/>
  <c r="F100" i="2" s="1"/>
  <c r="E99" i="2"/>
  <c r="F99" i="2" s="1"/>
  <c r="E92" i="2"/>
  <c r="F92" i="2" s="1"/>
  <c r="E91" i="2"/>
  <c r="F91" i="2" s="1"/>
  <c r="E90" i="2"/>
  <c r="F90" i="2" s="1"/>
  <c r="E89" i="2"/>
  <c r="F89" i="2" s="1"/>
  <c r="E88" i="2"/>
  <c r="F88" i="2" s="1"/>
  <c r="E87" i="2"/>
  <c r="F87" i="2" s="1"/>
  <c r="E86" i="2"/>
  <c r="F86" i="2" s="1"/>
  <c r="E85" i="2"/>
  <c r="F85" i="2" s="1"/>
  <c r="E84" i="2"/>
  <c r="F84" i="2" s="1"/>
  <c r="E83" i="2"/>
  <c r="F83" i="2" s="1"/>
  <c r="E82" i="2"/>
  <c r="F82"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8" i="2"/>
  <c r="F68" i="2" s="1"/>
  <c r="E65" i="2"/>
  <c r="F65" i="2" s="1"/>
  <c r="E64" i="2"/>
  <c r="F64" i="2" s="1"/>
  <c r="E63" i="2"/>
  <c r="F63" i="2" s="1"/>
  <c r="C127" i="2"/>
  <c r="D127" i="2" s="1"/>
  <c r="C123" i="2"/>
  <c r="D123" i="2" s="1"/>
  <c r="C122" i="2"/>
  <c r="D122" i="2" s="1"/>
  <c r="C121" i="2"/>
  <c r="D121" i="2" s="1"/>
  <c r="C120" i="2"/>
  <c r="D120" i="2" s="1"/>
  <c r="C119" i="2"/>
  <c r="D119" i="2" s="1"/>
  <c r="C118" i="2"/>
  <c r="D118" i="2" s="1"/>
  <c r="C117" i="2"/>
  <c r="D117" i="2" s="1"/>
  <c r="C116" i="2"/>
  <c r="D116" i="2" s="1"/>
  <c r="C115" i="2"/>
  <c r="D115" i="2" s="1"/>
  <c r="C114" i="2"/>
  <c r="D114" i="2" s="1"/>
  <c r="C113" i="2"/>
  <c r="D113" i="2" s="1"/>
  <c r="C112" i="2"/>
  <c r="D112" i="2" s="1"/>
  <c r="C111" i="2"/>
  <c r="D111" i="2" s="1"/>
  <c r="C110" i="2"/>
  <c r="D110" i="2" s="1"/>
  <c r="C109" i="2"/>
  <c r="D109" i="2" s="1"/>
  <c r="C108" i="2"/>
  <c r="D108" i="2" s="1"/>
  <c r="C106" i="2"/>
  <c r="D106" i="2" s="1"/>
  <c r="C105" i="2"/>
  <c r="D105" i="2" s="1"/>
  <c r="C104" i="2"/>
  <c r="D104" i="2" s="1"/>
  <c r="C103" i="2"/>
  <c r="D103" i="2" s="1"/>
  <c r="C102" i="2"/>
  <c r="D102" i="2" s="1"/>
  <c r="C101" i="2"/>
  <c r="D101" i="2" s="1"/>
  <c r="C100" i="2"/>
  <c r="D100" i="2" s="1"/>
  <c r="C99" i="2"/>
  <c r="D99" i="2" s="1"/>
  <c r="C92" i="2"/>
  <c r="D92" i="2" s="1"/>
  <c r="C91" i="2"/>
  <c r="D91" i="2" s="1"/>
  <c r="C90" i="2"/>
  <c r="D90" i="2" s="1"/>
  <c r="C89" i="2"/>
  <c r="D89" i="2" s="1"/>
  <c r="C88" i="2"/>
  <c r="D88" i="2" s="1"/>
  <c r="C87" i="2"/>
  <c r="D87" i="2" s="1"/>
  <c r="C86" i="2"/>
  <c r="D86" i="2" s="1"/>
  <c r="C85" i="2"/>
  <c r="D85" i="2" s="1"/>
  <c r="C84" i="2"/>
  <c r="D84" i="2" s="1"/>
  <c r="C83" i="2"/>
  <c r="D83" i="2" s="1"/>
  <c r="C82" i="2"/>
  <c r="D82" i="2" s="1"/>
  <c r="C80" i="2"/>
  <c r="D80" i="2" s="1"/>
  <c r="C79" i="2"/>
  <c r="D79" i="2" s="1"/>
  <c r="C78" i="2"/>
  <c r="D78" i="2" s="1"/>
  <c r="C77" i="2"/>
  <c r="D77" i="2" s="1"/>
  <c r="C76" i="2"/>
  <c r="D76" i="2" s="1"/>
  <c r="C75" i="2"/>
  <c r="D75" i="2" s="1"/>
  <c r="C74" i="2"/>
  <c r="D74" i="2" s="1"/>
  <c r="C73" i="2"/>
  <c r="D73" i="2" s="1"/>
  <c r="C72" i="2"/>
  <c r="D72" i="2" s="1"/>
  <c r="C71" i="2"/>
  <c r="D71" i="2" s="1"/>
  <c r="C70" i="2"/>
  <c r="D70" i="2" s="1"/>
  <c r="C69" i="2"/>
  <c r="D69" i="2" s="1"/>
  <c r="C68" i="2"/>
  <c r="D68" i="2" s="1"/>
  <c r="C65" i="2"/>
  <c r="D65" i="2" s="1"/>
  <c r="C64" i="2"/>
  <c r="D64" i="2" s="1"/>
  <c r="C63" i="2"/>
  <c r="D63" i="2" s="1"/>
  <c r="A126" i="2"/>
  <c r="B126" i="2" s="1"/>
  <c r="A121" i="2"/>
  <c r="B121" i="2" s="1"/>
  <c r="B3" i="68"/>
  <c r="B35" i="39" a="1"/>
  <c r="B34" i="39" a="1"/>
  <c r="B17" i="39" a="1"/>
  <c r="F19" i="39" a="1"/>
  <c r="J26" i="39" a="1"/>
  <c r="J23" i="39" a="1"/>
  <c r="J25" i="39" a="1"/>
  <c r="J24" i="39" a="1"/>
  <c r="B16" i="39" a="1"/>
  <c r="F18" i="39" a="1"/>
  <c r="F15" i="39" a="1"/>
  <c r="F17" i="39" a="1"/>
  <c r="F16" i="39" a="1"/>
  <c r="N11" i="39" a="1"/>
  <c r="N10" i="39" a="1"/>
  <c r="B17" i="39" l="1"/>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26" i="2" s="1"/>
  <c r="R126" i="2" s="1"/>
  <c r="P4" i="69"/>
  <c r="O126" i="2" s="1"/>
  <c r="P126" i="2" s="1"/>
  <c r="N4" i="69"/>
  <c r="M126" i="2" s="1"/>
  <c r="N126" i="2" s="1"/>
  <c r="L4" i="69"/>
  <c r="K126" i="2" s="1"/>
  <c r="L126" i="2" s="1"/>
  <c r="J4" i="69"/>
  <c r="I126" i="2" s="1"/>
  <c r="J126" i="2" s="1"/>
  <c r="H4" i="69"/>
  <c r="G126" i="2" s="1"/>
  <c r="H126" i="2" s="1"/>
  <c r="F4" i="69"/>
  <c r="E126" i="2" s="1"/>
  <c r="F126" i="2" s="1"/>
  <c r="D4" i="69"/>
  <c r="C126" i="2" s="1"/>
  <c r="D126"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25" i="2" s="1"/>
  <c r="R125" i="2" s="1"/>
  <c r="P4" i="68"/>
  <c r="O125" i="2" s="1"/>
  <c r="P125" i="2" s="1"/>
  <c r="N4" i="68"/>
  <c r="M125" i="2" s="1"/>
  <c r="N125" i="2" s="1"/>
  <c r="L4" i="68"/>
  <c r="K125" i="2" s="1"/>
  <c r="L125" i="2" s="1"/>
  <c r="J4" i="68"/>
  <c r="I125" i="2" s="1"/>
  <c r="J125" i="2" s="1"/>
  <c r="H4" i="68"/>
  <c r="G125" i="2" s="1"/>
  <c r="H125" i="2" s="1"/>
  <c r="F4" i="68"/>
  <c r="E125" i="2" s="1"/>
  <c r="F125" i="2" s="1"/>
  <c r="D4" i="68"/>
  <c r="C125" i="2" s="1"/>
  <c r="D125" i="2" s="1"/>
  <c r="B4" i="68"/>
  <c r="A125" i="2" s="1"/>
  <c r="B125"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24" i="2" s="1"/>
  <c r="R124" i="2" s="1"/>
  <c r="P4" i="67"/>
  <c r="O124" i="2" s="1"/>
  <c r="P124" i="2" s="1"/>
  <c r="N4" i="67"/>
  <c r="M124" i="2" s="1"/>
  <c r="N124" i="2" s="1"/>
  <c r="L4" i="67"/>
  <c r="K124" i="2" s="1"/>
  <c r="L124" i="2" s="1"/>
  <c r="J4" i="67"/>
  <c r="I124" i="2" s="1"/>
  <c r="J124" i="2" s="1"/>
  <c r="H4" i="67"/>
  <c r="G124" i="2" s="1"/>
  <c r="H124" i="2" s="1"/>
  <c r="F4" i="67"/>
  <c r="E124" i="2" s="1"/>
  <c r="F124" i="2" s="1"/>
  <c r="D4" i="67"/>
  <c r="C124" i="2" s="1"/>
  <c r="D124" i="2" s="1"/>
  <c r="B4" i="67"/>
  <c r="A124" i="2" s="1"/>
  <c r="B124"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S59" i="2"/>
  <c r="T59" i="2" s="1"/>
  <c r="S58" i="2"/>
  <c r="T58" i="2" s="1"/>
  <c r="S57" i="2"/>
  <c r="T57" i="2" s="1"/>
  <c r="S56" i="2"/>
  <c r="T56" i="2" s="1"/>
  <c r="S55" i="2"/>
  <c r="T55" i="2" s="1"/>
  <c r="S54" i="2"/>
  <c r="T54" i="2" s="1"/>
  <c r="S52" i="2"/>
  <c r="T52" i="2" s="1"/>
  <c r="S51" i="2"/>
  <c r="T51" i="2" s="1"/>
  <c r="S50" i="2"/>
  <c r="T50" i="2" s="1"/>
  <c r="S48" i="2"/>
  <c r="T48" i="2" s="1"/>
  <c r="S47" i="2"/>
  <c r="T47" i="2" s="1"/>
  <c r="S46" i="2"/>
  <c r="T46" i="2" s="1"/>
  <c r="S45" i="2"/>
  <c r="T45" i="2" s="1"/>
  <c r="S44" i="2"/>
  <c r="T44" i="2" s="1"/>
  <c r="S43" i="2"/>
  <c r="T43" i="2" s="1"/>
  <c r="S41" i="2"/>
  <c r="T41" i="2" s="1"/>
  <c r="S40" i="2"/>
  <c r="T40" i="2" s="1"/>
  <c r="S38" i="2"/>
  <c r="T38" i="2" s="1"/>
  <c r="S37" i="2"/>
  <c r="T37" i="2" s="1"/>
  <c r="S36" i="2"/>
  <c r="T36" i="2" s="1"/>
  <c r="S35" i="2"/>
  <c r="T35" i="2" s="1"/>
  <c r="S30" i="2"/>
  <c r="T30" i="2" s="1"/>
  <c r="S29" i="2"/>
  <c r="T29" i="2" s="1"/>
  <c r="S28" i="2"/>
  <c r="T28" i="2" s="1"/>
  <c r="S27" i="2"/>
  <c r="T27" i="2" s="1"/>
  <c r="S26" i="2"/>
  <c r="T26" i="2" s="1"/>
  <c r="S25" i="2"/>
  <c r="T25" i="2" s="1"/>
  <c r="S24" i="2"/>
  <c r="T24" i="2" s="1"/>
  <c r="S23" i="2"/>
  <c r="T23" i="2" s="1"/>
  <c r="S22" i="2"/>
  <c r="T22" i="2" s="1"/>
  <c r="S21" i="2"/>
  <c r="T21" i="2" s="1"/>
  <c r="S19" i="2"/>
  <c r="T19" i="2" s="1"/>
  <c r="S18" i="2"/>
  <c r="T18" i="2" s="1"/>
  <c r="S17" i="2"/>
  <c r="T17" i="2" s="1"/>
  <c r="S16" i="2"/>
  <c r="T16" i="2" s="1"/>
  <c r="S15" i="2"/>
  <c r="T15" i="2" s="1"/>
  <c r="S14" i="2"/>
  <c r="T14" i="2" s="1"/>
  <c r="S13" i="2"/>
  <c r="T13" i="2" s="1"/>
  <c r="Q59" i="2"/>
  <c r="R59" i="2" s="1"/>
  <c r="Q58" i="2"/>
  <c r="R58" i="2" s="1"/>
  <c r="Q56" i="2"/>
  <c r="R56" i="2" s="1"/>
  <c r="Q54" i="2"/>
  <c r="R54" i="2" s="1"/>
  <c r="Q50" i="2"/>
  <c r="R50" i="2" s="1"/>
  <c r="Q46" i="2"/>
  <c r="R46" i="2" s="1"/>
  <c r="Q45" i="2"/>
  <c r="R45" i="2" s="1"/>
  <c r="Q44" i="2"/>
  <c r="R44" i="2" s="1"/>
  <c r="Q36" i="2"/>
  <c r="R36" i="2" s="1"/>
  <c r="Q29" i="2"/>
  <c r="R29" i="2" s="1"/>
  <c r="Q28" i="2"/>
  <c r="R28" i="2" s="1"/>
  <c r="Q25" i="2"/>
  <c r="R25" i="2" s="1"/>
  <c r="Q24" i="2"/>
  <c r="R24" i="2" s="1"/>
  <c r="Q23" i="2"/>
  <c r="R23" i="2" s="1"/>
  <c r="Q21" i="2"/>
  <c r="R21" i="2" s="1"/>
  <c r="Q15" i="2"/>
  <c r="R15" i="2" s="1"/>
  <c r="Q14" i="2"/>
  <c r="R14" i="2" s="1"/>
  <c r="O56" i="2"/>
  <c r="P56" i="2" s="1"/>
  <c r="O55" i="2"/>
  <c r="P55" i="2" s="1"/>
  <c r="O54" i="2"/>
  <c r="P54" i="2" s="1"/>
  <c r="O51" i="2"/>
  <c r="P51" i="2" s="1"/>
  <c r="O48" i="2"/>
  <c r="P48" i="2" s="1"/>
  <c r="O47" i="2"/>
  <c r="P47" i="2" s="1"/>
  <c r="O46" i="2"/>
  <c r="P46" i="2" s="1"/>
  <c r="O44" i="2"/>
  <c r="P44" i="2" s="1"/>
  <c r="O43" i="2"/>
  <c r="P43" i="2" s="1"/>
  <c r="O41" i="2"/>
  <c r="P41" i="2" s="1"/>
  <c r="O36" i="2"/>
  <c r="P36" i="2" s="1"/>
  <c r="O35" i="2"/>
  <c r="P35" i="2" s="1"/>
  <c r="O26" i="2"/>
  <c r="P26" i="2" s="1"/>
  <c r="O25" i="2"/>
  <c r="P25" i="2" s="1"/>
  <c r="O24" i="2"/>
  <c r="P24" i="2" s="1"/>
  <c r="O22" i="2"/>
  <c r="P22" i="2" s="1"/>
  <c r="O18" i="2"/>
  <c r="P18" i="2" s="1"/>
  <c r="O17" i="2"/>
  <c r="P17" i="2" s="1"/>
  <c r="O15" i="2"/>
  <c r="P15" i="2" s="1"/>
  <c r="M55" i="2"/>
  <c r="N55" i="2" s="1"/>
  <c r="M54" i="2"/>
  <c r="N54" i="2" s="1"/>
  <c r="M52" i="2"/>
  <c r="N52" i="2" s="1"/>
  <c r="M51" i="2"/>
  <c r="N51" i="2" s="1"/>
  <c r="M50" i="2"/>
  <c r="N50" i="2" s="1"/>
  <c r="M48" i="2"/>
  <c r="N48" i="2" s="1"/>
  <c r="M47" i="2"/>
  <c r="N47" i="2" s="1"/>
  <c r="M46" i="2"/>
  <c r="N46" i="2" s="1"/>
  <c r="M45" i="2"/>
  <c r="N45" i="2" s="1"/>
  <c r="M44" i="2"/>
  <c r="N44" i="2" s="1"/>
  <c r="M38" i="2"/>
  <c r="N38" i="2" s="1"/>
  <c r="M36" i="2"/>
  <c r="N36" i="2" s="1"/>
  <c r="M28" i="2"/>
  <c r="N28" i="2" s="1"/>
  <c r="M25" i="2"/>
  <c r="N25" i="2" s="1"/>
  <c r="M24" i="2"/>
  <c r="N24" i="2" s="1"/>
  <c r="M23" i="2"/>
  <c r="N23" i="2" s="1"/>
  <c r="M21" i="2"/>
  <c r="N21" i="2" s="1"/>
  <c r="M19" i="2"/>
  <c r="N19" i="2" s="1"/>
  <c r="M17" i="2"/>
  <c r="N17" i="2" s="1"/>
  <c r="M14" i="2"/>
  <c r="N14" i="2" s="1"/>
  <c r="K59" i="2"/>
  <c r="L59" i="2" s="1"/>
  <c r="K57" i="2"/>
  <c r="L57" i="2" s="1"/>
  <c r="K54" i="2"/>
  <c r="L54" i="2" s="1"/>
  <c r="K52" i="2"/>
  <c r="L52" i="2" s="1"/>
  <c r="K48" i="2"/>
  <c r="L48" i="2" s="1"/>
  <c r="K47" i="2"/>
  <c r="L47" i="2" s="1"/>
  <c r="K44" i="2"/>
  <c r="L44" i="2" s="1"/>
  <c r="K41" i="2"/>
  <c r="L41" i="2" s="1"/>
  <c r="K36" i="2"/>
  <c r="L36" i="2" s="1"/>
  <c r="K35" i="2"/>
  <c r="L35" i="2" s="1"/>
  <c r="K27" i="2"/>
  <c r="L27" i="2" s="1"/>
  <c r="K26" i="2"/>
  <c r="L26" i="2" s="1"/>
  <c r="K24" i="2"/>
  <c r="L24" i="2" s="1"/>
  <c r="K22" i="2"/>
  <c r="L22" i="2" s="1"/>
  <c r="K21" i="2"/>
  <c r="L21" i="2" s="1"/>
  <c r="K13" i="2"/>
  <c r="L13" i="2" s="1"/>
  <c r="I59" i="2"/>
  <c r="J59" i="2" s="1"/>
  <c r="I57" i="2"/>
  <c r="J57" i="2" s="1"/>
  <c r="I54" i="2"/>
  <c r="J54" i="2" s="1"/>
  <c r="I43" i="2"/>
  <c r="J43" i="2" s="1"/>
  <c r="I38" i="2"/>
  <c r="J38" i="2" s="1"/>
  <c r="I37" i="2"/>
  <c r="J37" i="2" s="1"/>
  <c r="I36" i="2"/>
  <c r="J36" i="2" s="1"/>
  <c r="I35" i="2"/>
  <c r="J35" i="2" s="1"/>
  <c r="I29" i="2"/>
  <c r="J29" i="2" s="1"/>
  <c r="I27" i="2"/>
  <c r="J27" i="2" s="1"/>
  <c r="I26" i="2"/>
  <c r="J26" i="2" s="1"/>
  <c r="I24" i="2"/>
  <c r="J24" i="2" s="1"/>
  <c r="I18" i="2"/>
  <c r="J18" i="2" s="1"/>
  <c r="I16" i="2"/>
  <c r="J16" i="2" s="1"/>
  <c r="G59" i="2"/>
  <c r="H59" i="2" s="1"/>
  <c r="G58" i="2"/>
  <c r="H58" i="2" s="1"/>
  <c r="G57" i="2"/>
  <c r="H57" i="2" s="1"/>
  <c r="G56" i="2"/>
  <c r="H56" i="2" s="1"/>
  <c r="G55" i="2"/>
  <c r="H55" i="2" s="1"/>
  <c r="G54" i="2"/>
  <c r="H54" i="2" s="1"/>
  <c r="G52" i="2"/>
  <c r="H52" i="2" s="1"/>
  <c r="G51" i="2"/>
  <c r="H51" i="2" s="1"/>
  <c r="G50" i="2"/>
  <c r="H50" i="2" s="1"/>
  <c r="G48" i="2"/>
  <c r="H48" i="2" s="1"/>
  <c r="G47" i="2"/>
  <c r="H47" i="2" s="1"/>
  <c r="G46" i="2"/>
  <c r="H46" i="2" s="1"/>
  <c r="G45" i="2"/>
  <c r="H45" i="2" s="1"/>
  <c r="G44" i="2"/>
  <c r="H44" i="2" s="1"/>
  <c r="G43" i="2"/>
  <c r="H43" i="2" s="1"/>
  <c r="G41" i="2"/>
  <c r="H41" i="2" s="1"/>
  <c r="G40" i="2"/>
  <c r="H40" i="2" s="1"/>
  <c r="G38" i="2"/>
  <c r="H38" i="2" s="1"/>
  <c r="G37" i="2"/>
  <c r="H37" i="2" s="1"/>
  <c r="G36" i="2"/>
  <c r="H36"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6" i="2"/>
  <c r="F56" i="2" s="1"/>
  <c r="E54" i="2"/>
  <c r="F54" i="2" s="1"/>
  <c r="E52" i="2"/>
  <c r="F52" i="2" s="1"/>
  <c r="E50" i="2"/>
  <c r="F50" i="2" s="1"/>
  <c r="E48" i="2"/>
  <c r="F48" i="2" s="1"/>
  <c r="E44" i="2"/>
  <c r="F44" i="2" s="1"/>
  <c r="E36" i="2"/>
  <c r="F36" i="2" s="1"/>
  <c r="E28" i="2"/>
  <c r="F28" i="2" s="1"/>
  <c r="E27" i="2"/>
  <c r="F27" i="2" s="1"/>
  <c r="E26" i="2"/>
  <c r="F26" i="2" s="1"/>
  <c r="E24" i="2"/>
  <c r="F24" i="2" s="1"/>
  <c r="E21" i="2"/>
  <c r="F21" i="2" s="1"/>
  <c r="E19" i="2"/>
  <c r="F19" i="2" s="1"/>
  <c r="E17" i="2"/>
  <c r="F17" i="2" s="1"/>
  <c r="E16" i="2"/>
  <c r="F16" i="2" s="1"/>
  <c r="E14" i="2"/>
  <c r="F14" i="2" s="1"/>
  <c r="E13" i="2"/>
  <c r="F13" i="2" s="1"/>
  <c r="C52" i="2"/>
  <c r="D52" i="2" s="1"/>
  <c r="C51" i="2"/>
  <c r="D51" i="2" s="1"/>
  <c r="C48" i="2"/>
  <c r="D48" i="2" s="1"/>
  <c r="C46" i="2"/>
  <c r="D46" i="2" s="1"/>
  <c r="C45" i="2"/>
  <c r="D45" i="2" s="1"/>
  <c r="C41" i="2"/>
  <c r="D41" i="2" s="1"/>
  <c r="C40" i="2"/>
  <c r="D40" i="2" s="1"/>
  <c r="C37" i="2"/>
  <c r="D37" i="2" s="1"/>
  <c r="C35" i="2"/>
  <c r="D35" i="2" s="1"/>
  <c r="C30" i="2"/>
  <c r="D30" i="2" s="1"/>
  <c r="C29" i="2"/>
  <c r="D29" i="2" s="1"/>
  <c r="C27" i="2"/>
  <c r="D27" i="2" s="1"/>
  <c r="C26" i="2"/>
  <c r="D26" i="2" s="1"/>
  <c r="C21" i="2"/>
  <c r="D21" i="2" s="1"/>
  <c r="C17" i="2"/>
  <c r="D17" i="2" s="1"/>
  <c r="C15" i="2"/>
  <c r="D15" i="2" s="1"/>
  <c r="A115" i="2"/>
  <c r="B115"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27"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59" i="2"/>
  <c r="B59" i="2" s="1"/>
  <c r="A58" i="2"/>
  <c r="B58" i="2" s="1"/>
  <c r="A57" i="2"/>
  <c r="B57" i="2" s="1"/>
  <c r="A56" i="2"/>
  <c r="B56" i="2" s="1"/>
  <c r="A55" i="2"/>
  <c r="B55" i="2" s="1"/>
  <c r="A54" i="2"/>
  <c r="B54" i="2" s="1"/>
  <c r="A120" i="2"/>
  <c r="B120"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6" i="2" s="1"/>
  <c r="N56" i="2" s="1"/>
  <c r="L20" i="57"/>
  <c r="K56" i="2" s="1"/>
  <c r="L56" i="2" s="1"/>
  <c r="J20" i="57"/>
  <c r="I56" i="2" s="1"/>
  <c r="J56" i="2" s="1"/>
  <c r="H20" i="57"/>
  <c r="F20" i="57"/>
  <c r="D20" i="57"/>
  <c r="C56" i="2" s="1"/>
  <c r="D56" i="2" s="1"/>
  <c r="B20" i="57"/>
  <c r="T21" i="58"/>
  <c r="R21" i="58"/>
  <c r="P21" i="58"/>
  <c r="O58" i="2" s="1"/>
  <c r="P58" i="2" s="1"/>
  <c r="N21" i="58"/>
  <c r="M58" i="2" s="1"/>
  <c r="N58" i="2" s="1"/>
  <c r="L21" i="58"/>
  <c r="K58" i="2" s="1"/>
  <c r="L58" i="2" s="1"/>
  <c r="J21" i="58"/>
  <c r="I58" i="2" s="1"/>
  <c r="J58" i="2" s="1"/>
  <c r="H21" i="58"/>
  <c r="F21" i="58"/>
  <c r="E58" i="2" s="1"/>
  <c r="F58" i="2" s="1"/>
  <c r="D21" i="58"/>
  <c r="C58" i="2" s="1"/>
  <c r="D58" i="2" s="1"/>
  <c r="B21" i="58"/>
  <c r="T27" i="60"/>
  <c r="R27" i="60"/>
  <c r="Q55" i="2" s="1"/>
  <c r="R55" i="2" s="1"/>
  <c r="P27" i="60"/>
  <c r="N27" i="60"/>
  <c r="L27" i="60"/>
  <c r="K55" i="2" s="1"/>
  <c r="L55" i="2" s="1"/>
  <c r="J27" i="60"/>
  <c r="I55" i="2" s="1"/>
  <c r="J55" i="2" s="1"/>
  <c r="H27" i="60"/>
  <c r="F27" i="60"/>
  <c r="E55" i="2" s="1"/>
  <c r="F55" i="2" s="1"/>
  <c r="D27" i="60"/>
  <c r="C55" i="2" s="1"/>
  <c r="D55" i="2" s="1"/>
  <c r="B27" i="60"/>
  <c r="T23" i="62"/>
  <c r="R23" i="62"/>
  <c r="Q57" i="2" s="1"/>
  <c r="R57" i="2" s="1"/>
  <c r="P23" i="62"/>
  <c r="O57" i="2" s="1"/>
  <c r="P57" i="2" s="1"/>
  <c r="N23" i="62"/>
  <c r="M57" i="2" s="1"/>
  <c r="N57" i="2" s="1"/>
  <c r="L23" i="62"/>
  <c r="J23" i="62"/>
  <c r="H23" i="62"/>
  <c r="F23" i="62"/>
  <c r="E57" i="2" s="1"/>
  <c r="F57" i="2" s="1"/>
  <c r="D23" i="62"/>
  <c r="C57" i="2" s="1"/>
  <c r="D57" i="2" s="1"/>
  <c r="B23" i="62"/>
  <c r="T23" i="61"/>
  <c r="R23" i="61"/>
  <c r="P23" i="61"/>
  <c r="N23" i="61"/>
  <c r="L23" i="61"/>
  <c r="J23" i="61"/>
  <c r="H23" i="61"/>
  <c r="F23" i="61"/>
  <c r="D23" i="61"/>
  <c r="C54" i="2" s="1"/>
  <c r="D54" i="2" s="1"/>
  <c r="B23" i="61"/>
  <c r="T24" i="59"/>
  <c r="R24" i="59"/>
  <c r="P24" i="59"/>
  <c r="O59" i="2" s="1"/>
  <c r="P59" i="2" s="1"/>
  <c r="N24" i="59"/>
  <c r="M59" i="2" s="1"/>
  <c r="N59" i="2" s="1"/>
  <c r="L24" i="59"/>
  <c r="J24" i="59"/>
  <c r="H24" i="59"/>
  <c r="F24" i="59"/>
  <c r="E59" i="2" s="1"/>
  <c r="F59" i="2" s="1"/>
  <c r="D24" i="59"/>
  <c r="C59" i="2" s="1"/>
  <c r="D59"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3" i="2"/>
  <c r="B123"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18" i="2"/>
  <c r="B118"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19" i="2"/>
  <c r="B119" i="2" s="1"/>
  <c r="A116" i="2"/>
  <c r="B116" i="2" s="1"/>
  <c r="A71" i="2"/>
  <c r="B71" i="2" s="1"/>
  <c r="A91" i="2"/>
  <c r="B91" i="2" s="1"/>
  <c r="A90" i="2"/>
  <c r="B90"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2" i="2"/>
  <c r="B92"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89" i="2"/>
  <c r="B89"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1" i="2" s="1"/>
  <c r="R51" i="2" s="1"/>
  <c r="P10" i="29"/>
  <c r="K51" i="2"/>
  <c r="L51" i="2" s="1"/>
  <c r="I51" i="2"/>
  <c r="J51" i="2" s="1"/>
  <c r="E51" i="2"/>
  <c r="F51" i="2" s="1"/>
  <c r="D10" i="29"/>
  <c r="A51" i="2"/>
  <c r="B51" i="2" s="1"/>
  <c r="T10" i="34"/>
  <c r="T9" i="34"/>
  <c r="T8" i="34"/>
  <c r="R10" i="34"/>
  <c r="R9" i="34"/>
  <c r="R8" i="34"/>
  <c r="P10" i="34"/>
  <c r="P9" i="34"/>
  <c r="O45" i="2" s="1"/>
  <c r="P45" i="2" s="1"/>
  <c r="P8" i="34"/>
  <c r="N10" i="34"/>
  <c r="N9" i="34"/>
  <c r="N8" i="34"/>
  <c r="L10" i="34"/>
  <c r="K46" i="2" s="1"/>
  <c r="L46" i="2" s="1"/>
  <c r="L9" i="34"/>
  <c r="K45" i="2" s="1"/>
  <c r="L45" i="2" s="1"/>
  <c r="L8" i="34"/>
  <c r="J10" i="34"/>
  <c r="I46" i="2" s="1"/>
  <c r="J46" i="2" s="1"/>
  <c r="J9" i="34"/>
  <c r="I45" i="2" s="1"/>
  <c r="J45" i="2" s="1"/>
  <c r="J8" i="34"/>
  <c r="I44" i="2" s="1"/>
  <c r="J44" i="2" s="1"/>
  <c r="H10" i="34"/>
  <c r="H9" i="34"/>
  <c r="H8" i="34"/>
  <c r="F10" i="34"/>
  <c r="E46" i="2" s="1"/>
  <c r="F46" i="2" s="1"/>
  <c r="F9" i="34"/>
  <c r="E45" i="2" s="1"/>
  <c r="F45" i="2" s="1"/>
  <c r="F8" i="34"/>
  <c r="D10" i="34"/>
  <c r="D9" i="34"/>
  <c r="D8" i="34"/>
  <c r="C44" i="2" s="1"/>
  <c r="D44" i="2" s="1"/>
  <c r="B8" i="34"/>
  <c r="A44" i="2" s="1"/>
  <c r="B44" i="2" s="1"/>
  <c r="T7" i="43"/>
  <c r="R7" i="43"/>
  <c r="O50" i="2"/>
  <c r="P50" i="2" s="1"/>
  <c r="K50" i="2"/>
  <c r="L50" i="2" s="1"/>
  <c r="I50" i="2"/>
  <c r="J50" i="2" s="1"/>
  <c r="C50" i="2"/>
  <c r="D50" i="2" s="1"/>
  <c r="B7" i="43"/>
  <c r="A50" i="2" s="1"/>
  <c r="B50" i="2" s="1"/>
  <c r="A52" i="2"/>
  <c r="B52" i="2" s="1"/>
  <c r="T7" i="47"/>
  <c r="R7" i="47"/>
  <c r="Q52" i="2" s="1"/>
  <c r="R52" i="2" s="1"/>
  <c r="O52" i="2"/>
  <c r="P52" i="2" s="1"/>
  <c r="I52" i="2"/>
  <c r="J52"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8" i="2"/>
  <c r="B68"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4" i="2"/>
  <c r="B84"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3" i="2"/>
  <c r="B83"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2" i="2"/>
  <c r="B82"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2" i="2"/>
  <c r="B72"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0" i="2"/>
  <c r="B70"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9" i="2"/>
  <c r="B69"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48" i="2"/>
  <c r="B48" i="2" s="1"/>
  <c r="A122" i="2"/>
  <c r="B122" i="2" s="1"/>
  <c r="A16" i="2"/>
  <c r="B16" i="2" s="1"/>
  <c r="T8" i="30"/>
  <c r="R8" i="30"/>
  <c r="P8" i="30"/>
  <c r="N8" i="30"/>
  <c r="L8" i="30"/>
  <c r="H8" i="30"/>
  <c r="D8" i="30"/>
  <c r="C24" i="2" s="1"/>
  <c r="D24" i="2" s="1"/>
  <c r="T7" i="36"/>
  <c r="R7" i="36"/>
  <c r="Q48" i="2" s="1"/>
  <c r="R48" i="2" s="1"/>
  <c r="P7" i="36"/>
  <c r="N7" i="36"/>
  <c r="L7" i="36"/>
  <c r="J7" i="36"/>
  <c r="I48" i="2" s="1"/>
  <c r="J48"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5" i="2"/>
  <c r="B65"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6" i="2" s="1"/>
  <c r="B46" i="2" s="1"/>
  <c r="B9" i="34"/>
  <c r="A45" i="2" s="1"/>
  <c r="B45"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88" i="2" s="1"/>
  <c r="B88"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3" i="2" s="1"/>
  <c r="B73" i="2" s="1"/>
  <c r="T3" i="33"/>
  <c r="R3" i="33"/>
  <c r="P3" i="33"/>
  <c r="N3" i="33"/>
  <c r="L3" i="33"/>
  <c r="J3" i="33"/>
  <c r="H3" i="33"/>
  <c r="F3" i="33"/>
  <c r="D3" i="33"/>
  <c r="B3" i="33"/>
  <c r="A19" i="2"/>
  <c r="B19" i="2" s="1"/>
  <c r="A64" i="2"/>
  <c r="B64"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6" i="2" s="1"/>
  <c r="B86" i="2" s="1"/>
  <c r="T3" i="30"/>
  <c r="R3" i="30"/>
  <c r="P3" i="30"/>
  <c r="N3" i="30"/>
  <c r="L3" i="30"/>
  <c r="J3" i="30"/>
  <c r="H3" i="30"/>
  <c r="F3" i="30"/>
  <c r="D3" i="30"/>
  <c r="B3" i="30"/>
  <c r="T7" i="29"/>
  <c r="R7" i="29"/>
  <c r="Q43" i="2" s="1"/>
  <c r="R43" i="2" s="1"/>
  <c r="P7" i="29"/>
  <c r="N7" i="29"/>
  <c r="M43" i="2" s="1"/>
  <c r="N43" i="2" s="1"/>
  <c r="L7" i="29"/>
  <c r="K43" i="2" s="1"/>
  <c r="L43" i="2" s="1"/>
  <c r="J7" i="29"/>
  <c r="H7" i="29"/>
  <c r="E43" i="2"/>
  <c r="F43" i="2" s="1"/>
  <c r="D7" i="29"/>
  <c r="C43" i="2" s="1"/>
  <c r="D43" i="2" s="1"/>
  <c r="B7" i="29"/>
  <c r="A43" i="2" s="1"/>
  <c r="B43"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17" i="2"/>
  <c r="B117"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5" i="2" s="1"/>
  <c r="B85" i="2" s="1"/>
  <c r="T3" i="27"/>
  <c r="R3" i="27"/>
  <c r="P3" i="27"/>
  <c r="N3" i="27"/>
  <c r="L3" i="27"/>
  <c r="J3" i="27"/>
  <c r="H3" i="27"/>
  <c r="F3" i="27"/>
  <c r="D3" i="27"/>
  <c r="B3" i="27"/>
  <c r="A79" i="2"/>
  <c r="B79" i="2" s="1"/>
  <c r="T8" i="26"/>
  <c r="R8" i="26"/>
  <c r="Q38" i="2" s="1"/>
  <c r="R38" i="2" s="1"/>
  <c r="P8" i="26"/>
  <c r="O38" i="2" s="1"/>
  <c r="P38" i="2" s="1"/>
  <c r="N8" i="26"/>
  <c r="L8" i="26"/>
  <c r="K38" i="2" s="1"/>
  <c r="L38" i="2" s="1"/>
  <c r="J8" i="26"/>
  <c r="H8" i="26"/>
  <c r="F8" i="26"/>
  <c r="E38" i="2" s="1"/>
  <c r="F38" i="2" s="1"/>
  <c r="D8" i="26"/>
  <c r="C38" i="2" s="1"/>
  <c r="D38" i="2" s="1"/>
  <c r="B8" i="26"/>
  <c r="B38"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6" i="2"/>
  <c r="B36" i="2" s="1"/>
  <c r="A78" i="2"/>
  <c r="B78" i="2" s="1"/>
  <c r="T9" i="24"/>
  <c r="T8" i="24"/>
  <c r="R9" i="24"/>
  <c r="Q35" i="2" s="1"/>
  <c r="R35" i="2" s="1"/>
  <c r="R8" i="24"/>
  <c r="Q37" i="2" s="1"/>
  <c r="R37" i="2" s="1"/>
  <c r="P9" i="24"/>
  <c r="P8" i="24"/>
  <c r="O37" i="2" s="1"/>
  <c r="P37" i="2" s="1"/>
  <c r="N9" i="24"/>
  <c r="M35" i="2" s="1"/>
  <c r="N35" i="2" s="1"/>
  <c r="N8" i="24"/>
  <c r="M37" i="2" s="1"/>
  <c r="N37" i="2" s="1"/>
  <c r="L9" i="24"/>
  <c r="L8" i="24"/>
  <c r="K37" i="2" s="1"/>
  <c r="L37" i="2" s="1"/>
  <c r="J9" i="24"/>
  <c r="J8" i="24"/>
  <c r="H9" i="24"/>
  <c r="H8" i="24"/>
  <c r="F9" i="24"/>
  <c r="E35" i="2" s="1"/>
  <c r="F35" i="2" s="1"/>
  <c r="F8" i="24"/>
  <c r="E37" i="2" s="1"/>
  <c r="F37" i="2" s="1"/>
  <c r="D9" i="24"/>
  <c r="D8" i="24"/>
  <c r="T8" i="25"/>
  <c r="R8" i="25"/>
  <c r="P8" i="25"/>
  <c r="N8" i="25"/>
  <c r="L8" i="25"/>
  <c r="J8" i="25"/>
  <c r="H8" i="25"/>
  <c r="F8" i="25"/>
  <c r="D8" i="25"/>
  <c r="C36" i="2" s="1"/>
  <c r="D36"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A35" i="2" s="1"/>
  <c r="B35" i="2" s="1"/>
  <c r="B8" i="24"/>
  <c r="A37" i="2" s="1"/>
  <c r="B37"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77" i="2" s="1"/>
  <c r="B77" i="2" s="1"/>
  <c r="T3" i="24"/>
  <c r="R3" i="24"/>
  <c r="P3" i="24"/>
  <c r="N3" i="24"/>
  <c r="L3" i="24"/>
  <c r="J3" i="24"/>
  <c r="H3" i="24"/>
  <c r="F3" i="24"/>
  <c r="D3" i="24"/>
  <c r="B3" i="24"/>
  <c r="A76" i="2"/>
  <c r="B76"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5" i="2"/>
  <c r="B75"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0" i="2"/>
  <c r="B80"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4" i="2"/>
  <c r="B114"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08" i="2"/>
  <c r="B108"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06" i="2"/>
  <c r="B106"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2" i="2"/>
  <c r="B112"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47" i="2"/>
  <c r="B47" i="2" s="1"/>
  <c r="A27" i="2"/>
  <c r="B27" i="2" s="1"/>
  <c r="A26" i="2"/>
  <c r="B26" i="2" s="1"/>
  <c r="T22" i="5"/>
  <c r="T20" i="5"/>
  <c r="T15" i="5"/>
  <c r="R22" i="5"/>
  <c r="Q27" i="2" s="1"/>
  <c r="R27" i="2" s="1"/>
  <c r="R20" i="5"/>
  <c r="Q26" i="2" s="1"/>
  <c r="R26" i="2" s="1"/>
  <c r="R15" i="5"/>
  <c r="Q47" i="2" s="1"/>
  <c r="R47" i="2" s="1"/>
  <c r="P22" i="5"/>
  <c r="O27" i="2" s="1"/>
  <c r="P27" i="2" s="1"/>
  <c r="P20" i="5"/>
  <c r="P15" i="5"/>
  <c r="N22" i="5"/>
  <c r="M27" i="2" s="1"/>
  <c r="N27" i="2" s="1"/>
  <c r="N20" i="5"/>
  <c r="M26" i="2" s="1"/>
  <c r="N26" i="2" s="1"/>
  <c r="N15" i="5"/>
  <c r="L22" i="5"/>
  <c r="L20" i="5"/>
  <c r="L15" i="5"/>
  <c r="J22" i="5"/>
  <c r="J20" i="5"/>
  <c r="J15" i="5"/>
  <c r="I47" i="2" s="1"/>
  <c r="J47" i="2" s="1"/>
  <c r="H22" i="5"/>
  <c r="H20" i="5"/>
  <c r="H15" i="5"/>
  <c r="F22" i="5"/>
  <c r="F20" i="5"/>
  <c r="F15" i="5"/>
  <c r="E47" i="2" s="1"/>
  <c r="F47" i="2" s="1"/>
  <c r="D22" i="5"/>
  <c r="D20" i="5"/>
  <c r="D15" i="5"/>
  <c r="C47" i="2" s="1"/>
  <c r="D47" i="2" s="1"/>
  <c r="B20" i="5"/>
  <c r="B15" i="5"/>
  <c r="B22" i="5"/>
  <c r="T12" i="5"/>
  <c r="T11" i="5"/>
  <c r="T10" i="5"/>
  <c r="T9" i="5"/>
  <c r="T6" i="5"/>
  <c r="T5" i="5"/>
  <c r="T4" i="5"/>
  <c r="T3" i="5"/>
  <c r="R12" i="5"/>
  <c r="Q40" i="2" s="1"/>
  <c r="R40" i="2" s="1"/>
  <c r="R11" i="5"/>
  <c r="Q41" i="2" s="1"/>
  <c r="R41" i="2" s="1"/>
  <c r="R10" i="5"/>
  <c r="Q30" i="2" s="1"/>
  <c r="R30" i="2" s="1"/>
  <c r="R9" i="5"/>
  <c r="R6" i="5"/>
  <c r="R5" i="5"/>
  <c r="R4" i="5"/>
  <c r="R3" i="5"/>
  <c r="P12" i="5"/>
  <c r="O40" i="2" s="1"/>
  <c r="P40" i="2" s="1"/>
  <c r="P11" i="5"/>
  <c r="P10" i="5"/>
  <c r="O30" i="2" s="1"/>
  <c r="P30" i="2" s="1"/>
  <c r="P9" i="5"/>
  <c r="O29" i="2" s="1"/>
  <c r="P29" i="2" s="1"/>
  <c r="P6" i="5"/>
  <c r="P5" i="5"/>
  <c r="P4" i="5"/>
  <c r="P3" i="5"/>
  <c r="N12" i="5"/>
  <c r="M40" i="2" s="1"/>
  <c r="N40" i="2" s="1"/>
  <c r="N11" i="5"/>
  <c r="M41" i="2" s="1"/>
  <c r="N41" i="2" s="1"/>
  <c r="N10" i="5"/>
  <c r="M30" i="2" s="1"/>
  <c r="N30" i="2" s="1"/>
  <c r="N9" i="5"/>
  <c r="M29" i="2" s="1"/>
  <c r="N29" i="2" s="1"/>
  <c r="N6" i="5"/>
  <c r="N5" i="5"/>
  <c r="N4" i="5"/>
  <c r="N3" i="5"/>
  <c r="L12" i="5"/>
  <c r="K40" i="2" s="1"/>
  <c r="L40" i="2" s="1"/>
  <c r="L11" i="5"/>
  <c r="L10" i="5"/>
  <c r="K30" i="2" s="1"/>
  <c r="L30" i="2" s="1"/>
  <c r="L9" i="5"/>
  <c r="K29" i="2" s="1"/>
  <c r="L29" i="2" s="1"/>
  <c r="L6" i="5"/>
  <c r="L5" i="5"/>
  <c r="L4" i="5"/>
  <c r="L3" i="5"/>
  <c r="J12" i="5"/>
  <c r="I40" i="2" s="1"/>
  <c r="J40" i="2" s="1"/>
  <c r="J11" i="5"/>
  <c r="I41" i="2" s="1"/>
  <c r="J41" i="2" s="1"/>
  <c r="J10" i="5"/>
  <c r="I30" i="2" s="1"/>
  <c r="J30" i="2" s="1"/>
  <c r="J9" i="5"/>
  <c r="J6" i="5"/>
  <c r="J5" i="5"/>
  <c r="J4" i="5"/>
  <c r="J3" i="5"/>
  <c r="H12" i="5"/>
  <c r="H11" i="5"/>
  <c r="H10" i="5"/>
  <c r="H9" i="5"/>
  <c r="H6" i="5"/>
  <c r="H5" i="5"/>
  <c r="H4" i="5"/>
  <c r="H3" i="5"/>
  <c r="F12" i="5"/>
  <c r="E40" i="2" s="1"/>
  <c r="F40" i="2" s="1"/>
  <c r="F11" i="5"/>
  <c r="E41" i="2" s="1"/>
  <c r="F41"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87" i="2" s="1"/>
  <c r="B87"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1" i="2" s="1"/>
  <c r="B111"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5" i="2" s="1"/>
  <c r="B105"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0" i="2" s="1"/>
  <c r="B110" i="2" s="1"/>
  <c r="T3" i="12"/>
  <c r="R3" i="12"/>
  <c r="P3" i="12"/>
  <c r="N3" i="12"/>
  <c r="L3" i="12"/>
  <c r="J3" i="12"/>
  <c r="H3" i="12"/>
  <c r="F3" i="12"/>
  <c r="D3" i="12"/>
  <c r="B3" i="12"/>
  <c r="A104" i="2"/>
  <c r="B104"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09" i="2"/>
  <c r="B109"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3" i="2"/>
  <c r="B103"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2" i="2"/>
  <c r="B102"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1" i="2"/>
  <c r="B101"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0" i="2"/>
  <c r="B100"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3" i="2"/>
  <c r="B113" i="2" s="1"/>
  <c r="B12" i="5"/>
  <c r="A40" i="2" s="1"/>
  <c r="B40" i="2" s="1"/>
  <c r="B11" i="5"/>
  <c r="A41" i="2" s="1"/>
  <c r="B41" i="2" s="1"/>
  <c r="B10" i="5"/>
  <c r="A30" i="2" s="1"/>
  <c r="B30" i="2" s="1"/>
  <c r="B9" i="5"/>
  <c r="B6" i="5"/>
  <c r="B5" i="5"/>
  <c r="B4" i="5"/>
  <c r="B3" i="5"/>
  <c r="B3" i="4"/>
  <c r="B4" i="4"/>
  <c r="A99" i="2" s="1"/>
  <c r="B99"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4" i="2" s="1"/>
  <c r="B74" i="2" s="1"/>
  <c r="B6" i="1"/>
  <c r="A13" i="2" s="1"/>
  <c r="B13" i="2" s="1"/>
  <c r="B5" i="1"/>
  <c r="B3" i="1"/>
  <c r="A63" i="2" s="1"/>
  <c r="B63" i="2" s="1"/>
  <c r="J12" i="39" a="1"/>
  <c r="J9" i="39" a="1"/>
  <c r="N7" i="39" a="1"/>
  <c r="F12" i="39" a="1"/>
  <c r="B4" i="39" a="1"/>
  <c r="F11" i="39" a="1"/>
  <c r="B13" i="39" a="1"/>
  <c r="J21" i="39" a="1"/>
  <c r="F24" i="39" a="1"/>
  <c r="B7" i="39" a="1"/>
  <c r="J13" i="39" a="1"/>
  <c r="J8" i="39" a="1"/>
  <c r="F26" i="39" a="1"/>
  <c r="J15" i="39" a="1"/>
  <c r="N5" i="39" a="1"/>
  <c r="F9" i="39" a="1"/>
  <c r="N2" i="39" a="1"/>
  <c r="B12" i="39" a="1"/>
  <c r="J14" i="39" a="1"/>
  <c r="J6" i="39" a="1"/>
  <c r="J11" i="39" a="1"/>
  <c r="F2" i="39" a="1"/>
  <c r="J16" i="39" a="1"/>
  <c r="J4" i="39" a="1"/>
  <c r="F25" i="39" a="1"/>
  <c r="J19" i="39" a="1"/>
  <c r="F13" i="39" a="1"/>
  <c r="F22" i="39" a="1"/>
  <c r="J2" i="39" a="1"/>
  <c r="J7" i="39" a="1"/>
  <c r="B2" i="39" a="1"/>
  <c r="F10" i="39" a="1"/>
  <c r="J3" i="39" a="1"/>
  <c r="B15" i="39" a="1"/>
  <c r="B3" i="39" a="1"/>
  <c r="J22" i="39" a="1"/>
  <c r="F6" i="39" a="1"/>
  <c r="J18" i="39" a="1"/>
  <c r="F3" i="39" a="1"/>
  <c r="B14" i="39" a="1"/>
  <c r="F5" i="39" a="1"/>
  <c r="F14" i="39" a="1"/>
  <c r="F23" i="39" a="1"/>
  <c r="N6" i="39" a="1"/>
  <c r="J17" i="39" a="1"/>
  <c r="B9" i="39" a="1"/>
  <c r="J10" i="39" a="1"/>
  <c r="J5" i="39" a="1"/>
  <c r="B8" i="39" a="1"/>
  <c r="F27" i="39" a="1"/>
  <c r="F4" i="39" a="1"/>
  <c r="J20" i="39" a="1"/>
  <c r="N4" i="39" a="1"/>
  <c r="N3" i="39" a="1"/>
  <c r="F6" i="39" l="1"/>
  <c r="G6" i="39" s="1"/>
  <c r="B12" i="39"/>
  <c r="C12" i="39" s="1"/>
  <c r="J22" i="39"/>
  <c r="K22" i="39" s="1"/>
  <c r="N7" i="39"/>
  <c r="O7" i="39" s="1"/>
  <c r="F3" i="39"/>
  <c r="G3" i="39" s="1"/>
  <c r="J20" i="39"/>
  <c r="K20" i="39" s="1"/>
  <c r="F4" i="39"/>
  <c r="G4" i="39" s="1"/>
  <c r="J9" i="39"/>
  <c r="K9" i="39" s="1"/>
  <c r="F24" i="39"/>
  <c r="G24" i="39" s="1"/>
  <c r="J19" i="39"/>
  <c r="K19" i="39" s="1"/>
  <c r="J8" i="39"/>
  <c r="K8" i="39" s="1"/>
  <c r="F23" i="39"/>
  <c r="G23" i="39" s="1"/>
  <c r="J18" i="39"/>
  <c r="K18" i="39" s="1"/>
  <c r="F2" i="39"/>
  <c r="G2" i="39" s="1"/>
  <c r="J7" i="39"/>
  <c r="K7" i="39" s="1"/>
  <c r="B15" i="39"/>
  <c r="C15" i="39" s="1"/>
  <c r="F22" i="39"/>
  <c r="G22"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6" i="39"/>
  <c r="G26"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27" i="39"/>
  <c r="G27" i="39" s="1"/>
  <c r="N2" i="39"/>
  <c r="O2" i="39" s="1"/>
  <c r="F25" i="39"/>
  <c r="G25" i="39" s="1"/>
  <c r="B3" i="39"/>
  <c r="C3" i="39" s="1"/>
  <c r="B2" i="39"/>
  <c r="C2"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<sst xmlns="http://schemas.openxmlformats.org/spreadsheetml/2006/main" count="16125" uniqueCount="7847">
  <si>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</si>
  <si>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</si>
  <si>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</si>
  <si>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</si>
  <si>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</si>
  <si>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</si>
  <si>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</si>
  <si>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</si>
  <si>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</si>
  <si>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</si>
  <si>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</si>
  <si>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</si>
  <si>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</si>
  <si>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</si>
  <si>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</si>
  <si>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</si>
  <si>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</si>
  <si>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</si>
  <si>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</si>
  <si>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</si>
  <si>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</si>
  <si>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</si>
  <si>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</si>
  <si>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</si>
  <si>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</si>
  <si>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</si>
  <si>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</si>
  <si>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</si>
  <si>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</si>
  <si>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</si>
  <si>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</si>
  <si>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</si>
  <si>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</si>
  <si>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</si>
  <si>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</si>
  <si>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</si>
  <si>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</si>
  <si>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</si>
  <si>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</si>
  <si>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</si>
  <si>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</si>
  <si>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</si>
  <si>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</si>
  <si>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</si>
  <si>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</si>
  <si>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</si>
  <si>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</si>
  <si>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</si>
  <si>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</si>
  <si>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</si>
  <si>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http://web.poe.garena.tw/api/trade/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</si>
  <si>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</si>
  <si>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</si>
  <si>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</si>
  <si>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</si>
  <si>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</si>
  <si>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</si>
  <si>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</si>
  <si>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</si>
  <si>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</si>
  <si>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</si>
  <si>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</si>
  <si>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</si>
  <si>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</si>
  <si>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</si>
  <si>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</si>
  <si>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</si>
  <si>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</si>
  <si>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</si>
  <si>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</si>
  <si>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</si>
  <si>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</si>
  <si>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</si>
  <si>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</si>
  <si>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</si>
  <si>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</si>
  <si>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</si>
  <si>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</si>
  <si>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</si>
  <si>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</si>
  <si>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</si>
  <si>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</si>
  <si>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</si>
  <si>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</si>
  <si>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</si>
  <si>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</si>
  <si>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</si>
  <si>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</si>
  <si>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</si>
  <si>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</si>
  <si>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</si>
  <si>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</si>
  <si>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</si>
  <si>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</si>
  <si>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</si>
  <si>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</si>
  <si>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</si>
  <si>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</si>
  <si>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</si>
  <si>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</si>
  <si>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</si>
  <si>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</si>
  <si>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</si>
  <si>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</si>
  <si>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</si>
  <si>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</si>
  <si>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</si>
  <si>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</si>
  <si>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</si>
  <si>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</si>
  <si>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</si>
  <si>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</si>
  <si>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</si>
  <si>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</si>
  <si>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</si>
  <si>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</si>
  <si>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</si>
  <si>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</si>
  <si>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</si>
  <si>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</si>
  <si>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</si>
  <si>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</si>
  <si>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</si>
  <si>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</si>
  <si>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</si>
  <si>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</si>
  <si>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</si>
  <si>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</si>
  <si>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</si>
  <si>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</si>
  <si>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</si>
  <si>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</si>
  <si>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</si>
  <si>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</si>
  <si>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</si>
  <si>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</si>
  <si>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</si>
  <si>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</si>
  <si>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</si>
  <si>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</si>
  <si>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</si>
  <si>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</si>
  <si>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</si>
  <si>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</si>
  <si>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</si>
  <si>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</si>
  <si>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</si>
  <si>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</si>
  <si>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</si>
  <si>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</si>
  <si>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</si>
  <si>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</si>
  <si>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</si>
  <si>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</si>
  <si>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</si>
  <si>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</si>
  <si>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</si>
  <si>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</si>
  <si>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</si>
  <si>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</si>
  <si>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</si>
  <si>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</si>
  <si>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</si>
  <si>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</si>
  <si>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</si>
  <si>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</si>
  <si>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</si>
  <si>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</si>
  <si>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</si>
  <si>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</si>
  <si>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</si>
  <si>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</si>
  <si>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</si>
  <si>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</si>
  <si>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</si>
  <si>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</si>
  <si>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</si>
  <si>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</si>
  <si>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</si>
  <si>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</si>
  <si>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</si>
  <si>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</si>
  <si>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</si>
  <si>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</si>
  <si>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</si>
  <si>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</si>
  <si>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</si>
  <si>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</si>
  <si>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</si>
  <si>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</si>
  <si>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</si>
  <si>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</si>
  <si>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</si>
  <si>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</si>
  <si>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</si>
  <si>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</si>
  <si>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</si>
  <si>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</si>
  <si>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</si>
  <si>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</si>
  <si>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</si>
  <si>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</si>
  <si>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</si>
  <si>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</si>
  <si>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</si>
  <si>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</si>
  <si>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</si>
  <si>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</si>
  <si>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</si>
  <si>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</si>
  <si>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</si>
  <si>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</si>
  <si>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</si>
  <si>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</si>
  <si>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</si>
  <si>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</si>
  <si>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</si>
  <si>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</si>
  <si>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</si>
  <si>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</si>
  <si>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</si>
  <si>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</si>
  <si>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</si>
  <si>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</si>
  <si>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</si>
  <si>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</si>
  <si>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</si>
  <si>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</si>
  <si>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</si>
  <si>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</si>
  <si>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</si>
  <si>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</si>
  <si>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</si>
  <si>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</si>
  <si>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</si>
  <si>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</si>
  <si>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</si>
  <si>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</si>
  <si>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</si>
  <si>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</si>
  <si>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</si>
  <si>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</si>
  <si>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</si>
  <si>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</si>
  <si>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</si>
  <si>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</si>
  <si>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</si>
  <si>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</si>
  <si>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</si>
  <si>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</si>
  <si>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</si>
  <si>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</si>
  <si>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</si>
  <si>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</si>
  <si>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</si>
  <si>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</si>
  <si>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</si>
  <si>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</si>
  <si>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</si>
  <si>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</si>
  <si>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</si>
  <si>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</si>
  <si>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</si>
  <si>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</si>
  <si>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</si>
  <si>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</si>
  <si>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</si>
  <si>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</si>
  <si>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</si>
  <si>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</si>
  <si>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</si>
  <si>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</si>
  <si>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</si>
  <si>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</si>
  <si>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</si>
  <si>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</si>
  <si>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</si>
  <si>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</si>
  <si>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</si>
  <si>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</si>
  <si>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</si>
  <si>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</si>
  <si>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</si>
  <si>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</si>
  <si>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</si>
  <si>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</si>
  <si>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</si>
  <si>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</si>
  <si>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</si>
  <si>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</si>
  <si>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</si>
  <si>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</si>
  <si>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</si>
  <si>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</si>
  <si>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</si>
  <si>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</si>
  <si>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</si>
  <si>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</si>
  <si>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</si>
  <si>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</si>
  <si>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</si>
  <si>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</si>
  <si>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</si>
  <si>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</si>
  <si>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</si>
  <si>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</si>
  <si>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</si>
  <si>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</si>
  <si>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</si>
  <si>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</si>
  <si>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</si>
  <si>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</si>
  <si>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</si>
  <si>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</si>
  <si>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</si>
  <si>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</si>
  <si>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</si>
  <si>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</si>
  <si>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</si>
  <si>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</si>
  <si>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</si>
  <si>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</si>
  <si>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</si>
  <si>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</si>
  <si>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</si>
  <si>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</si>
  <si>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</si>
  <si>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</si>
  <si>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</si>
  <si>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</si>
  <si>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</si>
  <si>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</si>
  <si>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</si>
  <si>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</si>
  <si>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</si>
  <si>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</si>
  <si>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</si>
  <si>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</si>
  <si>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</si>
  <si>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</si>
  <si>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</si>
  <si>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</si>
  <si>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</si>
  <si>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</si>
  <si>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</si>
  <si>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</si>
  <si>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</si>
  <si>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</si>
  <si>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</si>
  <si>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</si>
  <si>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</si>
  <si>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</si>
  <si>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</si>
  <si>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</si>
  <si>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</si>
  <si>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</si>
  <si>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</si>
  <si>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</si>
  <si>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</si>
  <si>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</si>
  <si>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</si>
  <si>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</si>
  <si>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</si>
  <si>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</si>
  <si>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</si>
  <si>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</si>
  <si>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</si>
  <si>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</si>
  <si>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</si>
  <si>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</si>
  <si>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</si>
  <si>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</si>
  <si>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</si>
  <si>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</si>
  <si>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</si>
  <si>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</si>
  <si>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</si>
  <si>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</si>
  <si>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</si>
  <si>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</si>
  <si>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</si>
  <si>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</si>
  <si>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</si>
  <si>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</si>
  <si>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</si>
  <si>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</si>
  <si>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</si>
  <si>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</si>
  <si>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</si>
  <si>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</si>
  <si>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</si>
  <si>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</si>
  <si>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</si>
  <si>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</si>
  <si>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</si>
  <si>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</si>
  <si>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</si>
  <si>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</si>
  <si>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</si>
  <si>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</si>
  <si>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</si>
  <si>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</si>
  <si>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</si>
  <si>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</si>
  <si>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</si>
  <si>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</si>
  <si>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</si>
  <si>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</si>
  <si>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</si>
  <si>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</si>
  <si>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</si>
  <si>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</si>
  <si>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</si>
  <si>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</si>
  <si>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</si>
  <si>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</si>
  <si>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</si>
  <si>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</si>
  <si>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</si>
  <si>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</si>
  <si>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</si>
  <si>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</si>
  <si>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</si>
  <si>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</si>
  <si>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</si>
  <si>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</si>
  <si>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</si>
  <si>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</si>
  <si>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</si>
  <si>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</si>
  <si>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</si>
  <si>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</si>
  <si>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</si>
  <si>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</si>
  <si>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</si>
  <si>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</si>
  <si>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</si>
  <si>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</si>
  <si>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</si>
  <si>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</si>
  <si>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</si>
  <si>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</si>
  <si>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</si>
  <si>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</si>
  <si>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</si>
  <si>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</si>
  <si>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</si>
  <si>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</si>
  <si>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</si>
  <si>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</si>
  <si>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</si>
  <si>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</si>
  <si>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</si>
  <si>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</si>
  <si>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</si>
  <si>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</si>
  <si>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</si>
  <si>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</si>
  <si>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</si>
  <si>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</si>
  <si>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</si>
  <si>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</si>
  <si>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</si>
  <si>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</si>
  <si>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</si>
  <si>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</si>
  <si>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</si>
  <si>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</si>
  <si>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</si>
  <si>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</si>
  <si>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</si>
  <si>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</si>
  <si>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</si>
  <si>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</si>
  <si>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</si>
  <si>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</si>
  <si>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</si>
  <si>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</si>
  <si>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</si>
  <si>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</si>
  <si>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</si>
  <si>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</si>
  <si>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</si>
  <si>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</si>
  <si>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</si>
  <si>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</si>
  <si>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</si>
  <si>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</si>
  <si>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</si>
  <si>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</si>
  <si>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</si>
  <si>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</si>
  <si>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</si>
  <si>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</si>
  <si>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</si>
  <si>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</si>
  <si>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</si>
  <si>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</si>
  <si>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</si>
  <si>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</si>
  <si>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</si>
  <si>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</si>
  <si>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</si>
  <si>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</si>
  <si>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</si>
  <si>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</si>
  <si>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</si>
  <si>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</si>
  <si>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</si>
  <si>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</si>
  <si>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</si>
  <si>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</si>
  <si>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</si>
  <si>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</si>
  <si>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</si>
  <si>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</si>
  <si>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</si>
  <si>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</si>
  <si>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</si>
  <si>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</si>
  <si>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</si>
  <si>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</si>
  <si>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</si>
  <si>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</si>
  <si>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</si>
  <si>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</si>
  <si>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</si>
  <si>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</si>
  <si>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</si>
  <si>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</si>
  <si>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</si>
  <si>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</si>
  <si>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</si>
  <si>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</si>
  <si>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</si>
  <si>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</si>
  <si>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</si>
  <si>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</si>
  <si>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</si>
  <si>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</si>
  <si>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</si>
  <si>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</si>
  <si>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</si>
  <si>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</si>
  <si>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</si>
  <si>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</si>
  <si>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</si>
  <si>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</si>
  <si>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</si>
  <si>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</si>
  <si>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</si>
  <si>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</si>
  <si>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</si>
  <si>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</si>
  <si>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</si>
  <si>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</si>
  <si>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</si>
  <si>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</si>
  <si>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</si>
  <si>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</si>
  <si>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</si>
  <si>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</si>
  <si>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</si>
  <si>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</si>
  <si>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</si>
  <si>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</si>
  <si>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</si>
  <si>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</si>
  <si>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</si>
  <si>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</si>
  <si>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</si>
  <si>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</si>
  <si>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</si>
  <si>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</si>
  <si>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</si>
  <si>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</si>
  <si>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</si>
  <si>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</si>
  <si>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</si>
  <si>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</si>
  <si>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</si>
  <si>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</si>
  <si>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</si>
  <si>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</si>
  <si>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</si>
  <si>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</si>
  <si>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</si>
  <si>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</si>
  <si>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</si>
  <si>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</si>
  <si>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</si>
  <si>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</si>
  <si>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</si>
  <si>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</si>
  <si>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</si>
  <si>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</si>
  <si>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</si>
  <si>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</si>
  <si>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</si>
  <si>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</si>
  <si>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</si>
  <si>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</si>
  <si>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</si>
  <si>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</si>
  <si>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</si>
  <si>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</si>
  <si>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</si>
  <si>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</si>
  <si>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</si>
  <si>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</si>
  <si>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</si>
  <si>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</si>
  <si>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</si>
  <si>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</si>
  <si>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</si>
  <si>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</si>
  <si>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</si>
  <si>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</si>
  <si>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</si>
  <si>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</si>
  <si>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</si>
  <si>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</si>
  <si>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</si>
  <si>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</si>
  <si>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</si>
  <si>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</si>
  <si>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</si>
  <si>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</si>
  <si>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</si>
  <si>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</si>
  <si>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</si>
  <si>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</si>
  <si>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</si>
  <si>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</si>
  <si>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</si>
  <si>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</si>
  <si>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</si>
  <si>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</si>
  <si>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</si>
  <si>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</si>
  <si>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</si>
  <si>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</si>
  <si>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</si>
  <si>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</si>
  <si>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</si>
  <si>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</si>
  <si>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</si>
  <si>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</si>
  <si>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</si>
  <si>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</si>
  <si>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</si>
  <si>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</si>
  <si>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</si>
  <si>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</si>
  <si>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</si>
  <si>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</si>
  <si>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</si>
  <si>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</si>
  <si>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</si>
  <si>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</si>
  <si>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</si>
  <si>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</si>
  <si>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</si>
  <si>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</si>
  <si>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</si>
  <si>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</si>
  <si>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</si>
  <si>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</si>
  <si>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</si>
  <si>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</si>
  <si>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</si>
  <si>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</si>
  <si>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</si>
  <si>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</si>
  <si>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</si>
  <si>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</si>
  <si>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</si>
  <si>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</si>
  <si>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</si>
  <si>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</si>
  <si>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</si>
  <si>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</si>
  <si>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</si>
  <si>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</si>
  <si>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</si>
  <si>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</si>
  <si>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</si>
  <si>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</si>
  <si>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</si>
  <si>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</si>
  <si>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</si>
  <si>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</si>
  <si>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</si>
  <si>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</si>
  <si>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</si>
  <si>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</si>
  <si>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</si>
  <si>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</si>
  <si>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</si>
  <si>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</si>
  <si>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</si>
  <si>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</si>
  <si>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</si>
  <si>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</si>
  <si>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</si>
  <si>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</si>
  <si>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</si>
  <si>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</si>
  <si>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</si>
  <si>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</si>
  <si>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</si>
  <si>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</si>
  <si>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</si>
  <si>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</si>
  <si>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</si>
  <si>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</si>
  <si>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</si>
  <si>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</si>
  <si>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</si>
  <si>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</si>
  <si>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</si>
  <si>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</si>
  <si>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</si>
  <si>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</si>
  <si>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</si>
  <si>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</si>
  <si>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</si>
  <si>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</si>
  <si>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</si>
  <si>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</si>
  <si>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</si>
  <si>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</si>
  <si>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</si>
  <si>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</si>
  <si>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</si>
  <si>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</si>
  <si>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</si>
  <si>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</si>
  <si>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</si>
  <si>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</si>
  <si>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</si>
  <si>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</si>
  <si>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</si>
  <si>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</si>
  <si>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</si>
  <si>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</si>
  <si>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</si>
  <si>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</si>
  <si>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</si>
  <si>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</si>
  <si>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</si>
  <si>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</si>
  <si>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</si>
  <si>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</si>
  <si>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</si>
  <si>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</si>
  <si>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</si>
  <si>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</si>
  <si>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</si>
  <si>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</si>
  <si>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</si>
  <si>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</si>
  <si>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</si>
  <si>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</si>
  <si>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</si>
  <si>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</si>
  <si>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</si>
  <si>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</si>
  <si>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</si>
  <si>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</si>
  <si>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</si>
  <si>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</si>
  <si>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</si>
  <si>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</si>
  <si>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</si>
  <si>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</si>
  <si>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</si>
  <si>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</si>
  <si>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</si>
  <si>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</si>
  <si>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</si>
  <si>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</si>
  <si>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</si>
  <si>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</si>
  <si>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</si>
  <si>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</si>
  <si>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</si>
  <si>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</si>
  <si>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</si>
  <si>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</si>
  <si>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</si>
  <si>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</si>
  <si>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</si>
  <si>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</si>
  <si>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</si>
  <si>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</si>
  <si>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</si>
  <si>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</si>
  <si>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</si>
  <si>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</si>
  <si>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</si>
  <si>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</si>
  <si>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</si>
  <si>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</si>
  <si>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</si>
  <si>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</si>
  <si>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</si>
  <si>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</si>
  <si>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</si>
  <si>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</si>
  <si>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</si>
  <si>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</si>
  <si>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</si>
  <si>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</si>
  <si>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</si>
  <si>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</si>
  <si>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</si>
  <si>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</si>
  <si>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</si>
  <si>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</si>
  <si>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</si>
  <si>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</si>
  <si>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</si>
  <si>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</si>
  <si>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</si>
  <si>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</si>
  <si>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</si>
  <si>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</si>
  <si>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</si>
  <si>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</si>
  <si>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</si>
  <si>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</si>
  <si>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</si>
  <si>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</si>
  <si>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</si>
  <si>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</si>
  <si>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</si>
  <si>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</si>
  <si>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</si>
  <si>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</si>
  <si>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</si>
  <si>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</si>
  <si>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</si>
  <si>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</si>
  <si>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</si>
  <si>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</si>
  <si>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</si>
  <si>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</si>
  <si>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</si>
  <si>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</si>
  <si>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</si>
  <si>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</si>
  <si>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</si>
  <si>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</si>
  <si>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</si>
  <si>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</si>
  <si>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</si>
  <si>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</si>
  <si>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</si>
  <si>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</si>
  <si>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</si>
  <si>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</si>
  <si>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</si>
  <si>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</si>
  <si>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</si>
  <si>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</si>
  <si>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</si>
  <si>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</si>
  <si>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</si>
  <si>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</si>
  <si>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</si>
  <si>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</si>
  <si>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</si>
  <si>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</si>
  <si>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</si>
  <si>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</si>
  <si>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</si>
  <si>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</si>
  <si>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</si>
  <si>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</si>
  <si>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</si>
  <si>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</si>
  <si>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</si>
  <si>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</si>
  <si>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</si>
  <si>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</si>
  <si>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</si>
  <si>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</si>
  <si>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</si>
  <si>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</si>
  <si>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</si>
  <si>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</si>
  <si>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</si>
  <si>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</si>
  <si>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</si>
  <si>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</si>
  <si>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</si>
  <si>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</si>
  <si>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</si>
  <si>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</si>
  <si>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</si>
  <si>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</si>
  <si>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</si>
  <si>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</si>
  <si>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</si>
  <si>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</si>
  <si>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</si>
  <si>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</si>
  <si>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</si>
  <si>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</si>
  <si>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</si>
  <si>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</si>
  <si>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</si>
  <si>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</si>
  <si>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</si>
  <si>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</si>
  <si>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</si>
  <si>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</si>
  <si>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</si>
  <si>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</si>
  <si>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</si>
  <si>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</si>
  <si>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</si>
  <si>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</si>
  <si>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</si>
  <si>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</si>
  <si>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</si>
  <si>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</si>
  <si>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</si>
  <si>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</si>
  <si>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</si>
  <si>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</si>
  <si>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</si>
  <si>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</si>
  <si>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</si>
  <si>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</si>
  <si>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</si>
  <si>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</si>
  <si>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</si>
  <si>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</si>
  <si>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</si>
  <si>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</si>
  <si>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</si>
  <si>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</si>
  <si>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</si>
  <si>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</si>
  <si>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</si>
  <si>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</si>
  <si>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</si>
  <si>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</si>
  <si>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</si>
  <si>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</si>
  <si>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</si>
  <si>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</si>
  <si>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</si>
  <si>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</si>
  <si>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</si>
  <si>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</si>
  <si>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</si>
  <si>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</si>
  <si>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</si>
  <si>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</si>
  <si>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</si>
  <si>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</si>
  <si>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</si>
  <si>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</si>
  <si>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</si>
  <si>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</si>
  <si>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</si>
  <si>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</si>
  <si>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</si>
  <si>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</si>
  <si>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</si>
  <si>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</si>
  <si>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</si>
  <si>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</si>
  <si>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</si>
  <si>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</si>
  <si>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</si>
  <si>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</si>
  <si>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</si>
  <si>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</si>
  <si>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</si>
  <si>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</si>
  <si>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</si>
  <si>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</si>
  <si>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</si>
  <si>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</si>
  <si>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</si>
  <si>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</si>
  <si>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</si>
  <si>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</si>
  <si>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</si>
  <si>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</si>
  <si>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</si>
  <si>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</si>
  <si>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</si>
  <si>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</si>
  <si>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</si>
  <si>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</si>
  <si>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</si>
  <si>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</si>
  <si>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</si>
  <si>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</si>
  <si>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</si>
  <si>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</si>
  <si>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</si>
  <si>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</si>
  <si>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</si>
  <si>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</si>
  <si>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</si>
  <si>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</si>
  <si>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</si>
  <si>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</si>
  <si>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</si>
  <si>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</si>
  <si>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</si>
  <si>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</si>
  <si>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</si>
  <si>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</si>
  <si>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</si>
  <si>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</si>
  <si>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</si>
  <si>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</si>
  <si>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</si>
  <si>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</si>
  <si>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</si>
  <si>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</si>
  <si>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</si>
  <si>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</si>
  <si>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</si>
  <si>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</si>
  <si>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</si>
  <si>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</si>
  <si>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</si>
  <si>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</si>
  <si>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</si>
  <si>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</si>
  <si>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</si>
  <si>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</si>
  <si>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</si>
  <si>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</si>
  <si>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</si>
  <si>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</si>
  <si>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</si>
  <si>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</si>
  <si>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</si>
  <si>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</si>
  <si>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</si>
  <si>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</si>
  <si>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</si>
  <si>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</si>
  <si>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</si>
  <si>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</si>
  <si>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</si>
  <si>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</si>
  <si>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</si>
  <si>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</si>
  <si>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</si>
  <si>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</si>
  <si>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</si>
  <si>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</si>
  <si>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</si>
  <si>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</si>
  <si>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</si>
  <si>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</si>
  <si>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</si>
  <si>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</si>
  <si>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</si>
  <si>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</si>
  <si>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</si>
  <si>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</si>
  <si>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</si>
  <si>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</si>
  <si>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</si>
  <si>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</si>
  <si>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</si>
  <si>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</si>
  <si>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</si>
  <si>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</si>
  <si>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</si>
  <si>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</si>
  <si>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</si>
  <si>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</si>
  <si>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</si>
  <si>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</si>
  <si>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</si>
  <si>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</si>
  <si>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</si>
  <si>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</si>
  <si>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</si>
  <si>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</si>
  <si>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</si>
  <si>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</si>
  <si>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</si>
  <si>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</si>
  <si>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</si>
  <si>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</si>
  <si>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</si>
  <si>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</si>
  <si>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</si>
  <si>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</si>
  <si>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</si>
  <si>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</si>
  <si>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</si>
  <si>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</si>
  <si>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</si>
  <si>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</si>
  <si>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</si>
  <si>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</si>
  <si>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</si>
  <si>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</si>
  <si>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</si>
  <si>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</si>
  <si>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</si>
  <si>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</si>
  <si>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</si>
  <si>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</si>
  <si>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</si>
  <si>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</si>
  <si>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</si>
  <si>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</si>
  <si>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</si>
  <si>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</si>
  <si>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</si>
  <si>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</si>
  <si>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</si>
  <si>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</si>
  <si>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</si>
  <si>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</si>
  <si>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</si>
  <si>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</si>
  <si>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</si>
  <si>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</si>
  <si>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</si>
  <si>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</si>
  <si>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</si>
  <si>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</si>
  <si>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</si>
  <si>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</si>
  <si>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</si>
  <si>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</si>
  <si>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</si>
  <si>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</si>
  <si>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</si>
  <si>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</si>
  <si>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</si>
  <si>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</si>
  <si>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</si>
  <si>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</si>
  <si>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</si>
  <si>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</si>
  <si>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</si>
  <si>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</si>
  <si>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</si>
  <si>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</si>
  <si>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</si>
  <si>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</si>
  <si>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</si>
  <si>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</si>
  <si>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</si>
  <si>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</si>
  <si>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</si>
  <si>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</si>
  <si>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</si>
  <si>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</si>
  <si>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</si>
  <si>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</si>
  <si>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</si>
  <si>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</si>
  <si>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</si>
  <si>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</si>
  <si>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</si>
  <si>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</si>
  <si>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</si>
  <si>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</si>
  <si>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</si>
  <si>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</si>
  <si>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</si>
  <si>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</si>
  <si>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</si>
  <si>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</si>
  <si>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</si>
  <si>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</si>
  <si>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</si>
  <si>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</si>
  <si>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</si>
  <si>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</si>
  <si>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</si>
  <si>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</si>
  <si>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</si>
  <si>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</si>
  <si>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</si>
  <si>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</si>
  <si>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</si>
  <si>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</si>
  <si>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</si>
  <si>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</si>
  <si>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</si>
  <si>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</si>
  <si>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</si>
  <si>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</si>
  <si>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</si>
  <si>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</si>
  <si>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</si>
  <si>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</si>
  <si>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</si>
  <si>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</si>
  <si>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</si>
  <si>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</si>
  <si>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</si>
  <si>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</si>
  <si>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</si>
  <si>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</si>
  <si>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</si>
  <si>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</si>
  <si>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</si>
  <si>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</si>
  <si>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</si>
  <si>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</si>
  <si>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</si>
  <si>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</si>
  <si>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</si>
  <si>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</si>
  <si>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</si>
  <si>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</si>
  <si>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</si>
  <si>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</si>
  <si>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</si>
  <si>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</si>
  <si>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</si>
  <si>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</si>
  <si>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</si>
  <si>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</si>
  <si>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</si>
  <si>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</si>
  <si>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</si>
  <si>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</si>
  <si>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</si>
  <si>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</si>
  <si>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</si>
  <si>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</si>
  <si>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</si>
  <si>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</si>
  <si>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</si>
  <si>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</si>
  <si>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</si>
  <si>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</si>
  <si>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</si>
  <si>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</si>
  <si>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</si>
  <si>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</si>
  <si>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</si>
  <si>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</si>
  <si>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</si>
  <si>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</si>
  <si>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</si>
  <si>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</si>
  <si>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</si>
  <si>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</si>
  <si>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</si>
  <si>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</si>
  <si>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</si>
  <si>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</si>
  <si>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</si>
  <si>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</si>
  <si>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</si>
  <si>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</si>
  <si>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</si>
  <si>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</si>
  <si>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</si>
  <si>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</si>
  <si>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</si>
  <si>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</si>
  <si>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</si>
  <si>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</si>
  <si>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</si>
  <si>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</si>
  <si>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</si>
  <si>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</si>
  <si>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</si>
  <si>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</si>
  <si>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</si>
  <si>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</si>
  <si>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</si>
  <si>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</si>
  <si>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</si>
  <si>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</si>
  <si>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</si>
  <si>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</si>
  <si>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</si>
  <si>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</si>
  <si>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</si>
  <si>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</si>
  <si>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</si>
  <si>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</si>
  <si>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</si>
  <si>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</si>
  <si>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</si>
  <si>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</si>
  <si>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</si>
  <si>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</si>
  <si>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</si>
  <si>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</si>
  <si>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</si>
  <si>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</si>
  <si>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</si>
  <si>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</si>
  <si>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</si>
  <si>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</si>
  <si>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</si>
  <si>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</si>
  <si>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</si>
  <si>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</si>
  <si>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</si>
  <si>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</si>
  <si>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</si>
  <si>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</si>
  <si>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</si>
  <si>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</si>
  <si>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</si>
  <si>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</si>
  <si>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</si>
  <si>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</si>
  <si>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</si>
  <si>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</si>
  <si>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</si>
  <si>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</si>
  <si>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</si>
  <si>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</si>
  <si>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</si>
  <si>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</si>
  <si>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</si>
  <si>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</si>
  <si>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</si>
  <si>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</si>
  <si>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</si>
  <si>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</si>
  <si>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</si>
  <si>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</si>
  <si>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</si>
  <si>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</si>
  <si>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</si>
  <si>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</si>
  <si>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</si>
  <si>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</si>
  <si>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</si>
  <si>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</si>
  <si>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</si>
  <si>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</si>
  <si>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</si>
  <si>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</si>
  <si>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</si>
  <si>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</si>
  <si>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</si>
  <si>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</si>
  <si>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</si>
  <si>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</si>
  <si>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</si>
  <si>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</si>
  <si>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</si>
  <si>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</si>
  <si>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</si>
  <si>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</si>
  <si>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</si>
  <si>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</si>
  <si>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</si>
  <si>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</si>
  <si>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</si>
  <si>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</si>
  <si>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</si>
  <si>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</si>
  <si>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</si>
  <si>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</si>
  <si>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</si>
  <si>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</si>
  <si>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</si>
  <si>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</si>
  <si>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</si>
  <si>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</si>
  <si>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</si>
  <si>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</si>
  <si>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</si>
  <si>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</si>
  <si>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</si>
  <si>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</si>
  <si>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</si>
  <si>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</si>
  <si>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</si>
  <si>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</si>
  <si>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</si>
  <si>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</si>
  <si>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</si>
  <si>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</si>
  <si>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</si>
  <si>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</si>
  <si>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</si>
  <si>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</si>
  <si>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</si>
  <si>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</si>
  <si>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</si>
  <si>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</si>
  <si>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</si>
  <si>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</si>
  <si>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</si>
  <si>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</si>
  <si>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</si>
  <si>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</si>
  <si>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</si>
  <si>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</si>
  <si>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</si>
  <si>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</si>
  <si>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</si>
  <si>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</si>
  <si>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</si>
  <si>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</si>
  <si>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</si>
  <si>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</si>
  <si>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</si>
  <si>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</si>
  <si>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</si>
  <si>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</si>
  <si>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</si>
  <si>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</si>
  <si>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</si>
  <si>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</si>
  <si>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</si>
  <si>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</si>
  <si>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</si>
  <si>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</si>
  <si>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</si>
  <si>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</si>
  <si>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</si>
  <si>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</si>
  <si>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</si>
  <si>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</si>
  <si>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</si>
  <si>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</si>
  <si>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</si>
  <si>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</si>
  <si>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</si>
  <si>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</si>
  <si>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</si>
  <si>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</si>
  <si>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</si>
  <si>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</si>
  <si>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</si>
  <si>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</si>
  <si>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</si>
  <si>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</si>
  <si>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</si>
  <si>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</si>
  <si>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</si>
  <si>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</si>
  <si>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</si>
  <si>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</si>
  <si>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</si>
  <si>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</si>
  <si>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</si>
  <si>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</si>
  <si>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</si>
  <si>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</si>
  <si>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</si>
  <si>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</si>
  <si>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</si>
  <si>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</si>
  <si>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</si>
  <si>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</si>
  <si>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</si>
  <si>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</si>
  <si>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</si>
  <si>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</si>
  <si>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</si>
  <si>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</si>
  <si>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</si>
  <si>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</si>
  <si>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</si>
  <si>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</si>
  <si>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</si>
  <si>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</si>
  <si>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</si>
  <si>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</si>
  <si>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</si>
  <si>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</si>
  <si>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</si>
  <si>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</si>
  <si>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</si>
  <si>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</si>
  <si>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</si>
  <si>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</si>
  <si>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</si>
  <si>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</si>
  <si>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</si>
  <si>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</si>
  <si>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</si>
  <si>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</si>
  <si>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</si>
  <si>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</si>
  <si>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</si>
  <si>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</si>
  <si>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</si>
  <si>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</si>
  <si>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</si>
  <si>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</si>
  <si>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</si>
  <si>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</si>
  <si>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</si>
  <si>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</si>
  <si>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</si>
  <si>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</si>
  <si>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</si>
  <si>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</si>
  <si>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</si>
  <si>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</si>
  <si>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</si>
  <si>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</si>
  <si>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</si>
  <si>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</si>
  <si>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</si>
  <si>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</si>
  <si>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</si>
  <si>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</si>
  <si>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</si>
  <si>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</si>
  <si>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</si>
  <si>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</si>
  <si>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</si>
  <si>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</si>
  <si>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</si>
  <si>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</si>
  <si>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</si>
  <si>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</si>
  <si>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</si>
  <si>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</si>
  <si>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</si>
  <si>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</si>
  <si>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</si>
  <si>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</si>
  <si>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</si>
  <si>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</si>
  <si>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</si>
  <si>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</si>
  <si>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</si>
  <si>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</si>
  <si>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</si>
  <si>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</si>
  <si>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</si>
  <si>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</si>
  <si>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</si>
  <si>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</si>
  <si>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</si>
  <si>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</si>
  <si>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</si>
  <si>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</si>
  <si>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</si>
  <si>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</si>
  <si>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</si>
  <si>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</si>
  <si>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</si>
  <si>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</si>
  <si>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</si>
  <si>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</si>
  <si>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</si>
  <si>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</si>
  <si>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</si>
  <si>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</si>
  <si>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</si>
  <si>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</si>
  <si>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</si>
  <si>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</si>
  <si>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</si>
  <si>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</si>
  <si>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</si>
  <si>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</si>
  <si>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</si>
  <si>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</si>
  <si>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</si>
  <si>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</si>
  <si>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</si>
  <si>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</si>
  <si>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</si>
  <si>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</si>
  <si>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</si>
  <si>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</si>
  <si>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</si>
  <si>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</si>
  <si>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</si>
  <si>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</si>
  <si>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</si>
  <si>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</si>
  <si>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</si>
  <si>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</si>
  <si>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</si>
  <si>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</si>
  <si>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</si>
  <si>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</si>
  <si>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</si>
  <si>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</si>
  <si>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</si>
  <si>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</si>
  <si>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</si>
  <si>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</si>
  <si>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</si>
  <si>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</si>
  <si>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</si>
  <si>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</si>
  <si>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</si>
  <si>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</si>
  <si>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</si>
  <si>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</si>
  <si>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</si>
  <si>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</si>
  <si>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</si>
  <si>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</si>
  <si>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</si>
  <si>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</si>
  <si>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</si>
  <si>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</si>
  <si>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</si>
  <si>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</si>
  <si>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</si>
  <si>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</si>
  <si>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</si>
  <si>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</si>
  <si>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</si>
  <si>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</si>
  <si>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</si>
  <si>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</si>
  <si>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</si>
  <si>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</si>
  <si>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</si>
  <si>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</si>
  <si>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</si>
  <si>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</si>
  <si>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</si>
  <si>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</si>
  <si>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</si>
  <si>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</si>
  <si>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</si>
  <si>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</si>
  <si>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</si>
  <si>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</si>
  <si>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</si>
  <si>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</si>
  <si>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</si>
  <si>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</si>
  <si>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</si>
  <si>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</si>
  <si>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</si>
  <si>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</si>
  <si>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</si>
  <si>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</si>
  <si>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</si>
  <si>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</si>
  <si>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</si>
  <si>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</si>
  <si>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</si>
  <si>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</si>
  <si>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</si>
  <si>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</si>
  <si>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</si>
  <si>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</si>
  <si>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</si>
  <si>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</si>
  <si>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</si>
  <si>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</si>
  <si>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</si>
  <si>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</si>
  <si>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</si>
  <si>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</si>
  <si>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</si>
  <si>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</si>
  <si>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</si>
  <si>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</si>
  <si>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</si>
  <si>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</si>
  <si>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</si>
  <si>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</si>
  <si>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</si>
  <si>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</si>
  <si>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</si>
  <si>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</si>
  <si>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</si>
  <si>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</si>
  <si>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</si>
  <si>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</si>
  <si>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</si>
  <si>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</si>
  <si>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</si>
  <si>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</si>
  <si>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</si>
  <si>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</si>
  <si>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</si>
  <si>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</si>
  <si>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</si>
  <si>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</si>
  <si>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</si>
  <si>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</si>
  <si>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</si>
  <si>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</si>
  <si>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</si>
  <si>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</si>
  <si>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</si>
  <si>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</si>
  <si>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</si>
  <si>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</si>
  <si>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</si>
  <si>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</si>
  <si>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</si>
  <si>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</si>
  <si>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</si>
  <si>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</si>
  <si>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</si>
  <si>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</si>
  <si>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</si>
  <si>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</si>
  <si>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</si>
  <si>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</si>
  <si>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</si>
  <si>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</si>
  <si>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</si>
  <si>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</si>
  <si>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</si>
  <si>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</si>
  <si>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</si>
  <si>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</si>
  <si>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</si>
  <si>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</si>
  <si>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</si>
  <si>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</si>
  <si>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</si>
  <si>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</si>
  <si>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</si>
  <si>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</si>
  <si>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</si>
  <si>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</si>
  <si>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</si>
  <si>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</si>
  <si>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</si>
  <si>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</si>
  <si>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</si>
  <si>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</si>
  <si>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</si>
  <si>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</si>
  <si>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</si>
  <si>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</si>
  <si>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</si>
  <si>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</si>
  <si>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</si>
  <si>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</si>
  <si>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</si>
  <si>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</si>
  <si>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</si>
  <si>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</si>
  <si>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</si>
  <si>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</si>
  <si>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</si>
  <si>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</si>
  <si>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</si>
  <si>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</si>
  <si>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</si>
  <si>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</si>
  <si>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</si>
  <si>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</si>
  <si>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</si>
  <si>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</si>
  <si>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</si>
  <si>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</si>
  <si>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</si>
  <si>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</si>
  <si>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</si>
  <si>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</si>
  <si>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</si>
  <si>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</si>
  <si>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</si>
  <si>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</si>
  <si>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</si>
  <si>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</si>
  <si>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</si>
  <si>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</si>
  <si>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</si>
  <si>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</si>
  <si>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</si>
  <si>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</si>
  <si>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</si>
  <si>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</si>
  <si>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</si>
  <si>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</si>
  <si>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</si>
  <si>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</si>
  <si>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</si>
  <si>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</si>
  <si>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</si>
  <si>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</si>
  <si>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</si>
  <si>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</si>
  <si>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</si>
  <si>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</si>
  <si>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</si>
  <si>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</si>
  <si>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</si>
  <si>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</si>
  <si>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</si>
  <si>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</si>
  <si>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</si>
  <si>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</si>
  <si>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</si>
  <si>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</si>
  <si>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</si>
  <si>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</si>
  <si>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</si>
  <si>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</si>
  <si>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</si>
  <si>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</si>
  <si>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</si>
  <si>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</si>
  <si>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</si>
  <si>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</si>
  <si>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</si>
  <si>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</si>
  <si>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</si>
  <si>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</si>
  <si>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</si>
  <si>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</si>
  <si>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</si>
  <si>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</si>
  <si>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</si>
  <si>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</si>
  <si>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</si>
  <si>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</si>
  <si>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</si>
  <si>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</si>
  <si>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</si>
  <si>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</si>
  <si>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</si>
  <si>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</si>
  <si>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</si>
  <si>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</si>
  <si>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</si>
  <si>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</si>
  <si>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</si>
  <si>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</si>
  <si>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</si>
  <si>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</si>
  <si>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</si>
  <si>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</si>
  <si>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</si>
  <si>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</si>
  <si>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</si>
  <si>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</si>
  <si>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</si>
  <si>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</si>
  <si>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</si>
  <si>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</si>
  <si>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</si>
  <si>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</si>
  <si>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</si>
  <si>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</si>
  <si>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</si>
  <si>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</si>
  <si>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</si>
  <si>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</si>
  <si>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</si>
  <si>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</si>
  <si>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</si>
  <si>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</si>
  <si>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</si>
  <si>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</si>
  <si>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</si>
  <si>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</si>
  <si>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</si>
  <si>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</si>
  <si>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</si>
  <si>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</si>
  <si>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</si>
  <si>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</si>
  <si>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</si>
  <si>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</si>
  <si>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</si>
  <si>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</si>
  <si>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</si>
  <si>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</si>
  <si>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</si>
  <si>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</si>
  <si>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</si>
  <si>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</si>
  <si>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</si>
  <si>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</si>
  <si>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</si>
  <si>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</si>
  <si>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</si>
  <si>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</si>
  <si>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</si>
  <si>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</si>
  <si>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</si>
  <si>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</si>
  <si>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</si>
  <si>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</si>
  <si>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</si>
  <si>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</si>
  <si>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</si>
  <si>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</si>
  <si>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</si>
  <si>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</si>
  <si>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</si>
  <si>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</si>
  <si>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</si>
  <si>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</si>
  <si>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</si>
  <si>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</si>
  <si>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</si>
  <si>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</si>
  <si>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</si>
  <si>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</si>
  <si>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</si>
  <si>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</si>
  <si>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</si>
  <si>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</si>
  <si>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</si>
  <si>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</si>
  <si>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</si>
  <si>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</si>
  <si>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</si>
  <si>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</si>
  <si>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</si>
  <si>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</si>
  <si>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</si>
  <si>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</si>
  <si>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</si>
  <si>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</si>
  <si>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</si>
  <si>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</si>
  <si>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</si>
  <si>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</si>
  <si>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</si>
  <si>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</si>
  <si>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</si>
  <si>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</si>
  <si>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</si>
  <si>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</si>
  <si>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</si>
  <si>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</si>
  <si>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</si>
  <si>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</si>
  <si>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</si>
  <si>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</si>
  <si>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</si>
  <si>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</si>
  <si>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</si>
  <si>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</si>
  <si>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</si>
  <si>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</si>
  <si>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</si>
  <si>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</si>
  <si>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</si>
  <si>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</si>
  <si>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</si>
  <si>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</si>
  <si>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</si>
  <si>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</si>
  <si>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</si>
  <si>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</si>
  <si>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</si>
  <si>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</si>
  <si>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</si>
  <si>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</si>
  <si>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</si>
  <si>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</si>
  <si>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</si>
  <si>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</si>
  <si>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</si>
  <si>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</si>
  <si>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</si>
  <si>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</si>
  <si>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</si>
  <si>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</si>
  <si>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</si>
  <si>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</si>
  <si>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</si>
  <si>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</si>
  <si>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</si>
  <si>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</si>
  <si>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</si>
  <si>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</si>
  <si>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</si>
  <si>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</si>
  <si>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</si>
  <si>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</si>
  <si>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</si>
  <si>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</si>
  <si>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</si>
  <si>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</si>
  <si>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</si>
  <si>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</si>
  <si>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</si>
  <si>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</si>
  <si>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</si>
  <si>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</si>
  <si>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</si>
  <si>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</si>
  <si>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</si>
  <si>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</si>
  <si>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</si>
  <si>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</si>
  <si>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</si>
  <si>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</si>
  <si>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</si>
  <si>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</si>
  <si>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</si>
  <si>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</si>
  <si>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</si>
  <si>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</si>
  <si>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</si>
  <si>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</si>
  <si>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</si>
  <si>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</si>
  <si>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</si>
  <si>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</si>
  <si>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</si>
  <si>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</si>
  <si>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</si>
  <si>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</si>
  <si>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</si>
  <si>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</si>
  <si>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</si>
  <si>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</si>
  <si>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</si>
  <si>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</si>
  <si>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</si>
  <si>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</si>
  <si>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</si>
  <si>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</si>
  <si>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</si>
  <si>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</si>
  <si>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</si>
  <si>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</si>
  <si>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</si>
  <si>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</si>
  <si>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</si>
  <si>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</si>
  <si>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</si>
  <si>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</si>
  <si>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</si>
  <si>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</si>
  <si>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</si>
  <si>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</si>
  <si>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</si>
  <si>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</si>
  <si>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</si>
  <si>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</si>
  <si>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</si>
  <si>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</si>
  <si>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</si>
  <si>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</si>
  <si>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</si>
  <si>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</si>
  <si>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</si>
  <si>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</si>
  <si>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</si>
  <si>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</si>
  <si>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</si>
  <si>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</si>
  <si>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</si>
  <si>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</si>
  <si>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</si>
  <si>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</si>
  <si>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</si>
  <si>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</si>
  <si>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</si>
  <si>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</si>
  <si>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</si>
  <si>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</si>
  <si>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</si>
  <si>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</si>
  <si>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</si>
  <si>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</si>
  <si>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</si>
  <si>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</si>
  <si>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</si>
  <si>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</si>
  <si>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</si>
  <si>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</si>
  <si>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</si>
  <si>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</si>
  <si>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</si>
  <si>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</si>
  <si>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</si>
  <si>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</si>
  <si>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</si>
  <si>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</si>
  <si>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</si>
  <si>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</si>
  <si>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</si>
  <si>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</si>
  <si>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</si>
  <si>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</si>
  <si>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</si>
  <si>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</si>
  <si>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</si>
  <si>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</si>
  <si>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</si>
  <si>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</si>
  <si>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</si>
  <si>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</si>
  <si>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</si>
  <si>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</si>
  <si>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</si>
  <si>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</si>
  <si>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</si>
  <si>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</si>
  <si>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</si>
  <si>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</si>
  <si>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</si>
  <si>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</si>
  <si>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</si>
  <si>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</si>
  <si>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</si>
  <si>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</si>
  <si>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</si>
  <si>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</si>
  <si>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</si>
  <si>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</si>
  <si>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</si>
  <si>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</si>
  <si>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</si>
  <si>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</si>
  <si>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</si>
  <si>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</si>
  <si>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</si>
  <si>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</si>
  <si>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</si>
  <si>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</si>
  <si>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</si>
  <si>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</si>
  <si>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</si>
  <si>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</si>
  <si>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</si>
  <si>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</si>
  <si>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</si>
  <si>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</si>
  <si>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</si>
  <si>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</si>
  <si>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</si>
  <si>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</si>
  <si>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</si>
  <si>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</si>
  <si>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</si>
  <si>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</si>
  <si>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</si>
  <si>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</si>
  <si>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</si>
  <si>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</si>
  <si>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</si>
  <si>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</si>
  <si>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</si>
  <si>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</si>
  <si>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</si>
  <si>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</si>
  <si>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</si>
  <si>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</si>
  <si>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</si>
  <si>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</si>
  <si>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</si>
  <si>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</si>
  <si>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</si>
  <si>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</si>
  <si>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</si>
  <si>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</si>
  <si>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</si>
  <si>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</si>
  <si>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</si>
  <si>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</si>
  <si>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</si>
  <si>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</si>
  <si>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</si>
  <si>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</si>
  <si>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</si>
  <si>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</si>
  <si>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</si>
  <si>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</si>
  <si>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</si>
  <si>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</si>
  <si>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</si>
  <si>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</si>
  <si>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</si>
  <si>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</si>
  <si>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</si>
  <si>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</si>
  <si>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</si>
  <si>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</si>
  <si>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</si>
  <si>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</si>
  <si>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</si>
  <si>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</si>
  <si>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</si>
  <si>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</si>
  <si>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</si>
  <si>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</si>
  <si>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</si>
  <si>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</si>
  <si>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</si>
  <si>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</si>
  <si>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</si>
  <si>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</si>
  <si>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</si>
  <si>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</si>
  <si>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</si>
  <si>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</si>
  <si>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</si>
  <si>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</si>
  <si>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</si>
  <si>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</si>
  <si>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</si>
  <si>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</si>
  <si>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</si>
  <si>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</si>
  <si>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</si>
  <si>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</si>
  <si>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</si>
  <si>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</si>
  <si>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</si>
  <si>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</si>
  <si>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</si>
  <si>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</si>
  <si>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</si>
  <si>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</si>
  <si>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</si>
  <si>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</si>
  <si>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</si>
  <si>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</si>
  <si>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</si>
  <si>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</si>
  <si>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</si>
  <si>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</si>
  <si>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</si>
  <si>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</si>
  <si>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</si>
  <si>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</si>
  <si>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</si>
  <si>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</si>
  <si>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</si>
  <si>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</si>
  <si>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</si>
  <si>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</si>
  <si>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</si>
  <si>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</si>
  <si>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</si>
  <si>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</si>
  <si>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</si>
  <si>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</si>
  <si>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</si>
  <si>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</si>
  <si>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</si>
  <si>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</si>
  <si>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</si>
  <si>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</si>
  <si>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</si>
  <si>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</si>
  <si>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</si>
  <si>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</si>
  <si>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</si>
  <si>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</si>
  <si>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</si>
  <si>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</si>
  <si>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</si>
  <si>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</si>
  <si>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</si>
  <si>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</si>
  <si>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</si>
  <si>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</si>
  <si>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</si>
  <si>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</si>
  <si>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</si>
  <si>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</si>
  <si>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</si>
  <si>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</si>
  <si>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</si>
  <si>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</si>
  <si>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</si>
  <si>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</si>
  <si>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</si>
  <si>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</si>
  <si>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</si>
  <si>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</si>
  <si>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</si>
  <si>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</si>
  <si>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</si>
  <si>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</si>
  <si>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</si>
  <si>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</si>
  <si>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</si>
  <si>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</si>
  <si>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</si>
  <si>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</si>
  <si>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</si>
  <si>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</si>
  <si>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</si>
  <si>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</si>
  <si>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</si>
  <si>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</si>
  <si>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</si>
  <si>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</si>
  <si>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</si>
  <si>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</si>
  <si>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</si>
  <si>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</si>
  <si>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</si>
  <si>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</si>
  <si>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</si>
  <si>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</si>
  <si>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</si>
  <si>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</si>
  <si>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</si>
  <si>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</si>
  <si>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</si>
  <si>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</si>
  <si>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</si>
  <si>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</si>
  <si>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</si>
  <si>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</si>
  <si>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</si>
  <si>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</si>
  <si>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</si>
  <si>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</si>
  <si>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</si>
  <si>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</si>
  <si>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</si>
  <si>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</si>
  <si>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</si>
  <si>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</si>
  <si>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</si>
  <si>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</si>
  <si>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</si>
  <si>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</si>
  <si>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</si>
  <si>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</si>
  <si>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</si>
  <si>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</si>
  <si>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</si>
  <si>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</si>
  <si>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</si>
  <si>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</si>
  <si>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</si>
  <si>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</si>
  <si>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</si>
  <si>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</si>
  <si>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</si>
  <si>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</si>
  <si>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</si>
  <si>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</si>
  <si>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</si>
  <si>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</si>
  <si>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</si>
  <si>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</si>
  <si>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</si>
  <si>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</si>
  <si>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</si>
  <si>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</si>
  <si>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</si>
  <si>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</si>
  <si>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</si>
  <si>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</si>
  <si>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</si>
  <si>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</si>
  <si>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</si>
  <si>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</si>
  <si>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</si>
  <si>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</si>
  <si>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</si>
  <si>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</si>
  <si>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</si>
  <si>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</si>
  <si>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</si>
  <si>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</si>
  <si>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</si>
  <si>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</si>
  <si>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</si>
  <si>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</si>
  <si>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</si>
  <si>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</si>
  <si>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</si>
  <si>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</si>
  <si>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</si>
  <si>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</si>
  <si>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</si>
  <si>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</si>
  <si>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</si>
  <si>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</si>
  <si>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</si>
  <si>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</si>
  <si>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</si>
  <si>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</si>
  <si>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</si>
  <si>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</si>
  <si>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</si>
  <si>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</si>
  <si>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</si>
  <si>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</si>
  <si>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</si>
  <si>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</si>
  <si>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</si>
  <si>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</si>
  <si>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</si>
  <si>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</si>
  <si>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</si>
  <si>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</si>
  <si>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</si>
  <si>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</si>
  <si>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</si>
  <si>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</si>
  <si>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</si>
  <si>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</si>
  <si>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</si>
  <si>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</si>
  <si>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</si>
  <si>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</si>
  <si>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</si>
  <si>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</si>
  <si>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</si>
  <si>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</si>
  <si>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</si>
  <si>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</si>
  <si>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</si>
  <si>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</si>
  <si>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</si>
  <si>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</si>
  <si>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</si>
  <si>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</si>
  <si>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</si>
  <si>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</si>
  <si>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</si>
  <si>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</si>
  <si>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</si>
  <si>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</si>
  <si>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</si>
  <si>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</si>
  <si>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</si>
  <si>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</si>
  <si>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</si>
  <si>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</si>
  <si>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</si>
  <si>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</si>
  <si>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</si>
  <si>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</si>
  <si>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</si>
  <si>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</si>
  <si>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</si>
  <si>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</si>
  <si>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</si>
  <si>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</si>
  <si>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</si>
  <si>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</si>
  <si>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</si>
  <si>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</si>
  <si>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</si>
  <si>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</si>
  <si>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</si>
  <si>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</si>
  <si>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</si>
  <si>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</si>
  <si>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</si>
  <si>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</si>
  <si>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</si>
  <si>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</si>
  <si>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</si>
  <si>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</si>
  <si>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</si>
  <si>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</si>
  <si>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</si>
  <si>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</si>
  <si>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</si>
  <si>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</si>
  <si>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</si>
  <si>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</si>
  <si>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</si>
  <si>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</si>
  <si>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</si>
  <si>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</si>
  <si>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</si>
  <si>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</si>
  <si>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</si>
  <si>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</si>
  <si>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</si>
  <si>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</si>
  <si>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</si>
  <si>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</si>
  <si>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</si>
  <si>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</si>
  <si>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</si>
  <si>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</si>
  <si>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</si>
  <si>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</si>
  <si>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</si>
  <si>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</si>
  <si>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</si>
  <si>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</si>
  <si>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</si>
  <si>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</si>
  <si>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</si>
  <si>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</si>
  <si>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</si>
  <si>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</si>
  <si>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</si>
  <si>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</si>
  <si>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</si>
  <si>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</si>
  <si>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</si>
  <si>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</si>
  <si>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</si>
  <si>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</si>
  <si>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</si>
  <si>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</si>
  <si>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</si>
  <si>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</si>
  <si>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</si>
  <si>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</si>
  <si>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</si>
  <si>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</si>
  <si>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</si>
  <si>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</si>
  <si>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</si>
  <si>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</si>
  <si>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</si>
  <si>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</si>
  <si>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</si>
  <si>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</si>
  <si>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</si>
  <si>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</si>
  <si>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</si>
  <si>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</si>
  <si>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</si>
  <si>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</si>
  <si>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</si>
  <si>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</si>
  <si>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</si>
  <si>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</si>
  <si>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</si>
  <si>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</si>
  <si>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</si>
  <si>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</si>
  <si>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</si>
  <si>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</si>
  <si>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</si>
  <si>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</si>
  <si>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</si>
  <si>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</si>
  <si>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</si>
  <si>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</si>
  <si>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</si>
  <si>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</si>
  <si>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</si>
  <si>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</si>
  <si>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</si>
  <si>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</si>
  <si>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</si>
  <si>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</si>
  <si>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</si>
  <si>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</si>
  <si>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</si>
  <si>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</si>
  <si>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</si>
  <si>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</si>
  <si>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</si>
  <si>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</si>
  <si>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</si>
  <si>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</si>
  <si>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</si>
  <si>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</si>
  <si>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</si>
  <si>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</si>
  <si>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</si>
  <si>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</si>
  <si>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</si>
  <si>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</si>
  <si>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</si>
  <si>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</si>
  <si>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</si>
  <si>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</si>
  <si>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</si>
  <si>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</si>
  <si>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</si>
  <si>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</si>
  <si>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</si>
  <si>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</si>
  <si>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</si>
  <si>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</si>
  <si>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</si>
  <si>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</si>
  <si>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</si>
  <si>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</si>
  <si>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</si>
  <si>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</si>
  <si>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</si>
  <si>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</si>
  <si>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</si>
  <si>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</si>
  <si>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</si>
  <si>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</si>
  <si>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</si>
  <si>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</si>
  <si>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</si>
  <si>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</si>
  <si>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</si>
  <si>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</si>
  <si>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</si>
  <si>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</si>
  <si>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</si>
  <si>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</si>
  <si>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</si>
  <si>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</si>
  <si>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</si>
  <si>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</si>
  <si>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</si>
  <si>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</si>
  <si>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</si>
  <si>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</si>
  <si>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</si>
  <si>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</si>
  <si>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</si>
  <si>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</si>
  <si>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</si>
  <si>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</si>
  <si>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</si>
  <si>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</si>
  <si>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</si>
  <si>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</si>
  <si>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</si>
  <si>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</si>
  <si>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</si>
  <si>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</si>
  <si>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</si>
  <si>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</si>
  <si>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</si>
  <si>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</si>
  <si>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</si>
  <si>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</si>
  <si>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</si>
  <si>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</si>
  <si>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</si>
  <si>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</si>
  <si>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</si>
  <si>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</si>
  <si>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</si>
  <si>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</si>
  <si>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</si>
  <si>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</si>
  <si>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</si>
  <si>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</si>
  <si>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</si>
  <si>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</si>
  <si>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</si>
  <si>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</si>
  <si>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</si>
  <si>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</si>
  <si>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</si>
  <si>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</si>
  <si>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</si>
  <si>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</si>
  <si>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</si>
  <si>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</si>
  <si>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</si>
  <si>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</si>
  <si>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</si>
  <si>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</si>
  <si>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</si>
  <si>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</si>
  <si>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</si>
  <si>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</si>
  <si>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</si>
  <si>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</si>
  <si>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</si>
  <si>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</si>
  <si>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</si>
  <si>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</si>
  <si>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</si>
  <si>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</si>
  <si>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</si>
  <si>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</si>
  <si>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</si>
  <si>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</si>
  <si>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</si>
  <si>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</si>
  <si>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</si>
  <si>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</si>
  <si>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</si>
  <si>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</si>
  <si>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</si>
  <si>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</si>
  <si>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</si>
  <si>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</si>
  <si>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</si>
  <si>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</si>
  <si>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</si>
  <si>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</si>
  <si>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</si>
  <si>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</si>
  <si>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</si>
  <si>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</si>
  <si>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</si>
  <si>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</si>
  <si>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</si>
  <si>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</si>
  <si>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</si>
  <si>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</si>
  <si>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</si>
  <si>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</si>
  <si>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</si>
  <si>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</si>
  <si>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</si>
  <si>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</si>
  <si>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</si>
  <si>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</si>
  <si>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</si>
  <si>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</si>
  <si>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</si>
  <si>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</si>
  <si>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</si>
  <si>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</si>
  <si>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</si>
  <si>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</si>
  <si>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</si>
  <si>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</si>
  <si>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</si>
  <si>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</si>
  <si>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</si>
  <si>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</si>
  <si>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</si>
  <si>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</si>
  <si>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</si>
  <si>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</si>
  <si>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</si>
  <si>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</si>
  <si>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</si>
  <si>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</si>
  <si>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</si>
  <si>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</si>
  <si>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</si>
  <si>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</si>
  <si>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</si>
  <si>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</si>
  <si>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</si>
  <si>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</si>
  <si>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</si>
  <si>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</si>
  <si>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</si>
  <si>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</si>
  <si>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</si>
  <si>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</si>
  <si>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</si>
  <si>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</si>
  <si>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</si>
  <si>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</si>
  <si>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</si>
  <si>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</si>
  <si>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</si>
  <si>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</si>
  <si>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</si>
  <si>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</si>
  <si>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</si>
  <si>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</si>
  <si>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</si>
  <si>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</si>
  <si>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</si>
  <si>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</si>
  <si>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</si>
  <si>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</si>
  <si>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</si>
  <si>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</si>
  <si>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</si>
  <si>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</si>
  <si>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</si>
  <si>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</si>
  <si>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</si>
  <si>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</si>
  <si>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</si>
  <si>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</si>
  <si>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</si>
  <si>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</si>
  <si>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</si>
  <si>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</si>
  <si>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</si>
  <si>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</si>
  <si>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</si>
  <si>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</si>
  <si>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</si>
  <si>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</si>
  <si>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</si>
  <si>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</si>
  <si>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</si>
  <si>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</si>
  <si>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</si>
  <si>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</si>
  <si>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</si>
  <si>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</si>
  <si>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</si>
  <si>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</si>
  <si>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</si>
  <si>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</si>
  <si>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</si>
  <si>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</si>
  <si>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</si>
  <si>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</si>
  <si>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</si>
  <si>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</si>
  <si>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</si>
  <si>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</si>
  <si>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</si>
  <si>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</si>
  <si>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</si>
  <si>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</si>
  <si>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</si>
  <si>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</si>
  <si>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</si>
  <si>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</si>
  <si>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</si>
  <si>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</si>
  <si>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</si>
  <si>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</si>
  <si>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</si>
  <si>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</si>
  <si>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</si>
  <si>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</si>
  <si>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</si>
  <si>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</si>
  <si>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</si>
  <si>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</si>
  <si>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</si>
  <si>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</si>
  <si>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</si>
  <si>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</si>
  <si>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</si>
  <si>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</si>
  <si>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</si>
  <si>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</si>
  <si>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</si>
  <si>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</si>
  <si>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</si>
  <si>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</si>
  <si>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</si>
  <si>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</si>
  <si>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</si>
  <si>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</si>
  <si>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</si>
  <si>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</si>
  <si>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</si>
  <si>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</si>
  <si>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</si>
  <si>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</si>
  <si>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</si>
  <si>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</si>
  <si>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</si>
  <si>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</si>
  <si>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</si>
  <si>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</si>
  <si>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</si>
  <si>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</si>
  <si>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</si>
  <si>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</si>
  <si>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</si>
  <si>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</si>
  <si>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</si>
  <si>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</si>
  <si>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</si>
  <si>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</si>
  <si>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</si>
  <si>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</si>
  <si>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</si>
  <si>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</si>
  <si>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</si>
  <si>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</si>
  <si>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</si>
  <si>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</si>
  <si>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</si>
  <si>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</si>
  <si>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</si>
  <si>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</si>
  <si>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</si>
  <si>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</si>
  <si>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</si>
  <si>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</si>
  <si>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</si>
  <si>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</si>
  <si>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</si>
  <si>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</si>
  <si>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</si>
  <si>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</si>
  <si>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</si>
  <si>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</si>
  <si>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</si>
  <si>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</si>
  <si>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</si>
  <si>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</si>
  <si>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</si>
  <si>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</si>
  <si>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</si>
  <si>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</si>
  <si>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</si>
  <si>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</si>
  <si>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</si>
  <si>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</si>
  <si>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</si>
  <si>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</si>
  <si>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</si>
  <si>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</si>
  <si>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</si>
  <si>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</si>
  <si>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</si>
  <si>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</si>
  <si>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</si>
  <si>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</si>
  <si>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</si>
  <si>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</si>
  <si>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</si>
  <si>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</si>
  <si>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</si>
  <si>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</si>
  <si>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</si>
  <si>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</si>
  <si>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</si>
  <si>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</si>
  <si>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</si>
  <si>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</si>
  <si>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</si>
  <si>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</si>
  <si>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</si>
  <si>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</si>
  <si>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</si>
  <si>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</si>
  <si>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</si>
  <si>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</si>
  <si>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</si>
  <si>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</si>
  <si>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</si>
  <si>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</si>
  <si>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</si>
  <si>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</si>
  <si>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</si>
  <si>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</si>
  <si>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</si>
  <si>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</si>
  <si>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</si>
  <si>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</si>
  <si>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</si>
  <si>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</si>
  <si>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</si>
  <si>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</si>
  <si>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</si>
  <si>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</si>
  <si>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</si>
  <si>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</si>
  <si>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</si>
  <si>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</si>
  <si>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</si>
  <si>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</si>
  <si>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</si>
  <si>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</si>
  <si>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</si>
  <si>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</si>
  <si>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</si>
  <si>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</si>
  <si>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</si>
  <si>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</si>
  <si>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</si>
  <si>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</si>
  <si>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</si>
  <si>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</si>
  <si>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</si>
  <si>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</si>
  <si>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</si>
  <si>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</si>
  <si>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</si>
  <si>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</si>
  <si>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</si>
  <si>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</si>
  <si>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</si>
  <si>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</si>
  <si>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</si>
  <si>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</si>
  <si>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</si>
  <si>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</si>
  <si>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</si>
  <si>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</si>
  <si>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</si>
  <si>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</si>
  <si>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</si>
  <si>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</si>
  <si>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</si>
  <si>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</si>
  <si>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</si>
  <si>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</si>
  <si>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</si>
  <si>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</si>
  <si>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</si>
  <si>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</si>
  <si>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</si>
  <si>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</si>
  <si>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</si>
  <si>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</si>
  <si>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</si>
  <si>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</si>
  <si>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</si>
  <si>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</si>
  <si>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</si>
  <si>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</si>
  <si>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</si>
  <si>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</si>
  <si>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</si>
  <si>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</si>
  <si>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</si>
  <si>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</si>
  <si>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</si>
  <si>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</si>
  <si>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</si>
  <si>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</si>
  <si>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</si>
  <si>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</si>
  <si>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</si>
  <si>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</si>
  <si>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</si>
  <si>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</si>
  <si>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</si>
  <si>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</si>
  <si>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</si>
  <si>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</si>
  <si>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</si>
  <si>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</si>
  <si>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</si>
  <si>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</si>
  <si>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</si>
  <si>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</si>
  <si>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</si>
  <si>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</si>
  <si>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</si>
  <si>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</si>
  <si>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</si>
  <si>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</si>
  <si>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</si>
  <si>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</si>
  <si>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</si>
  <si>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</si>
  <si>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</si>
  <si>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</si>
  <si>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</si>
  <si>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</si>
  <si>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</si>
  <si>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</si>
  <si>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</si>
  <si>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</si>
  <si>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</si>
  <si>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</si>
  <si>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</si>
  <si>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</si>
  <si>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</si>
  <si>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</si>
  <si>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</si>
  <si>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</si>
  <si>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</si>
  <si>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</si>
  <si>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</si>
  <si>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</si>
  <si>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</si>
  <si>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</si>
  <si>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</si>
  <si>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</si>
  <si>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</si>
  <si>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</si>
  <si>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</si>
  <si>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</si>
  <si>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</si>
  <si>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</si>
  <si>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</si>
  <si>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</si>
  <si>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</si>
  <si>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</si>
  <si>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</si>
  <si>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</si>
  <si>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</si>
  <si>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</si>
  <si>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</si>
  <si>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</si>
  <si>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</si>
  <si>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</si>
  <si>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</si>
  <si>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</si>
  <si>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</si>
  <si>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</si>
  <si>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</si>
  <si>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</si>
  <si>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</si>
  <si>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</si>
  <si>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</si>
  <si>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</si>
  <si>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</si>
  <si>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</si>
  <si>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</si>
  <si>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</si>
  <si>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</si>
  <si>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</si>
  <si>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</si>
  <si>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</si>
  <si>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</si>
  <si>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</si>
  <si>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</si>
  <si>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</si>
  <si>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</si>
  <si>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</si>
  <si>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</si>
  <si>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</si>
  <si>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</si>
  <si>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</si>
  <si>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</si>
  <si>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</si>
  <si>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</si>
  <si>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</si>
  <si>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</si>
  <si>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</si>
  <si>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</si>
  <si>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</si>
  <si>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</si>
  <si>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</si>
  <si>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</si>
  <si>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</si>
  <si>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</si>
  <si>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</si>
  <si>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</si>
  <si>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</si>
  <si>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</si>
  <si>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</si>
  <si>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</si>
  <si>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</si>
  <si>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</si>
  <si>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</si>
  <si>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</si>
  <si>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</si>
  <si>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</si>
  <si>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</si>
  <si>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</si>
  <si>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</si>
  <si>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</si>
  <si>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</si>
  <si>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</si>
  <si>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</si>
  <si>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</si>
  <si>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</si>
  <si>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</si>
  <si>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</si>
  <si>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</si>
  <si>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</si>
  <si>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</si>
  <si>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</si>
  <si>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</si>
  <si>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</si>
  <si>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</si>
  <si>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</si>
  <si>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</si>
  <si>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</si>
  <si>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</si>
  <si>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</si>
  <si>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</si>
  <si>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</si>
  <si>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</si>
  <si>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</si>
  <si>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</si>
  <si>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</si>
  <si>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</si>
  <si>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</si>
  <si>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</si>
  <si>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</si>
  <si>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</si>
  <si>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</si>
  <si>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</si>
  <si>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</si>
  <si>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</si>
  <si>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</si>
  <si>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</si>
  <si>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</si>
  <si>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</si>
  <si>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</si>
  <si>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</si>
  <si>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</si>
  <si>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</si>
  <si>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</si>
  <si>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</si>
  <si>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</si>
  <si>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</si>
  <si>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</si>
  <si>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</si>
  <si>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</si>
  <si>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</si>
  <si>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</si>
  <si>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</si>
  <si>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</si>
  <si>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</si>
  <si>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</si>
  <si>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</si>
  <si>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</si>
  <si>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</si>
  <si>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</si>
  <si>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</si>
  <si>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</si>
  <si>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</si>
  <si>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</si>
  <si>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</si>
  <si>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</si>
  <si>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</si>
  <si>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</si>
  <si>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</si>
  <si>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</si>
  <si>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</si>
  <si>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</si>
  <si>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</si>
  <si>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</si>
  <si>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</si>
  <si>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</si>
  <si>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</si>
  <si>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</si>
  <si>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</si>
  <si>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</si>
  <si>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</si>
  <si>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</si>
  <si>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</si>
  <si>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</si>
  <si>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</si>
  <si>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</si>
  <si>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</si>
  <si>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</si>
  <si>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</si>
  <si>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</si>
  <si>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</si>
  <si>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</si>
  <si>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</si>
  <si>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</si>
  <si>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</si>
  <si>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</si>
  <si>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</si>
  <si>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</si>
  <si>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</si>
  <si>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</si>
  <si>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</si>
  <si>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</si>
  <si>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</si>
  <si>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</si>
  <si>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</si>
  <si>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</si>
  <si>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</si>
  <si>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</si>
  <si>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</si>
  <si>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</si>
  <si>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</si>
  <si>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</si>
  <si>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</si>
  <si>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</si>
  <si>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</si>
  <si>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</si>
  <si>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</si>
  <si>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</si>
  <si>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</si>
  <si>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</si>
  <si>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</si>
  <si>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</si>
  <si>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</si>
  <si>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</si>
  <si>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</si>
  <si>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</si>
  <si>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</si>
  <si>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</si>
  <si>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</si>
  <si>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</si>
  <si>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</si>
  <si>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</si>
  <si>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</si>
  <si>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</si>
  <si>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</si>
  <si>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</si>
  <si>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</si>
  <si>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</si>
  <si>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</si>
  <si>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</si>
  <si>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</si>
  <si>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</si>
  <si>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</si>
  <si>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</si>
  <si>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</si>
  <si>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</si>
  <si>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</si>
  <si>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</si>
  <si>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</si>
  <si>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</si>
  <si>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</si>
  <si>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</si>
  <si>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</si>
  <si>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</si>
  <si>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</si>
  <si>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</si>
  <si>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</si>
  <si>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</si>
  <si>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</si>
  <si>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</si>
  <si>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</si>
  <si>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</si>
  <si>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</si>
  <si>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</si>
  <si>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</si>
  <si>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</si>
  <si>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</si>
  <si>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</si>
  <si>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</si>
  <si>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</si>
  <si>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</si>
  <si>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</si>
  <si>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</si>
  <si>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</si>
  <si>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</si>
  <si>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</si>
  <si>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</si>
  <si>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</si>
  <si>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</si>
  <si>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</si>
  <si>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</si>
  <si>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</si>
  <si>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</si>
  <si>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</si>
  <si>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</si>
  <si>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</si>
  <si>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</si>
  <si>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</si>
  <si>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</si>
  <si>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</si>
  <si>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</si>
  <si>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</si>
  <si>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</si>
  <si>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</si>
  <si>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</si>
  <si>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</si>
  <si>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</si>
  <si>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</si>
  <si>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</si>
  <si>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</si>
  <si>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</si>
  <si>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</si>
  <si>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</si>
  <si>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</si>
  <si>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</si>
  <si>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</si>
  <si>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</si>
  <si>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</si>
  <si>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</si>
  <si>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</si>
  <si>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</si>
  <si>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</si>
  <si>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</si>
  <si>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</si>
  <si>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</si>
  <si>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</si>
  <si>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</si>
  <si>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</si>
  <si>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</si>
  <si>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</si>
  <si>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</si>
  <si>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</si>
  <si>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</si>
  <si>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</si>
  <si>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</si>
  <si>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</si>
  <si>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</si>
  <si>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</si>
  <si>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</si>
  <si>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</si>
  <si>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</si>
  <si>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</si>
  <si>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</si>
  <si>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</si>
  <si>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</si>
  <si>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</si>
  <si>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</si>
  <si>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</si>
  <si>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</si>
  <si>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</si>
  <si>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</si>
  <si>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</si>
  <si>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</si>
  <si>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</si>
  <si>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</si>
  <si>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</si>
  <si>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</si>
  <si>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</si>
  <si>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</si>
  <si>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</si>
  <si>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</si>
  <si>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</si>
  <si>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</si>
  <si>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</si>
  <si>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</si>
  <si>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</si>
  <si>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</si>
  <si>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</si>
  <si>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</si>
  <si>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</si>
  <si>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</si>
  <si>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</si>
  <si>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</si>
  <si>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</si>
  <si>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</si>
  <si>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</si>
  <si>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</si>
  <si>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</si>
  <si>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</si>
  <si>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</si>
  <si>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</si>
  <si>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</si>
  <si>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</si>
  <si>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</si>
  <si>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</si>
  <si>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</si>
  <si>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</si>
  <si>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</si>
  <si>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</si>
  <si>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</si>
  <si>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</si>
  <si>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</si>
  <si>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</si>
  <si>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</si>
  <si>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</si>
  <si>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</si>
  <si>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</si>
  <si>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</si>
  <si>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</si>
  <si>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</si>
  <si>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</si>
  <si>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</si>
  <si>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</si>
  <si>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</si>
  <si>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</si>
  <si>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</si>
  <si>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</si>
  <si>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</si>
  <si>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</si>
  <si>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</si>
  <si>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</si>
  <si>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</si>
  <si>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</si>
  <si>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</si>
  <si>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</si>
  <si>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</si>
  <si>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</si>
  <si>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</si>
  <si>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</si>
  <si>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</si>
  <si>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</si>
  <si>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</si>
  <si>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</si>
  <si>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</si>
  <si>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</si>
  <si>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</si>
  <si>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</si>
  <si>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</si>
  <si>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</si>
  <si>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</si>
  <si>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</si>
  <si>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</si>
  <si>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</si>
  <si>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</si>
  <si>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</si>
  <si>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</si>
  <si>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</si>
  <si>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</si>
  <si>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</si>
  <si>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</si>
  <si>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</si>
  <si>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</si>
  <si>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</si>
  <si>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</si>
  <si>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</si>
  <si>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</si>
  <si>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</si>
  <si>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</si>
  <si>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</si>
  <si>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</si>
  <si>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</si>
  <si>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</si>
  <si>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</si>
  <si>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</si>
  <si>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</si>
  <si>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</si>
  <si>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</si>
  <si>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</si>
  <si>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</si>
  <si>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</si>
  <si>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</si>
  <si>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</si>
  <si>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</si>
  <si>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</si>
  <si>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</si>
  <si>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</si>
  <si>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</si>
  <si>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</si>
  <si>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</si>
  <si>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</si>
  <si>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</si>
  <si>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</si>
  <si>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</si>
  <si>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</si>
  <si>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</si>
  <si>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</si>
  <si>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</si>
  <si>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</si>
  <si>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</si>
  <si>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</si>
  <si>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</si>
  <si>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</si>
  <si>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</si>
  <si>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</si>
  <si>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</si>
  <si>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</si>
  <si>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</si>
  <si>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</si>
  <si>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</si>
  <si>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</si>
  <si>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</si>
  <si>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</si>
  <si>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</si>
  <si>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</si>
  <si>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</si>
  <si>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</si>
  <si>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</si>
  <si>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</si>
  <si>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</si>
  <si>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</si>
  <si>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</si>
  <si>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</si>
  <si>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</si>
  <si>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</si>
  <si>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</si>
  <si>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</si>
  <si>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</si>
  <si>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</si>
  <si>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</si>
  <si>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</si>
  <si>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</si>
  <si>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</si>
  <si>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</si>
  <si>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</si>
  <si>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</si>
  <si>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</si>
  <si>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</si>
  <si>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</si>
  <si>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</si>
  <si>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</si>
  <si>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</si>
  <si>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</si>
  <si>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</si>
  <si>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</si>
  <si>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</si>
  <si>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</si>
  <si>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</si>
  <si>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</si>
  <si>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</si>
  <si>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</si>
  <si>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</si>
  <si>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</si>
  <si>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</si>
  <si>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</si>
  <si>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</si>
  <si>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</si>
  <si>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</si>
  <si>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</si>
  <si>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</si>
  <si>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</si>
  <si>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</si>
  <si>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</si>
  <si>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</si>
  <si>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</si>
  <si>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</si>
  <si>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</si>
  <si>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</si>
  <si>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</si>
  <si>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</si>
  <si>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</si>
  <si>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</si>
  <si>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</si>
  <si>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</si>
  <si>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</si>
  <si>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</si>
  <si>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</si>
  <si>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</si>
  <si>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</si>
  <si>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</si>
  <si>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</si>
  <si>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</si>
  <si>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</si>
  <si>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</si>
  <si>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</si>
  <si>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</si>
  <si>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</si>
  <si>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</si>
  <si>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</si>
  <si>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</si>
  <si>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</si>
  <si>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</si>
  <si>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</si>
  <si>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</si>
  <si>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</si>
  <si>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</si>
  <si>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</si>
  <si>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</si>
  <si>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</si>
  <si>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</si>
  <si>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</si>
  <si>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</si>
  <si>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</si>
  <si>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</si>
  <si>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</si>
  <si>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</si>
  <si>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</si>
  <si>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</si>
  <si>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</si>
  <si>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</si>
  <si>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</si>
  <si>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</si>
  <si>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</si>
  <si>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</si>
  <si>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</si>
  <si>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</si>
  <si>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</si>
  <si>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</si>
  <si>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</si>
  <si>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</si>
  <si>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</si>
  <si>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</si>
  <si>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</si>
  <si>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</si>
  <si>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</si>
  <si>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</si>
  <si>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</si>
  <si>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</si>
  <si>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</si>
  <si>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</si>
  <si>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</si>
  <si>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</si>
  <si>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</si>
  <si>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</si>
  <si>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</si>
  <si>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</si>
  <si>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</si>
  <si>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</si>
  <si>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</si>
  <si>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</si>
  <si>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</si>
  <si>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</si>
  <si>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</si>
  <si>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</si>
  <si>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</si>
  <si>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</si>
  <si>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</si>
  <si>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</si>
  <si>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</si>
  <si>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</si>
  <si>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</si>
  <si>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</si>
  <si>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</si>
  <si>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</si>
  <si>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</si>
  <si>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</si>
  <si>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</si>
  <si>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</si>
  <si>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</si>
  <si>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</si>
  <si>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</si>
  <si>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</si>
  <si>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</si>
  <si>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</si>
  <si>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</si>
  <si>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</si>
  <si>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</si>
  <si>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</si>
  <si>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</si>
  <si>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</si>
  <si>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</si>
  <si>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</si>
  <si>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</si>
  <si>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</si>
  <si>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</si>
  <si>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</si>
  <si>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</si>
  <si>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</si>
  <si>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</si>
  <si>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</si>
  <si>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</si>
  <si>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</si>
  <si>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</si>
  <si>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</si>
  <si>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</si>
  <si>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</si>
  <si>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</si>
  <si>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</si>
  <si>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</si>
  <si>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</si>
  <si>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</si>
  <si>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</si>
  <si>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</si>
  <si>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</si>
  <si>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</si>
  <si>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</si>
  <si>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</si>
  <si>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</si>
  <si>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</si>
  <si>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</si>
  <si>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</si>
  <si>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</si>
  <si>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</si>
  <si>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</si>
  <si>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</si>
  <si>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</si>
  <si>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</si>
  <si>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</si>
  <si>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</si>
  <si>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</si>
  <si>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</si>
  <si>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</si>
  <si>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</si>
  <si>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</si>
  <si>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</si>
  <si>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</si>
  <si>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</si>
  <si>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</si>
  <si>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</si>
  <si>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</si>
  <si>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</si>
  <si>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</si>
  <si>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</si>
  <si>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</si>
  <si>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</si>
  <si>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</si>
  <si>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</si>
  <si>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</si>
  <si>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</si>
  <si>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</si>
  <si>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</si>
  <si>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</si>
  <si>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</si>
  <si>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</si>
  <si>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</si>
  <si>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</si>
  <si>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</si>
  <si>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</si>
  <si>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</si>
  <si>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</si>
  <si>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</si>
  <si>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</si>
  <si>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</si>
  <si>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</si>
  <si>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</si>
  <si>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</si>
  <si>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</si>
  <si>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</si>
  <si>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</si>
  <si>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</si>
  <si>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</si>
  <si>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</si>
  <si>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</si>
  <si>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</si>
  <si>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</si>
  <si>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</si>
  <si>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</si>
  <si>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</si>
  <si>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</si>
  <si>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</si>
  <si>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</si>
  <si>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</si>
  <si>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</si>
  <si>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</si>
  <si>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</si>
  <si>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</si>
  <si>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</si>
  <si>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</si>
  <si>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</si>
  <si>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</si>
  <si>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</si>
  <si>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</si>
  <si>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</si>
  <si>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</si>
  <si>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</si>
  <si>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</si>
  <si>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</si>
  <si>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</si>
  <si>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</si>
  <si>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</si>
  <si>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</si>
  <si>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</si>
  <si>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</si>
  <si>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</si>
  <si>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</si>
  <si>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</si>
  <si>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</si>
  <si>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</si>
  <si>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</si>
  <si>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</si>
  <si>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</si>
  <si>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</si>
  <si>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</si>
  <si>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</si>
  <si>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</si>
  <si>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</si>
  <si>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</si>
  <si>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</si>
  <si>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</si>
  <si>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</si>
  <si>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</si>
  <si>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</si>
  <si>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</si>
  <si>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</si>
  <si>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</si>
  <si>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</si>
  <si>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</si>
  <si>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</si>
  <si>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</si>
  <si>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</si>
  <si>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</si>
  <si>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</si>
  <si>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</si>
  <si>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</si>
  <si>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</si>
  <si>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</si>
  <si>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</si>
  <si>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</si>
  <si>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</si>
  <si>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</si>
  <si>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</si>
  <si>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</si>
  <si>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</si>
  <si>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</si>
  <si>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</si>
  <si>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</si>
  <si>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</si>
  <si>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</si>
  <si>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</si>
  <si>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</si>
  <si>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</si>
  <si>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</si>
  <si>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</si>
  <si>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</si>
  <si>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</si>
  <si>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</si>
  <si>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</si>
  <si>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</si>
  <si>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</si>
  <si>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</si>
  <si>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</si>
  <si>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</si>
  <si>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</si>
  <si>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</si>
  <si>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</si>
  <si>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</si>
  <si>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</si>
  <si>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</si>
  <si>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</si>
  <si>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</si>
  <si>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</si>
  <si>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</si>
  <si>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</si>
  <si>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</si>
  <si>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</si>
  <si>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</si>
  <si>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</si>
  <si>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</si>
  <si>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</si>
  <si>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</si>
  <si>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</si>
  <si>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</si>
  <si>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</si>
  <si>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</si>
  <si>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</si>
  <si>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</si>
  <si>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</si>
  <si>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</si>
  <si>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</si>
  <si>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</si>
  <si>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</si>
  <si>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</si>
  <si>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</si>
  <si>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</si>
  <si>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</si>
  <si>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</si>
  <si>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</si>
  <si>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</si>
  <si>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</si>
  <si>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</si>
  <si>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</si>
  <si>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</si>
  <si>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</si>
  <si>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</si>
  <si>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</si>
  <si>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</si>
  <si>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</si>
  <si>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</si>
  <si>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</si>
  <si>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</si>
  <si>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</si>
  <si>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</si>
  <si>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</si>
  <si>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</si>
  <si>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</si>
  <si>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</si>
  <si>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</si>
  <si>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</si>
  <si>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</si>
  <si>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</si>
  <si>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</si>
  <si>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</si>
  <si>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</si>
  <si>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</si>
  <si>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</si>
  <si>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</si>
  <si>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</si>
  <si>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</si>
  <si>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</si>
  <si>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</si>
  <si>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</si>
  <si>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</si>
  <si>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</si>
  <si>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</si>
  <si>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</si>
  <si>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</si>
  <si>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</si>
  <si>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</si>
  <si>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</si>
  <si>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</si>
  <si>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</si>
  <si>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</si>
  <si>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</si>
  <si>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</si>
  <si>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</si>
  <si>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</si>
  <si>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</si>
  <si>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</si>
  <si>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</si>
  <si>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</si>
  <si>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</si>
  <si>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</si>
  <si>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</si>
  <si>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</si>
  <si>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</si>
  <si>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</si>
  <si>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</si>
  <si>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</si>
  <si>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</si>
  <si>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</si>
  <si>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</si>
  <si>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</si>
  <si>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</si>
  <si>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</si>
  <si>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</si>
  <si>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</si>
  <si>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</si>
  <si>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</si>
  <si>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</si>
  <si>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</si>
  <si>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</si>
  <si>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</si>
  <si>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</si>
  <si>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</si>
  <si>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</si>
  <si>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</si>
  <si>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</si>
  <si>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</si>
  <si>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</si>
  <si>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</si>
  <si>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</si>
  <si>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</si>
  <si>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</si>
  <si>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</si>
  <si>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</si>
  <si>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</si>
  <si>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</si>
  <si>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</si>
  <si>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</si>
  <si>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</si>
  <si>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</si>
  <si>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</si>
  <si>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</si>
  <si>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</si>
  <si>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</si>
  <si>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</si>
  <si>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</si>
  <si>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</si>
  <si>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</si>
  <si>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</si>
  <si>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</si>
  <si>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</si>
  <si>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</si>
  <si>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</si>
  <si>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</si>
  <si>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</si>
  <si>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</si>
  <si>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</si>
  <si>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</si>
  <si>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</si>
  <si>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</si>
  <si>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</si>
  <si>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</si>
  <si>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</si>
  <si>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</si>
  <si>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</si>
  <si>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</si>
  <si>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</si>
  <si>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</si>
  <si>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</si>
  <si>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</si>
  <si>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</si>
  <si>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</si>
  <si>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</si>
  <si>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</si>
  <si>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</si>
  <si>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</si>
  <si>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</si>
  <si>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</si>
  <si>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</si>
  <si>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</si>
  <si>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</si>
  <si>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</si>
  <si>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</si>
  <si>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</si>
  <si>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</si>
  <si>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</si>
  <si>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</si>
  <si>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</si>
  <si>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</si>
  <si>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</si>
  <si>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</si>
  <si>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</si>
  <si>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</si>
  <si>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</si>
  <si>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</si>
  <si>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</si>
  <si>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</si>
  <si>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</si>
  <si>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</si>
  <si>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</si>
  <si>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</si>
  <si>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</si>
  <si>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</si>
  <si>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</si>
  <si>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</si>
  <si>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</si>
  <si>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</si>
  <si>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</si>
  <si>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</si>
  <si>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</si>
  <si>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</si>
  <si>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</si>
  <si>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</si>
  <si>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</si>
  <si>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</si>
  <si>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</si>
  <si>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</si>
  <si>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</si>
  <si>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</si>
  <si>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</si>
  <si>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</si>
  <si>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</si>
  <si>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</si>
  <si>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</si>
  <si>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</si>
  <si>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</si>
  <si>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</si>
  <si>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</si>
  <si>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</si>
  <si>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</si>
  <si>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</si>
  <si>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</si>
  <si>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</si>
  <si>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</si>
  <si>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</si>
  <si>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</si>
  <si>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</si>
  <si>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</si>
  <si>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</si>
  <si>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</si>
  <si>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</si>
  <si>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</si>
  <si>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</si>
  <si>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</si>
  <si>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</si>
  <si>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</si>
  <si>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</si>
  <si>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</si>
  <si>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</si>
  <si>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</si>
  <si>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</si>
  <si>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</si>
  <si>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</si>
  <si>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</si>
  <si>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</si>
  <si>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</si>
  <si>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</si>
  <si>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</si>
  <si>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</si>
  <si>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</si>
  <si>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</si>
  <si>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</si>
  <si>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</si>
  <si>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</si>
  <si>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</si>
  <si>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</si>
  <si>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</si>
  <si>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</si>
  <si>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</si>
  <si>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</si>
  <si>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</si>
  <si>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</si>
  <si>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</si>
  <si>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</si>
  <si>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</si>
  <si>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</si>
  <si>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</si>
  <si>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</si>
  <si>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</si>
  <si>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</si>
  <si>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</si>
  <si>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</si>
  <si>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</si>
  <si>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</si>
  <si>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</si>
  <si>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</si>
  <si>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</si>
  <si>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</si>
  <si>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</si>
  <si>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</si>
  <si>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</si>
  <si>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</si>
  <si>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</si>
  <si>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</si>
  <si>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</si>
  <si>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</si>
  <si>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</si>
  <si>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</si>
  <si>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</si>
  <si>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</si>
  <si>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</si>
  <si>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</si>
  <si>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</si>
  <si>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</si>
  <si>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</si>
  <si>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</si>
  <si>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</si>
  <si>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</si>
  <si>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</si>
  <si>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</si>
  <si>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</si>
  <si>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</si>
  <si>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</si>
  <si>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</si>
  <si>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</si>
  <si>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</si>
  <si>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</si>
  <si>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</si>
  <si>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</si>
  <si>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</si>
  <si>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</si>
  <si>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</si>
  <si>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</si>
  <si>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</si>
  <si>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</si>
  <si>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</si>
  <si>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</si>
  <si>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</si>
  <si>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</si>
  <si>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</si>
  <si>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</si>
  <si>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</si>
  <si>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</si>
  <si>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</si>
  <si>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</si>
  <si>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</si>
  <si>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</si>
  <si>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</si>
  <si>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</si>
  <si>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</si>
  <si>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</si>
  <si>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</si>
  <si>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</si>
  <si>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</si>
  <si>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</si>
  <si>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</si>
  <si>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</si>
  <si>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</si>
  <si>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</si>
  <si>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</si>
  <si>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</si>
  <si>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</si>
  <si>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</si>
  <si>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</si>
  <si>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</si>
  <si>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</si>
  <si>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</si>
  <si>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</si>
  <si>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</si>
  <si>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</si>
  <si>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</si>
  <si>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</si>
  <si>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</si>
  <si>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</si>
  <si>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</si>
  <si>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</si>
  <si>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</si>
  <si>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</si>
  <si>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</si>
  <si>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</si>
  <si>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</si>
  <si>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</si>
  <si>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</si>
  <si>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</si>
  <si>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</si>
  <si>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</si>
  <si>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</si>
  <si>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</si>
  <si>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</si>
  <si>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</si>
  <si>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</si>
  <si>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</si>
  <si>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</si>
  <si>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</si>
  <si>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</si>
  <si>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</si>
  <si>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</si>
  <si>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</si>
  <si>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</si>
  <si>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</si>
  <si>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</si>
  <si>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</si>
  <si>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</si>
  <si>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</si>
  <si>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</si>
  <si>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</si>
  <si>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</si>
  <si>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</si>
  <si>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</si>
  <si>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</si>
  <si>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</si>
  <si>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</si>
  <si>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</si>
  <si>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</si>
  <si>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</si>
  <si>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</si>
  <si>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</si>
  <si>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</si>
  <si>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</si>
  <si>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</si>
  <si>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</si>
  <si>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</si>
  <si>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</si>
  <si>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</si>
  <si>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</si>
  <si>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</si>
  <si>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</si>
  <si>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</si>
  <si>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</si>
  <si>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</si>
  <si>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</si>
  <si>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</si>
  <si>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</si>
  <si>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</si>
  <si>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</si>
  <si>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</si>
  <si>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</si>
  <si>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</si>
  <si>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</si>
  <si>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</si>
  <si>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</si>
  <si>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</si>
  <si>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</si>
  <si>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</si>
  <si>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</si>
  <si>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</si>
  <si>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</si>
  <si>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</si>
  <si>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</si>
  <si>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</si>
  <si>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</si>
  <si>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</si>
  <si>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</si>
  <si>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</si>
  <si>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</si>
  <si>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</si>
  <si>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</si>
  <si>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</si>
  <si>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</si>
  <si>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</si>
  <si>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</si>
  <si>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</si>
  <si>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</si>
  <si>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</si>
  <si>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</si>
  <si>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</si>
  <si>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</si>
  <si>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</si>
  <si>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</si>
  <si>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</si>
  <si>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</si>
  <si>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</si>
  <si>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</si>
  <si>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</si>
  <si>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</si>
  <si>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</si>
  <si>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</si>
  <si>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</si>
  <si>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</si>
  <si>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</si>
  <si>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</si>
  <si>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</si>
  <si>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</si>
  <si>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</si>
  <si>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</si>
  <si>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</si>
  <si>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</si>
  <si>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</si>
  <si>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</si>
  <si>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</si>
  <si>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</si>
  <si>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</si>
  <si>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</si>
  <si>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</si>
  <si>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</si>
  <si>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</si>
  <si>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</si>
  <si>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</si>
  <si>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</si>
  <si>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</si>
  <si>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</si>
  <si>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</si>
  <si>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</si>
  <si>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</si>
  <si>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</si>
  <si>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</si>
  <si>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</si>
  <si>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</si>
  <si>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</si>
  <si>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</si>
  <si>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</si>
  <si>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</si>
  <si>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</si>
  <si>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</si>
  <si>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</si>
  <si>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</si>
  <si>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</si>
  <si>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</si>
  <si>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</si>
  <si>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</si>
  <si>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</si>
  <si>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</si>
  <si>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</si>
  <si>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</si>
  <si>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</si>
  <si>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</si>
  <si>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</si>
  <si>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</si>
  <si>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</si>
  <si>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</si>
  <si>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</si>
  <si>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</si>
  <si>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</si>
  <si>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</si>
  <si>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</si>
  <si>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</si>
  <si>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</si>
  <si>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</si>
  <si>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</si>
  <si>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</si>
  <si>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</si>
  <si>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</si>
  <si>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</si>
  <si>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</si>
  <si>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</si>
  <si>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</si>
  <si>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</si>
  <si>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</si>
  <si>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</si>
  <si>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</si>
  <si>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</si>
  <si>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</si>
  <si>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</si>
  <si>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</si>
  <si>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</si>
  <si>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</si>
  <si>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</si>
  <si>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</si>
  <si>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</si>
  <si>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</si>
  <si>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</si>
  <si>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</si>
  <si>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</si>
  <si>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</si>
  <si>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</si>
  <si>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</si>
  <si>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</si>
  <si>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</si>
  <si>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</si>
  <si>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</si>
  <si>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</si>
  <si>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</si>
  <si>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</si>
  <si>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</si>
  <si>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</si>
  <si>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</si>
  <si>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</si>
  <si>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</si>
  <si>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</si>
  <si>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</si>
  <si>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</si>
  <si>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</si>
  <si>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</si>
  <si>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</si>
  <si>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</si>
  <si>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</si>
  <si>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</si>
  <si>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</si>
  <si>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</si>
  <si>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</si>
  <si>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</si>
  <si>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</si>
  <si>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</si>
  <si>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</si>
  <si>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</si>
  <si>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</si>
  <si>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</si>
  <si>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</si>
  <si>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</si>
  <si>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</si>
  <si>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</si>
  <si>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</si>
  <si>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</si>
  <si>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</si>
  <si>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</si>
  <si>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</si>
  <si>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</si>
  <si>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</si>
  <si>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</si>
  <si>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</si>
  <si>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</si>
  <si>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</si>
  <si>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</si>
  <si>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</si>
  <si>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</si>
  <si>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</si>
  <si>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</si>
  <si>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</si>
  <si>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</si>
  <si>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</si>
  <si>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</si>
  <si>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</si>
  <si>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</si>
  <si>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</si>
  <si>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</si>
  <si>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</si>
  <si>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</si>
  <si>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</si>
  <si>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</si>
  <si>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</si>
  <si>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</si>
  <si>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</si>
  <si>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</si>
  <si>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</si>
  <si>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</si>
  <si>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</si>
  <si>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</si>
  <si>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</si>
  <si>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</si>
  <si>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</si>
  <si>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</si>
  <si>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</si>
  <si>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</si>
  <si>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</si>
  <si>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</si>
  <si>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</si>
  <si>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</si>
  <si>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</si>
  <si>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</si>
  <si>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</si>
  <si>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</si>
  <si>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</si>
  <si>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</si>
  <si>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</si>
  <si>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</si>
  <si>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</si>
  <si>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</si>
  <si>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</si>
  <si>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</si>
  <si>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</si>
  <si>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</si>
  <si>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</si>
  <si>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</si>
  <si>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</si>
  <si>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</si>
  <si>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</si>
  <si>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</si>
  <si>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</si>
  <si>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</si>
  <si>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</si>
  <si>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</si>
  <si>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</si>
  <si>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</si>
  <si>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</si>
  <si>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</si>
  <si>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</si>
  <si>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</si>
  <si>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</si>
  <si>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</si>
  <si>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</si>
  <si>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</si>
  <si>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</si>
  <si>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</si>
  <si>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</si>
  <si>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</si>
  <si>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</si>
  <si>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</si>
  <si>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</si>
  <si>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</si>
  <si>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</si>
  <si>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</si>
  <si>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</si>
  <si>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</si>
  <si>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</si>
  <si>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</si>
  <si>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</si>
  <si>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</si>
  <si>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</si>
  <si>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</si>
  <si>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</si>
  <si>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</si>
  <si>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</si>
  <si>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</si>
  <si>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</si>
  <si>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</si>
  <si>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</si>
  <si>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</si>
  <si>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</si>
  <si>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</si>
  <si>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</si>
  <si>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</si>
  <si>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</si>
  <si>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</si>
  <si>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</si>
  <si>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</si>
  <si>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</si>
  <si>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</si>
  <si>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</si>
  <si>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</si>
  <si>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</si>
  <si>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</si>
  <si>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</si>
  <si>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</si>
  <si>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</si>
  <si>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</si>
  <si>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</si>
  <si>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</si>
  <si>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</si>
  <si>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</si>
  <si>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</si>
  <si>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</si>
  <si>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</si>
  <si>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</si>
  <si>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</si>
  <si>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</si>
  <si>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</si>
  <si>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</si>
  <si>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</si>
  <si>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</si>
  <si>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</si>
  <si>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</si>
  <si>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</si>
  <si>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</si>
  <si>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</si>
  <si>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</si>
  <si>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</si>
  <si>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</si>
  <si>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</si>
  <si>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</si>
  <si>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</si>
  <si>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</si>
  <si>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</si>
  <si>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</si>
  <si>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</si>
  <si>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</si>
  <si>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</si>
  <si>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</si>
  <si>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</si>
  <si>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</si>
  <si>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</si>
  <si>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</si>
  <si>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</si>
  <si>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</si>
  <si>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</si>
  <si>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</si>
  <si>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</si>
  <si>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</si>
  <si>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</si>
  <si>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</si>
  <si>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</si>
  <si>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</si>
  <si>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</si>
  <si>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</si>
  <si>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</si>
  <si>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</si>
  <si>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</si>
  <si>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</si>
  <si>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</si>
  <si>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</si>
  <si>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</si>
  <si>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</si>
  <si>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</si>
  <si>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</si>
  <si>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</si>
  <si>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</si>
  <si>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</si>
  <si>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</si>
  <si>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</si>
  <si>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</si>
  <si>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</si>
  <si>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</si>
  <si>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</si>
  <si>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</si>
  <si>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</si>
  <si>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</si>
  <si>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</si>
  <si>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</si>
  <si>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</si>
  <si>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</si>
  <si>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</si>
  <si>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</si>
  <si>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</si>
  <si>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</si>
  <si>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</si>
  <si>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</si>
  <si>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</si>
  <si>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</si>
  <si>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</si>
  <si>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</si>
  <si>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</si>
  <si>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</si>
  <si>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</si>
  <si>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</si>
  <si>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</si>
  <si>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</si>
  <si>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</si>
  <si>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</si>
  <si>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</si>
  <si>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</si>
  <si>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</si>
  <si>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</si>
  <si>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</si>
  <si>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</si>
  <si>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</si>
  <si>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</si>
  <si>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</si>
  <si>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</si>
  <si>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</si>
  <si>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</si>
  <si>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</si>
  <si>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</si>
  <si>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</si>
  <si>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</si>
  <si>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</si>
  <si>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</si>
  <si>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</si>
  <si>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</si>
  <si>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</si>
  <si>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</si>
  <si>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</si>
  <si>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</si>
  <si>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</si>
  <si>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</si>
  <si>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</si>
  <si>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</si>
  <si>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</si>
  <si>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</si>
  <si>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</si>
  <si>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</si>
  <si>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</si>
  <si>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</si>
  <si>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</si>
  <si>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</si>
  <si>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</si>
  <si>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</si>
  <si>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</si>
  <si>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</si>
  <si>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</si>
  <si>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</si>
  <si>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</si>
  <si>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</si>
  <si>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</si>
  <si>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</si>
  <si>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</si>
  <si>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</si>
  <si>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</si>
  <si>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</si>
  <si>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</si>
  <si>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</si>
  <si>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</si>
  <si>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</si>
  <si>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</si>
  <si>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</si>
  <si>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</si>
  <si>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</si>
  <si>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</si>
  <si>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</si>
  <si>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</si>
  <si>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</si>
  <si>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</si>
  <si>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</si>
  <si>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</si>
  <si>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</si>
  <si>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</si>
  <si>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</si>
  <si>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</si>
  <si>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</si>
  <si>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</si>
  <si>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</si>
  <si>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</si>
  <si>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</si>
  <si>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</si>
  <si>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</si>
  <si>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</si>
  <si>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</si>
  <si>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</si>
  <si>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</si>
  <si>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</si>
  <si>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</si>
  <si>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</si>
  <si>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</si>
  <si>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</si>
  <si>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</si>
  <si>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</si>
  <si>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</si>
  <si>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</si>
  <si>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</si>
  <si>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</si>
  <si>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</si>
  <si>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</si>
  <si>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</si>
  <si>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</si>
  <si>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</si>
  <si>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</si>
  <si>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</si>
  <si>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</si>
  <si>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</si>
  <si>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</si>
  <si>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</si>
  <si>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</si>
  <si>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</si>
  <si>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</si>
  <si>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</si>
  <si>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</si>
  <si>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</si>
  <si>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</si>
  <si>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</si>
  <si>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</si>
  <si>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</si>
  <si>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</si>
  <si>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</si>
  <si>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</si>
  <si>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</si>
  <si>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</si>
  <si>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</si>
  <si>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</si>
  <si>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</si>
  <si>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</si>
  <si>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</si>
  <si>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</si>
  <si>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</si>
  <si>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</si>
  <si>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</si>
  <si>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</si>
  <si>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</si>
  <si>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</si>
  <si>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</si>
  <si>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</si>
  <si>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</si>
  <si>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</si>
  <si>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</si>
  <si>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</si>
  <si>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</si>
  <si>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</si>
  <si>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</si>
  <si>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</si>
  <si>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</si>
  <si>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</si>
  <si>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</si>
  <si>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</si>
  <si>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</si>
  <si>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</si>
  <si>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</si>
  <si>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</si>
  <si>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</si>
  <si>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</si>
  <si>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</si>
  <si>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</si>
  <si>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</si>
  <si>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</si>
  <si>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</si>
  <si>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</si>
  <si>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</si>
  <si>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</si>
  <si>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</si>
  <si>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</si>
  <si>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</si>
  <si>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</si>
  <si>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</si>
  <si>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</si>
  <si>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</si>
  <si>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</si>
  <si>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</si>
  <si>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</si>
  <si>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</si>
  <si>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</si>
  <si>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</si>
  <si>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</si>
  <si>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</si>
  <si>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</si>
  <si>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</si>
  <si>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</si>
  <si>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</si>
  <si>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</si>
  <si>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</si>
  <si>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</si>
  <si>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</si>
  <si>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</si>
  <si>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</si>
  <si>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</si>
  <si>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</si>
  <si>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</si>
  <si>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</si>
  <si>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</si>
  <si>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</si>
  <si>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</si>
  <si>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</si>
  <si>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</si>
  <si>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</si>
  <si>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</si>
  <si>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</si>
  <si>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</si>
  <si>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</si>
  <si>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</si>
  <si>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</si>
  <si>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</si>
  <si>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</si>
  <si>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</si>
  <si>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</si>
  <si>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</si>
  <si>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</si>
  <si>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</si>
  <si>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</si>
  <si>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</si>
  <si>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</si>
  <si>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</si>
  <si>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</si>
  <si>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</si>
  <si>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</si>
  <si>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</si>
  <si>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</si>
  <si>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</si>
  <si>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</si>
  <si>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</si>
  <si>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</si>
  <si>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</si>
  <si>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</si>
  <si>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</si>
  <si>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</si>
  <si>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</si>
  <si>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</si>
  <si>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</si>
  <si>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</si>
  <si>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</si>
  <si>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</si>
  <si>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</si>
  <si>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</si>
  <si>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</si>
  <si>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</si>
  <si>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</si>
  <si>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</si>
  <si>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</si>
  <si>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</si>
  <si>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</si>
  <si>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</si>
  <si>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</si>
  <si>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</si>
  <si>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</si>
  <si>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</si>
  <si>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</si>
  <si>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</si>
  <si>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</si>
  <si>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</si>
  <si>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</si>
  <si>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</si>
  <si>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</si>
  <si>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</si>
  <si>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</si>
  <si>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</si>
  <si>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</si>
  <si>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</si>
  <si>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</si>
  <si>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</si>
  <si>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</si>
  <si>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</si>
  <si>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</si>
  <si>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</si>
  <si>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</si>
  <si>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</si>
  <si>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</si>
  <si>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</si>
  <si>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</si>
  <si>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</si>
  <si>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</si>
  <si>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</si>
  <si>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</si>
  <si>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</si>
  <si>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</si>
  <si>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</si>
  <si>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</si>
  <si>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</si>
  <si>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</si>
  <si>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</si>
  <si>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</si>
  <si>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</si>
  <si>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</si>
  <si>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</si>
  <si>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</si>
  <si>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</si>
  <si>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</si>
  <si>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</si>
  <si>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</si>
  <si>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</si>
  <si>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</si>
  <si>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</si>
  <si>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</si>
  <si>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</si>
  <si>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</si>
  <si>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</si>
  <si>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</si>
  <si>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</si>
  <si>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</si>
  <si>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</si>
  <si>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</si>
  <si>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</si>
  <si>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</si>
  <si>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</si>
  <si>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</si>
  <si>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</si>
  <si>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</si>
  <si>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</si>
  <si>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</si>
  <si>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</si>
  <si>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</si>
  <si>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</si>
  <si>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</si>
  <si>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</si>
  <si>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</si>
  <si>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</si>
  <si>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</si>
  <si>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</si>
  <si>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</si>
  <si>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</si>
  <si>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</si>
  <si>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</si>
  <si>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</si>
  <si>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</si>
  <si>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</si>
  <si>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</si>
  <si>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</si>
  <si>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</si>
  <si>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</si>
  <si>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</si>
  <si>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</si>
  <si>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</si>
  <si>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</si>
  <si>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</si>
  <si>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</si>
  <si>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</si>
  <si>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</si>
  <si>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</si>
  <si>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</si>
  <si>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</si>
  <si>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</si>
  <si>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</si>
  <si>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</si>
  <si>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</si>
  <si>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</si>
  <si>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</si>
  <si>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</si>
  <si>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</si>
  <si>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</si>
  <si>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</si>
  <si>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</si>
  <si>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</si>
  <si>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</si>
  <si>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</si>
  <si>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</si>
  <si>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</si>
  <si>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</si>
  <si>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</si>
  <si>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</si>
  <si>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</si>
  <si>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</si>
  <si>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</si>
  <si>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</si>
  <si>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</si>
  <si>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</si>
  <si>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</si>
  <si>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</si>
  <si>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</si>
  <si>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</si>
  <si>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</si>
  <si>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</si>
  <si>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</si>
  <si>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</si>
  <si>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</si>
  <si>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</si>
  <si>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</si>
  <si>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</si>
  <si>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</si>
  <si>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</si>
  <si>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</si>
  <si>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</si>
  <si>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</si>
  <si>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</si>
  <si>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</si>
  <si>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</si>
  <si>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</si>
  <si>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</si>
  <si>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</si>
  <si>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</si>
  <si>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</si>
  <si>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</si>
  <si>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</si>
  <si>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</si>
  <si>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</si>
  <si>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</si>
  <si>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</si>
  <si>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</si>
  <si>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</si>
  <si>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</si>
  <si>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</si>
  <si>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</si>
  <si>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</si>
  <si>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</si>
  <si>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</si>
  <si>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</si>
  <si>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</si>
  <si>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</si>
  <si>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</si>
  <si>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</si>
  <si>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</si>
  <si>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</si>
  <si>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</si>
  <si>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</si>
  <si>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</si>
  <si>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</si>
  <si>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</si>
  <si>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</si>
  <si>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</si>
  <si>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</si>
  <si>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</si>
  <si>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</si>
  <si>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</si>
  <si>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</si>
  <si>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</si>
  <si>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</si>
  <si>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</si>
  <si>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</si>
  <si>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</si>
  <si>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</si>
  <si>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</si>
  <si>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</si>
  <si>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</si>
  <si>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</si>
  <si>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</si>
  <si>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</si>
  <si>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</si>
  <si>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</si>
  <si>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</si>
  <si>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</si>
  <si>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</si>
  <si>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</si>
  <si>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</si>
  <si>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</si>
  <si>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</si>
  <si>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</si>
  <si>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</si>
  <si>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</si>
  <si>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</si>
  <si>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</si>
  <si>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</si>
  <si>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</si>
  <si>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</si>
  <si>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</si>
  <si>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</si>
  <si>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</si>
  <si>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</si>
  <si>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</si>
  <si>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</si>
  <si>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</si>
  <si>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</si>
  <si>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</si>
  <si>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</si>
  <si>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</si>
  <si>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</si>
  <si>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</si>
  <si>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</si>
  <si>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</si>
  <si>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</si>
  <si>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</si>
  <si>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</si>
  <si>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</si>
  <si>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</si>
  <si>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</si>
  <si>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</si>
  <si>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</si>
  <si>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</si>
  <si>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</si>
  <si>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</si>
  <si>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</si>
  <si>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</si>
  <si>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</si>
  <si>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</si>
  <si>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</si>
  <si>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</si>
  <si>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</si>
  <si>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</si>
  <si>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</si>
  <si>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</si>
  <si>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</si>
  <si>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</si>
  <si>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</si>
  <si>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</si>
  <si>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</si>
  <si>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</si>
  <si>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</si>
  <si>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</si>
  <si>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</si>
  <si>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</si>
  <si>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</si>
  <si>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</si>
  <si>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</si>
  <si>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</si>
  <si>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</si>
  <si>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</si>
  <si>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</si>
  <si>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</si>
  <si>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</si>
  <si>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</si>
  <si>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</si>
  <si>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</si>
  <si>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</si>
  <si>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</si>
  <si>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</si>
  <si>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</si>
  <si>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</si>
  <si>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</si>
  <si>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</si>
  <si>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</si>
  <si>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</si>
  <si>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</si>
  <si>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</si>
  <si>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</si>
  <si>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</si>
  <si>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</si>
  <si>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</si>
  <si>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</si>
  <si>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</si>
  <si>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</si>
  <si>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</si>
  <si>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</si>
  <si>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</si>
  <si>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</si>
  <si>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</si>
  <si>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</si>
  <si>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</si>
  <si>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</si>
  <si>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</si>
  <si>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</si>
  <si>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</si>
  <si>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</si>
  <si>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</si>
  <si>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</si>
  <si>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</si>
  <si>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</si>
  <si>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</si>
  <si>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</si>
  <si>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</si>
  <si>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</si>
  <si>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</si>
  <si>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</si>
  <si>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</si>
  <si>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</si>
  <si>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</si>
  <si>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</si>
  <si>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</si>
  <si>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</si>
  <si>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</si>
  <si>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</si>
  <si>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</si>
  <si>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</si>
  <si>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</si>
  <si>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</si>
  <si>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</si>
  <si>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</si>
  <si>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</si>
  <si>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</si>
  <si>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</si>
  <si>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</si>
  <si>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</si>
  <si>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</si>
  <si>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</si>
  <si>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</si>
  <si>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</si>
  <si>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</si>
  <si>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</si>
  <si>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</si>
  <si>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</si>
  <si>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</si>
  <si>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</si>
  <si>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</si>
  <si>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</si>
  <si>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</si>
  <si>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</si>
  <si>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</si>
  <si>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</si>
  <si>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</si>
  <si>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</si>
  <si>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</si>
  <si>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</si>
  <si>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</si>
  <si>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</si>
  <si>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</si>
  <si>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</si>
  <si>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</si>
  <si>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</si>
  <si>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</si>
  <si>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</si>
  <si>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</si>
  <si>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</si>
  <si>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</si>
  <si>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</si>
  <si>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</si>
  <si>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</si>
  <si>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</si>
  <si>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</si>
  <si>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</si>
  <si>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</si>
  <si>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</si>
  <si>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</si>
  <si>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</si>
  <si>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</si>
  <si>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</si>
  <si>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</si>
  <si>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</si>
  <si>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</si>
  <si>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</si>
  <si>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</si>
  <si>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</si>
  <si>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</si>
  <si>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</si>
  <si>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</si>
  <si>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</si>
  <si>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</si>
  <si>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</si>
  <si>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</si>
  <si>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</si>
  <si>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</si>
  <si>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</si>
  <si>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</si>
  <si>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</si>
  <si>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</si>
  <si>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</si>
  <si>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</si>
  <si>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</si>
  <si>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</si>
  <si>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</si>
  <si>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</si>
  <si>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</si>
  <si>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</si>
  <si>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</si>
  <si>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</si>
  <si>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</si>
  <si>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</si>
  <si>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</si>
  <si>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</si>
  <si>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</si>
  <si>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</si>
  <si>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</si>
  <si>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</si>
  <si>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</si>
  <si>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</si>
  <si>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</si>
  <si>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</si>
  <si>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</si>
  <si>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</si>
  <si>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</si>
  <si>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</si>
  <si>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</si>
  <si>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</si>
  <si>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</si>
  <si>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</si>
  <si>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</si>
  <si>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</si>
  <si>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</si>
  <si>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</si>
  <si>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</si>
  <si>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</si>
  <si>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</si>
  <si>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</si>
  <si>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</si>
  <si>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</si>
  <si>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</si>
  <si>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</si>
  <si>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</si>
  <si>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</si>
  <si>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</si>
  <si>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</si>
  <si>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</si>
  <si>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</si>
  <si>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</si>
  <si>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</si>
  <si>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</si>
  <si>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</si>
  <si>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</si>
  <si>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</si>
  <si>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</si>
  <si>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</si>
  <si>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</si>
  <si>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</si>
  <si>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</si>
  <si>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</si>
  <si>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</si>
  <si>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</si>
  <si>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</si>
  <si>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</si>
  <si>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</si>
  <si>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</si>
  <si>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</si>
  <si>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</si>
  <si>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</si>
  <si>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</si>
  <si>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</si>
  <si>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</si>
  <si>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</si>
  <si>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</si>
  <si>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</si>
  <si>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</si>
  <si>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</si>
  <si>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</si>
  <si>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</si>
  <si>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</si>
  <si>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</si>
  <si>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</si>
  <si>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</si>
  <si>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</si>
  <si>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</si>
  <si>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</si>
  <si>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</si>
  <si>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</si>
  <si>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</si>
  <si>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</si>
  <si>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</si>
  <si>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</si>
  <si>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</si>
  <si>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</si>
  <si>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</si>
  <si>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</si>
  <si>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</si>
  <si>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</si>
  <si>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</si>
  <si>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</si>
  <si>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</si>
  <si>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</si>
  <si>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</si>
  <si>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</si>
  <si>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</si>
  <si>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</si>
  <si>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</si>
  <si>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</si>
  <si>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</si>
  <si>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</si>
  <si>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</si>
  <si>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</si>
  <si>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</si>
  <si>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</si>
  <si>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</si>
  <si>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</si>
  <si>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</si>
  <si>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</si>
  <si>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</si>
  <si>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</si>
  <si>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</si>
  <si>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</si>
  <si>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</si>
  <si>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</si>
  <si>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</si>
  <si>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</si>
  <si>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</si>
  <si>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</si>
  <si>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</si>
  <si>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</si>
  <si>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</si>
  <si>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</si>
  <si>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</si>
  <si>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</si>
  <si>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</si>
  <si>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</si>
  <si>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</si>
  <si>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</si>
  <si>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</si>
  <si>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</si>
  <si>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</si>
  <si>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</si>
  <si>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</si>
  <si>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</si>
  <si>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</si>
  <si>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</si>
  <si>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</si>
  <si>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</si>
  <si>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</si>
  <si>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</si>
  <si>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</si>
  <si>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</si>
  <si>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</si>
  <si>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</si>
  <si>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</si>
  <si>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</si>
  <si>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</si>
  <si>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</si>
  <si>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</si>
  <si>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</si>
  <si>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</si>
  <si>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</si>
  <si>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</si>
  <si>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</si>
  <si>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</si>
  <si>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</si>
  <si>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</si>
  <si>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</si>
  <si>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</si>
  <si>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</si>
  <si>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</si>
  <si>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</si>
  <si>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</si>
  <si>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</si>
  <si>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</si>
  <si>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</si>
  <si>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</si>
  <si>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</si>
  <si>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</si>
  <si>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</si>
  <si>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</si>
  <si>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</si>
  <si>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</si>
  <si>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</si>
  <si>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</si>
  <si>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</si>
  <si>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</si>
  <si>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</si>
  <si>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</si>
  <si>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</si>
  <si>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</si>
  <si>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</si>
  <si>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</si>
  <si>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</si>
  <si>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</si>
  <si>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</si>
  <si>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</si>
  <si>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</si>
  <si>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</si>
  <si>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</si>
  <si>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</si>
  <si>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</si>
  <si>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</si>
  <si>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</si>
  <si>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</si>
  <si>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</si>
  <si>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</si>
  <si>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</si>
  <si>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</si>
  <si>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</si>
  <si>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</si>
  <si>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</si>
  <si>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</si>
  <si>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</si>
  <si>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</si>
  <si>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</si>
  <si>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</si>
  <si>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</si>
  <si>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</si>
  <si>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</si>
  <si>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</si>
  <si>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</si>
  <si>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</si>
  <si>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</si>
  <si>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</si>
  <si>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</si>
  <si>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</si>
  <si>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</si>
  <si>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</si>
  <si>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</si>
  <si>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</si>
  <si>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</si>
  <si>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</si>
  <si>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</si>
  <si>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</si>
  <si>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</si>
  <si>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</si>
  <si>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</si>
  <si>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</si>
  <si>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</si>
  <si>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</si>
  <si>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</si>
  <si>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</si>
  <si>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</si>
  <si>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</si>
  <si>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</si>
  <si>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</si>
  <si>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</si>
  <si>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</si>
  <si>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</si>
  <si>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</si>
  <si>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</si>
  <si>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</si>
  <si>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</si>
  <si>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</si>
  <si>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</si>
  <si>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</si>
  <si>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</si>
  <si>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</si>
  <si>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</si>
  <si>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</si>
  <si>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</si>
  <si>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</si>
  <si>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</si>
  <si>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</si>
  <si>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</si>
  <si>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</si>
  <si>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</si>
  <si>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</si>
  <si>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</si>
  <si>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</si>
  <si>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</si>
  <si>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</si>
  <si>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</si>
  <si>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</si>
  <si>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</si>
  <si>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</si>
  <si>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</si>
  <si>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</si>
  <si>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</si>
  <si>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</si>
  <si>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</si>
  <si>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</si>
  <si>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</si>
  <si>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</si>
  <si>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</si>
  <si>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</si>
  <si>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</si>
  <si>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</si>
  <si>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</si>
  <si>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</si>
  <si>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</si>
  <si>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</si>
  <si>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</si>
  <si>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</si>
  <si>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</si>
  <si>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</si>
  <si>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</si>
  <si>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</si>
  <si>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</si>
  <si>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</si>
  <si>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</si>
  <si>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</si>
  <si>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</si>
  <si>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</si>
  <si>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</si>
  <si>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</si>
  <si>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</si>
  <si>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</si>
  <si>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</si>
  <si>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</si>
  <si>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</si>
  <si>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</si>
  <si>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</si>
  <si>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</si>
  <si>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</si>
  <si>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</si>
  <si>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</si>
  <si>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</si>
  <si>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</si>
  <si>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</si>
  <si>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</si>
  <si>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</si>
  <si>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</si>
  <si>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</si>
  <si>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</si>
  <si>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</si>
  <si>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</si>
  <si>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</si>
  <si>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</si>
  <si>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</si>
  <si>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</si>
  <si>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</si>
  <si>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</si>
  <si>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</si>
  <si>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</si>
  <si>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</si>
  <si>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</si>
  <si>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</si>
  <si>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</si>
  <si>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</si>
  <si>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</si>
  <si>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</si>
  <si>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</si>
  <si>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</si>
  <si>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</si>
  <si>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</si>
  <si>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</si>
  <si>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</si>
  <si>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</si>
  <si>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</si>
  <si>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</si>
  <si>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</si>
  <si>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</si>
  <si>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</si>
  <si>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</si>
  <si>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</si>
  <si>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</si>
  <si>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</si>
  <si>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</si>
  <si>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</si>
  <si>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</si>
  <si>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</si>
  <si>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</si>
  <si>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</si>
  <si>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</si>
  <si>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</si>
  <si>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</si>
  <si>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</si>
  <si>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</si>
  <si>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</si>
  <si>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</si>
  <si>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</si>
  <si>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</si>
  <si>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</si>
  <si>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</si>
  <si>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</si>
  <si>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</si>
  <si>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</si>
  <si>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</si>
  <si>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</si>
  <si>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</si>
  <si>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</si>
  <si>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</si>
  <si>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</si>
  <si>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</si>
  <si>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</si>
  <si>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</si>
  <si>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</si>
  <si>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</si>
  <si>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</si>
  <si>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</si>
  <si>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</si>
  <si>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</si>
  <si>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</si>
  <si>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</si>
  <si>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</si>
  <si>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</si>
  <si>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</si>
  <si>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</si>
  <si>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</si>
  <si>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</si>
  <si>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</si>
  <si>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</si>
  <si>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</si>
  <si>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</si>
  <si>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</si>
  <si>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</si>
  <si>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</si>
  <si>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</si>
  <si>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</si>
  <si>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</si>
  <si>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</si>
  <si>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</si>
  <si>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</si>
  <si>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</si>
  <si>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</si>
  <si>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</si>
  <si>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</si>
  <si>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</si>
  <si>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</si>
  <si>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</si>
  <si>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</si>
  <si>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</si>
  <si>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</si>
  <si>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</si>
  <si>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</si>
  <si>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</si>
  <si>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</si>
  <si>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</si>
  <si>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</si>
  <si>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</si>
  <si>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</si>
  <si>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</si>
  <si>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</si>
  <si>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</si>
  <si>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</si>
  <si>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</si>
  <si>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</si>
  <si>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</si>
  <si>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</si>
  <si>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</si>
  <si>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</si>
  <si>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</si>
  <si>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</si>
  <si>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</si>
  <si>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</si>
  <si>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</si>
  <si>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</si>
  <si>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</si>
  <si>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</si>
  <si>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</si>
  <si>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</si>
  <si>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</si>
  <si>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</si>
  <si>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</si>
  <si>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</si>
  <si>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</si>
  <si>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</si>
  <si>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</si>
  <si>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</si>
  <si>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</si>
  <si>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</si>
  <si>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</si>
  <si>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</si>
  <si>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</si>
  <si>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</si>
  <si>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</si>
  <si>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</si>
  <si>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</si>
  <si>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</si>
  <si>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</si>
  <si>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</si>
  <si>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</si>
  <si>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</si>
  <si>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</si>
  <si>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</si>
  <si>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</si>
  <si>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</si>
  <si>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</si>
  <si>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</si>
  <si>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</si>
  <si>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</si>
  <si>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</si>
  <si>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</si>
  <si>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</si>
  <si>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</si>
  <si>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</si>
  <si>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</si>
  <si>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</si>
  <si>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</si>
  <si>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</si>
  <si>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</si>
  <si>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</si>
  <si>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</si>
  <si>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</si>
  <si>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</si>
  <si>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</si>
  <si>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</si>
  <si>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</si>
  <si>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</si>
  <si>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</si>
  <si>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</si>
  <si>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</si>
  <si>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</si>
  <si>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</si>
  <si>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</si>
  <si>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</si>
  <si>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</si>
  <si>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</si>
  <si>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</si>
  <si>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</si>
  <si>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</si>
  <si>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</si>
  <si>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</si>
  <si>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</si>
  <si>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</si>
  <si>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</si>
  <si>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</si>
  <si>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</si>
  <si>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</si>
  <si>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</si>
  <si>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</si>
  <si>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</si>
  <si>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</si>
  <si>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</si>
  <si>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</si>
  <si>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</si>
  <si>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</si>
  <si>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</si>
  <si>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</si>
  <si>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</si>
  <si>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</si>
  <si>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</si>
  <si>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</si>
  <si>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</si>
  <si>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</si>
  <si>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</si>
  <si>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</si>
  <si>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</si>
  <si>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</si>
  <si>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</si>
  <si>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</si>
  <si>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</si>
  <si>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</si>
  <si>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</si>
  <si>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</si>
  <si>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</si>
  <si>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</si>
  <si>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</si>
  <si>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</si>
  <si>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</si>
  <si>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</si>
  <si>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</si>
  <si>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</si>
  <si>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</si>
  <si>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</si>
  <si>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</si>
  <si>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</si>
  <si>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</si>
  <si>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</si>
  <si>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</si>
  <si>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</si>
  <si>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</si>
  <si>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</si>
  <si>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</si>
  <si>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</si>
  <si>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</si>
  <si>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</si>
  <si>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</si>
  <si>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</si>
  <si>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</si>
  <si>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</si>
  <si>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</si>
  <si>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</si>
  <si>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</si>
  <si>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</si>
  <si>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</si>
  <si>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</si>
  <si>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</si>
  <si>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</si>
  <si>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</si>
  <si>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</si>
  <si>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</si>
  <si>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</si>
  <si>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</si>
  <si>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</si>
  <si>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</si>
  <si>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</si>
  <si>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</si>
  <si>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</si>
  <si>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</si>
  <si>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</si>
  <si>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</si>
  <si>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</si>
  <si>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</si>
  <si>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</si>
  <si>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</si>
  <si>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</si>
  <si>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</si>
  <si>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</si>
  <si>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</si>
  <si>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</si>
  <si>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</si>
  <si>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</si>
  <si>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</si>
  <si>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</si>
  <si>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</si>
  <si>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</si>
  <si>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</si>
  <si>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</si>
  <si>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</si>
  <si>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</si>
  <si>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</si>
  <si>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</si>
  <si>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</si>
  <si>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</si>
  <si>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</si>
  <si>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</si>
  <si>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</si>
  <si>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</si>
  <si>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</si>
  <si>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</si>
  <si>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</si>
  <si>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</si>
  <si>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</si>
  <si>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</si>
  <si>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</si>
  <si>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</si>
  <si>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</si>
  <si>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</si>
  <si>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</si>
  <si>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</si>
  <si>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</si>
  <si>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</si>
  <si>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</si>
  <si>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</si>
  <si>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</si>
  <si>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</si>
  <si>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</si>
  <si>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</si>
  <si>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</si>
  <si>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</si>
  <si>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</si>
  <si>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</si>
  <si>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</si>
  <si>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</si>
  <si>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</si>
  <si>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</si>
  <si>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</si>
  <si>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</si>
  <si>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</si>
  <si>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</si>
  <si>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</si>
  <si>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</si>
  <si>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</si>
  <si>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</si>
  <si>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</si>
  <si>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</si>
  <si>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</si>
  <si>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</si>
  <si>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</si>
  <si>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</si>
  <si>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</si>
  <si>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</si>
  <si>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</si>
  <si>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</si>
  <si>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</si>
  <si>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</si>
  <si>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</si>
  <si>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</si>
  <si>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</si>
  <si>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</si>
  <si>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</si>
  <si>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</si>
  <si>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</si>
  <si>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</si>
  <si>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</si>
  <si>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</si>
  <si>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</si>
  <si>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</si>
  <si>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</si>
  <si>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</si>
  <si>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</si>
  <si>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</si>
  <si>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</si>
  <si>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</si>
  <si>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</si>
  <si>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</si>
  <si>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</si>
  <si>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</si>
  <si>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</si>
  <si>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</si>
  <si>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</si>
  <si>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</si>
  <si>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</si>
  <si>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</si>
  <si>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</si>
  <si>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</si>
  <si>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</si>
  <si>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</si>
  <si>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</si>
  <si>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</si>
  <si>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</si>
  <si>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</si>
  <si>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</si>
  <si>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</si>
  <si>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</si>
  <si>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</si>
  <si>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</si>
  <si>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</si>
  <si>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</si>
  <si>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</si>
  <si>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</si>
  <si>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</si>
  <si>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</si>
  <si>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</si>
  <si>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</si>
  <si>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</si>
  <si>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</si>
  <si>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</si>
  <si>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</si>
  <si>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</si>
  <si>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</si>
  <si>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</si>
  <si>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</si>
  <si>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</si>
  <si>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</si>
  <si>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</si>
  <si>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</si>
  <si>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</si>
  <si>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</si>
  <si>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</si>
  <si>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</si>
  <si>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</si>
  <si>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</si>
  <si>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</si>
  <si>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</si>
  <si>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</si>
  <si>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</si>
  <si>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</si>
  <si>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</si>
  <si>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</si>
  <si>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</si>
  <si>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</si>
  <si>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</si>
  <si>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</si>
  <si>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</si>
  <si>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</si>
  <si>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</si>
  <si>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</si>
  <si>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</si>
  <si>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</si>
  <si>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</si>
  <si>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</si>
  <si>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</si>
  <si>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</si>
  <si>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</si>
  <si>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</si>
  <si>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</si>
  <si>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</si>
  <si>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</si>
  <si>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</si>
  <si>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</si>
  <si>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</si>
  <si>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</si>
  <si>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</si>
  <si>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</si>
  <si>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</si>
  <si>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</si>
  <si>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</si>
  <si>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</si>
  <si>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</si>
  <si>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</si>
  <si>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</si>
  <si>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</si>
  <si>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</si>
  <si>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</si>
  <si>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</si>
  <si>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</si>
  <si>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</si>
  <si>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</si>
  <si>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</si>
  <si>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</si>
  <si>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</si>
  <si>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</si>
  <si>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</si>
  <si>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</si>
  <si>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</si>
  <si>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</si>
  <si>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</si>
  <si>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</si>
  <si>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</si>
  <si>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</si>
  <si>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</si>
  <si>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</si>
  <si>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</si>
  <si>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</si>
  <si>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</si>
  <si>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</si>
  <si>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</si>
  <si>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</si>
  <si>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</si>
  <si>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</si>
  <si>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</si>
  <si>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</si>
  <si>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</si>
  <si>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</si>
  <si>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</si>
  <si>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</si>
  <si>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</si>
  <si>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</si>
  <si>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</si>
  <si>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</si>
  <si>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</si>
  <si>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</si>
  <si>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</si>
  <si>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</si>
  <si>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</si>
  <si>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</si>
  <si>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</si>
  <si>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</si>
  <si>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</si>
  <si>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</si>
  <si>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</si>
  <si>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</si>
  <si>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</si>
  <si>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</si>
  <si>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</si>
  <si>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</si>
  <si>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</si>
  <si>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</si>
  <si>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</si>
  <si>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</si>
  <si>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</si>
  <si>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</si>
  <si>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</si>
  <si>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</si>
  <si>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</si>
  <si>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</si>
  <si>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</si>
  <si>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</si>
  <si>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</si>
  <si>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</si>
  <si>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</si>
  <si>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</si>
  <si>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</si>
  <si>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</si>
  <si>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</si>
  <si>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</si>
  <si>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</si>
  <si>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</si>
  <si>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</si>
  <si>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</si>
  <si>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</si>
  <si>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</si>
  <si>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</si>
  <si>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</si>
  <si>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</si>
  <si>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</si>
  <si>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</si>
  <si>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</si>
  <si>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</si>
  <si>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</si>
  <si>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</si>
  <si>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</si>
  <si>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</si>
  <si>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</si>
  <si>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</si>
  <si>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</si>
  <si>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</si>
  <si>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</si>
  <si>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</si>
  <si>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</si>
  <si>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</si>
  <si>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</si>
  <si>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</si>
  <si>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</si>
  <si>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</si>
  <si>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</si>
  <si>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</si>
  <si>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</si>
  <si>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</si>
  <si>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</si>
  <si>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</si>
  <si>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</si>
  <si>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</si>
  <si>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</si>
  <si>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</si>
  <si>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</si>
  <si>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</si>
  <si>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</si>
  <si>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</si>
  <si>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</si>
  <si>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</si>
  <si>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</si>
  <si>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</si>
  <si>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</si>
  <si>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</si>
  <si>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</si>
  <si>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</si>
  <si>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</si>
  <si>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</si>
  <si>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</si>
  <si>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</si>
  <si>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</si>
  <si>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</si>
  <si>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</si>
  <si>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</si>
  <si>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</si>
  <si>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</si>
  <si>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</si>
  <si>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</si>
  <si>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</si>
  <si>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</si>
  <si>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</si>
  <si>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</si>
  <si>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</si>
  <si>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</si>
  <si>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</si>
  <si>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</si>
  <si>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</si>
  <si>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</si>
  <si>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</si>
  <si>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</si>
  <si>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</si>
  <si>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</si>
  <si>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</si>
  <si>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</si>
  <si>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</si>
  <si>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</si>
  <si>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</si>
  <si>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</si>
  <si>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</si>
  <si>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</si>
  <si>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</si>
  <si>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</si>
  <si>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</si>
  <si>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</si>
  <si>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</si>
  <si>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</si>
  <si>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</si>
  <si>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</si>
  <si>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</si>
  <si>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</si>
  <si>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</si>
  <si>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</si>
  <si>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</si>
  <si>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</si>
  <si>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</si>
  <si>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</si>
  <si>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</si>
  <si>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</si>
  <si>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</si>
  <si>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</si>
  <si>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</si>
  <si>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</si>
  <si>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</si>
  <si>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</si>
  <si>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</si>
  <si>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</si>
  <si>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</si>
  <si>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</si>
  <si>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</si>
  <si>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</si>
  <si>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</si>
  <si>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</si>
  <si>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</si>
  <si>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</si>
  <si>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</si>
  <si>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</si>
  <si>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</si>
  <si>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</si>
  <si>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</si>
  <si>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</si>
  <si>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</si>
  <si>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</si>
  <si>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</si>
  <si>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</si>
  <si>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</si>
  <si>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</si>
  <si>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</si>
  <si>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</si>
  <si>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</si>
  <si>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</si>
  <si>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</si>
  <si>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</si>
  <si>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</si>
  <si>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</si>
  <si>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</si>
  <si>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</si>
  <si>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</si>
  <si>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</si>
  <si>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</si>
  <si>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</si>
  <si>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</si>
  <si>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</si>
  <si>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</si>
  <si>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</si>
  <si>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</si>
  <si>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</si>
  <si>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</si>
  <si>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</si>
  <si>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</si>
  <si>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</si>
  <si>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</si>
  <si>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</si>
  <si>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</si>
  <si>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</si>
  <si>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</si>
  <si>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</si>
  <si>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</si>
  <si>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</si>
  <si>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</si>
  <si>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</si>
  <si>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</si>
  <si>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</si>
  <si>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</si>
  <si>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</si>
  <si>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</si>
  <si>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</si>
  <si>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</si>
  <si>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</si>
  <si>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</si>
  <si>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</si>
  <si>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</si>
  <si>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</si>
  <si>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</si>
  <si>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</si>
  <si>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</si>
  <si>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</si>
  <si>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</si>
  <si>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</si>
  <si>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</si>
  <si>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</si>
  <si>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</si>
  <si>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</si>
  <si>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</si>
  <si>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</si>
  <si>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</si>
  <si>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</si>
  <si>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</si>
  <si>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</si>
  <si>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</si>
  <si>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</si>
  <si>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</si>
  <si>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</si>
  <si>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</si>
  <si>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</si>
  <si>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</si>
  <si>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</si>
  <si>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</si>
  <si>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</si>
  <si>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</si>
  <si>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</si>
  <si>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</si>
  <si>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</si>
  <si>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</si>
  <si>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</si>
  <si>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</si>
  <si>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</si>
  <si>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</si>
  <si>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</si>
  <si>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</si>
  <si>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</si>
  <si>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</si>
  <si>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</si>
  <si>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</si>
  <si>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</si>
  <si>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</si>
  <si>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</si>
  <si>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</si>
  <si>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</si>
  <si>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</si>
  <si>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</si>
  <si>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</si>
  <si>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</si>
  <si>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</si>
  <si>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</si>
  <si>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</si>
  <si>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</si>
  <si>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</si>
  <si>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</si>
  <si>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</si>
  <si>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</si>
  <si>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</si>
  <si>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</si>
  <si>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</si>
  <si>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</si>
  <si>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</si>
  <si>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</si>
  <si>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</si>
  <si>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</si>
  <si>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</si>
  <si>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</si>
  <si>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</si>
  <si>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</si>
  <si>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</si>
  <si>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</si>
  <si>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</si>
  <si>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</si>
  <si>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</si>
  <si>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</si>
  <si>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</si>
  <si>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</si>
  <si>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</si>
  <si>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</si>
  <si>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</si>
  <si>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</si>
  <si>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</si>
  <si>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</si>
  <si>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</si>
  <si>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</si>
  <si>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</si>
  <si>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</si>
  <si>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</si>
  <si>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</si>
  <si>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</si>
  <si>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</si>
  <si>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</si>
  <si>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</si>
  <si>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</si>
  <si>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</si>
  <si>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</si>
  <si>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</si>
  <si>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</si>
  <si>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</si>
  <si>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</si>
  <si>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</si>
  <si>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</si>
  <si>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</si>
  <si>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</si>
  <si>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</si>
  <si>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</si>
  <si>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</si>
  <si>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</si>
  <si>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</si>
  <si>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</si>
  <si>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</si>
  <si>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</si>
  <si>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</si>
  <si>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</si>
  <si>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</si>
  <si>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</si>
  <si>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</si>
  <si>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</si>
  <si>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</si>
  <si>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</si>
  <si>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</si>
  <si>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</si>
  <si>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</si>
  <si>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</si>
  <si>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</si>
  <si>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</si>
  <si>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</si>
  <si>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</si>
  <si>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</si>
  <si>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</si>
  <si>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</si>
  <si>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</si>
  <si>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</si>
  <si>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</si>
  <si>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</si>
  <si>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</si>
  <si>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</si>
  <si>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</si>
  <si>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</si>
  <si>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</si>
  <si>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</si>
  <si>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</si>
  <si>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</si>
  <si>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</si>
  <si>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</si>
  <si>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</si>
  <si>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</si>
  <si>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</si>
  <si>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</si>
  <si>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</si>
  <si>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</si>
  <si>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</si>
  <si>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</si>
  <si>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</si>
  <si>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</si>
  <si>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</si>
  <si>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</si>
  <si>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</si>
  <si>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</si>
  <si>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</si>
  <si>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</si>
  <si>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</si>
  <si>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</si>
  <si>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</si>
  <si>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</si>
  <si>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</si>
  <si>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</si>
  <si>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</si>
  <si>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</si>
  <si>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</si>
  <si>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</si>
  <si>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</si>
  <si>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</si>
  <si>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</si>
  <si>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</si>
  <si>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</si>
  <si>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</si>
  <si>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</si>
  <si>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</si>
  <si>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</si>
  <si>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</si>
  <si>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</si>
  <si>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</si>
  <si>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</si>
  <si>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</si>
  <si>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</si>
  <si>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</si>
  <si>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</si>
  <si>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</si>
  <si>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</si>
  <si>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</si>
  <si>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</si>
  <si>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</si>
  <si>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</si>
  <si>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</si>
  <si>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</si>
  <si>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</si>
  <si>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</si>
  <si>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</si>
  <si>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</si>
  <si>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</si>
  <si>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</si>
  <si>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</si>
  <si>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</si>
  <si>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</si>
  <si>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</si>
  <si>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</si>
  <si>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</si>
  <si>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</si>
  <si>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</si>
  <si>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</si>
  <si>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</si>
  <si>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</si>
  <si>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</si>
  <si>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</si>
  <si>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</si>
  <si>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</si>
  <si>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</si>
  <si>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</si>
  <si>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</si>
  <si>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</si>
  <si>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</si>
  <si>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</si>
  <si>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</si>
  <si>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</si>
  <si>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</si>
  <si>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</si>
  <si>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</si>
  <si>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</si>
  <si>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</si>
  <si>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</si>
  <si>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</si>
  <si>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</si>
  <si>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</si>
  <si>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</si>
  <si>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</si>
  <si>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</si>
  <si>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</si>
  <si>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</si>
  <si>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</si>
  <si>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</si>
  <si>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</si>
  <si>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</si>
  <si>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</si>
  <si>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</si>
  <si>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</si>
  <si>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</si>
  <si>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</si>
  <si>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</si>
  <si>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</si>
  <si>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</si>
  <si>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</si>
  <si>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</si>
  <si>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</si>
  <si>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</si>
  <si>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</si>
  <si>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</si>
  <si>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</si>
  <si>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</si>
  <si>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</si>
  <si>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</si>
  <si>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</si>
  <si>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</si>
  <si>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</si>
  <si>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</si>
  <si>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</si>
  <si>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</si>
  <si>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</si>
  <si>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</si>
  <si>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</si>
  <si>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</si>
  <si>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</si>
  <si>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</si>
  <si>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</si>
  <si>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</si>
  <si>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</si>
  <si>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</si>
  <si>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</si>
  <si>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</si>
  <si>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</si>
  <si>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</si>
  <si>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</si>
  <si>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</si>
  <si>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</si>
  <si>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</si>
  <si>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</si>
  <si>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</si>
  <si>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</si>
  <si>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</si>
  <si>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</si>
  <si>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</si>
  <si>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</si>
  <si>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</si>
  <si>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</si>
  <si>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</si>
  <si>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</si>
  <si>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</si>
  <si>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</si>
  <si>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http://web.poe.garena.tw/trade/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</si>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</sst>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14">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s://www.pathofexile.com/api/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0" Type="http://schemas.openxmlformats.org/officeDocument/2006/relationships/hyperlink" Target="http://web.poe.garena.tw/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printerSettings" Target="../printerSettings/printerSettings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activeCell="F32" sqref="F32"/>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2" t="s">
        <v>1565</v>
      </c>
      <c r="B1" s="32"/>
      <c r="C1" s="32"/>
      <c r="E1" s="32" t="s">
        <v>1567</v>
      </c>
      <c r="F1" s="32"/>
      <c r="G1" s="32"/>
      <c r="I1" s="32" t="s">
        <v>1570</v>
      </c>
      <c r="J1" s="32"/>
      <c r="K1" s="32"/>
      <c r="M1" s="32" t="s">
        <v>74</v>
      </c>
      <c r="N1" s="32"/>
      <c r="O1" s="32"/>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3" t="s">
        <v>1566</v>
      </c>
      <c r="B6" s="34"/>
      <c r="C6" s="35"/>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32" t="s">
        <v>1568</v>
      </c>
      <c r="F8" s="32"/>
      <c r="G8" s="32"/>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3">HYPERLINK(_xlfn.CONCAT("#'", F9, "'!A1"), "Go to Sheet")</f>
        <v>Go to Sheet</v>
      </c>
      <c r="I9" s="25">
        <v>44</v>
      </c>
      <c r="J9" s="27" t="str" cm="1">
        <f t="array" ref="J9">INDEX(LISTSHEETS,I9)</f>
        <v>Jewel</v>
      </c>
      <c r="K9" s="28" t="str">
        <f t="shared" si="1"/>
        <v>Go to Sheet</v>
      </c>
      <c r="M9" s="32" t="s">
        <v>1571</v>
      </c>
      <c r="N9" s="32"/>
      <c r="O9" s="32"/>
    </row>
    <row r="10" spans="1:15" ht="21" customHeight="1" x14ac:dyDescent="0.25">
      <c r="E10" s="25">
        <v>26</v>
      </c>
      <c r="F10" s="27" t="str" cm="1">
        <f t="array" ref="F10">INDEX(LISTSHEETS,E10)</f>
        <v>Unidentified ring</v>
      </c>
      <c r="G10" s="28" t="str">
        <f t="shared" si="3"/>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5" ht="21" customHeight="1" x14ac:dyDescent="0.25">
      <c r="A11" s="33" t="s">
        <v>741</v>
      </c>
      <c r="B11" s="34"/>
      <c r="C11" s="35"/>
      <c r="E11" s="25">
        <v>27</v>
      </c>
      <c r="F11" s="27" t="str" cm="1">
        <f t="array" ref="F11">INDEX(LISTSHEETS,E11)</f>
        <v>Abyssus</v>
      </c>
      <c r="G11" s="28" t="str">
        <f t="shared" si="3"/>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5" ht="21" customHeight="1" x14ac:dyDescent="0.25">
      <c r="A12" s="25">
        <v>7</v>
      </c>
      <c r="B12" s="27" t="str" cm="1">
        <f t="array" ref="B12">INDEX(LISTSHEETS,A12)</f>
        <v>Chaos Orb</v>
      </c>
      <c r="C12" s="28" t="str">
        <f t="shared" ref="C12:C17" si="4">HYPERLINK(_xlfn.CONCAT("#'", B12, "'!A1"), "Go to Sheet")</f>
        <v>Go to Sheet</v>
      </c>
      <c r="E12" s="25">
        <v>28</v>
      </c>
      <c r="F12" s="27" t="str" cm="1">
        <f t="array" ref="F12">INDEX(LISTSHEETS,E12)</f>
        <v>Carcass Jack</v>
      </c>
      <c r="G12" s="28" t="str">
        <f t="shared" si="3"/>
        <v>Go to Sheet</v>
      </c>
      <c r="I12" s="25">
        <v>47</v>
      </c>
      <c r="J12" s="27" t="str" cm="1">
        <f t="array" ref="J12">INDEX(LISTSHEETS,I12)</f>
        <v>Staff</v>
      </c>
      <c r="K12" s="28" t="str">
        <f t="shared" si="1"/>
        <v>Go to Sheet</v>
      </c>
      <c r="M12"/>
      <c r="N12"/>
      <c r="O12"/>
    </row>
    <row r="13" spans="1:15" ht="21" customHeight="1" x14ac:dyDescent="0.25">
      <c r="A13" s="25">
        <v>8</v>
      </c>
      <c r="B13" s="27" t="str" cm="1">
        <f t="array" ref="B13">INDEX(LISTSHEETS,A13)</f>
        <v>Resonator</v>
      </c>
      <c r="C13" s="28" t="str">
        <f t="shared" si="4"/>
        <v>Go to Sheet</v>
      </c>
      <c r="E13" s="25">
        <v>29</v>
      </c>
      <c r="F13" s="27" t="str" cm="1">
        <f t="array" ref="F13">INDEX(LISTSHEETS,E13)</f>
        <v>Mistwall</v>
      </c>
      <c r="G13" s="28" t="str">
        <f t="shared" si="3"/>
        <v>Go to Sheet</v>
      </c>
      <c r="I13" s="25">
        <v>48</v>
      </c>
      <c r="J13" s="27" t="str" cm="1">
        <f t="array" ref="J13">INDEX(LISTSHEETS,I13)</f>
        <v>Wand</v>
      </c>
      <c r="K13" s="28" t="str">
        <f t="shared" si="1"/>
        <v>Go to Sheet</v>
      </c>
      <c r="M13"/>
      <c r="N13"/>
      <c r="O13"/>
    </row>
    <row r="14" spans="1:15" ht="21" customHeight="1" x14ac:dyDescent="0.25">
      <c r="A14" s="25">
        <v>9</v>
      </c>
      <c r="B14" s="27" t="str" cm="1">
        <f t="array" ref="B14">INDEX(LISTSHEETS,A14)</f>
        <v>Card</v>
      </c>
      <c r="C14" s="28" t="str">
        <f t="shared" si="4"/>
        <v>Go to Sheet</v>
      </c>
      <c r="E14" s="25">
        <v>30</v>
      </c>
      <c r="F14" s="27" t="str" cm="1">
        <f t="array" ref="F14">INDEX(LISTSHEETS,E14)</f>
        <v>White Wind</v>
      </c>
      <c r="G14" s="28" t="str">
        <f t="shared" si="3"/>
        <v>Go to Sheet</v>
      </c>
      <c r="I14" s="25">
        <v>49</v>
      </c>
      <c r="J14" s="27" t="str" cm="1">
        <f t="array" ref="J14">INDEX(LISTSHEETS,I14)</f>
        <v>Warstaff</v>
      </c>
      <c r="K14" s="28" t="str">
        <f t="shared" si="1"/>
        <v>Go to Sheet</v>
      </c>
      <c r="M14"/>
      <c r="N14"/>
      <c r="O14"/>
    </row>
    <row r="15" spans="1:15" ht="21" customHeight="1" x14ac:dyDescent="0.25">
      <c r="A15" s="25">
        <v>10</v>
      </c>
      <c r="B15" s="27" t="str" cm="1">
        <f t="array" ref="B15">INDEX(LISTSHEETS,A15)</f>
        <v>Metamorph Sample</v>
      </c>
      <c r="C15" s="28" t="str">
        <f t="shared" si="4"/>
        <v>Go to Sheet</v>
      </c>
      <c r="D15" s="29"/>
      <c r="E15" s="25">
        <v>67</v>
      </c>
      <c r="F15" s="27" t="str" cm="1">
        <f t="array" ref="F15">INDEX(LISTSHEETS,E15)</f>
        <v>Fire Damage Property</v>
      </c>
      <c r="G15" s="28" t="str">
        <f t="shared" ref="G15:G18" si="5">HYPERLINK(_xlfn.CONCAT("#'", F15, "'!A1"), "Go to Sheet")</f>
        <v>Go to Sheet</v>
      </c>
      <c r="I15" s="25">
        <v>50</v>
      </c>
      <c r="J15" s="27" t="str" cm="1">
        <f t="array" ref="J15">INDEX(LISTSHEETS,I15)</f>
        <v>1H Sword</v>
      </c>
      <c r="K15" s="28" t="str">
        <f t="shared" si="1"/>
        <v>Go to Sheet</v>
      </c>
      <c r="M15"/>
    </row>
    <row r="16" spans="1:15" ht="21" customHeight="1" x14ac:dyDescent="0.25">
      <c r="A16" s="25">
        <v>73</v>
      </c>
      <c r="B16" s="27" t="str" cm="1">
        <f t="array" ref="B16">INDEX(LISTSHEETS,A16)</f>
        <v>Socketable</v>
      </c>
      <c r="C16" s="28" t="str">
        <f t="shared" si="4"/>
        <v>Go to Sheet</v>
      </c>
      <c r="E16" s="25">
        <v>68</v>
      </c>
      <c r="F16" s="27" t="str" cm="1">
        <f t="array" ref="F16">INDEX(LISTSHEETS,E16)</f>
        <v>Cold Damage Property</v>
      </c>
      <c r="G16" s="28" t="str">
        <f t="shared" si="5"/>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4"/>
        <v>Go to Sheet</v>
      </c>
      <c r="E17" s="25">
        <v>69</v>
      </c>
      <c r="F17" s="27" t="str" cm="1">
        <f t="array" ref="F17">INDEX(LISTSHEETS,E17)</f>
        <v>Lightning Damage Property</v>
      </c>
      <c r="G17" s="28" t="str">
        <f t="shared" si="5"/>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5"/>
        <v>Go to Sheet</v>
      </c>
      <c r="I18" s="25">
        <v>53</v>
      </c>
      <c r="J18" s="27" t="str" cm="1">
        <f t="array" ref="J18">INDEX(LISTSHEETS,I18)</f>
        <v>1H Axe</v>
      </c>
      <c r="K18" s="28" t="str">
        <f t="shared" si="1"/>
        <v>Go to Sheet</v>
      </c>
    </row>
    <row r="19" spans="1:11" ht="21" customHeight="1" x14ac:dyDescent="0.25">
      <c r="A19" s="33" t="s">
        <v>752</v>
      </c>
      <c r="B19" s="34"/>
      <c r="C19" s="35"/>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6">HYPERLINK(_xlfn.CONCAT("#'", B20,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6"/>
        <v>Go to Sheet</v>
      </c>
      <c r="E21" s="33" t="s">
        <v>1569</v>
      </c>
      <c r="F21" s="34"/>
      <c r="G21" s="35"/>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6"/>
        <v>Go to Sheet</v>
      </c>
      <c r="E22" s="25">
        <v>31</v>
      </c>
      <c r="F22" s="27" t="str" cm="1">
        <f t="array" ref="F22">INDEX(LISTSHEETS,E22)</f>
        <v>Crusader</v>
      </c>
      <c r="G22" s="28" t="str">
        <f t="shared" ref="G22:G27" si="7">HYPERLINK(_xlfn.CONCAT("#'", F22, "'!A1"), "Go to Sheet")</f>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6"/>
        <v>Go to Sheet</v>
      </c>
      <c r="E23" s="25">
        <v>32</v>
      </c>
      <c r="F23" s="27" t="str" cm="1">
        <f t="array" ref="F23">INDEX(LISTSHEETS,E23)</f>
        <v>Elder</v>
      </c>
      <c r="G23" s="28" t="str">
        <f t="shared" si="7"/>
        <v>Go to Sheet</v>
      </c>
      <c r="I23" s="25">
        <v>71</v>
      </c>
      <c r="J23" s="27" t="str" cm="1">
        <f t="array" ref="J23">INDEX(LISTSHEETS,I23)</f>
        <v>Rapier</v>
      </c>
      <c r="K23" s="28" t="str">
        <f t="shared" ref="K23" si="8">HYPERLINK(_xlfn.CONCAT("#'", J23, "'!A1"), "Go to Sheet")</f>
        <v>Go to Sheet</v>
      </c>
    </row>
    <row r="24" spans="1:11" ht="21" customHeight="1" x14ac:dyDescent="0.25">
      <c r="A24" s="25">
        <v>15</v>
      </c>
      <c r="B24" s="27" t="str" cm="1">
        <f t="array" ref="B24">INDEX(LISTSHEETS,A24)</f>
        <v>Logbook</v>
      </c>
      <c r="C24" s="28" t="str">
        <f t="shared" si="6"/>
        <v>Go to Sheet</v>
      </c>
      <c r="E24" s="25">
        <v>33</v>
      </c>
      <c r="F24" s="27" t="str" cm="1">
        <f t="array" ref="F24">INDEX(LISTSHEETS,E24)</f>
        <v>Hunter</v>
      </c>
      <c r="G24" s="28" t="str">
        <f t="shared" si="7"/>
        <v>Go to Sheet</v>
      </c>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6"/>
        <v>Go to Sheet</v>
      </c>
      <c r="E25" s="25">
        <v>34</v>
      </c>
      <c r="F25" s="27" t="str" cm="1">
        <f t="array" ref="F25">INDEX(LISTSHEETS,E25)</f>
        <v>Redeemer</v>
      </c>
      <c r="G25" s="28" t="str">
        <f t="shared" si="7"/>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6"/>
        <v>Go to Sheet</v>
      </c>
      <c r="E26" s="25">
        <v>35</v>
      </c>
      <c r="F26" s="27" t="str" cm="1">
        <f t="array" ref="F26">INDEX(LISTSHEETS,E26)</f>
        <v>Shaper</v>
      </c>
      <c r="G26" s="28" t="str">
        <f t="shared" si="7"/>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6"/>
        <v>Go to Sheet</v>
      </c>
      <c r="E27" s="25">
        <v>36</v>
      </c>
      <c r="F27" s="27" t="str" cm="1">
        <f t="array" ref="F27">INDEX(LISTSHEETS,E27)</f>
        <v>Warlord</v>
      </c>
      <c r="G27" s="28" t="str">
        <f t="shared" si="7"/>
        <v>Go to Sheet</v>
      </c>
    </row>
    <row r="28" spans="1:11" ht="21" customHeight="1" x14ac:dyDescent="0.25">
      <c r="A28" s="25">
        <v>19</v>
      </c>
      <c r="B28" s="27" t="str" cm="1">
        <f t="array" ref="B28">INDEX(LISTSHEETS,A28)</f>
        <v>Misc Map Item</v>
      </c>
      <c r="C28" s="28" t="str">
        <f t="shared" si="6"/>
        <v>Go to Sheet</v>
      </c>
    </row>
    <row r="29" spans="1:11" ht="21" customHeight="1" x14ac:dyDescent="0.25">
      <c r="A29" s="25">
        <v>20</v>
      </c>
      <c r="B29" s="27" t="str" cm="1">
        <f t="array" ref="B29">INDEX(LISTSHEETS,A29)</f>
        <v>Tome</v>
      </c>
      <c r="C29" s="28" t="str">
        <f t="shared" si="6"/>
        <v>Go to Sheet</v>
      </c>
    </row>
    <row r="30" spans="1:11" ht="21" customHeight="1" x14ac:dyDescent="0.25">
      <c r="A30" s="25">
        <v>74</v>
      </c>
      <c r="B30" s="27" t="str" cm="1">
        <f t="array" ref="B30">INDEX(LISTSHEETS,A30)</f>
        <v>Waystone</v>
      </c>
      <c r="C30" s="28" t="str">
        <f t="shared" ref="C30:C35" si="9">HYPERLINK(_xlfn.CONCAT("#'", B30, "'!A1"), "Go to Sheet")</f>
        <v>Go to Sheet</v>
      </c>
    </row>
    <row r="31" spans="1:11" ht="21" customHeight="1" x14ac:dyDescent="0.25">
      <c r="A31" s="25">
        <v>75</v>
      </c>
      <c r="B31" s="27" t="str" cm="1">
        <f t="array" ref="B31">INDEX(LISTSHEETS,A31)</f>
        <v>Barya</v>
      </c>
      <c r="C31" s="28" t="str">
        <f t="shared" si="9"/>
        <v>Go to Sheet</v>
      </c>
    </row>
    <row r="32" spans="1:11" ht="21" customHeight="1" x14ac:dyDescent="0.25">
      <c r="A32" s="25">
        <v>76</v>
      </c>
      <c r="B32" s="27" t="str" cm="1">
        <f t="array" ref="B32">INDEX(LISTSHEETS,A32)</f>
        <v>Ultimatum</v>
      </c>
      <c r="C32" s="28" t="str">
        <f t="shared" si="9"/>
        <v>Go to Sheet</v>
      </c>
    </row>
    <row r="33" spans="1:15" ht="21" customHeight="1" x14ac:dyDescent="0.25">
      <c r="A33" s="25">
        <v>77</v>
      </c>
      <c r="B33" s="27" t="str" cm="1">
        <f t="array" ref="B33">INDEX(LISTSHEETS,A33)</f>
        <v>Tablet</v>
      </c>
      <c r="C33" s="28" t="str">
        <f t="shared" si="9"/>
        <v>Go to Sheet</v>
      </c>
      <c r="L33"/>
    </row>
    <row r="34" spans="1:15" ht="21" customHeight="1" x14ac:dyDescent="0.25">
      <c r="A34" s="25">
        <v>82</v>
      </c>
      <c r="B34" s="27" t="str" cm="1">
        <f t="array" ref="B34">INDEX(LISTSHEETS,A34)</f>
        <v>Boss Key</v>
      </c>
      <c r="C34" s="28" t="str">
        <f t="shared" si="9"/>
        <v>Go to Sheet</v>
      </c>
      <c r="L34"/>
      <c r="M34"/>
      <c r="N34"/>
      <c r="O34"/>
    </row>
    <row r="35" spans="1:15" ht="21" customHeight="1" x14ac:dyDescent="0.25">
      <c r="A35" s="25">
        <v>81</v>
      </c>
      <c r="B35" s="27" t="str" cm="1">
        <f t="array" ref="B35">INDEX(LISTSHEETS,A35)</f>
        <v>Breachstone</v>
      </c>
      <c r="C35" s="28" t="str">
        <f t="shared" si="9"/>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0">
    <mergeCell ref="E21:G21"/>
    <mergeCell ref="I1:K1"/>
    <mergeCell ref="M1:O1"/>
    <mergeCell ref="M9:O9"/>
    <mergeCell ref="A19:C19"/>
    <mergeCell ref="A11:C11"/>
    <mergeCell ref="A6:C6"/>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30"/>
  <sheetViews>
    <sheetView tabSelected="1" topLeftCell="A19" workbookViewId="0">
      <selection activeCell="B47" sqref="B47"/>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t="s">
        <v>23</v>
      </c>
      <c r="C1" s="8" t="s">
        <v>24</v>
      </c>
      <c r="D1" s="9" t="s">
        <v>23</v>
      </c>
      <c r="E1" s="8" t="s">
        <v>26</v>
      </c>
      <c r="F1" s="9" t="s">
        <v>23</v>
      </c>
      <c r="G1" s="8" t="s">
        <v>27</v>
      </c>
      <c r="H1" s="9" t="s">
        <v>23</v>
      </c>
      <c r="I1" s="8" t="s">
        <v>28</v>
      </c>
      <c r="J1" s="9" t="s">
        <v>23</v>
      </c>
      <c r="K1" s="8" t="s">
        <v>29</v>
      </c>
      <c r="L1" s="9" t="s">
        <v>23</v>
      </c>
      <c r="M1" s="8" t="s">
        <v>30</v>
      </c>
      <c r="N1" s="9" t="s">
        <v>23</v>
      </c>
      <c r="O1" s="8" t="s">
        <v>31</v>
      </c>
      <c r="P1" s="9" t="s">
        <v>23</v>
      </c>
      <c r="Q1" s="8" t="s">
        <v>32</v>
      </c>
      <c r="R1" s="9" t="s">
        <v>23</v>
      </c>
      <c r="S1" s="8" t="s">
        <v>33</v>
      </c>
      <c r="T1" s="9" t="s">
        <v>23</v>
      </c>
      <c r="V1" s="8" t="s">
        <v>517</v>
      </c>
    </row>
    <row r="2" spans="1:22" ht="15.95" customHeight="1" x14ac:dyDescent="0.25">
      <c r="A2" s="6" t="s">
        <v>21</v>
      </c>
      <c r="B2" s="10" t="s">
        <v>6588</v>
      </c>
      <c r="C2" s="16" t="s">
        <v>25</v>
      </c>
      <c r="D2" s="10" t="s">
        <v>6588</v>
      </c>
      <c r="E2" s="16" t="s">
        <v>34</v>
      </c>
      <c r="F2" s="10" t="s">
        <v>6588</v>
      </c>
      <c r="G2" s="16" t="s">
        <v>35</v>
      </c>
      <c r="H2" s="10" t="s">
        <v>6588</v>
      </c>
      <c r="I2" s="16" t="s">
        <v>36</v>
      </c>
      <c r="J2" s="10" t="s">
        <v>6588</v>
      </c>
      <c r="K2" s="16" t="s">
        <v>37</v>
      </c>
      <c r="L2" s="10" t="s">
        <v>6588</v>
      </c>
      <c r="M2" s="16" t="s">
        <v>38</v>
      </c>
      <c r="N2" s="10" t="s">
        <v>6588</v>
      </c>
      <c r="O2" s="16" t="s">
        <v>39</v>
      </c>
      <c r="P2" s="10" t="s">
        <v>6588</v>
      </c>
      <c r="Q2" s="16" t="s">
        <v>40</v>
      </c>
      <c r="R2" s="10" t="s">
        <v>6588</v>
      </c>
      <c r="S2" s="16" t="s">
        <v>41</v>
      </c>
      <c r="T2" s="10" t="s">
        <v>6588</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"th")]</v>
      </c>
      <c r="S4" s="12" t="s">
        <v>22</v>
      </c>
      <c r="T4" s="11" t="str">
        <f>_xlfn.CONCAT("[GameLanguage(""", S1,""", """, S2,""")]")</f>
        <v>[GameLanguage("Traditional Chinese",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6589</v>
      </c>
      <c r="B7" s="11" t="str">
        <f>_xlfn.CONCAT("    public string PoeTradeBaseUrl =&gt; """, A7, """;")</f>
        <v xml:space="preserve">    public string PoeTradeBaseUrl =&gt; "https://www.pathofexile.com/trade/";</v>
      </c>
      <c r="C7" s="30" t="s">
        <v>6590</v>
      </c>
      <c r="D7" s="11" t="str">
        <f>_xlfn.CONCAT("    public string PoeTradeBaseUrl =&gt; """, C7, """;")</f>
        <v xml:space="preserve">    public string PoeTradeBaseUrl =&gt; "https://de.pathofexile.com/trade/";</v>
      </c>
      <c r="E7" s="30" t="s">
        <v>6591</v>
      </c>
      <c r="F7" s="11" t="str">
        <f>_xlfn.CONCAT("    public string PoeTradeBaseUrl =&gt; """, E7, """;")</f>
        <v xml:space="preserve">    public string PoeTradeBaseUrl =&gt; "https://es.pathofexile.com/trade/";</v>
      </c>
      <c r="G7" s="30" t="s">
        <v>6592</v>
      </c>
      <c r="H7" s="11" t="str">
        <f>_xlfn.CONCAT("    public string PoeTradeBaseUrl =&gt; """, G7, """;")</f>
        <v xml:space="preserve">    public string PoeTradeBaseUrl =&gt; "https://fr.pathofexile.com/trade/";</v>
      </c>
      <c r="I7" s="30" t="s">
        <v>6593</v>
      </c>
      <c r="J7" s="11" t="str">
        <f>_xlfn.CONCAT("    public string PoeTradeBaseUrl =&gt; """, I7, """;")</f>
        <v xml:space="preserve">    public string PoeTradeBaseUrl =&gt; "https://jp.pathofexile.com/trade/";</v>
      </c>
      <c r="K7" s="30" t="s">
        <v>6594</v>
      </c>
      <c r="L7" s="11" t="str">
        <f>_xlfn.CONCAT("    public string PoeTradeBaseUrl =&gt; """, K7, """;")</f>
        <v xml:space="preserve">    public string PoeTradeBaseUrl =&gt; "https://poe.game.daum.net/trade/";</v>
      </c>
      <c r="M7" s="30" t="s">
        <v>6595</v>
      </c>
      <c r="N7" s="11" t="str">
        <f>_xlfn.CONCAT("    public string PoeTradeBaseUrl =&gt; """, M7, """;")</f>
        <v xml:space="preserve">    public string PoeTradeBaseUrl =&gt; "https://br.pathofexile.com/trade/";</v>
      </c>
      <c r="O7" s="30" t="s">
        <v>6596</v>
      </c>
      <c r="P7" s="11" t="str">
        <f>_xlfn.CONCAT("    public string PoeTradeBaseUrl =&gt; """, O7, """;")</f>
        <v xml:space="preserve">    public string PoeTradeBaseUrl =&gt; "https://ru.pathofexile.com/trade/";</v>
      </c>
      <c r="Q7" s="30" t="s">
        <v>6597</v>
      </c>
      <c r="R7" s="11" t="str">
        <f>_xlfn.CONCAT("    public string PoeTradeBaseUrl =&gt; """, Q7, """;")</f>
        <v xml:space="preserve">    public string PoeTradeBaseUrl =&gt; "https://th.pathofexile.com/trade/";</v>
      </c>
      <c r="S7" s="30" t="s">
        <v>6598</v>
      </c>
      <c r="T7" s="11" t="str">
        <f>_xlfn.CONCAT("    public Uri PoeTradeBaseUrl =&gt; new(""", S7, """);")</f>
        <v xml:space="preserve">    public Uri PoeTradeBaseUrl =&gt; new("http://web.poe.garena.tw/trade/");</v>
      </c>
      <c r="V7" s="31" t="s">
        <v>6589</v>
      </c>
    </row>
    <row r="8" spans="1:22" ht="15.95" customHeight="1" x14ac:dyDescent="0.25">
      <c r="A8" s="6" t="s">
        <v>19</v>
      </c>
      <c r="B8" s="11" t="str">
        <f>_xlfn.CONCAT("    public string PoeTradeApiBaseUrl =&gt; """, A8, """;")</f>
        <v xml:space="preserve">    public string PoeTradeApiBaseUrl =&gt; "https://www.pathofexile.com/api/trade/";</v>
      </c>
      <c r="C8" s="16" t="s">
        <v>42</v>
      </c>
      <c r="D8" s="11" t="str">
        <f>_xlfn.CONCAT("    public string PoeTradeApiBaseUrl =&gt; """, C8, """;")</f>
        <v xml:space="preserve">    public string PoeTradeApiBaseUrl =&gt; "https://de.pathofexile.com/api/trade/";</v>
      </c>
      <c r="E8" s="16" t="s">
        <v>43</v>
      </c>
      <c r="F8" s="11" t="str">
        <f>_xlfn.CONCAT("    public string PoeTradeApiBaseUrl =&gt; """, E8, """;")</f>
        <v xml:space="preserve">    public string PoeTradeApiBaseUrl =&gt; "https://es.pathofexile.com/api/trade/";</v>
      </c>
      <c r="G8" s="16" t="s">
        <v>44</v>
      </c>
      <c r="H8" s="11" t="str">
        <f>_xlfn.CONCAT("    public string PoeTradeApiBaseUrl =&gt; """, G8, """;")</f>
        <v xml:space="preserve">    public string PoeTradeApiBaseUrl =&gt; "https://fr.pathofexile.com/api/trade/";</v>
      </c>
      <c r="I8" s="16" t="s">
        <v>45</v>
      </c>
      <c r="J8" s="11" t="str">
        <f>_xlfn.CONCAT("    public string PoeTradeApiBaseUrl =&gt; """, I8, """;")</f>
        <v xml:space="preserve">    public string PoeTradeApiBaseUrl =&gt; "https://jp.pathofexile.com/api/trade/";</v>
      </c>
      <c r="K8" s="16" t="s">
        <v>46</v>
      </c>
      <c r="L8" s="11" t="str">
        <f>_xlfn.CONCAT("    public string PoeTradeApiBaseUrl =&gt; """, K8, """;")</f>
        <v xml:space="preserve">    public string PoeTradeApiBaseUrl =&gt; "https://poe.game.daum.net/api/trade/";</v>
      </c>
      <c r="M8" s="16" t="s">
        <v>47</v>
      </c>
      <c r="N8" s="11" t="str">
        <f>_xlfn.CONCAT("    public string PoeTradeApiBaseUrl =&gt; """, M8, """;")</f>
        <v xml:space="preserve">    public string PoeTradeApiBaseUrl =&gt; "https://br.pathofexile.com/api/trade/";</v>
      </c>
      <c r="O8" s="16" t="s">
        <v>48</v>
      </c>
      <c r="P8" s="11" t="str">
        <f>_xlfn.CONCAT("    public string PoeTradeApiBaseUrl =&gt; """, O8, """;")</f>
        <v xml:space="preserve">    public string PoeTradeApiBaseUrl =&gt; "https://ru.pathofexile.com/api/trade/";</v>
      </c>
      <c r="Q8" s="16" t="s">
        <v>49</v>
      </c>
      <c r="R8" s="11" t="str">
        <f>_xlfn.CONCAT("    public string PoeTradeApiBaseUrl =&gt; """, Q8, """;")</f>
        <v xml:space="preserve">    public string PoeTradeApiBaseUrl =&gt; "https://th.pathofexile.com/api/trade/";</v>
      </c>
      <c r="S8" s="16" t="s">
        <v>50</v>
      </c>
      <c r="T8" s="11" t="str">
        <f>_xlfn.CONCAT("    public Uri PoeTradeApiBaseUrl =&gt; new(""", S8, """);")</f>
        <v xml:space="preserve">    public Uri PoeTradeApiBaseUrl =&gt; new("http://web.poe.garena.tw/api/trade/");</v>
      </c>
      <c r="V8" s="31"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Uri Poe2TradeBaseUrl =&gt; new(""", SUBSTITUTE(S7, "/trade/", "/trade2/"), """);")</f>
        <v xml:space="preserve">    public Uri Poe2TradeBaseUrl =&gt; new("http://web.poe.garena.tw/trade2/");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Uri Poe2TradeApiBaseUrl =&gt; new(""", SUBSTITUTE(S8, "/trade/", "/trade2/"), """);")</f>
        <v xml:space="preserve">    public Uri Poe2TradeApiBaseUrl =&gt; new("http://web.poe.garena.tw/api/trade2/");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e">
        <f>Belt!T6</f>
        <v>#N/A</v>
      </c>
      <c r="T13" s="11" t="e">
        <f>_xlfn.CONCAT("    public string RarityUnique =&gt; """, S13, """;")</f>
        <v>#N/A</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e">
        <f>'Heist Brooch'!T6</f>
        <v>#N/A</v>
      </c>
      <c r="T14" s="11" t="e">
        <f>_xlfn.CONCAT("    public string RarityRare =&gt; """, S14, """;")</f>
        <v>#N/A</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e">
        <f>'Magic Utility Flask'!T6</f>
        <v>#N/A</v>
      </c>
      <c r="T15" s="11" t="e">
        <f>_xlfn.CONCAT("    public string RarityMagic =&gt; """, S15, """;")</f>
        <v>#N/A</v>
      </c>
      <c r="V15" s="1" t="s">
        <v>518</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e">
        <f>Logbook!T6</f>
        <v>#N/A</v>
      </c>
      <c r="T16" s="11" t="e">
        <f>_xlfn.CONCAT("    public string RarityNormal =&gt; """, S16, """;")</f>
        <v>#N/A</v>
      </c>
      <c r="V16" s="1" t="s">
        <v>740</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e">
        <f>'Chaos Orb'!T6</f>
        <v>#N/A</v>
      </c>
      <c r="T17" s="11" t="e">
        <f>_xlfn.CONCAT("    public string RarityCurrency =&gt; """, S17, """;")</f>
        <v>#N/A</v>
      </c>
      <c r="V17" s="1" t="s">
        <v>741</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e">
        <f>'Phantasmal Gem'!T6</f>
        <v>#N/A</v>
      </c>
      <c r="T18" s="11" t="e">
        <f>_xlfn.CONCAT("    public string RarityGem =&gt; """, S18, """;")</f>
        <v>#N/A</v>
      </c>
      <c r="V18" s="1" t="s">
        <v>519</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e">
        <f>Card!T6</f>
        <v>#N/A</v>
      </c>
      <c r="T19" s="11" t="e">
        <f>_xlfn.CONCAT("    public string RarityDivinationCard =&gt; """, S19, """;")</f>
        <v>#N/A</v>
      </c>
      <c r="V19" s="1" t="s">
        <v>520</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f>'Unidentified ring'!T11</f>
        <v>0</v>
      </c>
      <c r="T21" s="11" t="str">
        <f>_xlfn.CONCAT("    public string DescriptionUnidentified =&gt; """, S21, """;")</f>
        <v xml:space="preserve">    public string DescriptionUnidentified =&gt; "0";</v>
      </c>
      <c r="V21" s="1" t="s">
        <v>51</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e">
        <f>'Life Flask'!T8</f>
        <v>#N/A</v>
      </c>
      <c r="T22" s="11" t="e">
        <f>_xlfn.CONCAT("    public string DescriptionQuality =&gt; """, S22, """;")</f>
        <v>#N/A</v>
      </c>
      <c r="V22" s="1" t="s">
        <v>52</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f>'Divergent Support Gem'!T10</f>
        <v>0</v>
      </c>
      <c r="T23" s="11" t="str">
        <f>_xlfn.CONCAT("    public string DescriptionAlternateQuality =&gt; """, S23, """;")</f>
        <v xml:space="preserve">    public string DescriptionAlternateQuality =&gt; "0";</v>
      </c>
      <c r="V23" s="1" t="s">
        <v>573</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e">
        <f>'Phantasmal Gem'!T8</f>
        <v>#N/A</v>
      </c>
      <c r="T24" s="11" t="e">
        <f>_xlfn.CONCAT("    public string DescriptionLevel =&gt; """, S24, """;")</f>
        <v>#N/A</v>
      </c>
      <c r="V24" s="1" t="s">
        <v>53</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f>'Anomalous Gem'!T27</f>
        <v>0</v>
      </c>
      <c r="T25" s="11" t="str">
        <f>_xlfn.CONCAT("    public string DescriptionCorrupted =&gt; """, S25, """;")</f>
        <v xml:space="preserve">    public string DescriptionCorrupted =&gt; "0";</v>
      </c>
      <c r="V25" s="1" t="s">
        <v>54</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e">
        <f>'White Wind'!T20</f>
        <v>#N/A</v>
      </c>
      <c r="T26" s="11" t="e">
        <f>_xlfn.CONCAT("    public string DescriptionSockets =&gt; """, S26, """;")</f>
        <v>#N/A</v>
      </c>
      <c r="V26" s="1" t="s">
        <v>55</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e">
        <f>'White Wind'!T22</f>
        <v>#N/A</v>
      </c>
      <c r="T27" s="11" t="e">
        <f>_xlfn.CONCAT("    public string DescriptionItemLevel =&gt; """, S27, """;")</f>
        <v>#N/A</v>
      </c>
      <c r="V27" s="1" t="s">
        <v>61</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e">
        <f>'Phantasmal Gem'!T28</f>
        <v>#N/A</v>
      </c>
      <c r="T28" s="11" t="e">
        <f>_xlfn.CONCAT("    public string DescriptionExperience =&gt; """, S28, """;")</f>
        <v>#N/A</v>
      </c>
      <c r="V28" s="1" t="s">
        <v>56</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e">
        <f>'White Wind'!T9</f>
        <v>#N/A</v>
      </c>
      <c r="T29" s="11" t="e">
        <f>_xlfn.CONCAT("    public string DescriptionPhysicalDamage =&gt; """, S29, """;")</f>
        <v>#N/A</v>
      </c>
      <c r="V29" s="1" t="s">
        <v>62</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e">
        <f>'White Wind'!T10</f>
        <v>#N/A</v>
      </c>
      <c r="T30" s="11" t="e">
        <f>_xlfn.CONCAT("    public string DescriptionElementalDamage =&gt; """, S30, """;")</f>
        <v>#N/A</v>
      </c>
      <c r="V30" s="1" t="s">
        <v>63</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7045</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7046</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7047</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f>'Chaos Damage Property'!T7</f>
        <v>0</v>
      </c>
      <c r="T34" s="11" t="str">
        <f>_xlfn.CONCAT("    public string DescriptionChaosDamage =&gt; """, S34, """;")</f>
        <v xml:space="preserve">    public string DescriptionChaosDamage =&gt; "0";</v>
      </c>
      <c r="V34" s="1" t="s">
        <v>7048</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e">
        <f>'Carcass Jack'!T9</f>
        <v>#N/A</v>
      </c>
      <c r="T35" s="11" t="e">
        <f>_xlfn.CONCAT("    public string DescriptionEnergyShield =&gt; """, S35, """;")</f>
        <v>#N/A</v>
      </c>
      <c r="V35" s="1" t="s">
        <v>64</v>
      </c>
    </row>
    <row r="36" spans="1:22" ht="15.95" customHeight="1" x14ac:dyDescent="0.25">
      <c r="A36" s="13" t="str">
        <f>Abyssus!B8</f>
        <v>Armour</v>
      </c>
      <c r="B36" s="11" t="str">
        <f>_xlfn.CONCAT("    public string DescriptionArmour =&gt; """, A36, """;")</f>
        <v xml:space="preserve">    public string DescriptionArmour =&gt; "Armour";</v>
      </c>
      <c r="C36" s="13" t="str">
        <f>Abyssus!D8</f>
        <v>Rüstung</v>
      </c>
      <c r="D36" s="11" t="str">
        <f>_xlfn.CONCAT("    public string DescriptionArmour =&gt; """, C36, """;")</f>
        <v xml:space="preserve">    public string DescriptionArmour =&gt; "Rüstung";</v>
      </c>
      <c r="E36" s="13" t="str">
        <f>Abyssus!F8</f>
        <v>Armadura</v>
      </c>
      <c r="F36" s="11" t="str">
        <f>_xlfn.CONCAT("    public string DescriptionArmour =&gt; """, E36, """;")</f>
        <v xml:space="preserve">    public string DescriptionArmour =&gt; "Armadura";</v>
      </c>
      <c r="G36" s="13" t="str">
        <f>Abyssus!H8</f>
        <v>Armure</v>
      </c>
      <c r="H36" s="11" t="str">
        <f>_xlfn.CONCAT("    public string DescriptionArmour =&gt; """, G36, """;")</f>
        <v xml:space="preserve">    public string DescriptionArmour =&gt; "Armure";</v>
      </c>
      <c r="I36" s="13" t="str">
        <f>Abyssus!J8</f>
        <v>アーマー</v>
      </c>
      <c r="J36" s="11" t="str">
        <f>_xlfn.CONCAT("    public string DescriptionArmour =&gt; """, I36, """;")</f>
        <v xml:space="preserve">    public string DescriptionArmour =&gt; "アーマー";</v>
      </c>
      <c r="K36" s="13" t="str">
        <f>Abyssus!L8</f>
        <v>방어도</v>
      </c>
      <c r="L36" s="11" t="str">
        <f>_xlfn.CONCAT("    public string DescriptionArmour =&gt; """, K36, """;")</f>
        <v xml:space="preserve">    public string DescriptionArmour =&gt; "방어도";</v>
      </c>
      <c r="M36" s="13" t="str">
        <f>Abyssus!N8</f>
        <v>Armadura</v>
      </c>
      <c r="N36" s="11" t="str">
        <f>_xlfn.CONCAT("    public string DescriptionArmour =&gt; """, M36, """;")</f>
        <v xml:space="preserve">    public string DescriptionArmour =&gt; "Armadura";</v>
      </c>
      <c r="O36" s="13" t="str">
        <f>Abyssus!P8</f>
        <v>Броня</v>
      </c>
      <c r="P36" s="11" t="str">
        <f>_xlfn.CONCAT("    public string DescriptionArmour =&gt; """, O36, """;")</f>
        <v xml:space="preserve">    public string DescriptionArmour =&gt; "Броня";</v>
      </c>
      <c r="Q36" s="13" t="str">
        <f>Abyssus!R8</f>
        <v>ค่าเกราะ</v>
      </c>
      <c r="R36" s="11" t="str">
        <f>_xlfn.CONCAT("    public string DescriptionArmour =&gt; """, Q36, """;")</f>
        <v xml:space="preserve">    public string DescriptionArmour =&gt; "ค่าเกราะ";</v>
      </c>
      <c r="S36" s="13" t="e">
        <f>Abyssus!T8</f>
        <v>#N/A</v>
      </c>
      <c r="T36" s="11" t="e">
        <f>_xlfn.CONCAT("    public string DescriptionArmour =&gt; """, S36, """;")</f>
        <v>#N/A</v>
      </c>
      <c r="V36" s="1" t="s">
        <v>57</v>
      </c>
    </row>
    <row r="37" spans="1:22" ht="15.95" customHeight="1" x14ac:dyDescent="0.25">
      <c r="A37" s="13" t="str">
        <f>'Carcass Jack'!B8</f>
        <v>Evasion Rating</v>
      </c>
      <c r="B37" s="11" t="str">
        <f>_xlfn.CONCAT("    public string DescriptionEvasion =&gt; """, A37, """;")</f>
        <v xml:space="preserve">    public string DescriptionEvasion =&gt; "Evasion Rating";</v>
      </c>
      <c r="C37" s="13" t="str">
        <f>'Carcass Jack'!D8</f>
        <v>Ausweichwert</v>
      </c>
      <c r="D37" s="11" t="str">
        <f>_xlfn.CONCAT("    public string DescriptionEvasion =&gt; """, C37, """;")</f>
        <v xml:space="preserve">    public string DescriptionEvasion =&gt; "Ausweichwert";</v>
      </c>
      <c r="E37" s="13" t="str">
        <f>'Carcass Jack'!F8</f>
        <v>Evasión</v>
      </c>
      <c r="F37" s="11" t="str">
        <f>_xlfn.CONCAT("    public string DescriptionEvasion =&gt; """, E37, """;")</f>
        <v xml:space="preserve">    public string DescriptionEvasion =&gt; "Evasión";</v>
      </c>
      <c r="G37" s="13" t="str">
        <f>'Carcass Jack'!H8</f>
        <v>Score d'Évasion</v>
      </c>
      <c r="H37" s="11" t="str">
        <f>_xlfn.CONCAT("    public string DescriptionEvasion =&gt; """, G37, """;")</f>
        <v xml:space="preserve">    public string DescriptionEvasion =&gt; "Score d'Évasion";</v>
      </c>
      <c r="I37" s="13" t="str">
        <f>'Carcass Jack'!J8</f>
        <v>回避力</v>
      </c>
      <c r="J37" s="11" t="str">
        <f>_xlfn.CONCAT("    public string DescriptionEvasion =&gt; """, I37, """;")</f>
        <v xml:space="preserve">    public string DescriptionEvasion =&gt; "回避力";</v>
      </c>
      <c r="K37" s="13" t="str">
        <f>'Carcass Jack'!L8</f>
        <v>회피</v>
      </c>
      <c r="L37" s="11" t="str">
        <f>_xlfn.CONCAT("    public string DescriptionEvasion =&gt; """, K37, """;")</f>
        <v xml:space="preserve">    public string DescriptionEvasion =&gt; "회피";</v>
      </c>
      <c r="M37" s="13" t="str">
        <f>'Carcass Jack'!N8</f>
        <v>Evasão</v>
      </c>
      <c r="N37" s="11" t="str">
        <f>_xlfn.CONCAT("    public string DescriptionEvasion =&gt; """, M37, """;")</f>
        <v xml:space="preserve">    public string DescriptionEvasion =&gt; "Evasão";</v>
      </c>
      <c r="O37" s="13" t="str">
        <f>'Carcass Jack'!P8</f>
        <v>Уклонение</v>
      </c>
      <c r="P37" s="11" t="str">
        <f>_xlfn.CONCAT("    public string DescriptionEvasion =&gt; """, O37, """;")</f>
        <v xml:space="preserve">    public string DescriptionEvasion =&gt; "Уклонение";</v>
      </c>
      <c r="Q37" s="13" t="str">
        <f>'Carcass Jack'!R8</f>
        <v>อัตราการหลบหลีก</v>
      </c>
      <c r="R37" s="11" t="str">
        <f>_xlfn.CONCAT("    public string DescriptionEvasion =&gt; """, Q37, """;")</f>
        <v xml:space="preserve">    public string DescriptionEvasion =&gt; "อัตราการหลบหลีก";</v>
      </c>
      <c r="S37" s="13" t="e">
        <f>'Carcass Jack'!T8</f>
        <v>#N/A</v>
      </c>
      <c r="T37" s="11" t="e">
        <f>_xlfn.CONCAT("    public string DescriptionEvasion =&gt; """, S37, """;")</f>
        <v>#N/A</v>
      </c>
      <c r="V37" s="1" t="s">
        <v>65</v>
      </c>
    </row>
    <row r="38" spans="1:22" ht="15.95" customHeight="1" x14ac:dyDescent="0.25">
      <c r="A38" s="13" t="str">
        <f>Mistwall!B8</f>
        <v>Chance to Block</v>
      </c>
      <c r="B38" s="11" t="str">
        <f>_xlfn.CONCAT("    public string DescriptionChanceToBlock =&gt; """, A38, """;")</f>
        <v xml:space="preserve">    public string DescriptionChanceToBlock =&gt; "Chance to Block";</v>
      </c>
      <c r="C38" s="13" t="str">
        <f>Mistwall!D8</f>
        <v>Chance auf Blocken</v>
      </c>
      <c r="D38" s="11" t="str">
        <f>_xlfn.CONCAT("    public string DescriptionChanceToBlock =&gt; """, C38, """;")</f>
        <v xml:space="preserve">    public string DescriptionChanceToBlock =&gt; "Chance auf Blocken";</v>
      </c>
      <c r="E38" s="13" t="str">
        <f>Mistwall!F8</f>
        <v>Probabilidad de bloqueo</v>
      </c>
      <c r="F38" s="11" t="str">
        <f>_xlfn.CONCAT("    public string DescriptionChanceToBlock =&gt; """, E38, """;")</f>
        <v xml:space="preserve">    public string DescriptionChanceToBlock =&gt; "Probabilidad de bloqueo";</v>
      </c>
      <c r="G38" s="13" t="str">
        <f>Mistwall!H8</f>
        <v>Chances de blocage</v>
      </c>
      <c r="H38" s="11" t="str">
        <f>_xlfn.CONCAT("    public string DescriptionChanceToBlock =&gt; """, G38, """;")</f>
        <v xml:space="preserve">    public string DescriptionChanceToBlock =&gt; "Chances de blocage";</v>
      </c>
      <c r="I38" s="13" t="str">
        <f>Mistwall!J8</f>
        <v>ブロック率</v>
      </c>
      <c r="J38" s="11" t="str">
        <f>_xlfn.CONCAT("    public string DescriptionChanceToBlock =&gt; """, I38, """;")</f>
        <v xml:space="preserve">    public string DescriptionChanceToBlock =&gt; "ブロック率";</v>
      </c>
      <c r="K38" s="13" t="str">
        <f>Mistwall!L8</f>
        <v>막기 확률</v>
      </c>
      <c r="L38" s="11" t="str">
        <f>_xlfn.CONCAT("    public string DescriptionChanceToBlock =&gt; """, K38, """;")</f>
        <v xml:space="preserve">    public string DescriptionChanceToBlock =&gt; "막기 확률";</v>
      </c>
      <c r="M38" s="13" t="str">
        <f>Mistwall!N8</f>
        <v>Chance de Bloquear</v>
      </c>
      <c r="N38" s="11" t="str">
        <f>_xlfn.CONCAT("    public string DescriptionChanceToBlock =&gt; """, M38, """;")</f>
        <v xml:space="preserve">    public string DescriptionChanceToBlock =&gt; "Chance de Bloquear";</v>
      </c>
      <c r="O38" s="13" t="str">
        <f>Mistwall!P8</f>
        <v>Шанс заблокировать удар</v>
      </c>
      <c r="P38" s="11" t="str">
        <f>_xlfn.CONCAT("    public string DescriptionChanceToBlock =&gt; """, O38, """;")</f>
        <v xml:space="preserve">    public string DescriptionChanceToBlock =&gt; "Шанс заблокировать удар";</v>
      </c>
      <c r="Q38" s="13" t="str">
        <f>Mistwall!R8</f>
        <v>โอกาสบล็อค</v>
      </c>
      <c r="R38" s="11" t="str">
        <f>_xlfn.CONCAT("    public string DescriptionChanceToBlock =&gt; """, Q38, """;")</f>
        <v xml:space="preserve">    public string DescriptionChanceToBlock =&gt; "โอกาสบล็อค";</v>
      </c>
      <c r="S38" s="13" t="e">
        <f>Mistwall!T8</f>
        <v>#N/A</v>
      </c>
      <c r="T38" s="11" t="e">
        <f>_xlfn.CONCAT("    public string DescriptionChanceToBlock =&gt; """, S38, """;")</f>
        <v>#N/A</v>
      </c>
      <c r="V38" s="1" t="s">
        <v>66</v>
      </c>
    </row>
    <row r="39" spans="1:22" ht="15.95" customHeight="1" x14ac:dyDescent="0.25">
      <c r="A39" s="13" t="str">
        <f>'Block Chance'!B8</f>
        <v>Block chance</v>
      </c>
      <c r="B39" s="11" t="str">
        <f>_xlfn.CONCAT("    public string DescriptionBlockChance =&gt; """, A39, """;")</f>
        <v xml:space="preserve">    public string DescriptionBlockChance =&gt; "Block chance";</v>
      </c>
      <c r="C39" s="13" t="str">
        <f>'Block Chance'!D8</f>
        <v>Blockchance</v>
      </c>
      <c r="D39" s="11" t="str">
        <f>_xlfn.CONCAT("    public string DescriptionBlockChance =&gt; """, C39, """;")</f>
        <v xml:space="preserve">    public string DescriptionBlockChance =&gt; "Blockchance";</v>
      </c>
      <c r="E39" s="13" t="str">
        <f>'Block Chance'!F8</f>
        <v>Probabilidad de bloqueo</v>
      </c>
      <c r="F39" s="11" t="str">
        <f>_xlfn.CONCAT("    public string DescriptionBlockChance =&gt; """, E39, """;")</f>
        <v xml:space="preserve">    public string DescriptionBlockChance =&gt; "Probabilidad de bloqueo";</v>
      </c>
      <c r="G39" s="13" t="str">
        <f>'Block Chance'!H8</f>
        <v>Chances de Blocage</v>
      </c>
      <c r="H39" s="11" t="str">
        <f>_xlfn.CONCAT("    public string DescriptionBlockChance =&gt; """, G39, """;")</f>
        <v xml:space="preserve">    public string DescriptionBlockChance =&gt; "Chances de Blocage";</v>
      </c>
      <c r="I39" s="13" t="str">
        <f>'Block Chance'!J8</f>
        <v>ブロック率</v>
      </c>
      <c r="J39" s="11" t="str">
        <f>_xlfn.CONCAT("    public string DescriptionBlockChance =&gt; """, I39, """;")</f>
        <v xml:space="preserve">    public string DescriptionBlockChance =&gt; "ブロック率";</v>
      </c>
      <c r="K39" s="13" t="str">
        <f>'Block Chance'!L8</f>
        <v>막기 확률</v>
      </c>
      <c r="L39" s="11" t="str">
        <f>_xlfn.CONCAT("    public string DescriptionBlockChance =&gt; """, K39, """;")</f>
        <v xml:space="preserve">    public string DescriptionBlockChance =&gt; "막기 확률";</v>
      </c>
      <c r="M39" s="13" t="str">
        <f>'Block Chance'!N8</f>
        <v>Chance de Bloqueio</v>
      </c>
      <c r="N39" s="11" t="str">
        <f>_xlfn.CONCAT("    public string DescriptionBlockChance =&gt; """, M39, """;")</f>
        <v xml:space="preserve">    public string DescriptionBlockChance =&gt; "Chance de Bloqueio";</v>
      </c>
      <c r="O39" s="13" t="str">
        <f>'Block Chance'!P8</f>
        <v>Шанс блока</v>
      </c>
      <c r="P39" s="11" t="str">
        <f>_xlfn.CONCAT("    public string DescriptionBlockChance =&gt; """, O39, """;")</f>
        <v xml:space="preserve">    public string DescriptionBlockChance =&gt; "Шанс блока";</v>
      </c>
      <c r="Q39" s="13" t="str">
        <f>'Block Chance'!R8</f>
        <v>โอกาสบล็อค</v>
      </c>
      <c r="R39" s="11" t="str">
        <f>_xlfn.CONCAT("    public string DescriptionBlockChance =&gt; """, Q39, """;")</f>
        <v xml:space="preserve">    public string DescriptionBlockChance =&gt; "โอกาสบล็อค";</v>
      </c>
      <c r="S39" s="13" t="str">
        <f>'Block Chance'!T8</f>
        <v>格擋機率</v>
      </c>
      <c r="T39" s="11" t="str">
        <f>_xlfn.CONCAT("    public string DescriptionBlockChance =&gt; """, S39, """;")</f>
        <v xml:space="preserve">    public string DescriptionBlockChance =&gt; "格擋機率";</v>
      </c>
      <c r="V39" s="1" t="s">
        <v>7122</v>
      </c>
    </row>
    <row r="40" spans="1:22" ht="15.95" customHeight="1" x14ac:dyDescent="0.25">
      <c r="A40" s="13" t="str">
        <f>'White Wind'!B12</f>
        <v>Attacks per Second</v>
      </c>
      <c r="B40" s="11" t="str">
        <f>_xlfn.CONCAT("    public string DescriptionAttacksPerSecond =&gt; """, A40, """;")</f>
        <v xml:space="preserve">    public string DescriptionAttacksPerSecond =&gt; "Attacks per Second";</v>
      </c>
      <c r="C40" s="13" t="str">
        <f>'White Wind'!D12</f>
        <v>Angriffe pro Sekunde</v>
      </c>
      <c r="D40" s="11" t="str">
        <f>_xlfn.CONCAT("    public string DescriptionAttacksPerSecond =&gt; """, C40, """;")</f>
        <v xml:space="preserve">    public string DescriptionAttacksPerSecond =&gt; "Angriffe pro Sekunde";</v>
      </c>
      <c r="E40" s="13" t="str">
        <f>'White Wind'!F12</f>
        <v>Ataques por segundo</v>
      </c>
      <c r="F40" s="11" t="str">
        <f>_xlfn.CONCAT("    public string DescriptionAttacksPerSecond =&gt; """, E40, """;")</f>
        <v xml:space="preserve">    public string DescriptionAttacksPerSecond =&gt; "Ataques por segundo";</v>
      </c>
      <c r="G40" s="13" t="str">
        <f>'White Wind'!H12</f>
        <v>Attaques par seconde</v>
      </c>
      <c r="H40" s="11" t="str">
        <f>_xlfn.CONCAT("    public string DescriptionAttacksPerSecond =&gt; """, G40, """;")</f>
        <v xml:space="preserve">    public string DescriptionAttacksPerSecond =&gt; "Attaques par seconde";</v>
      </c>
      <c r="I40" s="13" t="str">
        <f>'White Wind'!J12</f>
        <v>秒間アタック回数</v>
      </c>
      <c r="J40" s="11" t="str">
        <f>_xlfn.CONCAT("    public string DescriptionAttacksPerSecond =&gt; """, I40, """;")</f>
        <v xml:space="preserve">    public string DescriptionAttacksPerSecond =&gt; "秒間アタック回数";</v>
      </c>
      <c r="K40" s="13" t="str">
        <f>'White Wind'!L12</f>
        <v>초당 공격 횟수</v>
      </c>
      <c r="L40" s="11" t="str">
        <f>_xlfn.CONCAT("    public string DescriptionAttacksPerSecond =&gt; """, K40, """;")</f>
        <v xml:space="preserve">    public string DescriptionAttacksPerSecond =&gt; "초당 공격 횟수";</v>
      </c>
      <c r="M40" s="13" t="str">
        <f>'White Wind'!N12</f>
        <v>Ataques por Segundo</v>
      </c>
      <c r="N40" s="11" t="str">
        <f>_xlfn.CONCAT("    public string DescriptionAttacksPerSecond =&gt; """, M40, """;")</f>
        <v xml:space="preserve">    public string DescriptionAttacksPerSecond =&gt; "Ataques por Segundo";</v>
      </c>
      <c r="O40" s="13" t="str">
        <f>'White Wind'!P12</f>
        <v>Атак в секунду</v>
      </c>
      <c r="P40" s="11" t="str">
        <f>_xlfn.CONCAT("    public string DescriptionAttacksPerSecond =&gt; """, O40, """;")</f>
        <v xml:space="preserve">    public string DescriptionAttacksPerSecond =&gt; "Атак в секунду";</v>
      </c>
      <c r="Q40" s="13" t="str">
        <f>'White Wind'!R12</f>
        <v>จำนวนครั้งการโจมตีต่อวินาที</v>
      </c>
      <c r="R40" s="11" t="str">
        <f>_xlfn.CONCAT("    public string DescriptionAttacksPerSecond =&gt; """, Q40, """;")</f>
        <v xml:space="preserve">    public string DescriptionAttacksPerSecond =&gt; "จำนวนครั้งการโจมตีต่อวินาที";</v>
      </c>
      <c r="S40" s="13" t="e">
        <f>'White Wind'!T12</f>
        <v>#N/A</v>
      </c>
      <c r="T40" s="11" t="e">
        <f>_xlfn.CONCAT("    public string DescriptionAttacksPerSecond =&gt; """, S40, """;")</f>
        <v>#N/A</v>
      </c>
      <c r="V40" s="1" t="s">
        <v>67</v>
      </c>
    </row>
    <row r="41" spans="1:22" ht="15.95" customHeight="1" x14ac:dyDescent="0.25">
      <c r="A41" s="13" t="str">
        <f>'White Wind'!B11</f>
        <v>Critical Strike Chance</v>
      </c>
      <c r="B41" s="11" t="str">
        <f>_xlfn.CONCAT("    public string DescriptionCriticalStrikeChance =&gt; """, A41, """;")</f>
        <v xml:space="preserve">    public string DescriptionCriticalStrikeChance =&gt; "Critical Strike Chance";</v>
      </c>
      <c r="C41" s="13" t="str">
        <f>'White Wind'!D11</f>
        <v>Kritische Trefferchance</v>
      </c>
      <c r="D41" s="11" t="str">
        <f>_xlfn.CONCAT("    public string DescriptionCriticalStrikeChance =&gt; """, C41, """;")</f>
        <v xml:space="preserve">    public string DescriptionCriticalStrikeChance =&gt; "Kritische Trefferchance";</v>
      </c>
      <c r="E41" s="13" t="str">
        <f>'White Wind'!F11</f>
        <v>Daño de golpe crítico</v>
      </c>
      <c r="F41" s="11" t="str">
        <f>_xlfn.CONCAT("    public string DescriptionCriticalStrikeChance =&gt; """, E41, """;")</f>
        <v xml:space="preserve">    public string DescriptionCriticalStrikeChance =&gt; "Daño de golpe crítico";</v>
      </c>
      <c r="G41" s="13" t="str">
        <f>'White Wind'!H11</f>
        <v>Chances de coup critique</v>
      </c>
      <c r="H41" s="11" t="str">
        <f>_xlfn.CONCAT("    public string DescriptionCriticalStrikeChance =&gt; """, G41, """;")</f>
        <v xml:space="preserve">    public string DescriptionCriticalStrikeChance =&gt; "Chances de coup critique";</v>
      </c>
      <c r="I41" s="13" t="str">
        <f>'White Wind'!J11</f>
        <v>クリティカル率</v>
      </c>
      <c r="J41" s="11" t="str">
        <f>_xlfn.CONCAT("    public string DescriptionCriticalStrikeChance =&gt; """, I41, """;")</f>
        <v xml:space="preserve">    public string DescriptionCriticalStrikeChance =&gt; "クリティカル率";</v>
      </c>
      <c r="K41" s="13" t="str">
        <f>'White Wind'!L11</f>
        <v>치명타 확률</v>
      </c>
      <c r="L41" s="11" t="str">
        <f>_xlfn.CONCAT("    public string DescriptionCriticalStrikeChance =&gt; """, K41, """;")</f>
        <v xml:space="preserve">    public string DescriptionCriticalStrikeChance =&gt; "치명타 확률";</v>
      </c>
      <c r="M41" s="13" t="str">
        <f>'White Wind'!N11</f>
        <v>Chance de Crítico</v>
      </c>
      <c r="N41" s="11" t="str">
        <f>_xlfn.CONCAT("    public string DescriptionCriticalStrikeChance =&gt; """, M41, """;")</f>
        <v xml:space="preserve">    public string DescriptionCriticalStrikeChance =&gt; "Chance de Crítico";</v>
      </c>
      <c r="O41" s="13" t="str">
        <f>'White Wind'!P11</f>
        <v>Шанс критического удара</v>
      </c>
      <c r="P41" s="11" t="str">
        <f>_xlfn.CONCAT("    public string DescriptionCriticalStrikeChance =&gt; """, O41, """;")</f>
        <v xml:space="preserve">    public string DescriptionCriticalStrikeChance =&gt; "Шанс критического удара";</v>
      </c>
      <c r="Q41" s="13" t="str">
        <f>'White Wind'!R11</f>
        <v>โอกาสคริติคอล</v>
      </c>
      <c r="R41" s="11" t="str">
        <f>_xlfn.CONCAT("    public string DescriptionCriticalStrikeChance =&gt; """, Q41, """;")</f>
        <v xml:space="preserve">    public string DescriptionCriticalStrikeChance =&gt; "โอกาสคริติคอล";</v>
      </c>
      <c r="S41" s="13" t="e">
        <f>'White Wind'!T11</f>
        <v>#N/A</v>
      </c>
      <c r="T41" s="11" t="e">
        <f>_xlfn.CONCAT("    public string DescriptionCriticalStrikeChance =&gt; """, S41, """;")</f>
        <v>#N/A</v>
      </c>
      <c r="V41" s="1" t="s">
        <v>68</v>
      </c>
    </row>
    <row r="42" spans="1:22" ht="15.95" customHeight="1" x14ac:dyDescent="0.25">
      <c r="A42" s="13" t="str">
        <f>'Fire Damage Property'!B9</f>
        <v>Critical Hit Chance</v>
      </c>
      <c r="B42" s="11" t="str">
        <f>_xlfn.CONCAT("    public string DescriptionCriticalHitChance =&gt; """, A42, """;")</f>
        <v xml:space="preserve">    public string DescriptionCriticalHitChance =&gt; "Critical Hit Chance";</v>
      </c>
      <c r="C42" s="13" t="str">
        <f>'Fire Damage Property'!D9</f>
        <v>Kritische Trefferchance</v>
      </c>
      <c r="D42" s="11" t="str">
        <f>_xlfn.CONCAT("    public string DescriptionCriticalHitChance =&gt; """, C42, """;")</f>
        <v xml:space="preserve">    public string DescriptionCriticalHitChance =&gt; "Kritische Trefferchance";</v>
      </c>
      <c r="E42" s="13" t="str">
        <f>'Fire Damage Property'!F9</f>
        <v>Probabilidad de impacto crítico</v>
      </c>
      <c r="F42" s="11" t="str">
        <f>_xlfn.CONCAT("    public string DescriptionCriticalHitChance =&gt; """, E42, """;")</f>
        <v xml:space="preserve">    public string DescriptionCriticalHitChance =&gt; "Probabilidad de impacto crítico";</v>
      </c>
      <c r="G42" s="13" t="str">
        <f>'Fire Damage Property'!H9</f>
        <v>Chances de Touche critique</v>
      </c>
      <c r="H42" s="11" t="str">
        <f>_xlfn.CONCAT("    public string DescriptionCriticalHitChance =&gt; """, G42, """;")</f>
        <v xml:space="preserve">    public string DescriptionCriticalHitChance =&gt; "Chances de Touche critique";</v>
      </c>
      <c r="I42" s="13" t="str">
        <f>'Fire Damage Property'!J9</f>
        <v>クリティカルヒット率</v>
      </c>
      <c r="J42" s="11" t="str">
        <f>_xlfn.CONCAT("    public string DescriptionCriticalHitChance =&gt; """, I42, """;")</f>
        <v xml:space="preserve">    public string DescriptionCriticalHitChance =&gt; "クリティカルヒット率";</v>
      </c>
      <c r="K42" s="13" t="str">
        <f>'Fire Damage Property'!L9</f>
        <v>치명타 명중 확률</v>
      </c>
      <c r="L42" s="11" t="str">
        <f>_xlfn.CONCAT("    public string DescriptionCriticalHitChance =&gt; """, K42, """;")</f>
        <v xml:space="preserve">    public string DescriptionCriticalHitChance =&gt; "치명타 명중 확률";</v>
      </c>
      <c r="M42" s="13" t="str">
        <f>'Fire Damage Property'!N9</f>
        <v>Chance de Acerto Crítico</v>
      </c>
      <c r="N42" s="11" t="str">
        <f>_xlfn.CONCAT("    public string DescriptionCriticalHitChance =&gt; """, M42, """;")</f>
        <v xml:space="preserve">    public string DescriptionCriticalHitChance =&gt; "Chance de Acerto Crítico";</v>
      </c>
      <c r="O42" s="13" t="str">
        <f>'Fire Damage Property'!P9</f>
        <v>Шанс крит. попадания</v>
      </c>
      <c r="P42" s="11" t="str">
        <f>_xlfn.CONCAT("    public string DescriptionCriticalHitChance =&gt; """, O42, """;")</f>
        <v xml:space="preserve">    public string DescriptionCriticalHitChance =&gt; "Шанс крит. попадания";</v>
      </c>
      <c r="Q42" s="13" t="str">
        <f>'Fire Damage Property'!R9</f>
        <v>โอกาสปะทะคริติคอล</v>
      </c>
      <c r="R42" s="11" t="str">
        <f>_xlfn.CONCAT("    public string DescriptionCriticalHitChance =&gt; """, Q42, """;")</f>
        <v xml:space="preserve">    public string DescriptionCriticalHitChance =&gt; "โอกาสปะทะคริติคอล";</v>
      </c>
      <c r="S42" s="13" t="str">
        <f>'Fire Damage Property'!T9</f>
        <v>暴擊率</v>
      </c>
      <c r="T42" s="11" t="str">
        <f>_xlfn.CONCAT("    public string DescriptionCriticalHitChance =&gt; """, S42, """;")</f>
        <v xml:space="preserve">    public string DescriptionCriticalHitChance =&gt; "暴擊率";</v>
      </c>
      <c r="V42" s="1" t="s">
        <v>7049</v>
      </c>
    </row>
    <row r="43" spans="1:22" ht="15.95" customHeight="1" x14ac:dyDescent="0.25">
      <c r="A43" s="13" t="str">
        <f>'Blighted Map'!B7</f>
        <v>Map Tier</v>
      </c>
      <c r="B43" s="11" t="str">
        <f>_xlfn.CONCAT("    public string DescriptionMapTier =&gt; """, A43, """;")</f>
        <v xml:space="preserve">    public string DescriptionMapTier =&gt; "Map Tier";</v>
      </c>
      <c r="C43" s="13" t="str">
        <f>'Blighted Map'!D7</f>
        <v>Kartenlevel</v>
      </c>
      <c r="D43" s="11" t="str">
        <f>_xlfn.CONCAT("    public string DescriptionMapTier =&gt; """, C43, """;")</f>
        <v xml:space="preserve">    public string DescriptionMapTier =&gt; "Kartenlevel";</v>
      </c>
      <c r="E43" s="13" t="str">
        <f>'Blighted Map'!F7</f>
        <v>Grado del mapa</v>
      </c>
      <c r="F43" s="11" t="str">
        <f>_xlfn.CONCAT("    public string DescriptionMapTier =&gt; """, E43, """;")</f>
        <v xml:space="preserve">    public string DescriptionMapTier =&gt; "Grado del mapa";</v>
      </c>
      <c r="G43" s="13" t="str">
        <f>'Blighted Map'!H7</f>
        <v>Palier de Carte</v>
      </c>
      <c r="H43" s="11" t="str">
        <f>_xlfn.CONCAT("    public string DescriptionMapTier =&gt; """, G43, """;")</f>
        <v xml:space="preserve">    public string DescriptionMapTier =&gt; "Palier de Carte";</v>
      </c>
      <c r="I43" s="13" t="str">
        <f>'Blighted Map'!J7</f>
        <v>マップティア</v>
      </c>
      <c r="J43" s="11" t="str">
        <f>_xlfn.CONCAT("    public string DescriptionMapTier =&gt; """, I43, """;")</f>
        <v xml:space="preserve">    public string DescriptionMapTier =&gt; "マップティア";</v>
      </c>
      <c r="K43" s="13" t="str">
        <f>'Blighted Map'!L7</f>
        <v>지도 등급</v>
      </c>
      <c r="L43" s="11" t="str">
        <f>_xlfn.CONCAT("    public string DescriptionMapTier =&gt; """, K43, """;")</f>
        <v xml:space="preserve">    public string DescriptionMapTier =&gt; "지도 등급";</v>
      </c>
      <c r="M43" s="13" t="str">
        <f>'Blighted Map'!N7</f>
        <v>Tier do Mapa</v>
      </c>
      <c r="N43" s="11" t="str">
        <f>_xlfn.CONCAT("    public string DescriptionMapTier =&gt; """, M43, """;")</f>
        <v xml:space="preserve">    public string DescriptionMapTier =&gt; "Tier do Mapa";</v>
      </c>
      <c r="O43" s="13" t="str">
        <f>'Blighted Map'!P7</f>
        <v>Уровень карты</v>
      </c>
      <c r="P43" s="11" t="str">
        <f>_xlfn.CONCAT("    public string DescriptionMapTier =&gt; """, O43, """;")</f>
        <v xml:space="preserve">    public string DescriptionMapTier =&gt; "Уровень карты";</v>
      </c>
      <c r="Q43" s="13" t="str">
        <f>'Blighted Map'!R7</f>
        <v>ระดับแผนที่</v>
      </c>
      <c r="R43" s="11" t="str">
        <f>_xlfn.CONCAT("    public string DescriptionMapTier =&gt; """, Q43, """;")</f>
        <v xml:space="preserve">    public string DescriptionMapTier =&gt; "ระดับแผนที่";</v>
      </c>
      <c r="S43" s="13" t="e">
        <f>'Blighted Map'!T7</f>
        <v>#N/A</v>
      </c>
      <c r="T43" s="11" t="e">
        <f>_xlfn.CONCAT("    public string DescriptionMapTier =&gt; """, S43, """;")</f>
        <v>#N/A</v>
      </c>
      <c r="V43" s="1" t="s">
        <v>69</v>
      </c>
    </row>
    <row r="44" spans="1:22" ht="15.95" customHeight="1" x14ac:dyDescent="0.25">
      <c r="A44" s="13" t="str">
        <f>Map!B8</f>
        <v>Item Quantity</v>
      </c>
      <c r="B44" s="11" t="str">
        <f>_xlfn.CONCAT("    public string DescriptionItemQuantity =&gt; """, A44, """;")</f>
        <v xml:space="preserve">    public string DescriptionItemQuantity =&gt; "Item Quantity";</v>
      </c>
      <c r="C44" s="13" t="str">
        <f>Map!D8</f>
        <v>Gegenstandsmenge</v>
      </c>
      <c r="D44" s="11" t="str">
        <f>_xlfn.CONCAT("    public string DescriptionItemQuantity =&gt; """, C44, """;")</f>
        <v xml:space="preserve">    public string DescriptionItemQuantity =&gt; "Gegenstandsmenge";</v>
      </c>
      <c r="E44" s="13" t="str">
        <f>Map!F8</f>
        <v>Cantidad de objetos</v>
      </c>
      <c r="F44" s="11" t="str">
        <f>_xlfn.CONCAT("    public string DescriptionItemQuantity =&gt; """, E44, """;")</f>
        <v xml:space="preserve">    public string DescriptionItemQuantity =&gt; "Cantidad de objetos";</v>
      </c>
      <c r="G44" s="13" t="str">
        <f>Map!H8</f>
        <v>Quantité d'objets</v>
      </c>
      <c r="H44" s="11" t="str">
        <f>_xlfn.CONCAT("    public string DescriptionItemQuantity =&gt; """, G44, """;")</f>
        <v xml:space="preserve">    public string DescriptionItemQuantity =&gt; "Quantité d'objets";</v>
      </c>
      <c r="I44" s="13" t="str">
        <f>Map!J8</f>
        <v>アイテム数量</v>
      </c>
      <c r="J44" s="11" t="str">
        <f>_xlfn.CONCAT("    public string DescriptionItemQuantity =&gt; """, I44, """;")</f>
        <v xml:space="preserve">    public string DescriptionItemQuantity =&gt; "アイテム数量";</v>
      </c>
      <c r="K44" s="13" t="str">
        <f>Map!L8</f>
        <v>아이템 수량</v>
      </c>
      <c r="L44" s="11" t="str">
        <f>_xlfn.CONCAT("    public string DescriptionItemQuantity =&gt; """, K44, """;")</f>
        <v xml:space="preserve">    public string DescriptionItemQuantity =&gt; "아이템 수량";</v>
      </c>
      <c r="M44" s="13" t="str">
        <f>Map!N8</f>
        <v>Quantidade de Itens</v>
      </c>
      <c r="N44" s="11" t="str">
        <f>_xlfn.CONCAT("    public string DescriptionItemQuantity =&gt; """, M44, """;")</f>
        <v xml:space="preserve">    public string DescriptionItemQuantity =&gt; "Quantidade de Itens";</v>
      </c>
      <c r="O44" s="13" t="str">
        <f>Map!P8</f>
        <v>Количество предметов</v>
      </c>
      <c r="P44" s="11" t="str">
        <f>_xlfn.CONCAT("    public string DescriptionItemQuantity =&gt; """, O44, """;")</f>
        <v xml:space="preserve">    public string DescriptionItemQuantity =&gt; "Количество предметов";</v>
      </c>
      <c r="Q44" s="13" t="str">
        <f>Map!R8</f>
        <v>จำนวนของไอเทม</v>
      </c>
      <c r="R44" s="11" t="str">
        <f>_xlfn.CONCAT("    public string DescriptionItemQuantity =&gt; """, Q44, """;")</f>
        <v xml:space="preserve">    public string DescriptionItemQuantity =&gt; "จำนวนของไอเทม";</v>
      </c>
      <c r="S44" s="13" t="e">
        <f>Map!T8</f>
        <v>#N/A</v>
      </c>
      <c r="T44" s="11" t="e">
        <f>_xlfn.CONCAT("    public string DescriptionItemQuantity =&gt; """, S44, """;")</f>
        <v>#N/A</v>
      </c>
      <c r="V44" s="1" t="s">
        <v>70</v>
      </c>
    </row>
    <row r="45" spans="1:22" ht="15.95" customHeight="1" x14ac:dyDescent="0.25">
      <c r="A45" s="13" t="str">
        <f>Map!B9</f>
        <v>Item Rarity</v>
      </c>
      <c r="B45" s="11" t="str">
        <f>_xlfn.CONCAT("    public string DescriptionItemRarity =&gt; """, A45, """;")</f>
        <v xml:space="preserve">    public string DescriptionItemRarity =&gt; "Item Rarity";</v>
      </c>
      <c r="C45" s="13" t="str">
        <f>Map!D9</f>
        <v>Gegenstandsseltenheit</v>
      </c>
      <c r="D45" s="11" t="str">
        <f>_xlfn.CONCAT("    public string DescriptionItemRarity =&gt; """, C45, """;")</f>
        <v xml:space="preserve">    public string DescriptionItemRarity =&gt; "Gegenstandsseltenheit";</v>
      </c>
      <c r="E45" s="13" t="str">
        <f>Map!F9</f>
        <v>Rareza de objetos</v>
      </c>
      <c r="F45" s="11" t="str">
        <f>_xlfn.CONCAT("    public string DescriptionItemRarity =&gt; """, E45, """;")</f>
        <v xml:space="preserve">    public string DescriptionItemRarity =&gt; "Rareza de objetos";</v>
      </c>
      <c r="G45" s="13" t="str">
        <f>Map!H9</f>
        <v>Rareté des objets</v>
      </c>
      <c r="H45" s="11" t="str">
        <f>_xlfn.CONCAT("    public string DescriptionItemRarity =&gt; """, G45, """;")</f>
        <v xml:space="preserve">    public string DescriptionItemRarity =&gt; "Rareté des objets";</v>
      </c>
      <c r="I45" s="13" t="str">
        <f>Map!J9</f>
        <v>アイテムレアリティ</v>
      </c>
      <c r="J45" s="11" t="str">
        <f>_xlfn.CONCAT("    public string DescriptionItemRarity =&gt; """, I45, """;")</f>
        <v xml:space="preserve">    public string DescriptionItemRarity =&gt; "アイテムレアリティ";</v>
      </c>
      <c r="K45" s="13" t="str">
        <f>Map!L9</f>
        <v>아이템 희귀도</v>
      </c>
      <c r="L45" s="11" t="str">
        <f>_xlfn.CONCAT("    public string DescriptionItemRarity =&gt; """, K45, """;")</f>
        <v xml:space="preserve">    public string DescriptionItemRarity =&gt; "아이템 희귀도";</v>
      </c>
      <c r="M45" s="13" t="str">
        <f>Map!N9</f>
        <v>Raridade de Itens</v>
      </c>
      <c r="N45" s="11" t="str">
        <f>_xlfn.CONCAT("    public string DescriptionItemRarity =&gt; """, M45, """;")</f>
        <v xml:space="preserve">    public string DescriptionItemRarity =&gt; "Raridade de Itens";</v>
      </c>
      <c r="O45" s="13" t="str">
        <f>Map!P9</f>
        <v>Редкость предметов</v>
      </c>
      <c r="P45" s="11" t="str">
        <f>_xlfn.CONCAT("    public string DescriptionItemRarity =&gt; """, O45, """;")</f>
        <v xml:space="preserve">    public string DescriptionItemRarity =&gt; "Редкость предметов";</v>
      </c>
      <c r="Q45" s="13" t="str">
        <f>Map!R9</f>
        <v>ระดับความหายากของไอเทม</v>
      </c>
      <c r="R45" s="11" t="str">
        <f>_xlfn.CONCAT("    public string DescriptionItemRarity =&gt; """, Q45, """;")</f>
        <v xml:space="preserve">    public string DescriptionItemRarity =&gt; "ระดับความหายากของไอเทม";</v>
      </c>
      <c r="S45" s="13" t="e">
        <f>Map!T9</f>
        <v>#N/A</v>
      </c>
      <c r="T45" s="11" t="e">
        <f>_xlfn.CONCAT("    public string DescriptionItemRarity =&gt; """, S45, """;")</f>
        <v>#N/A</v>
      </c>
      <c r="V45" s="1" t="s">
        <v>71</v>
      </c>
    </row>
    <row r="46" spans="1:22" ht="15.95" customHeight="1" x14ac:dyDescent="0.25">
      <c r="A46" s="13" t="str">
        <f>Map!B10</f>
        <v>Monster Pack Size</v>
      </c>
      <c r="B46" s="11" t="str">
        <f>_xlfn.CONCAT("    public string DescriptionMonsterPackSize =&gt; """, A46, """;")</f>
        <v xml:space="preserve">    public string DescriptionMonsterPackSize =&gt; "Monster Pack Size";</v>
      </c>
      <c r="C46" s="13" t="str">
        <f>Map!D10</f>
        <v>Monstergruppengröße</v>
      </c>
      <c r="D46" s="11" t="str">
        <f>_xlfn.CONCAT("    public string DescriptionMonsterPackSize =&gt; """, C46, """;")</f>
        <v xml:space="preserve">    public string DescriptionMonsterPackSize =&gt; "Monstergruppengröße";</v>
      </c>
      <c r="E46" s="13" t="str">
        <f>Map!F10</f>
        <v>Tamaño de los grupos de monstruos</v>
      </c>
      <c r="F46" s="11" t="str">
        <f>_xlfn.CONCAT("    public string DescriptionMonsterPackSize =&gt; """, E46, """;")</f>
        <v xml:space="preserve">    public string DescriptionMonsterPackSize =&gt; "Tamaño de los grupos de monstruos";</v>
      </c>
      <c r="G46" s="13" t="str">
        <f>Map!H10</f>
        <v>Taille des groupes de monstres</v>
      </c>
      <c r="H46" s="11" t="str">
        <f>_xlfn.CONCAT("    public string DescriptionMonsterPackSize =&gt; """, G46, """;")</f>
        <v xml:space="preserve">    public string DescriptionMonsterPackSize =&gt; "Taille des groupes de monstres";</v>
      </c>
      <c r="I46" s="13" t="str">
        <f>Map!J10</f>
        <v>モンスターパックサイズ</v>
      </c>
      <c r="J46" s="11" t="str">
        <f>_xlfn.CONCAT("    public string DescriptionMonsterPackSize =&gt; """, I46, """;")</f>
        <v xml:space="preserve">    public string DescriptionMonsterPackSize =&gt; "モンスターパックサイズ";</v>
      </c>
      <c r="K46" s="13" t="str">
        <f>Map!L10</f>
        <v>몬스터 무리 규모</v>
      </c>
      <c r="L46" s="11" t="str">
        <f>_xlfn.CONCAT("    public string DescriptionMonsterPackSize =&gt; """, K46, """;")</f>
        <v xml:space="preserve">    public string DescriptionMonsterPackSize =&gt; "몬스터 무리 규모";</v>
      </c>
      <c r="M46" s="13" t="str">
        <f>Map!N10</f>
        <v>Tamanho do Grupo de Monstros</v>
      </c>
      <c r="N46" s="11" t="str">
        <f>_xlfn.CONCAT("    public string DescriptionMonsterPackSize =&gt; """, M46, """;")</f>
        <v xml:space="preserve">    public string DescriptionMonsterPackSize =&gt; "Tamanho do Grupo de Monstros";</v>
      </c>
      <c r="O46" s="13" t="str">
        <f>Map!P10</f>
        <v>Размер групп монстров</v>
      </c>
      <c r="P46" s="11" t="str">
        <f>_xlfn.CONCAT("    public string DescriptionMonsterPackSize =&gt; """, O46, """;")</f>
        <v xml:space="preserve">    public string DescriptionMonsterPackSize =&gt; "Размер групп монстров";</v>
      </c>
      <c r="Q46" s="13" t="str">
        <f>Map!R10</f>
        <v>ขนาดกองมอนสเตอร์</v>
      </c>
      <c r="R46" s="11" t="str">
        <f>_xlfn.CONCAT("    public string DescriptionMonsterPackSize =&gt; """, Q46, """;")</f>
        <v xml:space="preserve">    public string DescriptionMonsterPackSize =&gt; "ขนาดกองมอนสเตอร์";</v>
      </c>
      <c r="S46" s="13" t="e">
        <f>Map!T10</f>
        <v>#N/A</v>
      </c>
      <c r="T46" s="11" t="e">
        <f>_xlfn.CONCAT("    public string DescriptionMonsterPackSize =&gt; """, S46, """;")</f>
        <v>#N/A</v>
      </c>
      <c r="V46" s="1" t="s">
        <v>72</v>
      </c>
    </row>
    <row r="47" spans="1:22" ht="15.95" customHeight="1" x14ac:dyDescent="0.25">
      <c r="A47" s="13" t="str">
        <f>'White Wind'!B15</f>
        <v>Requirements</v>
      </c>
      <c r="B47" s="11" t="str">
        <f>_xlfn.CONCAT("    public string DescriptionRequirements =&gt; """, A47, """;")</f>
        <v xml:space="preserve">    public string DescriptionRequirements =&gt; "Requirements";</v>
      </c>
      <c r="C47" s="13" t="str">
        <f>'White Wind'!D15</f>
        <v>Anforderungen</v>
      </c>
      <c r="D47" s="11" t="str">
        <f>_xlfn.CONCAT("    public string DescriptionRequirements =&gt; """, C47, """;")</f>
        <v xml:space="preserve">    public string DescriptionRequirements =&gt; "Anforderungen";</v>
      </c>
      <c r="E47" s="13" t="str">
        <f>'White Wind'!F15</f>
        <v>Requisitos</v>
      </c>
      <c r="F47" s="11" t="str">
        <f>_xlfn.CONCAT("    public string DescriptionRequirements =&gt; """, E47, """;")</f>
        <v xml:space="preserve">    public string DescriptionRequirements =&gt; "Requisitos";</v>
      </c>
      <c r="G47" s="13" t="str">
        <f>'White Wind'!H15</f>
        <v>Prérequis</v>
      </c>
      <c r="H47" s="11" t="str">
        <f>_xlfn.CONCAT("    public string DescriptionRequirements =&gt; """, G47, """;")</f>
        <v xml:space="preserve">    public string DescriptionRequirements =&gt; "Prérequis";</v>
      </c>
      <c r="I47" s="13" t="str">
        <f>'White Wind'!J15</f>
        <v>装備要求</v>
      </c>
      <c r="J47" s="11" t="str">
        <f>_xlfn.CONCAT("    public string DescriptionRequirements =&gt; """, I47, """;")</f>
        <v xml:space="preserve">    public string DescriptionRequirements =&gt; "装備要求";</v>
      </c>
      <c r="K47" s="13" t="str">
        <f>'White Wind'!L15</f>
        <v>요구사항</v>
      </c>
      <c r="L47" s="11" t="str">
        <f>_xlfn.CONCAT("    public string DescriptionRequirements =&gt; """, K47, """;")</f>
        <v xml:space="preserve">    public string DescriptionRequirements =&gt; "요구사항";</v>
      </c>
      <c r="M47" s="13" t="str">
        <f>'White Wind'!N15</f>
        <v>Requisitos</v>
      </c>
      <c r="N47" s="11" t="str">
        <f>_xlfn.CONCAT("    public string DescriptionRequirements =&gt; """, M47, """;")</f>
        <v xml:space="preserve">    public string DescriptionRequirements =&gt; "Requisitos";</v>
      </c>
      <c r="O47" s="13" t="str">
        <f>'White Wind'!P15</f>
        <v>Требования</v>
      </c>
      <c r="P47" s="11" t="str">
        <f>_xlfn.CONCAT("    public string DescriptionRequirements =&gt; """, O47, """;")</f>
        <v xml:space="preserve">    public string DescriptionRequirements =&gt; "Требования";</v>
      </c>
      <c r="Q47" s="13" t="str">
        <f>'White Wind'!R15</f>
        <v>เงื่อนไข</v>
      </c>
      <c r="R47" s="11" t="str">
        <f>_xlfn.CONCAT("    public string DescriptionRequirements =&gt; """, Q47, """;")</f>
        <v xml:space="preserve">    public string DescriptionRequirements =&gt; "เงื่อนไข";</v>
      </c>
      <c r="S47" s="13" t="e">
        <f>'White Wind'!T15</f>
        <v>#N/A</v>
      </c>
      <c r="T47" s="11" t="e">
        <f>_xlfn.CONCAT("    public string DescriptionRequirements =&gt; """, S47, """;")</f>
        <v>#N/A</v>
      </c>
      <c r="V47" s="1" t="s">
        <v>58</v>
      </c>
    </row>
    <row r="48" spans="1:22" ht="15.95" customHeight="1" x14ac:dyDescent="0.25">
      <c r="A48" s="13" t="str">
        <f>Logbook!B7</f>
        <v>Area Level</v>
      </c>
      <c r="B48" s="11" t="str">
        <f>_xlfn.CONCAT("    public string DescriptionAreaLevel =&gt; """, A48, """;")</f>
        <v xml:space="preserve">    public string DescriptionAreaLevel =&gt; "Area Level";</v>
      </c>
      <c r="C48" s="13" t="str">
        <f>Logbook!D7</f>
        <v>Gebietsstufe</v>
      </c>
      <c r="D48" s="11" t="str">
        <f>_xlfn.CONCAT("    public string DescriptionAreaLevel =&gt; """, C48, """;")</f>
        <v xml:space="preserve">    public string DescriptionAreaLevel =&gt; "Gebietsstufe";</v>
      </c>
      <c r="E48" s="13" t="str">
        <f>Logbook!F7</f>
        <v>Nivel del área</v>
      </c>
      <c r="F48" s="11" t="str">
        <f>_xlfn.CONCAT("    public string DescriptionAreaLevel =&gt; """, E48, """;")</f>
        <v xml:space="preserve">    public string DescriptionAreaLevel =&gt; "Nivel del área";</v>
      </c>
      <c r="G48" s="13" t="str">
        <f>Logbook!H7</f>
        <v>Niveau de la zone</v>
      </c>
      <c r="H48" s="11" t="str">
        <f>_xlfn.CONCAT("    public string DescriptionAreaLevel =&gt; """, G48, """;")</f>
        <v xml:space="preserve">    public string DescriptionAreaLevel =&gt; "Niveau de la zone";</v>
      </c>
      <c r="I48" s="13" t="str">
        <f>Logbook!J7</f>
        <v>エリアレベル</v>
      </c>
      <c r="J48" s="11" t="str">
        <f>_xlfn.CONCAT("    public string DescriptionAreaLevel =&gt; """, I48, """;")</f>
        <v xml:space="preserve">    public string DescriptionAreaLevel =&gt; "エリアレベル";</v>
      </c>
      <c r="K48" s="13" t="str">
        <f>Logbook!L7</f>
        <v>지역 레벨</v>
      </c>
      <c r="L48" s="11" t="str">
        <f>_xlfn.CONCAT("    public string DescriptionAreaLevel =&gt; """, K48, """;")</f>
        <v xml:space="preserve">    public string DescriptionAreaLevel =&gt; "지역 레벨";</v>
      </c>
      <c r="M48" s="13" t="str">
        <f>Logbook!N7</f>
        <v>Nível da Área</v>
      </c>
      <c r="N48" s="11" t="str">
        <f>_xlfn.CONCAT("    public string DescriptionAreaLevel =&gt; """, M48, """;")</f>
        <v xml:space="preserve">    public string DescriptionAreaLevel =&gt; "Nível da Área";</v>
      </c>
      <c r="O48" s="13" t="str">
        <f>Logbook!P7</f>
        <v>Уровень области</v>
      </c>
      <c r="P48" s="11" t="str">
        <f>_xlfn.CONCAT("    public string DescriptionAreaLevel =&gt; """, O48, """;")</f>
        <v xml:space="preserve">    public string DescriptionAreaLevel =&gt; "Уровень области";</v>
      </c>
      <c r="Q48" s="13" t="str">
        <f>Logbook!R7</f>
        <v>ด่านเลเวล</v>
      </c>
      <c r="R48" s="11" t="str">
        <f>_xlfn.CONCAT("    public string DescriptionAreaLevel =&gt; """, Q48, """;")</f>
        <v xml:space="preserve">    public string DescriptionAreaLevel =&gt; "ด่านเลเวล";</v>
      </c>
      <c r="S48" s="13" t="e">
        <f>Logbook!T7</f>
        <v>#N/A</v>
      </c>
      <c r="T48" s="11" t="e">
        <f>_xlfn.CONCAT("    public string DescriptionAreaLevel =&gt; """, S48, """;")</f>
        <v>#N/A</v>
      </c>
      <c r="V48" s="1" t="s">
        <v>73</v>
      </c>
    </row>
    <row r="49" spans="1:22" ht="15.95" customHeight="1" x14ac:dyDescent="0.25">
      <c r="A49" s="12" t="s">
        <v>22</v>
      </c>
      <c r="B49" s="11"/>
      <c r="C49" s="12" t="s">
        <v>22</v>
      </c>
      <c r="D49" s="11"/>
      <c r="E49" s="12" t="s">
        <v>22</v>
      </c>
      <c r="F49" s="11"/>
      <c r="G49" s="12" t="s">
        <v>22</v>
      </c>
      <c r="H49" s="11"/>
      <c r="I49" s="12" t="s">
        <v>22</v>
      </c>
      <c r="J49" s="11"/>
      <c r="K49" s="12" t="s">
        <v>22</v>
      </c>
      <c r="L49" s="11"/>
      <c r="M49" s="12" t="s">
        <v>22</v>
      </c>
      <c r="N49" s="11"/>
      <c r="O49" s="12" t="s">
        <v>22</v>
      </c>
      <c r="P49" s="11"/>
      <c r="Q49" s="12" t="s">
        <v>22</v>
      </c>
      <c r="R49" s="11"/>
      <c r="S49" s="12" t="s">
        <v>22</v>
      </c>
      <c r="T49" s="11"/>
      <c r="V49" s="1" t="s">
        <v>22</v>
      </c>
    </row>
    <row r="50" spans="1:22" ht="15.95" customHeight="1" x14ac:dyDescent="0.25">
      <c r="A50" s="13" t="str">
        <f>'Life Flask'!B7</f>
        <v>Superior</v>
      </c>
      <c r="B50" s="11" t="str">
        <f>_xlfn.CONCAT("    public string AffixSuperior =&gt; """, A50, """;")</f>
        <v xml:space="preserve">    public string AffixSuperior =&gt; "Superior";</v>
      </c>
      <c r="C50" s="13" t="str">
        <f>'Life Flask'!D7</f>
        <v>(hochwertig)</v>
      </c>
      <c r="D50" s="11" t="str">
        <f>_xlfn.CONCAT("    public string AffixSuperior =&gt; """, C50, """;")</f>
        <v xml:space="preserve">    public string AffixSuperior =&gt; "(hochwertig)";</v>
      </c>
      <c r="E50" s="13" t="str">
        <f>'Life Flask'!F7</f>
        <v>Superior</v>
      </c>
      <c r="F50" s="11" t="str">
        <f>_xlfn.CONCAT("    public string AffixSuperior =&gt; """, E50, """;")</f>
        <v xml:space="preserve">    public string AffixSuperior =&gt; "Superior";</v>
      </c>
      <c r="G50" s="13" t="str">
        <f>'Life Flask'!H7</f>
        <v>supérieur</v>
      </c>
      <c r="H50" s="11" t="str">
        <f>_xlfn.CONCAT("    public string AffixSuperior =&gt; """, G50, """;")</f>
        <v xml:space="preserve">    public string AffixSuperior =&gt; "supérieur";</v>
      </c>
      <c r="I50" s="13" t="str">
        <f>'Life Flask'!J7</f>
        <v>上質な</v>
      </c>
      <c r="J50" s="11" t="str">
        <f>_xlfn.CONCAT("    public string AffixSuperior =&gt; """, I50, """;")</f>
        <v xml:space="preserve">    public string AffixSuperior =&gt; "上質な";</v>
      </c>
      <c r="K50" s="13" t="str">
        <f>'Life Flask'!L7</f>
        <v>상</v>
      </c>
      <c r="L50" s="11" t="str">
        <f>_xlfn.CONCAT("    public string AffixSuperior =&gt; """, K50, """;")</f>
        <v xml:space="preserve">    public string AffixSuperior =&gt; "상";</v>
      </c>
      <c r="M50" s="13" t="str">
        <f>'Life Flask'!N7</f>
        <v>Superior</v>
      </c>
      <c r="N50" s="11" t="str">
        <f>_xlfn.CONCAT("    public string AffixSuperior =&gt; """, M50, """;")</f>
        <v xml:space="preserve">    public string AffixSuperior =&gt; "Superior";</v>
      </c>
      <c r="O50" s="13" t="str">
        <f>'Life Flask'!P7</f>
        <v>высокого качества</v>
      </c>
      <c r="P50" s="11" t="str">
        <f>_xlfn.CONCAT("    public string AffixSuperior =&gt; """, O50, """;")</f>
        <v xml:space="preserve">    public string AffixSuperior =&gt; "высокого качества";</v>
      </c>
      <c r="Q50" s="13" t="str">
        <f>'Life Flask'!R7</f>
        <v>Superior</v>
      </c>
      <c r="R50" s="11" t="str">
        <f>_xlfn.CONCAT("    public string AffixSuperior =&gt; """, Q50, """;")</f>
        <v xml:space="preserve">    public string AffixSuperior =&gt; "Superior";</v>
      </c>
      <c r="S50" s="13" t="e">
        <f>'Life Flask'!T7</f>
        <v>#N/A</v>
      </c>
      <c r="T50" s="11" t="e">
        <f>_xlfn.CONCAT("    public string AffixSuperior =&gt; """, S50, """;")</f>
        <v>#N/A</v>
      </c>
      <c r="V50" s="1" t="s">
        <v>59</v>
      </c>
    </row>
    <row r="51" spans="1:22" ht="15.95" customHeight="1" x14ac:dyDescent="0.25">
      <c r="A51" s="13" t="str">
        <f>'Blighted Map'!B10</f>
        <v>Blighted</v>
      </c>
      <c r="B51" s="11" t="str">
        <f>_xlfn.CONCAT("    public string AffixBlighted =&gt; """, A51, """;")</f>
        <v xml:space="preserve">    public string AffixBlighted =&gt; "Blighted";</v>
      </c>
      <c r="C51" s="13" t="str">
        <f>'Blighted Map'!D10</f>
        <v>Befallene</v>
      </c>
      <c r="D51" s="11" t="str">
        <f>_xlfn.CONCAT("    public string AffixBlighted =&gt; """, C51, """;")</f>
        <v xml:space="preserve">    public string AffixBlighted =&gt; "Befallene";</v>
      </c>
      <c r="E51" s="13" t="str">
        <f>'Blighted Map'!F10</f>
        <v>infestado</v>
      </c>
      <c r="F51" s="11" t="str">
        <f>_xlfn.CONCAT("    public string AffixBlighted =&gt; """, E51, """;")</f>
        <v xml:space="preserve">    public string AffixBlighted =&gt; "infestado";</v>
      </c>
      <c r="G51" s="13" t="str">
        <f>'Blighted Map'!H10</f>
        <v>Carte infestée</v>
      </c>
      <c r="H51" s="11" t="str">
        <f>_xlfn.CONCAT("    public string AffixBlighted =&gt; """, G51, """;")</f>
        <v xml:space="preserve">    public string AffixBlighted =&gt; "Carte infestée";</v>
      </c>
      <c r="I51" s="13" t="str">
        <f>'Blighted Map'!J10</f>
        <v>ブライト</v>
      </c>
      <c r="J51" s="11" t="str">
        <f>_xlfn.CONCAT("    public string AffixBlighted =&gt; """, I51, """;")</f>
        <v xml:space="preserve">    public string AffixBlighted =&gt; "ブライト";</v>
      </c>
      <c r="K51" s="13" t="str">
        <f>'Blighted Map'!L10</f>
        <v>역병</v>
      </c>
      <c r="L51" s="11" t="str">
        <f>_xlfn.CONCAT("    public string AffixBlighted =&gt; """, K51, """;")</f>
        <v xml:space="preserve">    public string AffixBlighted =&gt; "역병";</v>
      </c>
      <c r="M51" s="13" t="str">
        <f>'Blighted Map'!N10</f>
        <v>Infestado</v>
      </c>
      <c r="N51" s="11" t="str">
        <f>_xlfn.CONCAT("    public string AffixBlighted =&gt; """, M51, """;")</f>
        <v xml:space="preserve">    public string AffixBlighted =&gt; "Infestado";</v>
      </c>
      <c r="O51" s="13" t="str">
        <f>'Blighted Map'!P10</f>
        <v>Заражённая</v>
      </c>
      <c r="P51" s="11" t="str">
        <f>_xlfn.CONCAT("    public string AffixBlighted =&gt; """, O51, """;")</f>
        <v xml:space="preserve">    public string AffixBlighted =&gt; "Заражённая";</v>
      </c>
      <c r="Q51" s="13" t="str">
        <f>'Blighted Map'!R10</f>
        <v>Blighted</v>
      </c>
      <c r="R51" s="11" t="str">
        <f>_xlfn.CONCAT("    public string AffixBlighted =&gt; """, Q51, """;")</f>
        <v xml:space="preserve">    public string AffixBlighted =&gt; "Blighted";</v>
      </c>
      <c r="S51" s="13" t="e">
        <f>'Blighted Map'!T10</f>
        <v>#N/A</v>
      </c>
      <c r="T51" s="11" t="e">
        <f>_xlfn.CONCAT("    public string AffixBlighted =&gt; """, S51, """;")</f>
        <v>#N/A</v>
      </c>
      <c r="V51" s="1" t="s">
        <v>60</v>
      </c>
    </row>
    <row r="52" spans="1:22" ht="15.95" customHeight="1" x14ac:dyDescent="0.25">
      <c r="A52" s="13" t="str">
        <f>'Blight-ravaged Map'!B7</f>
        <v>Blight-ravaged</v>
      </c>
      <c r="B52" s="11" t="str">
        <f>_xlfn.CONCAT("    public string AffixBlightRavaged =&gt; """, A52, """;")</f>
        <v xml:space="preserve">    public string AffixBlightRavaged =&gt; "Blight-ravaged";</v>
      </c>
      <c r="C52" s="13" t="str">
        <f>'Blight-ravaged Map'!D7</f>
        <v>Extrem befallene</v>
      </c>
      <c r="D52" s="11" t="str">
        <f>_xlfn.CONCAT("    public string AffixBlightRavaged =&gt; """, C52, """;")</f>
        <v xml:space="preserve">    public string AffixBlightRavaged =&gt; "Extrem befallene";</v>
      </c>
      <c r="E52" s="13" t="str">
        <f>'Blight-ravaged Map'!F7</f>
        <v>devastado por la plaga</v>
      </c>
      <c r="F52" s="11" t="str">
        <f>_xlfn.CONCAT("    public string AffixBlightRavaged =&gt; """, E52, """;")</f>
        <v xml:space="preserve">    public string AffixBlightRavaged =&gt; "devastado por la plaga";</v>
      </c>
      <c r="G52" s="13" t="str">
        <f>'Blight-ravaged Map'!H7</f>
        <v>Carte ravagée par l'Infestation</v>
      </c>
      <c r="H52" s="11" t="str">
        <f>_xlfn.CONCAT("    public string AffixBlightRavaged =&gt; """, G52, """;")</f>
        <v xml:space="preserve">    public string AffixBlightRavaged =&gt; "Carte ravagée par l'Infestation";</v>
      </c>
      <c r="I52" s="13" t="str">
        <f>'Blight-ravaged Map'!J7</f>
        <v>ブライトに破壊された</v>
      </c>
      <c r="J52" s="11" t="str">
        <f>_xlfn.CONCAT("    public string AffixBlightRavaged =&gt; """, I52, """;")</f>
        <v xml:space="preserve">    public string AffixBlightRavaged =&gt; "ブライトに破壊された";</v>
      </c>
      <c r="K52" s="13" t="str">
        <f>'Blight-ravaged Map'!L7</f>
        <v>역병에 유린당한</v>
      </c>
      <c r="L52" s="11" t="str">
        <f>_xlfn.CONCAT("    public string AffixBlightRavaged =&gt; """, K52, """;")</f>
        <v xml:space="preserve">    public string AffixBlightRavaged =&gt; "역병에 유린당한";</v>
      </c>
      <c r="M52" s="13" t="str">
        <f>'Blight-ravaged Map'!N7</f>
        <v>Devastado</v>
      </c>
      <c r="N52" s="11" t="str">
        <f>_xlfn.CONCAT("    public string AffixBlightRavaged =&gt; """, M52, """;")</f>
        <v xml:space="preserve">    public string AffixBlightRavaged =&gt; "Devastado";</v>
      </c>
      <c r="O52" s="13" t="str">
        <f>'Blight-ravaged Map'!P7</f>
        <v>Разорённая Скверной</v>
      </c>
      <c r="P52" s="11" t="str">
        <f>_xlfn.CONCAT("    public string AffixBlightRavaged =&gt; """, O52, """;")</f>
        <v xml:space="preserve">    public string AffixBlightRavaged =&gt; "Разорённая Скверной";</v>
      </c>
      <c r="Q52" s="13" t="str">
        <f>'Blight-ravaged Map'!R7</f>
        <v>Blight-ravaged</v>
      </c>
      <c r="R52" s="11" t="str">
        <f>_xlfn.CONCAT("    public string AffixBlightRavaged =&gt; """, Q52, """;")</f>
        <v xml:space="preserve">    public string AffixBlightRavaged =&gt; "Blight-ravaged";</v>
      </c>
      <c r="S52" s="13" t="e">
        <f>'Blight-ravaged Map'!T7</f>
        <v>#N/A</v>
      </c>
      <c r="T52" s="11" t="e">
        <f>_xlfn.CONCAT("    public string AffixBlightRavaged =&gt; """, S52, """;")</f>
        <v>#N/A</v>
      </c>
      <c r="V52" s="1" t="s">
        <v>742</v>
      </c>
    </row>
    <row r="53" spans="1:22" ht="15.95" customHeight="1" x14ac:dyDescent="0.25">
      <c r="A53" s="12" t="s">
        <v>22</v>
      </c>
      <c r="B53" s="11"/>
      <c r="C53" s="12" t="s">
        <v>22</v>
      </c>
      <c r="D53" s="11"/>
      <c r="E53" s="12" t="s">
        <v>22</v>
      </c>
      <c r="F53" s="11"/>
      <c r="G53" s="12" t="s">
        <v>22</v>
      </c>
      <c r="H53" s="11"/>
      <c r="I53" s="12" t="s">
        <v>22</v>
      </c>
      <c r="J53" s="11"/>
      <c r="K53" s="12" t="s">
        <v>22</v>
      </c>
      <c r="L53" s="11"/>
      <c r="M53" s="12" t="s">
        <v>22</v>
      </c>
      <c r="N53" s="11"/>
      <c r="O53" s="12" t="s">
        <v>22</v>
      </c>
      <c r="P53" s="11"/>
      <c r="Q53" s="12" t="s">
        <v>22</v>
      </c>
      <c r="R53" s="11"/>
      <c r="S53" s="12" t="s">
        <v>22</v>
      </c>
      <c r="T53" s="11"/>
      <c r="V53" s="1" t="s">
        <v>22</v>
      </c>
    </row>
    <row r="54" spans="1:22" ht="15.95" customHeight="1" x14ac:dyDescent="0.25">
      <c r="A54" s="13" t="str">
        <f>Shaper!B23</f>
        <v>Shaper Item</v>
      </c>
      <c r="B54" s="11" t="str">
        <f>_xlfn.CONCAT("    public string InfluenceShaper =&gt; """, A54, """;")</f>
        <v xml:space="preserve">    public string InfluenceShaper =&gt; "Shaper Item";</v>
      </c>
      <c r="C54" s="13" t="str">
        <f>Shaper!D23</f>
        <v>Schöpfer-Gegenstand</v>
      </c>
      <c r="D54" s="11" t="str">
        <f>_xlfn.CONCAT("    public string InfluenceShaper =&gt; """, C54, """;")</f>
        <v xml:space="preserve">    public string InfluenceShaper =&gt; "Schöpfer-Gegenstand";</v>
      </c>
      <c r="E54" s="13" t="str">
        <f>Shaper!F23</f>
        <v>Objeto del Creador</v>
      </c>
      <c r="F54" s="11" t="str">
        <f>_xlfn.CONCAT("    public string InfluenceShaper =&gt; """, E54, """;")</f>
        <v xml:space="preserve">    public string InfluenceShaper =&gt; "Objeto del Creador";</v>
      </c>
      <c r="G54" s="13" t="str">
        <f>Shaper!H23</f>
        <v>Objet du Façonneur</v>
      </c>
      <c r="H54" s="11" t="str">
        <f>_xlfn.CONCAT("    public string InfluenceShaper =&gt; """, G54, """;")</f>
        <v xml:space="preserve">    public string InfluenceShaper =&gt; "Objet du Façonneur";</v>
      </c>
      <c r="I54" s="13" t="str">
        <f>Shaper!J23</f>
        <v>シェイパーアイテム</v>
      </c>
      <c r="J54" s="11" t="str">
        <f>_xlfn.CONCAT("    public string InfluenceShaper =&gt; """, I54, """;")</f>
        <v xml:space="preserve">    public string InfluenceShaper =&gt; "シェイパーアイテム";</v>
      </c>
      <c r="K54" s="13" t="str">
        <f>Shaper!L23</f>
        <v>쉐이퍼 아이템</v>
      </c>
      <c r="L54" s="11" t="str">
        <f>_xlfn.CONCAT("    public string InfluenceShaper =&gt; """, K54, """;")</f>
        <v xml:space="preserve">    public string InfluenceShaper =&gt; "쉐이퍼 아이템";</v>
      </c>
      <c r="M54" s="13" t="str">
        <f>Shaper!N23</f>
        <v>Item do Criador</v>
      </c>
      <c r="N54" s="11" t="str">
        <f>_xlfn.CONCAT("    public string InfluenceShaper =&gt; """, M54, """;")</f>
        <v xml:space="preserve">    public string InfluenceShaper =&gt; "Item do Criador";</v>
      </c>
      <c r="O54" s="13" t="str">
        <f>Shaper!P23</f>
        <v>Предмет Создателя</v>
      </c>
      <c r="P54" s="11" t="str">
        <f>_xlfn.CONCAT("    public string InfluenceShaper =&gt; """, O54, """;")</f>
        <v xml:space="preserve">    public string InfluenceShaper =&gt; "Предмет Создателя";</v>
      </c>
      <c r="Q54" s="13" t="str">
        <f>Shaper!R23</f>
        <v>ไอเทมเชปเปอร์</v>
      </c>
      <c r="R54" s="11" t="str">
        <f>_xlfn.CONCAT("    public string InfluenceShaper =&gt; """, Q54, """;")</f>
        <v xml:space="preserve">    public string InfluenceShaper =&gt; "ไอเทมเชปเปอร์";</v>
      </c>
      <c r="S54" s="13">
        <f>Shaper!T23</f>
        <v>0</v>
      </c>
      <c r="T54" s="11" t="str">
        <f>_xlfn.CONCAT("    public string InfluenceShaper =&gt; """, S54, """;")</f>
        <v xml:space="preserve">    public string InfluenceShaper =&gt; "0";</v>
      </c>
      <c r="V54" s="1" t="s">
        <v>786</v>
      </c>
    </row>
    <row r="55" spans="1:22" ht="15.95" customHeight="1" x14ac:dyDescent="0.25">
      <c r="A55" s="13" t="str">
        <f>Elder!B27</f>
        <v>Elder Item</v>
      </c>
      <c r="B55" s="11" t="str">
        <f>_xlfn.CONCAT("    public string InfluenceElder =&gt; """, A55, """;")</f>
        <v xml:space="preserve">    public string InfluenceElder =&gt; "Elder Item";</v>
      </c>
      <c r="C55" s="13" t="str">
        <f>Elder!D27</f>
        <v>Ältesten-Gegenstand</v>
      </c>
      <c r="D55" s="11" t="str">
        <f>_xlfn.CONCAT("    public string InfluenceElder =&gt; """, C55, """;")</f>
        <v xml:space="preserve">    public string InfluenceElder =&gt; "Ältesten-Gegenstand";</v>
      </c>
      <c r="E55" s="13" t="str">
        <f>Elder!F27</f>
        <v>Objeto del Antiguo</v>
      </c>
      <c r="F55" s="11" t="str">
        <f>_xlfn.CONCAT("    public string InfluenceElder =&gt; """, E55, """;")</f>
        <v xml:space="preserve">    public string InfluenceElder =&gt; "Objeto del Antiguo";</v>
      </c>
      <c r="G55" s="13" t="str">
        <f>Elder!H27</f>
        <v>Objet de l'Ancien</v>
      </c>
      <c r="H55" s="11" t="str">
        <f>_xlfn.CONCAT("    public string InfluenceElder =&gt; """, G55, """;")</f>
        <v xml:space="preserve">    public string InfluenceElder =&gt; "Objet de l'Ancien";</v>
      </c>
      <c r="I55" s="13" t="str">
        <f>Elder!J27</f>
        <v>エルダーアイテム</v>
      </c>
      <c r="J55" s="11" t="str">
        <f>_xlfn.CONCAT("    public string InfluenceElder =&gt; """, I55, """;")</f>
        <v xml:space="preserve">    public string InfluenceElder =&gt; "エルダーアイテム";</v>
      </c>
      <c r="K55" s="13" t="str">
        <f>Elder!L27</f>
        <v>엘더 아이템</v>
      </c>
      <c r="L55" s="11" t="str">
        <f>_xlfn.CONCAT("    public string InfluenceElder =&gt; """, K55, """;")</f>
        <v xml:space="preserve">    public string InfluenceElder =&gt; "엘더 아이템";</v>
      </c>
      <c r="M55" s="13" t="str">
        <f>Elder!N27</f>
        <v>Item do Ancião</v>
      </c>
      <c r="N55" s="11" t="str">
        <f>_xlfn.CONCAT("    public string InfluenceElder =&gt; """, M55, """;")</f>
        <v xml:space="preserve">    public string InfluenceElder =&gt; "Item do Ancião";</v>
      </c>
      <c r="O55" s="13" t="str">
        <f>Elder!P27</f>
        <v>Древний предмет</v>
      </c>
      <c r="P55" s="11" t="str">
        <f>_xlfn.CONCAT("    public string InfluenceElder =&gt; """, O55, """;")</f>
        <v xml:space="preserve">    public string InfluenceElder =&gt; "Древний предмет";</v>
      </c>
      <c r="Q55" s="13" t="str">
        <f>Elder!R27</f>
        <v>ไอเทมเอลเดอร์</v>
      </c>
      <c r="R55" s="11" t="str">
        <f>_xlfn.CONCAT("    public string InfluenceElder =&gt; """, Q55, """;")</f>
        <v xml:space="preserve">    public string InfluenceElder =&gt; "ไอเทมเอลเดอร์";</v>
      </c>
      <c r="S55" s="13">
        <f>Elder!T27</f>
        <v>0</v>
      </c>
      <c r="T55" s="11" t="str">
        <f>_xlfn.CONCAT("    public string InfluenceElder =&gt; """, S55, """;")</f>
        <v xml:space="preserve">    public string InfluenceElder =&gt; "0";</v>
      </c>
      <c r="V55" s="1" t="s">
        <v>811</v>
      </c>
    </row>
    <row r="56" spans="1:22" ht="15.95" customHeight="1" x14ac:dyDescent="0.25">
      <c r="A56" s="13" t="str">
        <f>Crusader!B20</f>
        <v>Crusader Item</v>
      </c>
      <c r="B56" s="11" t="str">
        <f>_xlfn.CONCAT("    public string InfluenceCrusader =&gt; """, A56, """;")</f>
        <v xml:space="preserve">    public string InfluenceCrusader =&gt; "Crusader Item";</v>
      </c>
      <c r="C56" s="13" t="str">
        <f>Crusader!D20</f>
        <v>Kreuzritter-Gegenstand</v>
      </c>
      <c r="D56" s="11" t="str">
        <f>_xlfn.CONCAT("    public string InfluenceCrusader =&gt; """, C56, """;")</f>
        <v xml:space="preserve">    public string InfluenceCrusader =&gt; "Kreuzritter-Gegenstand";</v>
      </c>
      <c r="E56" s="13" t="str">
        <f>Crusader!F20</f>
        <v>Objeto del Cruzado</v>
      </c>
      <c r="F56" s="11" t="str">
        <f>_xlfn.CONCAT("    public string InfluenceCrusader =&gt; """, E56, """;")</f>
        <v xml:space="preserve">    public string InfluenceCrusader =&gt; "Objeto del Cruzado";</v>
      </c>
      <c r="G56" s="13" t="str">
        <f>Crusader!H20</f>
        <v>Objet du Croisé</v>
      </c>
      <c r="H56" s="11" t="str">
        <f>_xlfn.CONCAT("    public string InfluenceCrusader =&gt; """, G56, """;")</f>
        <v xml:space="preserve">    public string InfluenceCrusader =&gt; "Objet du Croisé";</v>
      </c>
      <c r="I56" s="13" t="str">
        <f>Crusader!J20</f>
        <v>クルセイダーアイテム</v>
      </c>
      <c r="J56" s="11" t="str">
        <f>_xlfn.CONCAT("    public string InfluenceCrusader =&gt; """, I56, """;")</f>
        <v xml:space="preserve">    public string InfluenceCrusader =&gt; "クルセイダーアイテム";</v>
      </c>
      <c r="K56" s="13" t="str">
        <f>Crusader!L20</f>
        <v>십자군 아이템</v>
      </c>
      <c r="L56" s="11" t="str">
        <f>_xlfn.CONCAT("    public string InfluenceCrusader =&gt; """, K56, """;")</f>
        <v xml:space="preserve">    public string InfluenceCrusader =&gt; "십자군 아이템";</v>
      </c>
      <c r="M56" s="13" t="str">
        <f>Crusader!N20</f>
        <v>Item do Cruzado</v>
      </c>
      <c r="N56" s="11" t="str">
        <f>_xlfn.CONCAT("    public string InfluenceCrusader =&gt; """, M56, """;")</f>
        <v xml:space="preserve">    public string InfluenceCrusader =&gt; "Item do Cruzado";</v>
      </c>
      <c r="O56" s="13" t="str">
        <f>Crusader!P20</f>
        <v>Предмет Крестоносца</v>
      </c>
      <c r="P56" s="11" t="str">
        <f>_xlfn.CONCAT("    public string InfluenceCrusader =&gt; """, O56, """;")</f>
        <v xml:space="preserve">    public string InfluenceCrusader =&gt; "Предмет Крестоносца";</v>
      </c>
      <c r="Q56" s="13" t="str">
        <f>Crusader!R20</f>
        <v>ไอเทมผู้พิชิตอธรรม</v>
      </c>
      <c r="R56" s="11" t="str">
        <f>_xlfn.CONCAT("    public string InfluenceCrusader =&gt; """, Q56, """;")</f>
        <v xml:space="preserve">    public string InfluenceCrusader =&gt; "ไอเทมผู้พิชิตอธรรม";</v>
      </c>
      <c r="S56" s="13">
        <f>Crusader!T20</f>
        <v>0</v>
      </c>
      <c r="T56" s="11" t="str">
        <f>_xlfn.CONCAT("    public string InfluenceCrusader =&gt; """, S56, """;")</f>
        <v xml:space="preserve">    public string InfluenceCrusader =&gt; "0";</v>
      </c>
      <c r="V56" s="1" t="s">
        <v>829</v>
      </c>
    </row>
    <row r="57" spans="1:22" ht="15.95" customHeight="1" x14ac:dyDescent="0.25">
      <c r="A57" s="13" t="str">
        <f>Hunter!B23</f>
        <v>Hunter Item</v>
      </c>
      <c r="B57" s="11" t="str">
        <f>_xlfn.CONCAT("    public string InfluenceHunter =&gt; """, A57, """;")</f>
        <v xml:space="preserve">    public string InfluenceHunter =&gt; "Hunter Item";</v>
      </c>
      <c r="C57" s="13" t="str">
        <f>Hunter!D23</f>
        <v>Jäger-Gegenstand</v>
      </c>
      <c r="D57" s="11" t="str">
        <f>_xlfn.CONCAT("    public string InfluenceHunter =&gt; """, C57, """;")</f>
        <v xml:space="preserve">    public string InfluenceHunter =&gt; "Jäger-Gegenstand";</v>
      </c>
      <c r="E57" s="13" t="str">
        <f>Hunter!F23</f>
        <v>Objeto del Cazador</v>
      </c>
      <c r="F57" s="11" t="str">
        <f>_xlfn.CONCAT("    public string InfluenceHunter =&gt; """, E57, """;")</f>
        <v xml:space="preserve">    public string InfluenceHunter =&gt; "Objeto del Cazador";</v>
      </c>
      <c r="G57" s="13" t="str">
        <f>Hunter!H23</f>
        <v>Objet du Chasseur</v>
      </c>
      <c r="H57" s="11" t="str">
        <f>_xlfn.CONCAT("    public string InfluenceHunter =&gt; """, G57, """;")</f>
        <v xml:space="preserve">    public string InfluenceHunter =&gt; "Objet du Chasseur";</v>
      </c>
      <c r="I57" s="13" t="str">
        <f>Hunter!J23</f>
        <v>ハンターアイテム</v>
      </c>
      <c r="J57" s="11" t="str">
        <f>_xlfn.CONCAT("    public string InfluenceHunter =&gt; """, I57, """;")</f>
        <v xml:space="preserve">    public string InfluenceHunter =&gt; "ハンターアイテム";</v>
      </c>
      <c r="K57" s="13" t="str">
        <f>Hunter!L23</f>
        <v>사냥꾼 아이템</v>
      </c>
      <c r="L57" s="11" t="str">
        <f>_xlfn.CONCAT("    public string InfluenceHunter =&gt; """, K57, """;")</f>
        <v xml:space="preserve">    public string InfluenceHunter =&gt; "사냥꾼 아이템";</v>
      </c>
      <c r="M57" s="13" t="str">
        <f>Hunter!N23</f>
        <v>Item do Caçador</v>
      </c>
      <c r="N57" s="11" t="str">
        <f>_xlfn.CONCAT("    public string InfluenceHunter =&gt; """, M57, """;")</f>
        <v xml:space="preserve">    public string InfluenceHunter =&gt; "Item do Caçador";</v>
      </c>
      <c r="O57" s="13" t="str">
        <f>Hunter!P23</f>
        <v>Предмет Охотника</v>
      </c>
      <c r="P57" s="11" t="str">
        <f>_xlfn.CONCAT("    public string InfluenceHunter =&gt; """, O57, """;")</f>
        <v xml:space="preserve">    public string InfluenceHunter =&gt; "Предмет Охотника";</v>
      </c>
      <c r="Q57" s="13" t="str">
        <f>Hunter!R23</f>
        <v>ไอเทมผู้พิชิตเหยื่อ</v>
      </c>
      <c r="R57" s="11" t="str">
        <f>_xlfn.CONCAT("    public string InfluenceHunter =&gt; """, Q57, """;")</f>
        <v xml:space="preserve">    public string InfluenceHunter =&gt; "ไอเทมผู้พิชิตเหยื่อ";</v>
      </c>
      <c r="S57" s="13">
        <f>Hunter!T23</f>
        <v>0</v>
      </c>
      <c r="T57" s="11" t="str">
        <f>_xlfn.CONCAT("    public string InfluenceHunter =&gt; """, S57, """;")</f>
        <v xml:space="preserve">    public string InfluenceHunter =&gt; "0";</v>
      </c>
      <c r="V57" s="1" t="s">
        <v>797</v>
      </c>
    </row>
    <row r="58" spans="1:22" ht="15.95" customHeight="1" x14ac:dyDescent="0.25">
      <c r="A58" s="13" t="str">
        <f>Redeemer!B21</f>
        <v>Redeemer Item</v>
      </c>
      <c r="B58" s="11" t="str">
        <f>_xlfn.CONCAT("    public string InfluenceRedeemer =&gt; """, A58, """;")</f>
        <v xml:space="preserve">    public string InfluenceRedeemer =&gt; "Redeemer Item";</v>
      </c>
      <c r="C58" s="13" t="str">
        <f>Redeemer!D21</f>
        <v>Erlöserin-Gegenstand</v>
      </c>
      <c r="D58" s="11" t="str">
        <f>_xlfn.CONCAT("    public string InfluenceRedeemer =&gt; """, C58, """;")</f>
        <v xml:space="preserve">    public string InfluenceRedeemer =&gt; "Erlöserin-Gegenstand";</v>
      </c>
      <c r="E58" s="13" t="str">
        <f>Redeemer!F21</f>
        <v>Objeto de la Redentora</v>
      </c>
      <c r="F58" s="11" t="str">
        <f>_xlfn.CONCAT("    public string InfluenceRedeemer =&gt; """, E58, """;")</f>
        <v xml:space="preserve">    public string InfluenceRedeemer =&gt; "Objeto de la Redentora";</v>
      </c>
      <c r="G58" s="13" t="str">
        <f>Redeemer!H21</f>
        <v>Objet de la Rédemptrice</v>
      </c>
      <c r="H58" s="11" t="str">
        <f>_xlfn.CONCAT("    public string InfluenceRedeemer =&gt; """, G58, """;")</f>
        <v xml:space="preserve">    public string InfluenceRedeemer =&gt; "Objet de la Rédemptrice";</v>
      </c>
      <c r="I58" s="13" t="str">
        <f>Redeemer!J21</f>
        <v>レディーマーアイテム</v>
      </c>
      <c r="J58" s="11" t="str">
        <f>_xlfn.CONCAT("    public string InfluenceRedeemer =&gt; """, I58, """;")</f>
        <v xml:space="preserve">    public string InfluenceRedeemer =&gt; "レディーマーアイテム";</v>
      </c>
      <c r="K58" s="13" t="str">
        <f>Redeemer!L21</f>
        <v>대속자 아이템</v>
      </c>
      <c r="L58" s="11" t="str">
        <f>_xlfn.CONCAT("    public string InfluenceRedeemer =&gt; """, K58, """;")</f>
        <v xml:space="preserve">    public string InfluenceRedeemer =&gt; "대속자 아이템";</v>
      </c>
      <c r="M58" s="13" t="str">
        <f>Redeemer!N21</f>
        <v>Item do Redentor</v>
      </c>
      <c r="N58" s="11" t="str">
        <f>_xlfn.CONCAT("    public string InfluenceRedeemer =&gt; """, M58, """;")</f>
        <v xml:space="preserve">    public string InfluenceRedeemer =&gt; "Item do Redentor";</v>
      </c>
      <c r="O58" s="13" t="str">
        <f>Redeemer!P21</f>
        <v>Предмет Избавительницы</v>
      </c>
      <c r="P58" s="11" t="str">
        <f>_xlfn.CONCAT("    public string InfluenceRedeemer =&gt; """, O58, """;")</f>
        <v xml:space="preserve">    public string InfluenceRedeemer =&gt; "Предмет Избавительницы";</v>
      </c>
      <c r="Q58" s="13" t="str">
        <f>Redeemer!R21</f>
        <v>ไอเทมผู้พิชิตบาป</v>
      </c>
      <c r="R58" s="11" t="str">
        <f>_xlfn.CONCAT("    public string InfluenceRedeemer =&gt; """, Q58, """;")</f>
        <v xml:space="preserve">    public string InfluenceRedeemer =&gt; "ไอเทมผู้พิชิตบาป";</v>
      </c>
      <c r="S58" s="13">
        <f>Redeemer!T21</f>
        <v>0</v>
      </c>
      <c r="T58" s="11" t="str">
        <f>_xlfn.CONCAT("    public string InfluenceRedeemer =&gt; """, S58, """;")</f>
        <v xml:space="preserve">    public string InfluenceRedeemer =&gt; "0";</v>
      </c>
      <c r="V58" s="1" t="s">
        <v>821</v>
      </c>
    </row>
    <row r="59" spans="1:22" ht="15.95" customHeight="1" x14ac:dyDescent="0.25">
      <c r="A59" s="13" t="str">
        <f>Warlord!B24</f>
        <v>Warlord Item</v>
      </c>
      <c r="B59" s="11" t="str">
        <f>_xlfn.CONCAT("    public string InfluenceWarlord =&gt; """, A59, """;")</f>
        <v xml:space="preserve">    public string InfluenceWarlord =&gt; "Warlord Item";</v>
      </c>
      <c r="C59" s="13" t="str">
        <f>Warlord!D24</f>
        <v>Kriegsfürst-Gegenstand</v>
      </c>
      <c r="D59" s="11" t="str">
        <f>_xlfn.CONCAT("    public string InfluenceWarlord =&gt; """, C59, """;")</f>
        <v xml:space="preserve">    public string InfluenceWarlord =&gt; "Kriegsfürst-Gegenstand";</v>
      </c>
      <c r="E59" s="13" t="str">
        <f>Warlord!F24</f>
        <v>Objeto del Jefe de guerra</v>
      </c>
      <c r="F59" s="11" t="str">
        <f>_xlfn.CONCAT("    public string InfluenceWarlord =&gt; """, E59, """;")</f>
        <v xml:space="preserve">    public string InfluenceWarlord =&gt; "Objeto del Jefe de guerra";</v>
      </c>
      <c r="G59" s="13" t="str">
        <f>Warlord!H24</f>
        <v>Objet du Seigneur de guerre</v>
      </c>
      <c r="H59" s="11" t="str">
        <f>_xlfn.CONCAT("    public string InfluenceWarlord =&gt; """, G59, """;")</f>
        <v xml:space="preserve">    public string InfluenceWarlord =&gt; "Objet du Seigneur de guerre";</v>
      </c>
      <c r="I59" s="13" t="str">
        <f>Warlord!J24</f>
        <v>ウォーロードアイテム</v>
      </c>
      <c r="J59" s="11" t="str">
        <f>_xlfn.CONCAT("    public string InfluenceWarlord =&gt; """, I59, """;")</f>
        <v xml:space="preserve">    public string InfluenceWarlord =&gt; "ウォーロードアイテム";</v>
      </c>
      <c r="K59" s="13" t="str">
        <f>Warlord!L24</f>
        <v>전쟁군주 아이템</v>
      </c>
      <c r="L59" s="11" t="str">
        <f>_xlfn.CONCAT("    public string InfluenceWarlord =&gt; """, K59, """;")</f>
        <v xml:space="preserve">    public string InfluenceWarlord =&gt; "전쟁군주 아이템";</v>
      </c>
      <c r="M59" s="13" t="str">
        <f>Warlord!N24</f>
        <v>Item do Senhor da Guerra</v>
      </c>
      <c r="N59" s="11" t="str">
        <f>_xlfn.CONCAT("    public string InfluenceWarlord =&gt; """, M59, """;")</f>
        <v xml:space="preserve">    public string InfluenceWarlord =&gt; "Item do Senhor da Guerra";</v>
      </c>
      <c r="O59" s="13" t="str">
        <f>Warlord!P24</f>
        <v>Предмет Вождя</v>
      </c>
      <c r="P59" s="11" t="str">
        <f>_xlfn.CONCAT("    public string InfluenceWarlord =&gt; """, O59, """;")</f>
        <v xml:space="preserve">    public string InfluenceWarlord =&gt; "Предмет Вождя";</v>
      </c>
      <c r="Q59" s="13" t="str">
        <f>Warlord!R24</f>
        <v>ไอเทมผู้พิชิตศึก</v>
      </c>
      <c r="R59" s="11" t="str">
        <f>_xlfn.CONCAT("    public string InfluenceWarlord =&gt; """, Q59, """;")</f>
        <v xml:space="preserve">    public string InfluenceWarlord =&gt; "ไอเทมผู้พิชิตศึก";</v>
      </c>
      <c r="S59" s="13">
        <f>Warlord!T24</f>
        <v>0</v>
      </c>
      <c r="T59" s="11" t="str">
        <f>_xlfn.CONCAT("    public string InfluenceWarlord =&gt; """, S59, """;")</f>
        <v xml:space="preserve">    public string InfluenceWarlord =&gt; "0";</v>
      </c>
      <c r="V59" s="1" t="s">
        <v>778</v>
      </c>
    </row>
    <row r="60" spans="1:22" ht="15.95" customHeight="1" x14ac:dyDescent="0.25">
      <c r="A60" s="12" t="s">
        <v>22</v>
      </c>
      <c r="B60" s="11"/>
      <c r="C60" s="12" t="s">
        <v>22</v>
      </c>
      <c r="D60" s="11"/>
      <c r="E60" s="12" t="s">
        <v>22</v>
      </c>
      <c r="F60" s="11"/>
      <c r="G60" s="12" t="s">
        <v>22</v>
      </c>
      <c r="H60" s="11"/>
      <c r="I60" s="12" t="s">
        <v>22</v>
      </c>
      <c r="J60" s="11"/>
      <c r="K60" s="12" t="s">
        <v>22</v>
      </c>
      <c r="L60" s="11"/>
      <c r="M60" s="12" t="s">
        <v>22</v>
      </c>
      <c r="N60" s="11"/>
      <c r="O60" s="12" t="s">
        <v>22</v>
      </c>
      <c r="P60" s="11"/>
      <c r="Q60" s="12" t="s">
        <v>22</v>
      </c>
      <c r="R60" s="11"/>
      <c r="S60" s="12" t="s">
        <v>22</v>
      </c>
      <c r="T60" s="11"/>
      <c r="V60" s="1" t="s">
        <v>22</v>
      </c>
    </row>
    <row r="61" spans="1:22" ht="15.95" customHeight="1" x14ac:dyDescent="0.25">
      <c r="A61" s="12" t="s">
        <v>22</v>
      </c>
      <c r="B61" s="11" t="s">
        <v>6599</v>
      </c>
      <c r="C61" s="12" t="s">
        <v>22</v>
      </c>
      <c r="D61" s="11" t="s">
        <v>6599</v>
      </c>
      <c r="E61" s="12" t="s">
        <v>22</v>
      </c>
      <c r="F61" s="11" t="s">
        <v>6599</v>
      </c>
      <c r="G61" s="12" t="s">
        <v>22</v>
      </c>
      <c r="H61" s="11" t="s">
        <v>6599</v>
      </c>
      <c r="I61" s="12" t="s">
        <v>22</v>
      </c>
      <c r="J61" s="11" t="s">
        <v>6599</v>
      </c>
      <c r="K61" s="12" t="s">
        <v>22</v>
      </c>
      <c r="L61" s="11" t="s">
        <v>6599</v>
      </c>
      <c r="M61" s="12" t="s">
        <v>22</v>
      </c>
      <c r="N61" s="11" t="s">
        <v>6599</v>
      </c>
      <c r="O61" s="12" t="s">
        <v>22</v>
      </c>
      <c r="P61" s="11" t="s">
        <v>6599</v>
      </c>
      <c r="Q61" s="12" t="s">
        <v>22</v>
      </c>
      <c r="R61" s="11" t="s">
        <v>6599</v>
      </c>
      <c r="S61" s="12" t="s">
        <v>22</v>
      </c>
      <c r="T61" s="11" t="s">
        <v>6599</v>
      </c>
      <c r="V61" s="1" t="s">
        <v>22</v>
      </c>
    </row>
    <row r="62" spans="1:22" ht="15.95" customHeight="1" x14ac:dyDescent="0.25">
      <c r="A62" s="12" t="s">
        <v>22</v>
      </c>
      <c r="B62" s="11" t="s">
        <v>14</v>
      </c>
      <c r="C62" s="12" t="s">
        <v>22</v>
      </c>
      <c r="D62" s="11" t="s">
        <v>14</v>
      </c>
      <c r="E62" s="12" t="s">
        <v>22</v>
      </c>
      <c r="F62" s="11" t="s">
        <v>14</v>
      </c>
      <c r="G62" s="12" t="s">
        <v>22</v>
      </c>
      <c r="H62" s="11" t="s">
        <v>14</v>
      </c>
      <c r="I62" s="12" t="s">
        <v>22</v>
      </c>
      <c r="J62" s="11" t="s">
        <v>14</v>
      </c>
      <c r="K62" s="12" t="s">
        <v>22</v>
      </c>
      <c r="L62" s="11" t="s">
        <v>14</v>
      </c>
      <c r="M62" s="12" t="s">
        <v>22</v>
      </c>
      <c r="N62" s="11" t="s">
        <v>14</v>
      </c>
      <c r="O62" s="12" t="s">
        <v>22</v>
      </c>
      <c r="P62" s="11" t="s">
        <v>14</v>
      </c>
      <c r="Q62" s="12" t="s">
        <v>22</v>
      </c>
      <c r="R62" s="11" t="s">
        <v>14</v>
      </c>
      <c r="S62" s="12" t="s">
        <v>22</v>
      </c>
      <c r="T62" s="11" t="s">
        <v>14</v>
      </c>
      <c r="V62" s="1" t="s">
        <v>22</v>
      </c>
    </row>
    <row r="63" spans="1:22" ht="15.95" customHeight="1" x14ac:dyDescent="0.25">
      <c r="A63" s="19" t="str">
        <f>Belt!B3</f>
        <v>Item Class</v>
      </c>
      <c r="B63" s="11" t="str">
        <f>_xlfn.CONCAT("        Prefix = """, A63, """,")</f>
        <v xml:space="preserve">        Prefix = "Item Class",</v>
      </c>
      <c r="C63" s="19" t="str">
        <f>Belt!D3</f>
        <v>Gegenstandsklasse</v>
      </c>
      <c r="D63" s="11" t="str">
        <f>_xlfn.CONCAT("        Prefix = """, C63, """,")</f>
        <v xml:space="preserve">        Prefix = "Gegenstandsklasse",</v>
      </c>
      <c r="E63" s="19" t="str">
        <f>Belt!F3</f>
        <v>Clase de objeto</v>
      </c>
      <c r="F63" s="11" t="str">
        <f>_xlfn.CONCAT("        Prefix = """, E63, """,")</f>
        <v xml:space="preserve">        Prefix = "Clase de objeto",</v>
      </c>
      <c r="G63" s="19" t="str">
        <f>Belt!H3</f>
        <v>Classe d'objet</v>
      </c>
      <c r="H63" s="11" t="str">
        <f>_xlfn.CONCAT("        Prefix = """, G63, """,")</f>
        <v xml:space="preserve">        Prefix = "Classe d'objet",</v>
      </c>
      <c r="I63" s="19" t="str">
        <f>Belt!J3</f>
        <v>アイテムクラス</v>
      </c>
      <c r="J63" s="11" t="str">
        <f>_xlfn.CONCAT("        Prefix = """, I63, """,")</f>
        <v xml:space="preserve">        Prefix = "アイテムクラス",</v>
      </c>
      <c r="K63" s="19" t="str">
        <f>Belt!L3</f>
        <v>아이템 종류</v>
      </c>
      <c r="L63" s="11" t="str">
        <f>_xlfn.CONCAT("        Prefix = """, K63, """,")</f>
        <v xml:space="preserve">        Prefix = "아이템 종류",</v>
      </c>
      <c r="M63" s="19" t="str">
        <f>Belt!N3</f>
        <v>Classe do Item</v>
      </c>
      <c r="N63" s="11" t="str">
        <f>_xlfn.CONCAT("        Prefix = """, M63, """,")</f>
        <v xml:space="preserve">        Prefix = "Classe do Item",</v>
      </c>
      <c r="O63" s="19" t="str">
        <f>Belt!P3</f>
        <v>Класс предмета</v>
      </c>
      <c r="P63" s="11" t="str">
        <f>_xlfn.CONCAT("        Prefix = """, O63, """,")</f>
        <v xml:space="preserve">        Prefix = "Класс предмета",</v>
      </c>
      <c r="Q63" s="19" t="str">
        <f>Belt!R3</f>
        <v>ชนิดไอเทม</v>
      </c>
      <c r="R63" s="11" t="str">
        <f>_xlfn.CONCAT("        Prefix = """, Q63, """,")</f>
        <v xml:space="preserve">        Prefix = "ชนิดไอเทม",</v>
      </c>
      <c r="S63" s="19" t="e">
        <f>Belt!T3</f>
        <v>#N/A</v>
      </c>
      <c r="T63" s="11" t="e">
        <f>_xlfn.CONCAT("        Prefix = """, S63, """,")</f>
        <v>#N/A</v>
      </c>
      <c r="V63" s="1" t="s">
        <v>521</v>
      </c>
    </row>
    <row r="64" spans="1:22" ht="15.95" customHeight="1" x14ac:dyDescent="0.25">
      <c r="A64" s="19" t="str">
        <f>Card!B4</f>
        <v>Divination Cards</v>
      </c>
      <c r="B64" s="11" t="str">
        <f>_xlfn.CONCAT("        DivinationCard = """, A64, """,")</f>
        <v xml:space="preserve">        DivinationCard = "Divination Cards",</v>
      </c>
      <c r="C64" s="19" t="str">
        <f>Card!D4</f>
        <v>Weissagungskarten</v>
      </c>
      <c r="D64" s="11" t="str">
        <f>_xlfn.CONCAT("        DivinationCard = """, C64, """,")</f>
        <v xml:space="preserve">        DivinationCard = "Weissagungskarten",</v>
      </c>
      <c r="E64" s="19" t="str">
        <f>Card!F4</f>
        <v>Cartas de adivinación</v>
      </c>
      <c r="F64" s="11" t="str">
        <f>_xlfn.CONCAT("        DivinationCard = """, E64, """,")</f>
        <v xml:space="preserve">        DivinationCard = "Cartas de adivinación",</v>
      </c>
      <c r="G64" s="19" t="str">
        <f>Card!H4</f>
        <v>Cartes divinatoires</v>
      </c>
      <c r="H64" s="11" t="str">
        <f>_xlfn.CONCAT("        DivinationCard = """, G64, """,")</f>
        <v xml:space="preserve">        DivinationCard = "Cartes divinatoires",</v>
      </c>
      <c r="I64" s="19" t="str">
        <f>Card!J4</f>
        <v>占いカード</v>
      </c>
      <c r="J64" s="11" t="str">
        <f>_xlfn.CONCAT("        DivinationCard = """, I64, """,")</f>
        <v xml:space="preserve">        DivinationCard = "占いカード",</v>
      </c>
      <c r="K64" s="19" t="str">
        <f>Card!L4</f>
        <v>점술 카드</v>
      </c>
      <c r="L64" s="11" t="str">
        <f>_xlfn.CONCAT("        DivinationCard = """, K64, """,")</f>
        <v xml:space="preserve">        DivinationCard = "점술 카드",</v>
      </c>
      <c r="M64" s="19" t="str">
        <f>Card!N4</f>
        <v>Cartas de Adivinhação</v>
      </c>
      <c r="N64" s="11" t="str">
        <f>_xlfn.CONCAT("        DivinationCard = """, M64, """,")</f>
        <v xml:space="preserve">        DivinationCard = "Cartas de Adivinhação",</v>
      </c>
      <c r="O64" s="19" t="str">
        <f>Card!P4</f>
        <v>Гадальные карты</v>
      </c>
      <c r="P64" s="11" t="str">
        <f>_xlfn.CONCAT("        DivinationCard = """, O64, """,")</f>
        <v xml:space="preserve">        DivinationCard = "Гадальные карты",</v>
      </c>
      <c r="Q64" s="19" t="str">
        <f>Card!R4</f>
        <v>ไพ่พยากรณ์</v>
      </c>
      <c r="R64" s="11" t="str">
        <f>_xlfn.CONCAT("        DivinationCard = """, Q64, """,")</f>
        <v xml:space="preserve">        DivinationCard = "ไพ่พยากรณ์",</v>
      </c>
      <c r="S64" s="19" t="e">
        <f>Card!T4</f>
        <v>#N/A</v>
      </c>
      <c r="T64" s="11" t="e">
        <f>_xlfn.CONCAT("        DivinationCard = """, S64, """,")</f>
        <v>#N/A</v>
      </c>
      <c r="V64" s="1" t="s">
        <v>522</v>
      </c>
    </row>
    <row r="65" spans="1:22" ht="15.95" customHeight="1" x14ac:dyDescent="0.25">
      <c r="A65" s="19" t="str">
        <f>'Chaos Orb'!B4</f>
        <v>Stackable Currency</v>
      </c>
      <c r="B65" s="11" t="str">
        <f>_xlfn.CONCAT("        StackableCurrency = """, A65, """,")</f>
        <v xml:space="preserve">        StackableCurrency = "Stackable Currency",</v>
      </c>
      <c r="C65" s="19" t="str">
        <f>'Chaos Orb'!D4</f>
        <v>Stapelbare Währung</v>
      </c>
      <c r="D65" s="11" t="str">
        <f>_xlfn.CONCAT("        StackableCurrency = """, C65, """,")</f>
        <v xml:space="preserve">        StackableCurrency = "Stapelbare Währung",</v>
      </c>
      <c r="E65" s="19" t="str">
        <f>'Chaos Orb'!F4</f>
        <v>Objetos monetarios apilables</v>
      </c>
      <c r="F65" s="11" t="str">
        <f>_xlfn.CONCAT("        StackableCurrency = """, E65, """,")</f>
        <v xml:space="preserve">        StackableCurrency = "Objetos monetarios apilables",</v>
      </c>
      <c r="G65" s="19" t="str">
        <f>'Chaos Orb'!H4</f>
        <v>Objets monétaires empilables</v>
      </c>
      <c r="H65" s="11" t="str">
        <f>_xlfn.CONCAT("        StackableCurrency = """, G65, """,")</f>
        <v xml:space="preserve">        StackableCurrency = "Objets monétaires empilables",</v>
      </c>
      <c r="I65" s="19" t="str">
        <f>'Chaos Orb'!J4</f>
        <v>スタック可能カレンシー</v>
      </c>
      <c r="J65" s="11" t="str">
        <f>_xlfn.CONCAT("        StackableCurrency = """, I65, """,")</f>
        <v xml:space="preserve">        StackableCurrency = "スタック可能カレンシー",</v>
      </c>
      <c r="K65" s="19" t="str">
        <f>'Chaos Orb'!L4</f>
        <v>중첩 가능 화폐</v>
      </c>
      <c r="L65" s="11" t="str">
        <f>_xlfn.CONCAT("        StackableCurrency = """, K65, """,")</f>
        <v xml:space="preserve">        StackableCurrency = "중첩 가능 화폐",</v>
      </c>
      <c r="M65" s="19" t="str">
        <f>'Chaos Orb'!N4</f>
        <v>Moedas Empilháveis</v>
      </c>
      <c r="N65" s="11" t="str">
        <f>_xlfn.CONCAT("        StackableCurrency = """, M65, """,")</f>
        <v xml:space="preserve">        StackableCurrency = "Moedas Empilháveis",</v>
      </c>
      <c r="O65" s="19" t="str">
        <f>'Chaos Orb'!P4</f>
        <v>Валюта</v>
      </c>
      <c r="P65" s="11" t="str">
        <f>_xlfn.CONCAT("        StackableCurrency = """, O65, """,")</f>
        <v xml:space="preserve">        StackableCurrency = "Валюта",</v>
      </c>
      <c r="Q65" s="19" t="str">
        <f>'Chaos Orb'!R4</f>
        <v>เงินตรารวมกองได้</v>
      </c>
      <c r="R65" s="11" t="str">
        <f>_xlfn.CONCAT("        StackableCurrency = """, Q65, """,")</f>
        <v xml:space="preserve">        StackableCurrency = "เงินตรารวมกองได้",</v>
      </c>
      <c r="S65" s="19" t="e">
        <f>'Chaos Orb'!T4</f>
        <v>#N/A</v>
      </c>
      <c r="T65" s="11" t="e">
        <f>_xlfn.CONCAT("        StackableCurrency = """, S65, """,")</f>
        <v>#N/A</v>
      </c>
      <c r="V65" s="1" t="s">
        <v>743</v>
      </c>
    </row>
    <row r="66" spans="1:22" ht="15.95" customHeight="1" x14ac:dyDescent="0.25">
      <c r="A66" s="19" t="str">
        <f>Socketable!B4</f>
        <v>Socketable</v>
      </c>
      <c r="B66" s="11" t="str">
        <f>_xlfn.CONCAT("        Socketable = """, A66, """,")</f>
        <v xml:space="preserve">        Socketable = "Socketable",</v>
      </c>
      <c r="C66" s="19" t="str">
        <f>Socketable!D4</f>
        <v>Einfassbar</v>
      </c>
      <c r="D66" s="11" t="str">
        <f>_xlfn.CONCAT("        Socketable = """, C66, """,")</f>
        <v xml:space="preserve">        Socketable = "Einfassbar",</v>
      </c>
      <c r="E66" s="19" t="str">
        <f>Socketable!F4</f>
        <v>Engarzable</v>
      </c>
      <c r="F66" s="11" t="str">
        <f>_xlfn.CONCAT("        Socketable = """, E66, """,")</f>
        <v xml:space="preserve">        Socketable = "Engarzable",</v>
      </c>
      <c r="G66" s="19" t="str">
        <f>Socketable!H4</f>
        <v>Enchâssable</v>
      </c>
      <c r="H66" s="11" t="str">
        <f>_xlfn.CONCAT("        Socketable = """, G66, """,")</f>
        <v xml:space="preserve">        Socketable = "Enchâssable",</v>
      </c>
      <c r="I66" s="19" t="str">
        <f>Socketable!J4</f>
        <v>ソケット可能</v>
      </c>
      <c r="J66" s="11" t="str">
        <f>_xlfn.CONCAT("        Socketable = """, I66, """,")</f>
        <v xml:space="preserve">        Socketable = "ソケット可能",</v>
      </c>
      <c r="K66" s="19" t="str">
        <f>Socketable!L4</f>
        <v>홈에 장착 가능</v>
      </c>
      <c r="L66" s="11" t="str">
        <f>_xlfn.CONCAT("        Socketable = """, K66, """,")</f>
        <v xml:space="preserve">        Socketable = "홈에 장착 가능",</v>
      </c>
      <c r="M66" s="19" t="str">
        <f>Socketable!N4</f>
        <v>Encaixável</v>
      </c>
      <c r="N66" s="11" t="str">
        <f>_xlfn.CONCAT("        Socketable = """, M66, """,")</f>
        <v xml:space="preserve">        Socketable = "Encaixável",</v>
      </c>
      <c r="O66" s="19" t="str">
        <f>Socketable!P4</f>
        <v>Размещаемое</v>
      </c>
      <c r="P66" s="11" t="str">
        <f>_xlfn.CONCAT("        Socketable = """, O66, """,")</f>
        <v xml:space="preserve">        Socketable = "Размещаемое",</v>
      </c>
      <c r="Q66" s="19" t="str">
        <f>Socketable!R4</f>
        <v>ไอเทมใส่รู</v>
      </c>
      <c r="R66" s="11" t="str">
        <f>_xlfn.CONCAT("        Socketable = """, Q66, """,")</f>
        <v xml:space="preserve">        Socketable = "ไอเทมใส่รู",</v>
      </c>
      <c r="S66" s="19" t="str">
        <f>Socketable!T4</f>
        <v>可鑲嵌</v>
      </c>
      <c r="T66" s="11" t="str">
        <f>_xlfn.CONCAT("        Socketable = """, S66, """,")</f>
        <v xml:space="preserve">        Socketable = "可鑲嵌",</v>
      </c>
      <c r="V66" s="1" t="s">
        <v>7050</v>
      </c>
    </row>
    <row r="67" spans="1:22" ht="15.95" customHeight="1" x14ac:dyDescent="0.25">
      <c r="A67" s="19" t="str">
        <f>Omen!B4</f>
        <v>Omen</v>
      </c>
      <c r="B67" s="11" t="str">
        <f>_xlfn.CONCAT("        Omen = """, A67, """,")</f>
        <v xml:space="preserve">        Omen = "Omen",</v>
      </c>
      <c r="C67" s="19" t="str">
        <f>Omen!D4</f>
        <v>Omen</v>
      </c>
      <c r="D67" s="11" t="str">
        <f>_xlfn.CONCAT("        Omen = """, C67, """,")</f>
        <v xml:space="preserve">        Omen = "Omen",</v>
      </c>
      <c r="E67" s="19" t="str">
        <f>Omen!F4</f>
        <v>Augurio</v>
      </c>
      <c r="F67" s="11" t="str">
        <f>_xlfn.CONCAT("        Omen = """, E67, """,")</f>
        <v xml:space="preserve">        Omen = "Augurio",</v>
      </c>
      <c r="G67" s="19" t="str">
        <f>Omen!H4</f>
        <v>Présage</v>
      </c>
      <c r="H67" s="11" t="str">
        <f>_xlfn.CONCAT("        Omen = """, G67, """,")</f>
        <v xml:space="preserve">        Omen = "Présage",</v>
      </c>
      <c r="I67" s="19" t="str">
        <f>Omen!J4</f>
        <v>お告げ</v>
      </c>
      <c r="J67" s="11" t="str">
        <f>_xlfn.CONCAT("        Omen = """, I67, """,")</f>
        <v xml:space="preserve">        Omen = "お告げ",</v>
      </c>
      <c r="K67" s="19" t="str">
        <f>Omen!L4</f>
        <v>징조</v>
      </c>
      <c r="L67" s="11" t="str">
        <f>_xlfn.CONCAT("        Omen = """, K67, """,")</f>
        <v xml:space="preserve">        Omen = "징조",</v>
      </c>
      <c r="M67" s="19" t="str">
        <f>Omen!N4</f>
        <v>Presságio</v>
      </c>
      <c r="N67" s="11" t="str">
        <f>_xlfn.CONCAT("        Omen = """, M67, """,")</f>
        <v xml:space="preserve">        Omen = "Presságio",</v>
      </c>
      <c r="O67" s="19" t="str">
        <f>Omen!P4</f>
        <v>Предзнаменования</v>
      </c>
      <c r="P67" s="11" t="str">
        <f>_xlfn.CONCAT("        Omen = """, O67, """,")</f>
        <v xml:space="preserve">        Omen = "Предзнаменования",</v>
      </c>
      <c r="Q67" s="19" t="str">
        <f>Omen!R4</f>
        <v>ลางบอกเหตุ</v>
      </c>
      <c r="R67" s="11" t="str">
        <f>_xlfn.CONCAT("        Omen = """, Q67, """,")</f>
        <v xml:space="preserve">        Omen = "ลางบอกเหตุ",</v>
      </c>
      <c r="S67" s="19" t="str">
        <f>Omen!T4</f>
        <v>預兆</v>
      </c>
      <c r="T67" s="11" t="str">
        <f>_xlfn.CONCAT("        Omen = """, S67, """,")</f>
        <v xml:space="preserve">        Omen = "預兆",</v>
      </c>
      <c r="V67" s="1" t="s">
        <v>7137</v>
      </c>
    </row>
    <row r="68" spans="1:22" ht="15.95" customHeight="1" x14ac:dyDescent="0.25">
      <c r="A68" s="19" t="str">
        <f>Jewel!B4</f>
        <v>Jewels</v>
      </c>
      <c r="B68" s="11" t="str">
        <f>_xlfn.CONCAT("        Jewel = """, A68, """,")</f>
        <v xml:space="preserve">        Jewel = "Jewels",</v>
      </c>
      <c r="C68" s="19" t="str">
        <f>Jewel!D4</f>
        <v>Juwelen</v>
      </c>
      <c r="D68" s="11" t="str">
        <f>_xlfn.CONCAT("        Jewel = """, C68, """,")</f>
        <v xml:space="preserve">        Jewel = "Juwelen",</v>
      </c>
      <c r="E68" s="19" t="str">
        <f>Jewel!F4</f>
        <v>Joyas</v>
      </c>
      <c r="F68" s="11" t="str">
        <f>_xlfn.CONCAT("        Jewel = """, E68, """,")</f>
        <v xml:space="preserve">        Jewel = "Joyas",</v>
      </c>
      <c r="G68" s="19" t="str">
        <f>Jewel!H4</f>
        <v>Joyaux</v>
      </c>
      <c r="H68" s="11" t="str">
        <f>_xlfn.CONCAT("        Jewel = """, G68, """,")</f>
        <v xml:space="preserve">        Jewel = "Joyaux",</v>
      </c>
      <c r="I68" s="19" t="str">
        <f>Jewel!J4</f>
        <v>ジュエル</v>
      </c>
      <c r="J68" s="11" t="str">
        <f>_xlfn.CONCAT("        Jewel = """, I68, """,")</f>
        <v xml:space="preserve">        Jewel = "ジュエル",</v>
      </c>
      <c r="K68" s="19" t="str">
        <f>Jewel!L4</f>
        <v>주얼</v>
      </c>
      <c r="L68" s="11" t="str">
        <f>_xlfn.CONCAT("        Jewel = """, K68, """,")</f>
        <v xml:space="preserve">        Jewel = "주얼",</v>
      </c>
      <c r="M68" s="19" t="str">
        <f>Jewel!N4</f>
        <v>Joias</v>
      </c>
      <c r="N68" s="11" t="str">
        <f>_xlfn.CONCAT("        Jewel = """, M68, """,")</f>
        <v xml:space="preserve">        Jewel = "Joias",</v>
      </c>
      <c r="O68" s="19" t="str">
        <f>Jewel!P4</f>
        <v>Самоцветы</v>
      </c>
      <c r="P68" s="11" t="str">
        <f>_xlfn.CONCAT("        Jewel = """, O68, """,")</f>
        <v xml:space="preserve">        Jewel = "Самоцветы",</v>
      </c>
      <c r="Q68" s="19" t="str">
        <f>Jewel!R4</f>
        <v>จิวเวล</v>
      </c>
      <c r="R68" s="11" t="str">
        <f>_xlfn.CONCAT("        Jewel = """, Q68, """,")</f>
        <v xml:space="preserve">        Jewel = "จิวเวล",</v>
      </c>
      <c r="S68" s="19" t="e">
        <f>Jewel!T4</f>
        <v>#N/A</v>
      </c>
      <c r="T68" s="11" t="e">
        <f>_xlfn.CONCAT("        Jewel = """, S68, """,")</f>
        <v>#N/A</v>
      </c>
      <c r="V68" s="1" t="s">
        <v>744</v>
      </c>
    </row>
    <row r="69" spans="1:22" ht="15.95" customHeight="1" x14ac:dyDescent="0.25">
      <c r="A69" s="19" t="str">
        <f>Resonator!B4</f>
        <v>Delve Stackable Socketable Currency</v>
      </c>
      <c r="B69" s="11" t="str">
        <f>_xlfn.CONCAT("        DelveStackableSocketableCurrency = """, A69, """,")</f>
        <v xml:space="preserve">        DelveStackableSocketableCurrency = "Delve Stackable Socketable Currency",</v>
      </c>
      <c r="C69" s="19" t="str">
        <f>Resonator!D4</f>
        <v>Delve: Stapelbare, einfassbare Währung</v>
      </c>
      <c r="D69" s="11" t="str">
        <f>_xlfn.CONCAT("        DelveStackableSocketableCurrency = """, C69, """,")</f>
        <v xml:space="preserve">        DelveStackableSocketableCurrency = "Delve: Stapelbare, einfassbare Währung",</v>
      </c>
      <c r="E69" s="19" t="str">
        <f>Resonator!F4</f>
        <v>Objetos monetarios apilables y engarzables de Delve</v>
      </c>
      <c r="F69" s="11" t="str">
        <f>_xlfn.CONCAT("        DelveStackableSocketableCurrency = """, E69, """,")</f>
        <v xml:space="preserve">        DelveStackableSocketableCurrency = "Objetos monetarios apilables y engarzables de Delve",</v>
      </c>
      <c r="G69" s="19" t="str">
        <f>Resonator!H4</f>
        <v>Objets enchâssables et empilables Delve</v>
      </c>
      <c r="H69" s="11" t="str">
        <f>_xlfn.CONCAT("        DelveStackableSocketableCurrency = """, G69, """,")</f>
        <v xml:space="preserve">        DelveStackableSocketableCurrency = "Objets enchâssables et empilables Delve",</v>
      </c>
      <c r="I69" s="19" t="str">
        <f>Resonator!J4</f>
        <v>デルヴスタック可能ソケット可能カレンシー</v>
      </c>
      <c r="J69" s="11" t="str">
        <f>_xlfn.CONCAT("        DelveStackableSocketableCurrency = """, I69, """,")</f>
        <v xml:space="preserve">        DelveStackableSocketableCurrency = "デルヴスタック可能ソケット可能カレンシー",</v>
      </c>
      <c r="K69" s="19" t="str">
        <f>Resonator!L4</f>
        <v>탐광 중첩 및 결합형 화폐</v>
      </c>
      <c r="L69" s="11" t="str">
        <f>_xlfn.CONCAT("        DelveStackableSocketableCurrency = """, K69, """,")</f>
        <v xml:space="preserve">        DelveStackableSocketableCurrency = "탐광 중첩 및 결합형 화폐",</v>
      </c>
      <c r="M69" s="19" t="str">
        <f>Resonator!N4</f>
        <v>Item Monetário Aglomerável e Encaixável Delve</v>
      </c>
      <c r="N69" s="11" t="str">
        <f>_xlfn.CONCAT("        DelveStackableSocketableCurrency = """, M69, """,")</f>
        <v xml:space="preserve">        DelveStackableSocketableCurrency = "Item Monetário Aglomerável e Encaixável Delve",</v>
      </c>
      <c r="O69" s="19" t="str">
        <f>Resonator!P4</f>
        <v>Валюта Спуска</v>
      </c>
      <c r="P69" s="11" t="str">
        <f>_xlfn.CONCAT("        DelveStackableSocketableCurrency = """, O69, """,")</f>
        <v xml:space="preserve">        DelveStackableSocketableCurrency = "Валюта Спуска",</v>
      </c>
      <c r="Q69" s="19" t="str">
        <f>Resonator!R4</f>
        <v>เงินตรามีรูของเหมืองแบบรวมกองได้</v>
      </c>
      <c r="R69" s="11" t="str">
        <f>_xlfn.CONCAT("        DelveStackableSocketableCurrency = """, Q69, """,")</f>
        <v xml:space="preserve">        DelveStackableSocketableCurrency = "เงินตรามีรูของเหมืองแบบรวมกองได้",</v>
      </c>
      <c r="S69" s="19" t="e">
        <f>Resonator!T4</f>
        <v>#N/A</v>
      </c>
      <c r="T69" s="11" t="e">
        <f>_xlfn.CONCAT("        DelveStackableSocketableCurrency = """, S69, """,")</f>
        <v>#N/A</v>
      </c>
      <c r="V69" s="1" t="s">
        <v>745</v>
      </c>
    </row>
    <row r="70" spans="1:22" ht="15.95" customHeight="1" x14ac:dyDescent="0.25">
      <c r="A70" s="19" t="str">
        <f>'Metamorph Sample'!B4</f>
        <v>Metamorph Samples</v>
      </c>
      <c r="B70" s="11" t="str">
        <f>_xlfn.CONCAT("        MetamorphSample = """, A70, """,")</f>
        <v xml:space="preserve">        MetamorphSample = "Metamorph Samples",</v>
      </c>
      <c r="C70" s="19" t="str">
        <f>'Metamorph Sample'!D4</f>
        <v>Metamorph-Proben</v>
      </c>
      <c r="D70" s="11" t="str">
        <f>_xlfn.CONCAT("        MetamorphSample = """, C70, """,")</f>
        <v xml:space="preserve">        MetamorphSample = "Metamorph-Proben",</v>
      </c>
      <c r="E70" s="19" t="str">
        <f>'Metamorph Sample'!F4</f>
        <v>Muestras de metamorfo</v>
      </c>
      <c r="F70" s="11" t="str">
        <f>_xlfn.CONCAT("        MetamorphSample = """, E70, """,")</f>
        <v xml:space="preserve">        MetamorphSample = "Muestras de metamorfo",</v>
      </c>
      <c r="G70" s="19" t="str">
        <f>'Metamorph Sample'!H4</f>
        <v>Organes de Métamorphe</v>
      </c>
      <c r="H70" s="11" t="str">
        <f>_xlfn.CONCAT("        MetamorphSample = """, G70, """,")</f>
        <v xml:space="preserve">        MetamorphSample = "Organes de Métamorphe",</v>
      </c>
      <c r="I70" s="19" t="str">
        <f>'Metamorph Sample'!J4</f>
        <v>メタモルフサンプル</v>
      </c>
      <c r="J70" s="11" t="str">
        <f>_xlfn.CONCAT("        MetamorphSample = """, I70, """,")</f>
        <v xml:space="preserve">        MetamorphSample = "メタモルフサンプル",</v>
      </c>
      <c r="K70" s="19" t="str">
        <f>'Metamorph Sample'!L4</f>
        <v>변형 샘플</v>
      </c>
      <c r="L70" s="11" t="str">
        <f>_xlfn.CONCAT("        MetamorphSample = """, K70, """,")</f>
        <v xml:space="preserve">        MetamorphSample = "변형 샘플",</v>
      </c>
      <c r="M70" s="19" t="str">
        <f>'Metamorph Sample'!N4</f>
        <v>Amostras Metamorfas</v>
      </c>
      <c r="N70" s="11" t="str">
        <f>_xlfn.CONCAT("        MetamorphSample = """, M70, """,")</f>
        <v xml:space="preserve">        MetamorphSample = "Amostras Metamorfas",</v>
      </c>
      <c r="O70" s="19" t="str">
        <f>'Metamorph Sample'!P4</f>
        <v>Образцы Метаморфа</v>
      </c>
      <c r="P70" s="11" t="str">
        <f>_xlfn.CONCAT("        MetamorphSample = """, O70, """,")</f>
        <v xml:space="preserve">        MetamorphSample = "Образцы Метаморфа",</v>
      </c>
      <c r="Q70" s="19" t="str">
        <f>'Metamorph Sample'!R4</f>
        <v>ชิ้นส่วนตัวอย่างเมตามอร์ฟ</v>
      </c>
      <c r="R70" s="11" t="str">
        <f>_xlfn.CONCAT("        MetamorphSample = """, Q70, """,")</f>
        <v xml:space="preserve">        MetamorphSample = "ชิ้นส่วนตัวอย่างเมตามอร์ฟ",</v>
      </c>
      <c r="S70" s="19" t="e">
        <f>'Metamorph Sample'!T4</f>
        <v>#N/A</v>
      </c>
      <c r="T70" s="11" t="e">
        <f>_xlfn.CONCAT("        MetamorphSample = """, S70, """,")</f>
        <v>#N/A</v>
      </c>
      <c r="V70" s="1" t="s">
        <v>746</v>
      </c>
    </row>
    <row r="71" spans="1:22" ht="15.95" customHeight="1" x14ac:dyDescent="0.25">
      <c r="A71" s="19" t="str">
        <f>'Heist Tool'!B4</f>
        <v>Heist Tools</v>
      </c>
      <c r="B71" s="11" t="str">
        <f>_xlfn.CONCAT("        HeistTool = """, A71, """,")</f>
        <v xml:space="preserve">        HeistTool = "Heist Tools",</v>
      </c>
      <c r="C71" s="19" t="str">
        <f>'Heist Tool'!D4</f>
        <v>Heist-Werkzeug</v>
      </c>
      <c r="D71" s="11" t="str">
        <f>_xlfn.CONCAT("        HeistTool = """, C71, """,")</f>
        <v xml:space="preserve">        HeistTool = "Heist-Werkzeug",</v>
      </c>
      <c r="E71" s="19" t="str">
        <f>'Heist Tool'!F4</f>
        <v>Herramientas de Heist</v>
      </c>
      <c r="F71" s="11" t="str">
        <f>_xlfn.CONCAT("        HeistTool = """, E71, """,")</f>
        <v xml:space="preserve">        HeistTool = "Herramientas de Heist",</v>
      </c>
      <c r="G71" s="19" t="str">
        <f>'Heist Tool'!H4</f>
        <v>Outils de Malfaiteur</v>
      </c>
      <c r="H71" s="11" t="str">
        <f>_xlfn.CONCAT("        HeistTool = """, G71, """,")</f>
        <v xml:space="preserve">        HeistTool = "Outils de Malfaiteur",</v>
      </c>
      <c r="I71" s="19" t="str">
        <f>'Heist Tool'!J4</f>
        <v>ハイストツール</v>
      </c>
      <c r="J71" s="11" t="str">
        <f>_xlfn.CONCAT("        HeistTool = """, I71, """,")</f>
        <v xml:space="preserve">        HeistTool = "ハイストツール",</v>
      </c>
      <c r="K71" s="19" t="str">
        <f>'Heist Tool'!L4</f>
        <v>강탈 도구</v>
      </c>
      <c r="L71" s="11" t="str">
        <f>_xlfn.CONCAT("        HeistTool = """, K71, """,")</f>
        <v xml:space="preserve">        HeistTool = "강탈 도구",</v>
      </c>
      <c r="M71" s="19" t="str">
        <f>'Heist Tool'!N4</f>
        <v>Ferramentas Heist</v>
      </c>
      <c r="N71" s="11" t="str">
        <f>_xlfn.CONCAT("        HeistTool = """, M71, """,")</f>
        <v xml:space="preserve">        HeistTool = "Ferramentas Heist",</v>
      </c>
      <c r="O71" s="19" t="str">
        <f>'Heist Tool'!P4</f>
        <v>Разбойничий инструмент</v>
      </c>
      <c r="P71" s="11" t="str">
        <f>_xlfn.CONCAT("        HeistTool = """, O71, """,")</f>
        <v xml:space="preserve">        HeistTool = "Разбойничий инструмент",</v>
      </c>
      <c r="Q71" s="19" t="str">
        <f>'Heist Tool'!R4</f>
        <v>เครื่องมือกองโจร</v>
      </c>
      <c r="R71" s="11" t="str">
        <f>_xlfn.CONCAT("        HeistTool = """, Q71, """,")</f>
        <v xml:space="preserve">        HeistTool = "เครื่องมือกองโจร",</v>
      </c>
      <c r="S71" s="19" t="e">
        <f>'Heist Tool'!T4</f>
        <v>#N/A</v>
      </c>
      <c r="T71" s="11" t="e">
        <f>_xlfn.CONCAT("        HeistTool = """, S71, """,")</f>
        <v>#N/A</v>
      </c>
      <c r="V71" s="1" t="s">
        <v>747</v>
      </c>
    </row>
    <row r="72" spans="1:22" ht="15.95" customHeight="1" x14ac:dyDescent="0.25">
      <c r="A72" s="19" t="str">
        <f>'Foiled Amulet'!B4</f>
        <v>Amulets</v>
      </c>
      <c r="B72" s="11" t="str">
        <f>_xlfn.CONCAT("        Amulet = """, A72, """,")</f>
        <v xml:space="preserve">        Amulet = "Amulets",</v>
      </c>
      <c r="C72" s="19" t="str">
        <f>'Foiled Amulet'!D4</f>
        <v>Amulette</v>
      </c>
      <c r="D72" s="11" t="str">
        <f>_xlfn.CONCAT("        Amulet = """, C72, """,")</f>
        <v xml:space="preserve">        Amulet = "Amulette",</v>
      </c>
      <c r="E72" s="19" t="str">
        <f>'Foiled Amulet'!F4</f>
        <v>Amuletos</v>
      </c>
      <c r="F72" s="11" t="str">
        <f>_xlfn.CONCAT("        Amulet = """, E72, """,")</f>
        <v xml:space="preserve">        Amulet = "Amuletos",</v>
      </c>
      <c r="G72" s="19" t="str">
        <f>'Foiled Amulet'!H4</f>
        <v>Amulettes</v>
      </c>
      <c r="H72" s="11" t="str">
        <f>_xlfn.CONCAT("        Amulet = """, G72, """,")</f>
        <v xml:space="preserve">        Amulet = "Amulettes",</v>
      </c>
      <c r="I72" s="19" t="str">
        <f>'Foiled Amulet'!J4</f>
        <v>アミュレット</v>
      </c>
      <c r="J72" s="11" t="str">
        <f>_xlfn.CONCAT("        Amulet = """, I72, """,")</f>
        <v xml:space="preserve">        Amulet = "アミュレット",</v>
      </c>
      <c r="K72" s="19" t="str">
        <f>'Foiled Amulet'!L4</f>
        <v>목걸이</v>
      </c>
      <c r="L72" s="11" t="str">
        <f>_xlfn.CONCAT("        Amulet = """, K72, """,")</f>
        <v xml:space="preserve">        Amulet = "목걸이",</v>
      </c>
      <c r="M72" s="19" t="str">
        <f>'Foiled Amulet'!N4</f>
        <v>Amuletos</v>
      </c>
      <c r="N72" s="11" t="str">
        <f>_xlfn.CONCAT("        Amulet = """, M72, """,")</f>
        <v xml:space="preserve">        Amulet = "Amuletos",</v>
      </c>
      <c r="O72" s="19" t="str">
        <f>'Foiled Amulet'!P4</f>
        <v>Амулеты</v>
      </c>
      <c r="P72" s="11" t="str">
        <f>_xlfn.CONCAT("        Amulet = """, O72, """,")</f>
        <v xml:space="preserve">        Amulet = "Амулеты",</v>
      </c>
      <c r="Q72" s="19" t="str">
        <f>'Foiled Amulet'!R4</f>
        <v>สร้อย</v>
      </c>
      <c r="R72" s="11" t="str">
        <f>_xlfn.CONCAT("        Amulet = """, Q72, """,")</f>
        <v xml:space="preserve">        Amulet = "สร้อย",</v>
      </c>
      <c r="S72" s="19" t="e">
        <f>'Foiled Amulet'!T4</f>
        <v>#N/A</v>
      </c>
      <c r="T72" s="11" t="e">
        <f>_xlfn.CONCAT("        Amulet = """, S72, """,")</f>
        <v>#N/A</v>
      </c>
      <c r="V72" s="1" t="s">
        <v>748</v>
      </c>
    </row>
    <row r="73" spans="1:22" ht="15.95" customHeight="1" x14ac:dyDescent="0.25">
      <c r="A73" s="19" t="str">
        <f>'Unidentified ring'!B4</f>
        <v>Rings</v>
      </c>
      <c r="B73" s="11" t="str">
        <f>_xlfn.CONCAT("        Ring = """, A73, """,")</f>
        <v xml:space="preserve">        Ring = "Rings",</v>
      </c>
      <c r="C73" s="19" t="str">
        <f>'Unidentified ring'!D4</f>
        <v>Ringe</v>
      </c>
      <c r="D73" s="11" t="str">
        <f>_xlfn.CONCAT("        Ring = """, C73, """,")</f>
        <v xml:space="preserve">        Ring = "Ringe",</v>
      </c>
      <c r="E73" s="19" t="str">
        <f>'Unidentified ring'!F4</f>
        <v>Anillos</v>
      </c>
      <c r="F73" s="11" t="str">
        <f>_xlfn.CONCAT("        Ring = """, E73, """,")</f>
        <v xml:space="preserve">        Ring = "Anillos",</v>
      </c>
      <c r="G73" s="19" t="str">
        <f>'Unidentified ring'!H4</f>
        <v>Bagues</v>
      </c>
      <c r="H73" s="11" t="str">
        <f>_xlfn.CONCAT("        Ring = """, G73, """,")</f>
        <v xml:space="preserve">        Ring = "Bagues",</v>
      </c>
      <c r="I73" s="19" t="str">
        <f>'Unidentified ring'!J4</f>
        <v>指輪</v>
      </c>
      <c r="J73" s="11" t="str">
        <f>_xlfn.CONCAT("        Ring = """, I73, """,")</f>
        <v xml:space="preserve">        Ring = "指輪",</v>
      </c>
      <c r="K73" s="19" t="str">
        <f>'Unidentified ring'!L4</f>
        <v>반지</v>
      </c>
      <c r="L73" s="11" t="str">
        <f>_xlfn.CONCAT("        Ring = """, K73, """,")</f>
        <v xml:space="preserve">        Ring = "반지",</v>
      </c>
      <c r="M73" s="19" t="str">
        <f>'Unidentified ring'!N4</f>
        <v>Anéis</v>
      </c>
      <c r="N73" s="11" t="str">
        <f>_xlfn.CONCAT("        Ring = """, M73, """,")</f>
        <v xml:space="preserve">        Ring = "Anéis",</v>
      </c>
      <c r="O73" s="19" t="str">
        <f>'Unidentified ring'!P4</f>
        <v>Кольца</v>
      </c>
      <c r="P73" s="11" t="str">
        <f>_xlfn.CONCAT("        Ring = """, O73, """,")</f>
        <v xml:space="preserve">        Ring = "Кольца",</v>
      </c>
      <c r="Q73" s="19" t="str">
        <f>'Unidentified ring'!R4</f>
        <v>แหวน</v>
      </c>
      <c r="R73" s="11" t="str">
        <f>_xlfn.CONCAT("        Ring = """, Q73, """,")</f>
        <v xml:space="preserve">        Ring = "แหวน",</v>
      </c>
      <c r="S73" s="19" t="e">
        <f>'Unidentified ring'!T4</f>
        <v>#N/A</v>
      </c>
      <c r="T73" s="11" t="e">
        <f>_xlfn.CONCAT("        Ring = """, S73, """,")</f>
        <v>#N/A</v>
      </c>
      <c r="V73" s="1" t="s">
        <v>523</v>
      </c>
    </row>
    <row r="74" spans="1:22" ht="15.95" customHeight="1" x14ac:dyDescent="0.25">
      <c r="A74" s="19" t="str">
        <f>Belt!B4</f>
        <v>Belts</v>
      </c>
      <c r="B74" s="11" t="str">
        <f>_xlfn.CONCAT("        Belt = """, A74, """,")</f>
        <v xml:space="preserve">        Belt = "Belts",</v>
      </c>
      <c r="C74" s="19" t="str">
        <f>Belt!D4</f>
        <v>Gürtel</v>
      </c>
      <c r="D74" s="11" t="str">
        <f>_xlfn.CONCAT("        Belt = """, C74, """,")</f>
        <v xml:space="preserve">        Belt = "Gürtel",</v>
      </c>
      <c r="E74" s="19" t="str">
        <f>Belt!F4</f>
        <v>Cinturones</v>
      </c>
      <c r="F74" s="11" t="str">
        <f>_xlfn.CONCAT("        Belt = """, E74, """,")</f>
        <v xml:space="preserve">        Belt = "Cinturones",</v>
      </c>
      <c r="G74" s="19" t="str">
        <f>Belt!H4</f>
        <v>Ceintures</v>
      </c>
      <c r="H74" s="11" t="str">
        <f>_xlfn.CONCAT("        Belt = """, G74, """,")</f>
        <v xml:space="preserve">        Belt = "Ceintures",</v>
      </c>
      <c r="I74" s="19" t="str">
        <f>Belt!J4</f>
        <v>ベルト</v>
      </c>
      <c r="J74" s="11" t="str">
        <f>_xlfn.CONCAT("        Belt = """, I74, """,")</f>
        <v xml:space="preserve">        Belt = "ベルト",</v>
      </c>
      <c r="K74" s="19" t="str">
        <f>Belt!L4</f>
        <v>허리띠</v>
      </c>
      <c r="L74" s="11" t="str">
        <f>_xlfn.CONCAT("        Belt = """, K74, """,")</f>
        <v xml:space="preserve">        Belt = "허리띠",</v>
      </c>
      <c r="M74" s="19" t="str">
        <f>Belt!N4</f>
        <v>Cintos</v>
      </c>
      <c r="N74" s="11" t="str">
        <f>_xlfn.CONCAT("        Belt = """, M74, """,")</f>
        <v xml:space="preserve">        Belt = "Cintos",</v>
      </c>
      <c r="O74" s="19" t="str">
        <f>Belt!P4</f>
        <v>Пояса</v>
      </c>
      <c r="P74" s="11" t="str">
        <f>_xlfn.CONCAT("        Belt = """, O74, """,")</f>
        <v xml:space="preserve">        Belt = "Пояса",</v>
      </c>
      <c r="Q74" s="19" t="str">
        <f>Belt!R4</f>
        <v>เข็มขัด</v>
      </c>
      <c r="R74" s="11" t="str">
        <f>_xlfn.CONCAT("        Belt = """, Q74, """,")</f>
        <v xml:space="preserve">        Belt = "เข็มขัด",</v>
      </c>
      <c r="S74" s="19" t="e">
        <f>Belt!T4</f>
        <v>#N/A</v>
      </c>
      <c r="T74" s="11" t="e">
        <f>_xlfn.CONCAT("        Belt = """, S74, """,")</f>
        <v>#N/A</v>
      </c>
      <c r="V74" s="1" t="s">
        <v>524</v>
      </c>
    </row>
    <row r="75" spans="1:22" ht="15.95" customHeight="1" x14ac:dyDescent="0.25">
      <c r="A75" s="19" t="str">
        <f>Gloves!B4</f>
        <v>Gloves</v>
      </c>
      <c r="B75" s="11" t="str">
        <f>_xlfn.CONCAT("        Gloves = """, A75, """,")</f>
        <v xml:space="preserve">        Gloves = "Gloves",</v>
      </c>
      <c r="C75" s="19" t="str">
        <f>Gloves!D4</f>
        <v>Handschuhe</v>
      </c>
      <c r="D75" s="11" t="str">
        <f>_xlfn.CONCAT("        Gloves = """, C75, """,")</f>
        <v xml:space="preserve">        Gloves = "Handschuhe",</v>
      </c>
      <c r="E75" s="19" t="str">
        <f>Gloves!F4</f>
        <v>Guantes</v>
      </c>
      <c r="F75" s="11" t="str">
        <f>_xlfn.CONCAT("        Gloves = """, E75, """,")</f>
        <v xml:space="preserve">        Gloves = "Guantes",</v>
      </c>
      <c r="G75" s="19" t="str">
        <f>Gloves!H4</f>
        <v>Gants</v>
      </c>
      <c r="H75" s="11" t="str">
        <f>_xlfn.CONCAT("        Gloves = """, G75, """,")</f>
        <v xml:space="preserve">        Gloves = "Gants",</v>
      </c>
      <c r="I75" s="19" t="str">
        <f>Gloves!J4</f>
        <v>手袋</v>
      </c>
      <c r="J75" s="11" t="str">
        <f>_xlfn.CONCAT("        Gloves = """, I75, """,")</f>
        <v xml:space="preserve">        Gloves = "手袋",</v>
      </c>
      <c r="K75" s="19" t="str">
        <f>Gloves!L4</f>
        <v>장갑</v>
      </c>
      <c r="L75" s="11" t="str">
        <f>_xlfn.CONCAT("        Gloves = """, K75, """,")</f>
        <v xml:space="preserve">        Gloves = "장갑",</v>
      </c>
      <c r="M75" s="19" t="str">
        <f>Gloves!N4</f>
        <v>Luvas</v>
      </c>
      <c r="N75" s="11" t="str">
        <f>_xlfn.CONCAT("        Gloves = """, M75, """,")</f>
        <v xml:space="preserve">        Gloves = "Luvas",</v>
      </c>
      <c r="O75" s="19" t="str">
        <f>Gloves!P4</f>
        <v>Перчатки</v>
      </c>
      <c r="P75" s="11" t="str">
        <f>_xlfn.CONCAT("        Gloves = """, O75, """,")</f>
        <v xml:space="preserve">        Gloves = "Перчатки",</v>
      </c>
      <c r="Q75" s="19" t="str">
        <f>Gloves!R4</f>
        <v>ถุงมือ</v>
      </c>
      <c r="R75" s="11" t="str">
        <f>_xlfn.CONCAT("        Gloves = """, Q75, """,")</f>
        <v xml:space="preserve">        Gloves = "ถุงมือ",</v>
      </c>
      <c r="S75" s="19" t="e">
        <f>Gloves!T4</f>
        <v>#N/A</v>
      </c>
      <c r="T75" s="11" t="e">
        <f>_xlfn.CONCAT("        Gloves = """, S75, """,")</f>
        <v>#N/A</v>
      </c>
      <c r="V75" s="1" t="s">
        <v>75</v>
      </c>
    </row>
    <row r="76" spans="1:22" ht="15.95" customHeight="1" x14ac:dyDescent="0.25">
      <c r="A76" s="19" t="str">
        <f>Boots!B4</f>
        <v>Boots</v>
      </c>
      <c r="B76" s="11" t="str">
        <f>_xlfn.CONCAT("        Boots = """, A76, """,")</f>
        <v xml:space="preserve">        Boots = "Boots",</v>
      </c>
      <c r="C76" s="19" t="str">
        <f>Boots!D4</f>
        <v>Stiefel</v>
      </c>
      <c r="D76" s="11" t="str">
        <f>_xlfn.CONCAT("        Boots = """, C76, """,")</f>
        <v xml:space="preserve">        Boots = "Stiefel",</v>
      </c>
      <c r="E76" s="19" t="str">
        <f>Boots!F4</f>
        <v>Botas</v>
      </c>
      <c r="F76" s="11" t="str">
        <f>_xlfn.CONCAT("        Boots = """, E76, """,")</f>
        <v xml:space="preserve">        Boots = "Botas",</v>
      </c>
      <c r="G76" s="19" t="str">
        <f>Boots!H4</f>
        <v>Bottes</v>
      </c>
      <c r="H76" s="11" t="str">
        <f>_xlfn.CONCAT("        Boots = """, G76, """,")</f>
        <v xml:space="preserve">        Boots = "Bottes",</v>
      </c>
      <c r="I76" s="19" t="str">
        <f>Boots!J4</f>
        <v>靴</v>
      </c>
      <c r="J76" s="11" t="str">
        <f>_xlfn.CONCAT("        Boots = """, I76, """,")</f>
        <v xml:space="preserve">        Boots = "靴",</v>
      </c>
      <c r="K76" s="19" t="str">
        <f>Boots!L4</f>
        <v>장화</v>
      </c>
      <c r="L76" s="11" t="str">
        <f>_xlfn.CONCAT("        Boots = """, K76, """,")</f>
        <v xml:space="preserve">        Boots = "장화",</v>
      </c>
      <c r="M76" s="19" t="str">
        <f>Boots!N4</f>
        <v>Botas</v>
      </c>
      <c r="N76" s="11" t="str">
        <f>_xlfn.CONCAT("        Boots = """, M76, """,")</f>
        <v xml:space="preserve">        Boots = "Botas",</v>
      </c>
      <c r="O76" s="19" t="str">
        <f>Boots!P4</f>
        <v>Обувь</v>
      </c>
      <c r="P76" s="11" t="str">
        <f>_xlfn.CONCAT("        Boots = """, O76, """,")</f>
        <v xml:space="preserve">        Boots = "Обувь",</v>
      </c>
      <c r="Q76" s="19" t="str">
        <f>Boots!R4</f>
        <v>รองเท้า</v>
      </c>
      <c r="R76" s="11" t="str">
        <f>_xlfn.CONCAT("        Boots = """, Q76, """,")</f>
        <v xml:space="preserve">        Boots = "รองเท้า",</v>
      </c>
      <c r="S76" s="19" t="e">
        <f>Boots!T4</f>
        <v>#N/A</v>
      </c>
      <c r="T76" s="11" t="e">
        <f>_xlfn.CONCAT("        Boots = """, S76, """,")</f>
        <v>#N/A</v>
      </c>
      <c r="V76" s="1" t="s">
        <v>76</v>
      </c>
    </row>
    <row r="77" spans="1:22" ht="15.95" customHeight="1" x14ac:dyDescent="0.25">
      <c r="A77" s="19" t="str">
        <f>'Carcass Jack'!B4</f>
        <v>Body Armours</v>
      </c>
      <c r="B77" s="11" t="str">
        <f>_xlfn.CONCAT("        BodyArmours = """, A77, """,")</f>
        <v xml:space="preserve">        BodyArmours = "Body Armours",</v>
      </c>
      <c r="C77" s="19" t="str">
        <f>'Carcass Jack'!D4</f>
        <v>Körperrüstungen</v>
      </c>
      <c r="D77" s="11" t="str">
        <f>_xlfn.CONCAT("        BodyArmours = """, C77, """,")</f>
        <v xml:space="preserve">        BodyArmours = "Körperrüstungen",</v>
      </c>
      <c r="E77" s="19" t="str">
        <f>'Carcass Jack'!F4</f>
        <v>Armaduras corporales</v>
      </c>
      <c r="F77" s="11" t="str">
        <f>_xlfn.CONCAT("        BodyArmours = """, E77, """,")</f>
        <v xml:space="preserve">        BodyArmours = "Armaduras corporales",</v>
      </c>
      <c r="G77" s="19" t="str">
        <f>'Carcass Jack'!H4</f>
        <v>Armures</v>
      </c>
      <c r="H77" s="11" t="str">
        <f>_xlfn.CONCAT("        BodyArmours = """, G77, """,")</f>
        <v xml:space="preserve">        BodyArmours = "Armures",</v>
      </c>
      <c r="I77" s="19" t="str">
        <f>'Carcass Jack'!J4</f>
        <v>鎧</v>
      </c>
      <c r="J77" s="11" t="str">
        <f>_xlfn.CONCAT("        BodyArmours = """, I77, """,")</f>
        <v xml:space="preserve">        BodyArmours = "鎧",</v>
      </c>
      <c r="K77" s="19" t="str">
        <f>'Carcass Jack'!L4</f>
        <v>갑옷</v>
      </c>
      <c r="L77" s="11" t="str">
        <f>_xlfn.CONCAT("        BodyArmours = """, K77, """,")</f>
        <v xml:space="preserve">        BodyArmours = "갑옷",</v>
      </c>
      <c r="M77" s="19" t="str">
        <f>'Carcass Jack'!N4</f>
        <v>Peitorais</v>
      </c>
      <c r="N77" s="11" t="str">
        <f>_xlfn.CONCAT("        BodyArmours = """, M77, """,")</f>
        <v xml:space="preserve">        BodyArmours = "Peitorais",</v>
      </c>
      <c r="O77" s="19" t="str">
        <f>'Carcass Jack'!P4</f>
        <v>Доспехи</v>
      </c>
      <c r="P77" s="11" t="str">
        <f>_xlfn.CONCAT("        BodyArmours = """, O77, """,")</f>
        <v xml:space="preserve">        BodyArmours = "Доспехи",</v>
      </c>
      <c r="Q77" s="19" t="str">
        <f>'Carcass Jack'!R4</f>
        <v>เสื้อเกราะ</v>
      </c>
      <c r="R77" s="11" t="str">
        <f>_xlfn.CONCAT("        BodyArmours = """, Q77, """,")</f>
        <v xml:space="preserve">        BodyArmours = "เสื้อเกราะ",</v>
      </c>
      <c r="S77" s="19" t="e">
        <f>'Carcass Jack'!T4</f>
        <v>#N/A</v>
      </c>
      <c r="T77" s="11" t="e">
        <f>_xlfn.CONCAT("        BodyArmours = """, S77, """,")</f>
        <v>#N/A</v>
      </c>
      <c r="V77" s="1" t="s">
        <v>525</v>
      </c>
    </row>
    <row r="78" spans="1:22" ht="15.95" customHeight="1" x14ac:dyDescent="0.25">
      <c r="A78" s="19" t="str">
        <f>Abyssus!B4</f>
        <v>Helmets</v>
      </c>
      <c r="B78" s="11" t="str">
        <f>_xlfn.CONCAT("        Helmets = """, A78, """,")</f>
        <v xml:space="preserve">        Helmets = "Helmets",</v>
      </c>
      <c r="C78" s="19" t="str">
        <f>Abyssus!D4</f>
        <v>Helme</v>
      </c>
      <c r="D78" s="11" t="str">
        <f>_xlfn.CONCAT("        Helmets = """, C78, """,")</f>
        <v xml:space="preserve">        Helmets = "Helme",</v>
      </c>
      <c r="E78" s="19" t="str">
        <f>Abyssus!F4</f>
        <v>Cascos</v>
      </c>
      <c r="F78" s="11" t="str">
        <f>_xlfn.CONCAT("        Helmets = """, E78, """,")</f>
        <v xml:space="preserve">        Helmets = "Cascos",</v>
      </c>
      <c r="G78" s="19" t="str">
        <f>Abyssus!H4</f>
        <v>Casques</v>
      </c>
      <c r="H78" s="11" t="str">
        <f>_xlfn.CONCAT("        Helmets = """, G78, """,")</f>
        <v xml:space="preserve">        Helmets = "Casques",</v>
      </c>
      <c r="I78" s="19" t="str">
        <f>Abyssus!J4</f>
        <v>兜</v>
      </c>
      <c r="J78" s="11" t="str">
        <f>_xlfn.CONCAT("        Helmets = """, I78, """,")</f>
        <v xml:space="preserve">        Helmets = "兜",</v>
      </c>
      <c r="K78" s="19" t="str">
        <f>Abyssus!L4</f>
        <v>투구</v>
      </c>
      <c r="L78" s="11" t="str">
        <f>_xlfn.CONCAT("        Helmets = """, K78, """,")</f>
        <v xml:space="preserve">        Helmets = "투구",</v>
      </c>
      <c r="M78" s="19" t="str">
        <f>Abyssus!N4</f>
        <v>Elmos</v>
      </c>
      <c r="N78" s="11" t="str">
        <f>_xlfn.CONCAT("        Helmets = """, M78, """,")</f>
        <v xml:space="preserve">        Helmets = "Elmos",</v>
      </c>
      <c r="O78" s="19" t="str">
        <f>Abyssus!P4</f>
        <v>Шлемы</v>
      </c>
      <c r="P78" s="11" t="str">
        <f>_xlfn.CONCAT("        Helmets = """, O78, """,")</f>
        <v xml:space="preserve">        Helmets = "Шлемы",</v>
      </c>
      <c r="Q78" s="19" t="str">
        <f>Abyssus!R4</f>
        <v>หมวก</v>
      </c>
      <c r="R78" s="11" t="str">
        <f>_xlfn.CONCAT("        Helmets = """, Q78, """,")</f>
        <v xml:space="preserve">        Helmets = "หมวก",</v>
      </c>
      <c r="S78" s="19" t="e">
        <f>Abyssus!T4</f>
        <v>#N/A</v>
      </c>
      <c r="T78" s="11" t="e">
        <f>_xlfn.CONCAT("        Helmets = """, S78, """,")</f>
        <v>#N/A</v>
      </c>
      <c r="V78" s="1" t="s">
        <v>77</v>
      </c>
    </row>
    <row r="79" spans="1:22" ht="15.95" customHeight="1" x14ac:dyDescent="0.25">
      <c r="A79" s="19" t="str">
        <f>Mistwall!B4</f>
        <v>Shields</v>
      </c>
      <c r="B79" s="11" t="str">
        <f>_xlfn.CONCAT("        Shields = """, A79, """,")</f>
        <v xml:space="preserve">        Shields = "Shields",</v>
      </c>
      <c r="C79" s="19" t="str">
        <f>Mistwall!D4</f>
        <v>Schilde</v>
      </c>
      <c r="D79" s="11" t="str">
        <f>_xlfn.CONCAT("        Shields = """, C79, """,")</f>
        <v xml:space="preserve">        Shields = "Schilde",</v>
      </c>
      <c r="E79" s="19" t="str">
        <f>Mistwall!F4</f>
        <v>Escudos</v>
      </c>
      <c r="F79" s="11" t="str">
        <f>_xlfn.CONCAT("        Shields = """, E79, """,")</f>
        <v xml:space="preserve">        Shields = "Escudos",</v>
      </c>
      <c r="G79" s="19" t="str">
        <f>Mistwall!H4</f>
        <v>Boucliers</v>
      </c>
      <c r="H79" s="11" t="str">
        <f>_xlfn.CONCAT("        Shields = """, G79, """,")</f>
        <v xml:space="preserve">        Shields = "Boucliers",</v>
      </c>
      <c r="I79" s="19" t="str">
        <f>Mistwall!J4</f>
        <v>盾</v>
      </c>
      <c r="J79" s="11" t="str">
        <f>_xlfn.CONCAT("        Shields = """, I79, """,")</f>
        <v xml:space="preserve">        Shields = "盾",</v>
      </c>
      <c r="K79" s="19" t="str">
        <f>Mistwall!L4</f>
        <v>방패</v>
      </c>
      <c r="L79" s="11" t="str">
        <f>_xlfn.CONCAT("        Shields = """, K79, """,")</f>
        <v xml:space="preserve">        Shields = "방패",</v>
      </c>
      <c r="M79" s="19" t="str">
        <f>Mistwall!N4</f>
        <v>Escudos</v>
      </c>
      <c r="N79" s="11" t="str">
        <f>_xlfn.CONCAT("        Shields = """, M79, """,")</f>
        <v xml:space="preserve">        Shields = "Escudos",</v>
      </c>
      <c r="O79" s="19" t="str">
        <f>Mistwall!P4</f>
        <v>Щиты</v>
      </c>
      <c r="P79" s="11" t="str">
        <f>_xlfn.CONCAT("        Shields = """, O79, """,")</f>
        <v xml:space="preserve">        Shields = "Щиты",</v>
      </c>
      <c r="Q79" s="19" t="str">
        <f>Mistwall!R4</f>
        <v>โล่</v>
      </c>
      <c r="R79" s="11" t="str">
        <f>_xlfn.CONCAT("        Shields = """, Q79, """,")</f>
        <v xml:space="preserve">        Shields = "โล่",</v>
      </c>
      <c r="S79" s="19" t="e">
        <f>Mistwall!T4</f>
        <v>#N/A</v>
      </c>
      <c r="T79" s="11" t="e">
        <f>_xlfn.CONCAT("        Shields = """, S79, """,")</f>
        <v>#N/A</v>
      </c>
      <c r="V79" s="1" t="s">
        <v>78</v>
      </c>
    </row>
    <row r="80" spans="1:22" ht="15.95" customHeight="1" x14ac:dyDescent="0.25">
      <c r="A80" s="19" t="str">
        <f>Quiver!B4</f>
        <v>Quivers</v>
      </c>
      <c r="B80" s="11" t="str">
        <f>_xlfn.CONCAT("        Quivers = """, A80, """,")</f>
        <v xml:space="preserve">        Quivers = "Quivers",</v>
      </c>
      <c r="C80" s="19" t="str">
        <f>Quiver!D4</f>
        <v>Köcher</v>
      </c>
      <c r="D80" s="11" t="str">
        <f>_xlfn.CONCAT("        Quivers = """, C80, """,")</f>
        <v xml:space="preserve">        Quivers = "Köcher",</v>
      </c>
      <c r="E80" s="19" t="str">
        <f>Quiver!F4</f>
        <v>Carcajes</v>
      </c>
      <c r="F80" s="11" t="str">
        <f>_xlfn.CONCAT("        Quivers = """, E80, """,")</f>
        <v xml:space="preserve">        Quivers = "Carcajes",</v>
      </c>
      <c r="G80" s="19" t="str">
        <f>Quiver!H4</f>
        <v>Carquois</v>
      </c>
      <c r="H80" s="11" t="str">
        <f>_xlfn.CONCAT("        Quivers = """, G80, """,")</f>
        <v xml:space="preserve">        Quivers = "Carquois",</v>
      </c>
      <c r="I80" s="19" t="str">
        <f>Quiver!J4</f>
        <v>矢筒</v>
      </c>
      <c r="J80" s="11" t="str">
        <f>_xlfn.CONCAT("        Quivers = """, I80, """,")</f>
        <v xml:space="preserve">        Quivers = "矢筒",</v>
      </c>
      <c r="K80" s="19" t="str">
        <f>Quiver!L4</f>
        <v>화살통</v>
      </c>
      <c r="L80" s="11" t="str">
        <f>_xlfn.CONCAT("        Quivers = """, K80, """,")</f>
        <v xml:space="preserve">        Quivers = "화살통",</v>
      </c>
      <c r="M80" s="19" t="str">
        <f>Quiver!N4</f>
        <v>Aljavas</v>
      </c>
      <c r="N80" s="11" t="str">
        <f>_xlfn.CONCAT("        Quivers = """, M80, """,")</f>
        <v xml:space="preserve">        Quivers = "Aljavas",</v>
      </c>
      <c r="O80" s="19" t="str">
        <f>Quiver!P4</f>
        <v>Колчаны</v>
      </c>
      <c r="P80" s="11" t="str">
        <f>_xlfn.CONCAT("        Quivers = """, O80, """,")</f>
        <v xml:space="preserve">        Quivers = "Колчаны",</v>
      </c>
      <c r="Q80" s="19" t="str">
        <f>Quiver!R4</f>
        <v>ซองธนู</v>
      </c>
      <c r="R80" s="11" t="str">
        <f>_xlfn.CONCAT("        Quivers = """, Q80, """,")</f>
        <v xml:space="preserve">        Quivers = "ซองธนู",</v>
      </c>
      <c r="S80" s="19" t="e">
        <f>Quiver!T4</f>
        <v>#N/A</v>
      </c>
      <c r="T80" s="11" t="e">
        <f>_xlfn.CONCAT("        Quivers = """, S80, """,")</f>
        <v>#N/A</v>
      </c>
      <c r="V80" s="1" t="s">
        <v>79</v>
      </c>
    </row>
    <row r="81" spans="1:22" ht="15.95" customHeight="1" x14ac:dyDescent="0.25">
      <c r="A81" s="19" t="str">
        <f>Focus!B4</f>
        <v>Foci</v>
      </c>
      <c r="B81" s="11" t="str">
        <f>_xlfn.CONCAT("        Focus = """, A81, """,")</f>
        <v xml:space="preserve">        Focus = "Foci",</v>
      </c>
      <c r="C81" s="19" t="str">
        <f>Focus!D4</f>
        <v>Fokusse</v>
      </c>
      <c r="D81" s="11" t="str">
        <f>_xlfn.CONCAT("        Focus = """, C81, """,")</f>
        <v xml:space="preserve">        Focus = "Fokusse",</v>
      </c>
      <c r="E81" s="19" t="str">
        <f>Focus!F4</f>
        <v>Focos</v>
      </c>
      <c r="F81" s="11" t="str">
        <f>_xlfn.CONCAT("        Focus = """, E81, """,")</f>
        <v xml:space="preserve">        Focus = "Focos",</v>
      </c>
      <c r="G81" s="19" t="str">
        <f>Focus!H4</f>
        <v>Focus</v>
      </c>
      <c r="H81" s="11" t="str">
        <f>_xlfn.CONCAT("        Focus = """, G81, """,")</f>
        <v xml:space="preserve">        Focus = "Focus",</v>
      </c>
      <c r="I81" s="19" t="str">
        <f>Focus!J4</f>
        <v>フォーカス</v>
      </c>
      <c r="J81" s="11" t="str">
        <f>_xlfn.CONCAT("        Focus = """, I81, """,")</f>
        <v xml:space="preserve">        Focus = "フォーカス",</v>
      </c>
      <c r="K81" s="19" t="str">
        <f>Focus!L4</f>
        <v>집중구</v>
      </c>
      <c r="L81" s="11" t="str">
        <f>_xlfn.CONCAT("        Focus = """, K81, """,")</f>
        <v xml:space="preserve">        Focus = "집중구",</v>
      </c>
      <c r="M81" s="19" t="str">
        <f>Focus!N4</f>
        <v>Focos</v>
      </c>
      <c r="N81" s="11" t="str">
        <f>_xlfn.CONCAT("        Focus = """, M81, """,")</f>
        <v xml:space="preserve">        Focus = "Focos",</v>
      </c>
      <c r="O81" s="19" t="str">
        <f>Focus!P4</f>
        <v>Фокусы</v>
      </c>
      <c r="P81" s="11" t="str">
        <f>_xlfn.CONCAT("        Focus = """, O81, """,")</f>
        <v xml:space="preserve">        Focus = "Фокусы",</v>
      </c>
      <c r="Q81" s="19" t="str">
        <f>Focus!R4</f>
        <v>โฟกัส</v>
      </c>
      <c r="R81" s="11" t="str">
        <f>_xlfn.CONCAT("        Focus = """, Q81, """,")</f>
        <v xml:space="preserve">        Focus = "โฟกัส",</v>
      </c>
      <c r="S81" s="19" t="str">
        <f>Focus!T4</f>
        <v>法器</v>
      </c>
      <c r="T81" s="11" t="str">
        <f>_xlfn.CONCAT("        Focus = """, S81, """,")</f>
        <v xml:space="preserve">        Focus = "法器",</v>
      </c>
      <c r="V81" s="1" t="s">
        <v>7110</v>
      </c>
    </row>
    <row r="82" spans="1:22" ht="15.95" customHeight="1" x14ac:dyDescent="0.25">
      <c r="A82" s="19" t="str">
        <f>'Life Flask'!B4</f>
        <v>Life Flasks</v>
      </c>
      <c r="B82" s="11" t="str">
        <f>_xlfn.CONCAT("        LifeFlasks = """, A82, """,")</f>
        <v xml:space="preserve">        LifeFlasks = "Life Flasks",</v>
      </c>
      <c r="C82" s="19" t="str">
        <f>'Life Flask'!D4</f>
        <v>Lebensfläschchen</v>
      </c>
      <c r="D82" s="11" t="str">
        <f>_xlfn.CONCAT("        LifeFlasks = """, C82, """,")</f>
        <v xml:space="preserve">        LifeFlasks = "Lebensfläschchen",</v>
      </c>
      <c r="E82" s="19" t="str">
        <f>'Life Flask'!F4</f>
        <v>Frascos de vida</v>
      </c>
      <c r="F82" s="11" t="str">
        <f>_xlfn.CONCAT("        LifeFlasks = """, E82, """,")</f>
        <v xml:space="preserve">        LifeFlasks = "Frascos de vida",</v>
      </c>
      <c r="G82" s="19" t="str">
        <f>'Life Flask'!H4</f>
        <v>Flacons de Vie</v>
      </c>
      <c r="H82" s="11" t="str">
        <f>_xlfn.CONCAT("        LifeFlasks = """, G82, """,")</f>
        <v xml:space="preserve">        LifeFlasks = "Flacons de Vie",</v>
      </c>
      <c r="I82" s="19" t="str">
        <f>'Life Flask'!J4</f>
        <v>ライフフラスコ</v>
      </c>
      <c r="J82" s="11" t="str">
        <f>_xlfn.CONCAT("        LifeFlasks = """, I82, """,")</f>
        <v xml:space="preserve">        LifeFlasks = "ライフフラスコ",</v>
      </c>
      <c r="K82" s="19" t="str">
        <f>'Life Flask'!L4</f>
        <v>생명력 플라스크</v>
      </c>
      <c r="L82" s="11" t="str">
        <f>_xlfn.CONCAT("        LifeFlasks = """, K82, """,")</f>
        <v xml:space="preserve">        LifeFlasks = "생명력 플라스크",</v>
      </c>
      <c r="M82" s="19" t="str">
        <f>'Life Flask'!N4</f>
        <v>Frascos de Vida</v>
      </c>
      <c r="N82" s="11" t="str">
        <f>_xlfn.CONCAT("        LifeFlasks = """, M82, """,")</f>
        <v xml:space="preserve">        LifeFlasks = "Frascos de Vida",</v>
      </c>
      <c r="O82" s="19" t="str">
        <f>'Life Flask'!P4</f>
        <v>Флаконы жизни</v>
      </c>
      <c r="P82" s="11" t="str">
        <f>_xlfn.CONCAT("        LifeFlasks = """, O82, """,")</f>
        <v xml:space="preserve">        LifeFlasks = "Флаконы жизни",</v>
      </c>
      <c r="Q82" s="19" t="str">
        <f>'Life Flask'!R4</f>
        <v>ขวดยาพลังชีวิต</v>
      </c>
      <c r="R82" s="11" t="str">
        <f>_xlfn.CONCAT("        LifeFlasks = """, Q82, """,")</f>
        <v xml:space="preserve">        LifeFlasks = "ขวดยาพลังชีวิต",</v>
      </c>
      <c r="S82" s="19" t="e">
        <f>'Life Flask'!T4</f>
        <v>#N/A</v>
      </c>
      <c r="T82" s="11" t="e">
        <f>_xlfn.CONCAT("        LifeFlasks = """, S82, """,")</f>
        <v>#N/A</v>
      </c>
      <c r="V82" s="1" t="s">
        <v>749</v>
      </c>
    </row>
    <row r="83" spans="1:22" ht="15.95" customHeight="1" x14ac:dyDescent="0.25">
      <c r="A83" s="19" t="str">
        <f>'Mana Flask'!B4</f>
        <v>Mana Flasks</v>
      </c>
      <c r="B83" s="11" t="str">
        <f>_xlfn.CONCAT("        ManaFlasks = """, A83, """,")</f>
        <v xml:space="preserve">        ManaFlasks = "Mana Flasks",</v>
      </c>
      <c r="C83" s="19" t="str">
        <f>'Mana Flask'!D4</f>
        <v>Manafläschchen</v>
      </c>
      <c r="D83" s="11" t="str">
        <f>_xlfn.CONCAT("        ManaFlasks = """, C83, """,")</f>
        <v xml:space="preserve">        ManaFlasks = "Manafläschchen",</v>
      </c>
      <c r="E83" s="19" t="str">
        <f>'Mana Flask'!F4</f>
        <v>Frascos de maná</v>
      </c>
      <c r="F83" s="11" t="str">
        <f>_xlfn.CONCAT("        ManaFlasks = """, E83, """,")</f>
        <v xml:space="preserve">        ManaFlasks = "Frascos de maná",</v>
      </c>
      <c r="G83" s="19" t="str">
        <f>'Mana Flask'!H4</f>
        <v>Flacons de Mana</v>
      </c>
      <c r="H83" s="11" t="str">
        <f>_xlfn.CONCAT("        ManaFlasks = """, G83, """,")</f>
        <v xml:space="preserve">        ManaFlasks = "Flacons de Mana",</v>
      </c>
      <c r="I83" s="19" t="str">
        <f>'Mana Flask'!J4</f>
        <v>マナフラスコ</v>
      </c>
      <c r="J83" s="11" t="str">
        <f>_xlfn.CONCAT("        ManaFlasks = """, I83, """,")</f>
        <v xml:space="preserve">        ManaFlasks = "マナフラスコ",</v>
      </c>
      <c r="K83" s="19" t="str">
        <f>'Mana Flask'!L4</f>
        <v>마나 플라스크</v>
      </c>
      <c r="L83" s="11" t="str">
        <f>_xlfn.CONCAT("        ManaFlasks = """, K83, """,")</f>
        <v xml:space="preserve">        ManaFlasks = "마나 플라스크",</v>
      </c>
      <c r="M83" s="19" t="str">
        <f>'Mana Flask'!N4</f>
        <v>Frascos de Mana</v>
      </c>
      <c r="N83" s="11" t="str">
        <f>_xlfn.CONCAT("        ManaFlasks = """, M83, """,")</f>
        <v xml:space="preserve">        ManaFlasks = "Frascos de Mana",</v>
      </c>
      <c r="O83" s="19" t="str">
        <f>'Mana Flask'!P4</f>
        <v>Флаконы маны</v>
      </c>
      <c r="P83" s="11" t="str">
        <f>_xlfn.CONCAT("        ManaFlasks = """, O83, """,")</f>
        <v xml:space="preserve">        ManaFlasks = "Флаконы маны",</v>
      </c>
      <c r="Q83" s="19" t="str">
        <f>'Mana Flask'!R4</f>
        <v>ขวดยามานา</v>
      </c>
      <c r="R83" s="11" t="str">
        <f>_xlfn.CONCAT("        ManaFlasks = """, Q83, """,")</f>
        <v xml:space="preserve">        ManaFlasks = "ขวดยามานา",</v>
      </c>
      <c r="S83" s="19" t="e">
        <f>'Mana Flask'!T4</f>
        <v>#N/A</v>
      </c>
      <c r="T83" s="11" t="e">
        <f>_xlfn.CONCAT("        ManaFlasks = """, S83, """,")</f>
        <v>#N/A</v>
      </c>
      <c r="V83" s="1" t="s">
        <v>750</v>
      </c>
    </row>
    <row r="84" spans="1:22" ht="15.95" customHeight="1" x14ac:dyDescent="0.25">
      <c r="A84" s="19" t="str">
        <f>'Hybrid Flask'!B4</f>
        <v>Hybrid Flasks</v>
      </c>
      <c r="B84" s="11" t="str">
        <f>_xlfn.CONCAT("        HybridFlasks = """, A84, """,")</f>
        <v xml:space="preserve">        HybridFlasks = "Hybrid Flasks",</v>
      </c>
      <c r="C84" s="19" t="str">
        <f>'Hybrid Flask'!D4</f>
        <v>Hybridfläschchen</v>
      </c>
      <c r="D84" s="11" t="str">
        <f>_xlfn.CONCAT("        HybridFlasks = """, C84, """,")</f>
        <v xml:space="preserve">        HybridFlasks = "Hybridfläschchen",</v>
      </c>
      <c r="E84" s="19" t="str">
        <f>'Hybrid Flask'!F4</f>
        <v>Frascos híbridos</v>
      </c>
      <c r="F84" s="11" t="str">
        <f>_xlfn.CONCAT("        HybridFlasks = """, E84, """,")</f>
        <v xml:space="preserve">        HybridFlasks = "Frascos híbridos",</v>
      </c>
      <c r="G84" s="19" t="str">
        <f>'Hybrid Flask'!H4</f>
        <v>Flacons hybrides</v>
      </c>
      <c r="H84" s="11" t="str">
        <f>_xlfn.CONCAT("        HybridFlasks = """, G84, """,")</f>
        <v xml:space="preserve">        HybridFlasks = "Flacons hybrides",</v>
      </c>
      <c r="I84" s="19" t="str">
        <f>'Hybrid Flask'!J4</f>
        <v>ハイブリッドフラスコ</v>
      </c>
      <c r="J84" s="11" t="str">
        <f>_xlfn.CONCAT("        HybridFlasks = """, I84, """,")</f>
        <v xml:space="preserve">        HybridFlasks = "ハイブリッドフラスコ",</v>
      </c>
      <c r="K84" s="19" t="str">
        <f>'Hybrid Flask'!L4</f>
        <v>하이브리드 플라스크</v>
      </c>
      <c r="L84" s="11" t="str">
        <f>_xlfn.CONCAT("        HybridFlasks = """, K84, """,")</f>
        <v xml:space="preserve">        HybridFlasks = "하이브리드 플라스크",</v>
      </c>
      <c r="M84" s="19" t="str">
        <f>'Hybrid Flask'!N4</f>
        <v>Frascos Híbridos</v>
      </c>
      <c r="N84" s="11" t="str">
        <f>_xlfn.CONCAT("        HybridFlasks = """, M84, """,")</f>
        <v xml:space="preserve">        HybridFlasks = "Frascos Híbridos",</v>
      </c>
      <c r="O84" s="19" t="str">
        <f>'Hybrid Flask'!P4</f>
        <v>Флаконы равновесия</v>
      </c>
      <c r="P84" s="11" t="str">
        <f>_xlfn.CONCAT("        HybridFlasks = """, O84, """,")</f>
        <v xml:space="preserve">        HybridFlasks = "Флаконы равновесия",</v>
      </c>
      <c r="Q84" s="19" t="str">
        <f>'Hybrid Flask'!R4</f>
        <v>ขวดยาผสม</v>
      </c>
      <c r="R84" s="11" t="str">
        <f>_xlfn.CONCAT("        HybridFlasks = """, Q84, """,")</f>
        <v xml:space="preserve">        HybridFlasks = "ขวดยาผสม",</v>
      </c>
      <c r="S84" s="19" t="e">
        <f>'Hybrid Flask'!T4</f>
        <v>#N/A</v>
      </c>
      <c r="T84" s="11" t="e">
        <f>_xlfn.CONCAT("        HybridFlasks = """, S84, """,")</f>
        <v>#N/A</v>
      </c>
      <c r="V84" s="1" t="s">
        <v>751</v>
      </c>
    </row>
    <row r="85" spans="1:22" ht="15.95" customHeight="1" x14ac:dyDescent="0.25">
      <c r="A85" s="19" t="str">
        <f>'Magic Utility Flask'!B4</f>
        <v>Utility Flasks</v>
      </c>
      <c r="B85" s="11" t="str">
        <f>_xlfn.CONCAT("        UtilityFlasks = """, A85, """,")</f>
        <v xml:space="preserve">        UtilityFlasks = "Utility Flasks",</v>
      </c>
      <c r="C85" s="19" t="str">
        <f>'Magic Utility Flask'!D4</f>
        <v>Hilfsfläschchen</v>
      </c>
      <c r="D85" s="11" t="str">
        <f>_xlfn.CONCAT("        UtilityFlasks = """, C85, """,")</f>
        <v xml:space="preserve">        UtilityFlasks = "Hilfsfläschchen",</v>
      </c>
      <c r="E85" s="19" t="str">
        <f>'Magic Utility Flask'!F4</f>
        <v>Frascos de utilidad</v>
      </c>
      <c r="F85" s="11" t="str">
        <f>_xlfn.CONCAT("        UtilityFlasks = """, E85, """,")</f>
        <v xml:space="preserve">        UtilityFlasks = "Frascos de utilidad",</v>
      </c>
      <c r="G85" s="19" t="str">
        <f>'Magic Utility Flask'!H4</f>
        <v>Flacons utilitaires</v>
      </c>
      <c r="H85" s="11" t="str">
        <f>_xlfn.CONCAT("        UtilityFlasks = """, G85, """,")</f>
        <v xml:space="preserve">        UtilityFlasks = "Flacons utilitaires",</v>
      </c>
      <c r="I85" s="19" t="str">
        <f>'Magic Utility Flask'!J4</f>
        <v>ユーティリティフラスコ</v>
      </c>
      <c r="J85" s="11" t="str">
        <f>_xlfn.CONCAT("        UtilityFlasks = """, I85, """,")</f>
        <v xml:space="preserve">        UtilityFlasks = "ユーティリティフラスコ",</v>
      </c>
      <c r="K85" s="19" t="str">
        <f>'Magic Utility Flask'!L4</f>
        <v>특수 플라스크</v>
      </c>
      <c r="L85" s="11" t="str">
        <f>_xlfn.CONCAT("        UtilityFlasks = """, K85, """,")</f>
        <v xml:space="preserve">        UtilityFlasks = "특수 플라스크",</v>
      </c>
      <c r="M85" s="19" t="str">
        <f>'Magic Utility Flask'!N4</f>
        <v>Frascos de Utilidade</v>
      </c>
      <c r="N85" s="11" t="str">
        <f>_xlfn.CONCAT("        UtilityFlasks = """, M85, """,")</f>
        <v xml:space="preserve">        UtilityFlasks = "Frascos de Utilidade",</v>
      </c>
      <c r="O85" s="19" t="str">
        <f>'Magic Utility Flask'!P4</f>
        <v>Особые флаконы</v>
      </c>
      <c r="P85" s="11" t="str">
        <f>_xlfn.CONCAT("        UtilityFlasks = """, O85, """,")</f>
        <v xml:space="preserve">        UtilityFlasks = "Особые флаконы",</v>
      </c>
      <c r="Q85" s="19" t="str">
        <f>'Magic Utility Flask'!R4</f>
        <v>ขวดยาช่วยเหลือ</v>
      </c>
      <c r="R85" s="11" t="str">
        <f>_xlfn.CONCAT("        UtilityFlasks = """, Q85, """,")</f>
        <v xml:space="preserve">        UtilityFlasks = "ขวดยาช่วยเหลือ",</v>
      </c>
      <c r="S85" s="19" t="e">
        <f>'Magic Utility Flask'!T4</f>
        <v>#N/A</v>
      </c>
      <c r="T85" s="11" t="e">
        <f>_xlfn.CONCAT("        UtilityFlasks = """, S85, """,")</f>
        <v>#N/A</v>
      </c>
      <c r="V85" s="1" t="s">
        <v>526</v>
      </c>
    </row>
    <row r="86" spans="1:22" ht="15.95" customHeight="1" x14ac:dyDescent="0.25">
      <c r="A86" s="19" t="str">
        <f>'Phantasmal Gem'!B4</f>
        <v>Skill Gems</v>
      </c>
      <c r="B86" s="11" t="str">
        <f>_xlfn.CONCAT("        ActiveSkillGems = """, A86, """,")</f>
        <v xml:space="preserve">        ActiveSkillGems = "Skill Gems",</v>
      </c>
      <c r="C86" s="19" t="str">
        <f>'Phantasmal Gem'!D4</f>
        <v>Fertigkeitengemmen</v>
      </c>
      <c r="D86" s="11" t="str">
        <f>_xlfn.CONCAT("        ActiveSkillGems = """, C86, """,")</f>
        <v xml:space="preserve">        ActiveSkillGems = "Fertigkeitengemmen",</v>
      </c>
      <c r="E86" s="19" t="str">
        <f>'Phantasmal Gem'!F4</f>
        <v>Gemas de habilidad</v>
      </c>
      <c r="F86" s="11" t="str">
        <f>_xlfn.CONCAT("        ActiveSkillGems = """, E86, """,")</f>
        <v xml:space="preserve">        ActiveSkillGems = "Gemas de habilidad",</v>
      </c>
      <c r="G86" s="19" t="str">
        <f>'Phantasmal Gem'!H4</f>
        <v>Gemmes d'aptitude</v>
      </c>
      <c r="H86" s="11" t="str">
        <f>_xlfn.CONCAT("        ActiveSkillGems = """, G86, """,")</f>
        <v xml:space="preserve">        ActiveSkillGems = "Gemmes d'aptitude",</v>
      </c>
      <c r="I86" s="19" t="str">
        <f>'Phantasmal Gem'!J4</f>
        <v>スキルジェム</v>
      </c>
      <c r="J86" s="11" t="str">
        <f>_xlfn.CONCAT("        ActiveSkillGems = """, I86, """,")</f>
        <v xml:space="preserve">        ActiveSkillGems = "スキルジェム",</v>
      </c>
      <c r="K86" s="19" t="str">
        <f>'Phantasmal Gem'!L4</f>
        <v>스킬 젬</v>
      </c>
      <c r="L86" s="11" t="str">
        <f>_xlfn.CONCAT("        ActiveSkillGems = """, K86, """,")</f>
        <v xml:space="preserve">        ActiveSkillGems = "스킬 젬",</v>
      </c>
      <c r="M86" s="19" t="str">
        <f>'Phantasmal Gem'!N4</f>
        <v>Gemas de Habilidades</v>
      </c>
      <c r="N86" s="11" t="str">
        <f>_xlfn.CONCAT("        ActiveSkillGems = """, M86, """,")</f>
        <v xml:space="preserve">        ActiveSkillGems = "Gemas de Habilidades",</v>
      </c>
      <c r="O86" s="19" t="str">
        <f>'Phantasmal Gem'!P4</f>
        <v>Камни умений</v>
      </c>
      <c r="P86" s="11" t="str">
        <f>_xlfn.CONCAT("        ActiveSkillGems = """, O86, """,")</f>
        <v xml:space="preserve">        ActiveSkillGems = "Камни умений",</v>
      </c>
      <c r="Q86" s="19" t="str">
        <f>'Phantasmal Gem'!R4</f>
        <v>หินสกิล</v>
      </c>
      <c r="R86" s="11" t="str">
        <f>_xlfn.CONCAT("        ActiveSkillGems = """, Q86, """,")</f>
        <v xml:space="preserve">        ActiveSkillGems = "หินสกิล",</v>
      </c>
      <c r="S86" s="19" t="e">
        <f>'Phantasmal Gem'!T4</f>
        <v>#N/A</v>
      </c>
      <c r="T86" s="11" t="e">
        <f>_xlfn.CONCAT("        ActiveSkillGems = """, S86, """,")</f>
        <v>#N/A</v>
      </c>
      <c r="V86" s="1" t="s">
        <v>527</v>
      </c>
    </row>
    <row r="87" spans="1:22" ht="15.95" customHeight="1" x14ac:dyDescent="0.25">
      <c r="A87" s="19" t="str">
        <f>'Divergent Support Gem'!B4</f>
        <v>Support Gems</v>
      </c>
      <c r="B87" s="11" t="str">
        <f>_xlfn.CONCAT("        SupportSkillGems = """, A87, """,")</f>
        <v xml:space="preserve">        SupportSkillGems = "Support Gems",</v>
      </c>
      <c r="C87" s="19" t="str">
        <f>'Divergent Support Gem'!D4</f>
        <v>Unterstützungsgemmen</v>
      </c>
      <c r="D87" s="11" t="str">
        <f>_xlfn.CONCAT("        SupportSkillGems = """, C87, """,")</f>
        <v xml:space="preserve">        SupportSkillGems = "Unterstützungsgemmen",</v>
      </c>
      <c r="E87" s="19" t="str">
        <f>'Divergent Support Gem'!F4</f>
        <v>Gemas de asistencia</v>
      </c>
      <c r="F87" s="11" t="str">
        <f>_xlfn.CONCAT("        SupportSkillGems = """, E87, """,")</f>
        <v xml:space="preserve">        SupportSkillGems = "Gemas de asistencia",</v>
      </c>
      <c r="G87" s="19" t="str">
        <f>'Divergent Support Gem'!H4</f>
        <v>Gemmes de soutien</v>
      </c>
      <c r="H87" s="11" t="str">
        <f>_xlfn.CONCAT("        SupportSkillGems = """, G87, """,")</f>
        <v xml:space="preserve">        SupportSkillGems = "Gemmes de soutien",</v>
      </c>
      <c r="I87" s="19" t="str">
        <f>'Divergent Support Gem'!J4</f>
        <v>サポートジェム</v>
      </c>
      <c r="J87" s="11" t="str">
        <f>_xlfn.CONCAT("        SupportSkillGems = """, I87, """,")</f>
        <v xml:space="preserve">        SupportSkillGems = "サポートジェム",</v>
      </c>
      <c r="K87" s="19" t="str">
        <f>'Divergent Support Gem'!L4</f>
        <v>보조 젬</v>
      </c>
      <c r="L87" s="11" t="str">
        <f>_xlfn.CONCAT("        SupportSkillGems = """, K87, """,")</f>
        <v xml:space="preserve">        SupportSkillGems = "보조 젬",</v>
      </c>
      <c r="M87" s="19" t="str">
        <f>'Divergent Support Gem'!N4</f>
        <v>Gemas de Suporte</v>
      </c>
      <c r="N87" s="11" t="str">
        <f>_xlfn.CONCAT("        SupportSkillGems = """, M87, """,")</f>
        <v xml:space="preserve">        SupportSkillGems = "Gemas de Suporte",</v>
      </c>
      <c r="O87" s="19" t="str">
        <f>'Divergent Support Gem'!P4</f>
        <v>Камни поддержки</v>
      </c>
      <c r="P87" s="11" t="str">
        <f>_xlfn.CONCAT("        SupportSkillGems = """, O87, """,")</f>
        <v xml:space="preserve">        SupportSkillGems = "Камни поддержки",</v>
      </c>
      <c r="Q87" s="19" t="str">
        <f>'Divergent Support Gem'!R4</f>
        <v>หินเสริม</v>
      </c>
      <c r="R87" s="11" t="str">
        <f>_xlfn.CONCAT("        SupportSkillGems = """, Q87, """,")</f>
        <v xml:space="preserve">        SupportSkillGems = "หินเสริม",</v>
      </c>
      <c r="S87" s="19" t="e">
        <f>'Divergent Support Gem'!T4</f>
        <v>#N/A</v>
      </c>
      <c r="T87" s="11" t="e">
        <f>_xlfn.CONCAT("        SupportSkillGems = """, S87, """,")</f>
        <v>#N/A</v>
      </c>
      <c r="V87" s="1" t="s">
        <v>528</v>
      </c>
    </row>
    <row r="88" spans="1:22" ht="15.95" customHeight="1" x14ac:dyDescent="0.25">
      <c r="A88" s="19" t="str">
        <f>Map!B4</f>
        <v>Maps</v>
      </c>
      <c r="B88" s="11" t="str">
        <f>_xlfn.CONCAT("        Maps = """, A88, """,")</f>
        <v xml:space="preserve">        Maps = "Maps",</v>
      </c>
      <c r="C88" s="19" t="str">
        <f>Map!D4</f>
        <v>Karten</v>
      </c>
      <c r="D88" s="11" t="str">
        <f>_xlfn.CONCAT("        Maps = """, C88, """,")</f>
        <v xml:space="preserve">        Maps = "Karten",</v>
      </c>
      <c r="E88" s="19" t="str">
        <f>Map!F4</f>
        <v>Mapas</v>
      </c>
      <c r="F88" s="11" t="str">
        <f>_xlfn.CONCAT("        Maps = """, E88, """,")</f>
        <v xml:space="preserve">        Maps = "Mapas",</v>
      </c>
      <c r="G88" s="19" t="str">
        <f>Map!H4</f>
        <v>Cartes</v>
      </c>
      <c r="H88" s="11" t="str">
        <f>_xlfn.CONCAT("        Maps = """, G88, """,")</f>
        <v xml:space="preserve">        Maps = "Cartes",</v>
      </c>
      <c r="I88" s="19" t="str">
        <f>Map!J4</f>
        <v>マップ</v>
      </c>
      <c r="J88" s="11" t="str">
        <f>_xlfn.CONCAT("        Maps = """, I88, """,")</f>
        <v xml:space="preserve">        Maps = "マップ",</v>
      </c>
      <c r="K88" s="19" t="str">
        <f>Map!L4</f>
        <v>지도</v>
      </c>
      <c r="L88" s="11" t="str">
        <f>_xlfn.CONCAT("        Maps = """, K88, """,")</f>
        <v xml:space="preserve">        Maps = "지도",</v>
      </c>
      <c r="M88" s="19" t="str">
        <f>Map!N4</f>
        <v>Mapas</v>
      </c>
      <c r="N88" s="11" t="str">
        <f>_xlfn.CONCAT("        Maps = """, M88, """,")</f>
        <v xml:space="preserve">        Maps = "Mapas",</v>
      </c>
      <c r="O88" s="19" t="str">
        <f>Map!P4</f>
        <v>Карты</v>
      </c>
      <c r="P88" s="11" t="str">
        <f>_xlfn.CONCAT("        Maps = """, O88, """,")</f>
        <v xml:space="preserve">        Maps = "Карты",</v>
      </c>
      <c r="Q88" s="19" t="str">
        <f>Map!R4</f>
        <v>แผนที่</v>
      </c>
      <c r="R88" s="11" t="str">
        <f>_xlfn.CONCAT("        Maps = """, Q88, """,")</f>
        <v xml:space="preserve">        Maps = "แผนที่",</v>
      </c>
      <c r="S88" s="19" t="e">
        <f>Map!T4</f>
        <v>#N/A</v>
      </c>
      <c r="T88" s="11" t="e">
        <f>_xlfn.CONCAT("        Maps = """, S88, """,")</f>
        <v>#N/A</v>
      </c>
      <c r="V88" s="1" t="s">
        <v>752</v>
      </c>
    </row>
    <row r="89" spans="1:22" ht="15.95" customHeight="1" x14ac:dyDescent="0.25">
      <c r="A89" s="19" t="str">
        <f>'Map Fragment'!B4</f>
        <v>Map Fragments</v>
      </c>
      <c r="B89" s="11" t="str">
        <f>_xlfn.CONCAT("        MapFragments = """, A89, """,")</f>
        <v xml:space="preserve">        MapFragments = "Map Fragments",</v>
      </c>
      <c r="C89" s="19" t="str">
        <f>'Map Fragment'!D4</f>
        <v>Kartenfragmente</v>
      </c>
      <c r="D89" s="11" t="str">
        <f>_xlfn.CONCAT("        MapFragments = """, C89, """,")</f>
        <v xml:space="preserve">        MapFragments = "Kartenfragmente",</v>
      </c>
      <c r="E89" s="19" t="str">
        <f>'Map Fragment'!F4</f>
        <v>Fragmentos de mapa</v>
      </c>
      <c r="F89" s="11" t="str">
        <f>_xlfn.CONCAT("        MapFragments = """, E89, """,")</f>
        <v xml:space="preserve">        MapFragments = "Fragmentos de mapa",</v>
      </c>
      <c r="G89" s="19" t="str">
        <f>'Map Fragment'!H4</f>
        <v>Fragments de carte</v>
      </c>
      <c r="H89" s="11" t="str">
        <f>_xlfn.CONCAT("        MapFragments = """, G89, """,")</f>
        <v xml:space="preserve">        MapFragments = "Fragments de carte",</v>
      </c>
      <c r="I89" s="19" t="str">
        <f>'Map Fragment'!J4</f>
        <v>マップの断片</v>
      </c>
      <c r="J89" s="11" t="str">
        <f>_xlfn.CONCAT("        MapFragments = """, I89, """,")</f>
        <v xml:space="preserve">        MapFragments = "マップの断片",</v>
      </c>
      <c r="K89" s="19" t="str">
        <f>'Map Fragment'!L4</f>
        <v>지도 조각</v>
      </c>
      <c r="L89" s="11" t="str">
        <f>_xlfn.CONCAT("        MapFragments = """, K89, """,")</f>
        <v xml:space="preserve">        MapFragments = "지도 조각",</v>
      </c>
      <c r="M89" s="19" t="str">
        <f>'Map Fragment'!N4</f>
        <v>Fragmentos de Mapas</v>
      </c>
      <c r="N89" s="11" t="str">
        <f>_xlfn.CONCAT("        MapFragments = """, M89, """,")</f>
        <v xml:space="preserve">        MapFragments = "Fragmentos de Mapas",</v>
      </c>
      <c r="O89" s="19" t="str">
        <f>'Map Fragment'!P4</f>
        <v>Обрывки карт</v>
      </c>
      <c r="P89" s="11" t="str">
        <f>_xlfn.CONCAT("        MapFragments = """, O89, """,")</f>
        <v xml:space="preserve">        MapFragments = "Обрывки карт",</v>
      </c>
      <c r="Q89" s="19" t="str">
        <f>'Map Fragment'!R4</f>
        <v>ชิ้นส่วนแผนที่</v>
      </c>
      <c r="R89" s="11" t="str">
        <f>_xlfn.CONCAT("        MapFragments = """, Q89, """,")</f>
        <v xml:space="preserve">        MapFragments = "ชิ้นส่วนแผนที่",</v>
      </c>
      <c r="S89" s="19" t="e">
        <f>'Map Fragment'!T4</f>
        <v>#N/A</v>
      </c>
      <c r="T89" s="11" t="e">
        <f>_xlfn.CONCAT("        MapFragments = """, S89, """,")</f>
        <v>#N/A</v>
      </c>
      <c r="V89" s="1" t="s">
        <v>753</v>
      </c>
    </row>
    <row r="90" spans="1:22" ht="15.95" customHeight="1" x14ac:dyDescent="0.25">
      <c r="A90" s="19" t="str">
        <f>Contract!B4</f>
        <v>Contracts</v>
      </c>
      <c r="B90" s="11" t="str">
        <f>_xlfn.CONCAT("        Contract = """, A90, """,")</f>
        <v xml:space="preserve">        Contract = "Contracts",</v>
      </c>
      <c r="C90" s="19" t="str">
        <f>Contract!D4</f>
        <v>Aufträge</v>
      </c>
      <c r="D90" s="11" t="str">
        <f>_xlfn.CONCAT("        Contract = """, C90, """,")</f>
        <v xml:space="preserve">        Contract = "Aufträge",</v>
      </c>
      <c r="E90" s="19" t="str">
        <f>Contract!F4</f>
        <v>Contratos</v>
      </c>
      <c r="F90" s="11" t="str">
        <f>_xlfn.CONCAT("        Contract = """, E90, """,")</f>
        <v xml:space="preserve">        Contract = "Contratos",</v>
      </c>
      <c r="G90" s="19" t="str">
        <f>Contract!H4</f>
        <v>Contrats</v>
      </c>
      <c r="H90" s="11" t="str">
        <f>_xlfn.CONCAT("        Contract = """, G90, """,")</f>
        <v xml:space="preserve">        Contract = "Contrats",</v>
      </c>
      <c r="I90" s="19" t="str">
        <f>Contract!J4</f>
        <v>依頼書</v>
      </c>
      <c r="J90" s="11" t="str">
        <f>_xlfn.CONCAT("        Contract = """, I90, """,")</f>
        <v xml:space="preserve">        Contract = "依頼書",</v>
      </c>
      <c r="K90" s="19" t="str">
        <f>Contract!L4</f>
        <v>계약</v>
      </c>
      <c r="L90" s="11" t="str">
        <f>_xlfn.CONCAT("        Contract = """, K90, """,")</f>
        <v xml:space="preserve">        Contract = "계약",</v>
      </c>
      <c r="M90" s="19" t="str">
        <f>Contract!N4</f>
        <v>Contratos</v>
      </c>
      <c r="N90" s="11" t="str">
        <f>_xlfn.CONCAT("        Contract = """, M90, """,")</f>
        <v xml:space="preserve">        Contract = "Contratos",</v>
      </c>
      <c r="O90" s="19" t="str">
        <f>Contract!P4</f>
        <v>Контракты</v>
      </c>
      <c r="P90" s="11" t="str">
        <f>_xlfn.CONCAT("        Contract = """, O90, """,")</f>
        <v xml:space="preserve">        Contract = "Контракты",</v>
      </c>
      <c r="Q90" s="19" t="str">
        <f>Contract!R4</f>
        <v>สัญญาจ้าง</v>
      </c>
      <c r="R90" s="11" t="str">
        <f>_xlfn.CONCAT("        Contract = """, Q90, """,")</f>
        <v xml:space="preserve">        Contract = "สัญญาจ้าง",</v>
      </c>
      <c r="S90" s="19" t="e">
        <f>Contract!T4</f>
        <v>#N/A</v>
      </c>
      <c r="T90" s="11" t="e">
        <f>_xlfn.CONCAT("        Contract = """, S90, """,")</f>
        <v>#N/A</v>
      </c>
      <c r="V90" s="1" t="s">
        <v>754</v>
      </c>
    </row>
    <row r="91" spans="1:22" ht="15.95" customHeight="1" x14ac:dyDescent="0.25">
      <c r="A91" s="19" t="str">
        <f>Blueprint!B4</f>
        <v>Blueprints</v>
      </c>
      <c r="B91" s="11" t="str">
        <f>_xlfn.CONCAT("        Blueprint = """, A91, """,")</f>
        <v xml:space="preserve">        Blueprint = "Blueprints",</v>
      </c>
      <c r="C91" s="19" t="str">
        <f>Blueprint!D4</f>
        <v>Grundrisse</v>
      </c>
      <c r="D91" s="11" t="str">
        <f>_xlfn.CONCAT("        Blueprint = """, C91, """,")</f>
        <v xml:space="preserve">        Blueprint = "Grundrisse",</v>
      </c>
      <c r="E91" s="19" t="str">
        <f>Blueprint!F4</f>
        <v>Planos</v>
      </c>
      <c r="F91" s="11" t="str">
        <f>_xlfn.CONCAT("        Blueprint = """, E91, """,")</f>
        <v xml:space="preserve">        Blueprint = "Planos",</v>
      </c>
      <c r="G91" s="19" t="str">
        <f>Blueprint!H4</f>
        <v>Plans</v>
      </c>
      <c r="H91" s="11" t="str">
        <f>_xlfn.CONCAT("        Blueprint = """, G91, """,")</f>
        <v xml:space="preserve">        Blueprint = "Plans",</v>
      </c>
      <c r="I91" s="19" t="str">
        <f>Blueprint!J4</f>
        <v>計画書</v>
      </c>
      <c r="J91" s="11" t="str">
        <f>_xlfn.CONCAT("        Blueprint = """, I91, """,")</f>
        <v xml:space="preserve">        Blueprint = "計画書",</v>
      </c>
      <c r="K91" s="19" t="str">
        <f>Blueprint!L4</f>
        <v>도면</v>
      </c>
      <c r="L91" s="11" t="str">
        <f>_xlfn.CONCAT("        Blueprint = """, K91, """,")</f>
        <v xml:space="preserve">        Blueprint = "도면",</v>
      </c>
      <c r="M91" s="19" t="str">
        <f>Blueprint!N4</f>
        <v>Plantas</v>
      </c>
      <c r="N91" s="11" t="str">
        <f>_xlfn.CONCAT("        Blueprint = """, M91, """,")</f>
        <v xml:space="preserve">        Blueprint = "Plantas",</v>
      </c>
      <c r="O91" s="19" t="str">
        <f>Blueprint!P4</f>
        <v>Чертежи</v>
      </c>
      <c r="P91" s="11" t="str">
        <f>_xlfn.CONCAT("        Blueprint = """, O91, """,")</f>
        <v xml:space="preserve">        Blueprint = "Чертежи",</v>
      </c>
      <c r="Q91" s="19" t="str">
        <f>Blueprint!R4</f>
        <v>พิมพ์เขียว</v>
      </c>
      <c r="R91" s="11" t="str">
        <f>_xlfn.CONCAT("        Blueprint = """, Q91, """,")</f>
        <v xml:space="preserve">        Blueprint = "พิมพ์เขียว",</v>
      </c>
      <c r="S91" s="19" t="e">
        <f>Blueprint!T4</f>
        <v>#N/A</v>
      </c>
      <c r="T91" s="11" t="e">
        <f>_xlfn.CONCAT("        Blueprint = """, S91, """,")</f>
        <v>#N/A</v>
      </c>
      <c r="V91" s="1" t="s">
        <v>755</v>
      </c>
    </row>
    <row r="92" spans="1:22" ht="15.95" customHeight="1" x14ac:dyDescent="0.25">
      <c r="A92" s="19" t="str">
        <f>'Misc Map Item'!B4</f>
        <v>Misc Map Items</v>
      </c>
      <c r="B92" s="11" t="str">
        <f>_xlfn.CONCAT("        MiscMapItems = """, A92, """,")</f>
        <v xml:space="preserve">        MiscMapItems = "Misc Map Items",</v>
      </c>
      <c r="C92" s="19" t="str">
        <f>'Misc Map Item'!D4</f>
        <v>Sonstige Kartengegenstände</v>
      </c>
      <c r="D92" s="11" t="str">
        <f>_xlfn.CONCAT("        MiscMapItems = """, C92, """,")</f>
        <v xml:space="preserve">        MiscMapItems = "Sonstige Kartengegenstände",</v>
      </c>
      <c r="E92" s="19" t="str">
        <f>'Misc Map Item'!F4</f>
        <v>Objetos misceláneos de mapa</v>
      </c>
      <c r="F92" s="11" t="str">
        <f>_xlfn.CONCAT("        MiscMapItems = """, E92, """,")</f>
        <v xml:space="preserve">        MiscMapItems = "Objetos misceláneos de mapa",</v>
      </c>
      <c r="G92" s="19" t="str">
        <f>'Misc Map Item'!H4</f>
        <v>Objets de Carte divers</v>
      </c>
      <c r="H92" s="11" t="str">
        <f>_xlfn.CONCAT("        MiscMapItems = """, G92, """,")</f>
        <v xml:space="preserve">        MiscMapItems = "Objets de Carte divers",</v>
      </c>
      <c r="I92" s="19" t="str">
        <f>'Misc Map Item'!J4</f>
        <v>その他マップアイテム</v>
      </c>
      <c r="J92" s="11" t="str">
        <f>_xlfn.CONCAT("        MiscMapItems = """, I92, """,")</f>
        <v xml:space="preserve">        MiscMapItems = "その他マップアイテム",</v>
      </c>
      <c r="K92" s="19" t="str">
        <f>'Misc Map Item'!L4</f>
        <v>기타 지도 아이템</v>
      </c>
      <c r="L92" s="11" t="str">
        <f>_xlfn.CONCAT("        MiscMapItems = """, K92, """,")</f>
        <v xml:space="preserve">        MiscMapItems = "기타 지도 아이템",</v>
      </c>
      <c r="M92" s="19" t="str">
        <f>'Misc Map Item'!N4</f>
        <v>Itens Mapas Variados</v>
      </c>
      <c r="N92" s="11" t="str">
        <f>_xlfn.CONCAT("        MiscMapItems = """, M92, """,")</f>
        <v xml:space="preserve">        MiscMapItems = "Itens Mapas Variados",</v>
      </c>
      <c r="O92" s="19" t="str">
        <f>'Misc Map Item'!P4</f>
        <v>Прочие предметы карт</v>
      </c>
      <c r="P92" s="11" t="str">
        <f>_xlfn.CONCAT("        MiscMapItems = """, O92, """,")</f>
        <v xml:space="preserve">        MiscMapItems = "Прочие предметы карт",</v>
      </c>
      <c r="Q92" s="19" t="str">
        <f>'Misc Map Item'!R4</f>
        <v>ไอเทมแผนที่อื่นๆ</v>
      </c>
      <c r="R92" s="11" t="str">
        <f>_xlfn.CONCAT("        MiscMapItems = """, Q92, """,")</f>
        <v xml:space="preserve">        MiscMapItems = "ไอเทมแผนที่อื่นๆ",</v>
      </c>
      <c r="S92" s="19" t="e">
        <f>'Misc Map Item'!T4</f>
        <v>#N/A</v>
      </c>
      <c r="T92" s="11" t="e">
        <f>_xlfn.CONCAT("        MiscMapItems = """, S92, """,")</f>
        <v>#N/A</v>
      </c>
      <c r="V92" s="1" t="s">
        <v>756</v>
      </c>
    </row>
    <row r="93" spans="1:22" ht="15.95" customHeight="1" x14ac:dyDescent="0.25">
      <c r="A93" s="19" t="str">
        <f>Waystone!B4</f>
        <v>Waystones</v>
      </c>
      <c r="B93" s="11" t="str">
        <f>_xlfn.CONCAT("        Waystone = """, A93, """,")</f>
        <v xml:space="preserve">        Waystone = "Waystones",</v>
      </c>
      <c r="C93" s="19" t="str">
        <f>Waystone!D4</f>
        <v>Wegsteine</v>
      </c>
      <c r="D93" s="11" t="str">
        <f>_xlfn.CONCAT("        Waystone = """, C93, """,")</f>
        <v xml:space="preserve">        Waystone = "Wegsteine",</v>
      </c>
      <c r="E93" s="19" t="str">
        <f>Waystone!F4</f>
        <v>Piedras guía</v>
      </c>
      <c r="F93" s="11" t="str">
        <f>_xlfn.CONCAT("        Waystone = """, E93, """,")</f>
        <v xml:space="preserve">        Waystone = "Piedras guía",</v>
      </c>
      <c r="G93" s="19" t="str">
        <f>Waystone!H4</f>
        <v>Pierres de téléportation</v>
      </c>
      <c r="H93" s="11" t="str">
        <f>_xlfn.CONCAT("        Waystone = """, G93, """,")</f>
        <v xml:space="preserve">        Waystone = "Pierres de téléportation",</v>
      </c>
      <c r="I93" s="19" t="str">
        <f>Waystone!J4</f>
        <v>ウェイストーン</v>
      </c>
      <c r="J93" s="11" t="str">
        <f>_xlfn.CONCAT("        Waystone = """, I93, """,")</f>
        <v xml:space="preserve">        Waystone = "ウェイストーン",</v>
      </c>
      <c r="K93" s="19" t="str">
        <f>Waystone!L4</f>
        <v>경로석</v>
      </c>
      <c r="L93" s="11" t="str">
        <f>_xlfn.CONCAT("        Waystone = """, K93, """,")</f>
        <v xml:space="preserve">        Waystone = "경로석",</v>
      </c>
      <c r="M93" s="19" t="str">
        <f>Waystone!N4</f>
        <v>Pedras Guia</v>
      </c>
      <c r="N93" s="11" t="str">
        <f>_xlfn.CONCAT("        Waystone = """, M93, """,")</f>
        <v xml:space="preserve">        Waystone = "Pedras Guia",</v>
      </c>
      <c r="O93" s="19" t="str">
        <f>Waystone!P4</f>
        <v>Путевые камни</v>
      </c>
      <c r="P93" s="11" t="str">
        <f>_xlfn.CONCAT("        Waystone = """, O93, """,")</f>
        <v xml:space="preserve">        Waystone = "Путевые камни",</v>
      </c>
      <c r="Q93" s="19" t="str">
        <f>Waystone!R4</f>
        <v>ศิลานำทาง</v>
      </c>
      <c r="R93" s="11" t="str">
        <f>_xlfn.CONCAT("        Waystone = """, Q93, """,")</f>
        <v xml:space="preserve">        Waystone = "ศิลานำทาง",</v>
      </c>
      <c r="S93" s="19" t="str">
        <f>Waystone!T4</f>
        <v>換界石</v>
      </c>
      <c r="T93" s="11" t="str">
        <f>_xlfn.CONCAT("        Waystone = """, S93, """,")</f>
        <v xml:space="preserve">        Waystone = "換界石",</v>
      </c>
      <c r="V93" s="1" t="s">
        <v>7107</v>
      </c>
    </row>
    <row r="94" spans="1:22" ht="15.95" customHeight="1" x14ac:dyDescent="0.25">
      <c r="A94" s="19" t="str">
        <f>Barya!B4</f>
        <v>Trial Coins</v>
      </c>
      <c r="B94" s="11" t="str">
        <f>_xlfn.CONCAT("        Barya = """, A94, """,")</f>
        <v xml:space="preserve">        Barya = "Trial Coins",</v>
      </c>
      <c r="C94" s="19" t="str">
        <f>Barya!D4</f>
        <v>Prüfungsmünzen</v>
      </c>
      <c r="D94" s="11" t="str">
        <f>_xlfn.CONCAT("        Barya = """, C94, """,")</f>
        <v xml:space="preserve">        Barya = "Prüfungsmünzen",</v>
      </c>
      <c r="E94" s="19" t="str">
        <f>Barya!F4</f>
        <v>Monedas de la prueba</v>
      </c>
      <c r="F94" s="11" t="str">
        <f>_xlfn.CONCAT("        Barya = """, E94, """,")</f>
        <v xml:space="preserve">        Barya = "Monedas de la prueba",</v>
      </c>
      <c r="G94" s="19" t="str">
        <f>Barya!H4</f>
        <v>Pièces de l'Épreuve</v>
      </c>
      <c r="H94" s="11" t="str">
        <f>_xlfn.CONCAT("        Barya = """, G94, """,")</f>
        <v xml:space="preserve">        Barya = "Pièces de l'Épreuve",</v>
      </c>
      <c r="I94" s="19" t="str">
        <f>Barya!J4</f>
        <v>試練のコイン</v>
      </c>
      <c r="J94" s="11" t="str">
        <f>_xlfn.CONCAT("        Barya = """, I94, """,")</f>
        <v xml:space="preserve">        Barya = "試練のコイン",</v>
      </c>
      <c r="K94" s="19" t="str">
        <f>Barya!L4</f>
        <v>시련 주화</v>
      </c>
      <c r="L94" s="11" t="str">
        <f>_xlfn.CONCAT("        Barya = """, K94, """,")</f>
        <v xml:space="preserve">        Barya = "시련 주화",</v>
      </c>
      <c r="M94" s="19" t="str">
        <f>Barya!N4</f>
        <v>Moedas da Provação</v>
      </c>
      <c r="N94" s="11" t="str">
        <f>_xlfn.CONCAT("        Barya = """, M94, """,")</f>
        <v xml:space="preserve">        Barya = "Moedas da Provação",</v>
      </c>
      <c r="O94" s="19" t="str">
        <f>Barya!P4</f>
        <v>Монеты Испытания</v>
      </c>
      <c r="P94" s="11" t="str">
        <f>_xlfn.CONCAT("        Barya = """, O94, """,")</f>
        <v xml:space="preserve">        Barya = "Монеты Испытания",</v>
      </c>
      <c r="Q94" s="19" t="str">
        <f>Barya!R4</f>
        <v>เหรียญบททดสอบ</v>
      </c>
      <c r="R94" s="11" t="str">
        <f>_xlfn.CONCAT("        Barya = """, Q94, """,")</f>
        <v xml:space="preserve">        Barya = "เหรียญบททดสอบ",</v>
      </c>
      <c r="S94" s="19" t="str">
        <f>Barya!T4</f>
        <v>試煉代幣</v>
      </c>
      <c r="T94" s="11" t="str">
        <f>_xlfn.CONCAT("        Barya = """, S94, """,")</f>
        <v xml:space="preserve">        Barya = "試煉代幣",</v>
      </c>
      <c r="V94" s="1" t="s">
        <v>7108</v>
      </c>
    </row>
    <row r="95" spans="1:22" ht="15.95" customHeight="1" x14ac:dyDescent="0.25">
      <c r="A95" s="19" t="str">
        <f>Ultimatum!B4</f>
        <v>Inscribed Ultimatum</v>
      </c>
      <c r="B95" s="11" t="str">
        <f>_xlfn.CONCAT("        Ultimatum = """, A95, """,")</f>
        <v xml:space="preserve">        Ultimatum = "Inscribed Ultimatum",</v>
      </c>
      <c r="C95" s="19" t="str">
        <f>Ultimatum!D4</f>
        <v>Inschrift des Ultimatums</v>
      </c>
      <c r="D95" s="11" t="str">
        <f>_xlfn.CONCAT("        Ultimatum = """, C95, """,")</f>
        <v xml:space="preserve">        Ultimatum = "Inschrift des Ultimatums",</v>
      </c>
      <c r="E95" s="19" t="str">
        <f>Ultimatum!F4</f>
        <v>Ultimátum inscrito</v>
      </c>
      <c r="F95" s="11" t="str">
        <f>_xlfn.CONCAT("        Ultimatum = """, E95, """,")</f>
        <v xml:space="preserve">        Ultimatum = "Ultimátum inscrito",</v>
      </c>
      <c r="G95" s="19" t="str">
        <f>Ultimatum!H4</f>
        <v>Ultimatum gravé</v>
      </c>
      <c r="H95" s="11" t="str">
        <f>_xlfn.CONCAT("        Ultimatum = """, G95, """,")</f>
        <v xml:space="preserve">        Ultimatum = "Ultimatum gravé",</v>
      </c>
      <c r="I95" s="19" t="str">
        <f>Ultimatum!J4</f>
        <v>刻印されたアルティメイタム</v>
      </c>
      <c r="J95" s="11" t="str">
        <f>_xlfn.CONCAT("        Ultimatum = """, I95, """,")</f>
        <v xml:space="preserve">        Ultimatum = "刻印されたアルティメイタム",</v>
      </c>
      <c r="K95" s="19" t="str">
        <f>Ultimatum!L4</f>
        <v>새겨진 결전</v>
      </c>
      <c r="L95" s="11" t="str">
        <f>_xlfn.CONCAT("        Ultimatum = """, K95, """,")</f>
        <v xml:space="preserve">        Ultimatum = "새겨진 결전",</v>
      </c>
      <c r="M95" s="19" t="str">
        <f>Ultimatum!N4</f>
        <v>Ultimato Talhado</v>
      </c>
      <c r="N95" s="11" t="str">
        <f>_xlfn.CONCAT("        Ultimatum = """, M95, """,")</f>
        <v xml:space="preserve">        Ultimatum = "Ultimato Talhado",</v>
      </c>
      <c r="O95" s="19" t="str">
        <f>Ultimatum!P4</f>
        <v>Начертанные Ультиматумы</v>
      </c>
      <c r="P95" s="11" t="str">
        <f>_xlfn.CONCAT("        Ultimatum = """, O95, """,")</f>
        <v xml:space="preserve">        Ultimatum = "Начертанные Ультиматумы",</v>
      </c>
      <c r="Q95" s="19" t="str">
        <f>Ultimatum!R4</f>
        <v>คำขาดจารึก</v>
      </c>
      <c r="R95" s="11" t="str">
        <f>_xlfn.CONCAT("        Ultimatum = """, Q95, """,")</f>
        <v xml:space="preserve">        Ultimatum = "คำขาดจารึก",</v>
      </c>
      <c r="S95" s="19" t="str">
        <f>Ultimatum!T4</f>
        <v>最後通牒雕刻</v>
      </c>
      <c r="T95" s="11" t="str">
        <f>_xlfn.CONCAT("        Ultimatum = """, S95, """,")</f>
        <v xml:space="preserve">        Ultimatum = "最後通牒雕刻",</v>
      </c>
      <c r="V95" s="1" t="s">
        <v>7089</v>
      </c>
    </row>
    <row r="96" spans="1:22" ht="15.95" customHeight="1" x14ac:dyDescent="0.25">
      <c r="A96" s="19" t="str">
        <f>Tablet!B4</f>
        <v>Tablet</v>
      </c>
      <c r="B96" s="11" t="str">
        <f>_xlfn.CONCAT("        Tablet = """, A96, """,")</f>
        <v xml:space="preserve">        Tablet = "Tablet",</v>
      </c>
      <c r="C96" s="19" t="str">
        <f>Tablet!D4</f>
        <v>Tafel</v>
      </c>
      <c r="D96" s="11" t="str">
        <f>_xlfn.CONCAT("        Tablet = """, C96, """,")</f>
        <v xml:space="preserve">        Tablet = "Tafel",</v>
      </c>
      <c r="E96" s="19" t="str">
        <f>Tablet!F4</f>
        <v>Tablilla</v>
      </c>
      <c r="F96" s="11" t="str">
        <f>_xlfn.CONCAT("        Tablet = """, E96, """,")</f>
        <v xml:space="preserve">        Tablet = "Tablilla",</v>
      </c>
      <c r="G96" s="19" t="str">
        <f>Tablet!H4</f>
        <v>Tablette</v>
      </c>
      <c r="H96" s="11" t="str">
        <f>_xlfn.CONCAT("        Tablet = """, G96, """,")</f>
        <v xml:space="preserve">        Tablet = "Tablette",</v>
      </c>
      <c r="I96" s="19" t="str">
        <f>Tablet!J4</f>
        <v>石板</v>
      </c>
      <c r="J96" s="11" t="str">
        <f>_xlfn.CONCAT("        Tablet = """, I96, """,")</f>
        <v xml:space="preserve">        Tablet = "石板",</v>
      </c>
      <c r="K96" s="19" t="str">
        <f>Tablet!L4</f>
        <v>서판</v>
      </c>
      <c r="L96" s="11" t="str">
        <f>_xlfn.CONCAT("        Tablet = """, K96, """,")</f>
        <v xml:space="preserve">        Tablet = "서판",</v>
      </c>
      <c r="M96" s="19" t="str">
        <f>Tablet!N4</f>
        <v>Tábua</v>
      </c>
      <c r="N96" s="11" t="str">
        <f>_xlfn.CONCAT("        Tablet = """, M96, """,")</f>
        <v xml:space="preserve">        Tablet = "Tábua",</v>
      </c>
      <c r="O96" s="19" t="str">
        <f>Tablet!P4</f>
        <v>Плитки</v>
      </c>
      <c r="P96" s="11" t="str">
        <f>_xlfn.CONCAT("        Tablet = """, O96, """,")</f>
        <v xml:space="preserve">        Tablet = "Плитки",</v>
      </c>
      <c r="Q96" s="19" t="str">
        <f>Tablet!R4</f>
        <v>แผ่นหิน</v>
      </c>
      <c r="R96" s="11" t="str">
        <f>_xlfn.CONCAT("        Tablet = """, Q96, """,")</f>
        <v xml:space="preserve">        Tablet = "แผ่นหิน",</v>
      </c>
      <c r="S96" s="19" t="str">
        <f>Tablet!T4</f>
        <v>面板</v>
      </c>
      <c r="T96" s="11" t="str">
        <f>_xlfn.CONCAT("        Tablet = """, S96, """,")</f>
        <v xml:space="preserve">        Tablet = "面板",</v>
      </c>
      <c r="V96" s="1" t="s">
        <v>7109</v>
      </c>
    </row>
    <row r="97" spans="1:22" ht="15.95" customHeight="1" x14ac:dyDescent="0.25">
      <c r="A97" s="19" t="str">
        <f>Breachstone!B4</f>
        <v>Breachstones</v>
      </c>
      <c r="B97" s="11" t="str">
        <f>_xlfn.CONCAT("        Breachstone = """, A97, """,")</f>
        <v xml:space="preserve">        Breachstone = "Breachstones",</v>
      </c>
      <c r="C97" s="19" t="str">
        <f>Breachstone!D4</f>
        <v>Riss-Steine</v>
      </c>
      <c r="D97" s="11" t="str">
        <f>_xlfn.CONCAT("        Breachstone = """, C97, """,")</f>
        <v xml:space="preserve">        Breachstone = "Riss-Steine",</v>
      </c>
      <c r="E97" s="19" t="str">
        <f>Breachstone!F4</f>
        <v>Piedras de fisura</v>
      </c>
      <c r="F97" s="11" t="str">
        <f>_xlfn.CONCAT("        Breachstone = """, E97, """,")</f>
        <v xml:space="preserve">        Breachstone = "Piedras de fisura",</v>
      </c>
      <c r="G97" s="19" t="str">
        <f>Breachstone!H4</f>
        <v>Pierres de Brèche</v>
      </c>
      <c r="H97" s="11" t="str">
        <f>_xlfn.CONCAT("        Breachstone = """, G97, """,")</f>
        <v xml:space="preserve">        Breachstone = "Pierres de Brèche",</v>
      </c>
      <c r="I97" s="19" t="str">
        <f>Breachstone!J4</f>
        <v>ブリーチストーン</v>
      </c>
      <c r="J97" s="11" t="str">
        <f>_xlfn.CONCAT("        Breachstone = """, I97, """,")</f>
        <v xml:space="preserve">        Breachstone = "ブリーチストーン",</v>
      </c>
      <c r="K97" s="19" t="str">
        <f>Breachstone!L4</f>
        <v>균열석</v>
      </c>
      <c r="L97" s="11" t="str">
        <f>_xlfn.CONCAT("        Breachstone = """, K97, """,")</f>
        <v xml:space="preserve">        Breachstone = "균열석",</v>
      </c>
      <c r="M97" s="19" t="str">
        <f>Breachstone!N4</f>
        <v>Pedras de Fenda</v>
      </c>
      <c r="N97" s="11" t="str">
        <f>_xlfn.CONCAT("        Breachstone = """, M97, """,")</f>
        <v xml:space="preserve">        Breachstone = "Pedras de Fenda",</v>
      </c>
      <c r="O97" s="19" t="str">
        <f>Breachstone!P4</f>
        <v>Камни Разлома</v>
      </c>
      <c r="P97" s="11" t="str">
        <f>_xlfn.CONCAT("        Breachstone = """, O97, """,")</f>
        <v xml:space="preserve">        Breachstone = "Камни Разлома",</v>
      </c>
      <c r="Q97" s="19" t="str">
        <f>Breachstone!R4</f>
        <v>ศิลาบรีช</v>
      </c>
      <c r="R97" s="11" t="str">
        <f>_xlfn.CONCAT("        Breachstone = """, Q97, """,")</f>
        <v xml:space="preserve">        Breachstone = "ศิลาบรีช",</v>
      </c>
      <c r="S97" s="19" t="str">
        <f>Breachstone!T4</f>
        <v>裂痕石</v>
      </c>
      <c r="T97" s="11" t="str">
        <f>_xlfn.CONCAT("        Breachstone = """, S97, """,")</f>
        <v xml:space="preserve">        Breachstone = "裂痕石",</v>
      </c>
      <c r="V97" s="1" t="s">
        <v>7138</v>
      </c>
    </row>
    <row r="98" spans="1:22" ht="15.95" customHeight="1" x14ac:dyDescent="0.25">
      <c r="A98" s="19" t="str">
        <f>'Boss Key'!B4</f>
        <v>Pinnacle Keys</v>
      </c>
      <c r="B98" s="11" t="str">
        <f>_xlfn.CONCAT("        BossKey = """, A98, """,")</f>
        <v xml:space="preserve">        BossKey = "Pinnacle Keys",</v>
      </c>
      <c r="C98" s="19" t="str">
        <f>'Boss Key'!D4</f>
        <v>Zinnenschhlüssel</v>
      </c>
      <c r="D98" s="11" t="str">
        <f>_xlfn.CONCAT("        BossKey = """, C98, """,")</f>
        <v xml:space="preserve">        BossKey = "Zinnenschhlüssel",</v>
      </c>
      <c r="E98" s="19" t="str">
        <f>'Boss Key'!F4</f>
        <v>Llaves de jefes finales</v>
      </c>
      <c r="F98" s="11" t="str">
        <f>_xlfn.CONCAT("        BossKey = """, E98, """,")</f>
        <v xml:space="preserve">        BossKey = "Llaves de jefes finales",</v>
      </c>
      <c r="G98" s="19" t="str">
        <f>'Boss Key'!H4</f>
        <v>Clés de la Finalité</v>
      </c>
      <c r="H98" s="11" t="str">
        <f>_xlfn.CONCAT("        BossKey = """, G98, """,")</f>
        <v xml:space="preserve">        BossKey = "Clés de la Finalité",</v>
      </c>
      <c r="I98" s="19" t="str">
        <f>'Boss Key'!J4</f>
        <v>ピナクルキー</v>
      </c>
      <c r="J98" s="11" t="str">
        <f>_xlfn.CONCAT("        BossKey = """, I98, """,")</f>
        <v xml:space="preserve">        BossKey = "ピナクルキー",</v>
      </c>
      <c r="K98" s="19" t="str">
        <f>'Boss Key'!L4</f>
        <v>최종 열쇠</v>
      </c>
      <c r="L98" s="11" t="str">
        <f>_xlfn.CONCAT("        BossKey = """, K98, """,")</f>
        <v xml:space="preserve">        BossKey = "최종 열쇠",</v>
      </c>
      <c r="M98" s="19" t="str">
        <f>'Boss Key'!N4</f>
        <v>Chaves Supremas</v>
      </c>
      <c r="N98" s="11" t="str">
        <f>_xlfn.CONCAT("        BossKey = """, M98, """,")</f>
        <v xml:space="preserve">        BossKey = "Chaves Supremas",</v>
      </c>
      <c r="O98" s="19" t="str">
        <f>'Boss Key'!P4</f>
        <v>Древние ключи</v>
      </c>
      <c r="P98" s="11" t="str">
        <f>_xlfn.CONCAT("        BossKey = """, O98, """,")</f>
        <v xml:space="preserve">        BossKey = "Древние ключи",</v>
      </c>
      <c r="Q98" s="19" t="str">
        <f>'Boss Key'!R4</f>
        <v>กุญแจอภิมหาบอส</v>
      </c>
      <c r="R98" s="11" t="str">
        <f>_xlfn.CONCAT("        BossKey = """, Q98, """,")</f>
        <v xml:space="preserve">        BossKey = "กุญแจอภิมหาบอส",</v>
      </c>
      <c r="S98" s="19" t="str">
        <f>'Boss Key'!T4</f>
        <v>巔峰鑰匙</v>
      </c>
      <c r="T98" s="11" t="str">
        <f>_xlfn.CONCAT("        BossKey = """, S98, """,")</f>
        <v xml:space="preserve">        BossKey = "巔峰鑰匙",</v>
      </c>
      <c r="V98" s="1" t="s">
        <v>7139</v>
      </c>
    </row>
    <row r="99" spans="1:22" ht="15.95" customHeight="1" x14ac:dyDescent="0.25">
      <c r="A99" s="19" t="str">
        <f>Claw!B4</f>
        <v>Claws</v>
      </c>
      <c r="B99" s="11" t="str">
        <f>_xlfn.CONCAT("        Claws = """, A99, """,")</f>
        <v xml:space="preserve">        Claws = "Claws",</v>
      </c>
      <c r="C99" s="19" t="str">
        <f>Claw!D4</f>
        <v>Klauen</v>
      </c>
      <c r="D99" s="11" t="str">
        <f>_xlfn.CONCAT("        Claws = """, C99, """,")</f>
        <v xml:space="preserve">        Claws = "Klauen",</v>
      </c>
      <c r="E99" s="19" t="str">
        <f>Claw!F4</f>
        <v>Garras</v>
      </c>
      <c r="F99" s="11" t="str">
        <f>_xlfn.CONCAT("        Claws = """, E99, """,")</f>
        <v xml:space="preserve">        Claws = "Garras",</v>
      </c>
      <c r="G99" s="19" t="str">
        <f>Claw!H4</f>
        <v>Griffes</v>
      </c>
      <c r="H99" s="11" t="str">
        <f>_xlfn.CONCAT("        Claws = """, G99, """,")</f>
        <v xml:space="preserve">        Claws = "Griffes",</v>
      </c>
      <c r="I99" s="19" t="str">
        <f>Claw!J4</f>
        <v>鉤爪</v>
      </c>
      <c r="J99" s="11" t="str">
        <f>_xlfn.CONCAT("        Claws = """, I99, """,")</f>
        <v xml:space="preserve">        Claws = "鉤爪",</v>
      </c>
      <c r="K99" s="19" t="str">
        <f>Claw!L4</f>
        <v>클로</v>
      </c>
      <c r="L99" s="11" t="str">
        <f>_xlfn.CONCAT("        Claws = """, K99, """,")</f>
        <v xml:space="preserve">        Claws = "클로",</v>
      </c>
      <c r="M99" s="19" t="str">
        <f>Claw!N4</f>
        <v>Garras</v>
      </c>
      <c r="N99" s="11" t="str">
        <f>_xlfn.CONCAT("        Claws = """, M99, """,")</f>
        <v xml:space="preserve">        Claws = "Garras",</v>
      </c>
      <c r="O99" s="19" t="str">
        <f>Claw!P4</f>
        <v>Когти</v>
      </c>
      <c r="P99" s="11" t="str">
        <f>_xlfn.CONCAT("        Claws = """, O99, """,")</f>
        <v xml:space="preserve">        Claws = "Когти",</v>
      </c>
      <c r="Q99" s="19" t="str">
        <f>Claw!R4</f>
        <v>กรงเล็บ</v>
      </c>
      <c r="R99" s="11" t="str">
        <f>_xlfn.CONCAT("        Claws = """, Q99, """,")</f>
        <v xml:space="preserve">        Claws = "กรงเล็บ",</v>
      </c>
      <c r="S99" s="19" t="e">
        <f>Claw!T4</f>
        <v>#N/A</v>
      </c>
      <c r="T99" s="11" t="e">
        <f>_xlfn.CONCAT("        Claws = """, S99, """,")</f>
        <v>#N/A</v>
      </c>
      <c r="V99" s="1" t="s">
        <v>529</v>
      </c>
    </row>
    <row r="100" spans="1:22" ht="15.95" customHeight="1" x14ac:dyDescent="0.25">
      <c r="A100" s="19" t="str">
        <f>Dagger!B4</f>
        <v>Daggers</v>
      </c>
      <c r="B100" s="11" t="str">
        <f>_xlfn.CONCAT("        Daggers = """, A100, """,")</f>
        <v xml:space="preserve">        Daggers = "Daggers",</v>
      </c>
      <c r="C100" s="19" t="str">
        <f>Dagger!D4</f>
        <v>Dolche</v>
      </c>
      <c r="D100" s="11" t="str">
        <f>_xlfn.CONCAT("        Daggers = """, C100, """,")</f>
        <v xml:space="preserve">        Daggers = "Dolche",</v>
      </c>
      <c r="E100" s="19" t="str">
        <f>Dagger!F4</f>
        <v>Dagas</v>
      </c>
      <c r="F100" s="11" t="str">
        <f>_xlfn.CONCAT("        Daggers = """, E100, """,")</f>
        <v xml:space="preserve">        Daggers = "Dagas",</v>
      </c>
      <c r="G100" s="19" t="str">
        <f>Dagger!H4</f>
        <v>Dagues</v>
      </c>
      <c r="H100" s="11" t="str">
        <f>_xlfn.CONCAT("        Daggers = """, G100, """,")</f>
        <v xml:space="preserve">        Daggers = "Dagues",</v>
      </c>
      <c r="I100" s="19" t="str">
        <f>Dagger!J4</f>
        <v>短剣</v>
      </c>
      <c r="J100" s="11" t="str">
        <f>_xlfn.CONCAT("        Daggers = """, I100, """,")</f>
        <v xml:space="preserve">        Daggers = "短剣",</v>
      </c>
      <c r="K100" s="19" t="str">
        <f>Dagger!L4</f>
        <v>단검</v>
      </c>
      <c r="L100" s="11" t="str">
        <f>_xlfn.CONCAT("        Daggers = """, K100, """,")</f>
        <v xml:space="preserve">        Daggers = "단검",</v>
      </c>
      <c r="M100" s="19" t="str">
        <f>Dagger!N4</f>
        <v>Adagas</v>
      </c>
      <c r="N100" s="11" t="str">
        <f>_xlfn.CONCAT("        Daggers = """, M100, """,")</f>
        <v xml:space="preserve">        Daggers = "Adagas",</v>
      </c>
      <c r="O100" s="19" t="str">
        <f>Dagger!P4</f>
        <v>Кинжалы</v>
      </c>
      <c r="P100" s="11" t="str">
        <f>_xlfn.CONCAT("        Daggers = """, O100, """,")</f>
        <v xml:space="preserve">        Daggers = "Кинжалы",</v>
      </c>
      <c r="Q100" s="19" t="str">
        <f>Dagger!R4</f>
        <v>มีด</v>
      </c>
      <c r="R100" s="11" t="str">
        <f>_xlfn.CONCAT("        Daggers = """, Q100, """,")</f>
        <v xml:space="preserve">        Daggers = "มีด",</v>
      </c>
      <c r="S100" s="19" t="e">
        <f>Dagger!T4</f>
        <v>#N/A</v>
      </c>
      <c r="T100" s="11" t="e">
        <f>_xlfn.CONCAT("        Daggers = """, S100, """,")</f>
        <v>#N/A</v>
      </c>
      <c r="V100" s="1" t="s">
        <v>530</v>
      </c>
    </row>
    <row r="101" spans="1:22" ht="15.95" customHeight="1" x14ac:dyDescent="0.25">
      <c r="A101" s="19" t="str">
        <f>Wand!B4</f>
        <v>Wands</v>
      </c>
      <c r="B101" s="11" t="str">
        <f>_xlfn.CONCAT("        Wands = """, A101, """,")</f>
        <v xml:space="preserve">        Wands = "Wands",</v>
      </c>
      <c r="C101" s="19" t="str">
        <f>Wand!D4</f>
        <v>Zauberstäbe</v>
      </c>
      <c r="D101" s="11" t="str">
        <f>_xlfn.CONCAT("        Wands = """, C101, """,")</f>
        <v xml:space="preserve">        Wands = "Zauberstäbe",</v>
      </c>
      <c r="E101" s="19" t="str">
        <f>Wand!F4</f>
        <v>Varitas</v>
      </c>
      <c r="F101" s="11" t="str">
        <f>_xlfn.CONCAT("        Wands = """, E101, """,")</f>
        <v xml:space="preserve">        Wands = "Varitas",</v>
      </c>
      <c r="G101" s="19" t="str">
        <f>Wand!H4</f>
        <v>Baguettes</v>
      </c>
      <c r="H101" s="11" t="str">
        <f>_xlfn.CONCAT("        Wands = """, G101, """,")</f>
        <v xml:space="preserve">        Wands = "Baguettes",</v>
      </c>
      <c r="I101" s="19" t="str">
        <f>Wand!J4</f>
        <v>ワンド</v>
      </c>
      <c r="J101" s="11" t="str">
        <f>_xlfn.CONCAT("        Wands = """, I101, """,")</f>
        <v xml:space="preserve">        Wands = "ワンド",</v>
      </c>
      <c r="K101" s="19" t="str">
        <f>Wand!L4</f>
        <v>마법봉</v>
      </c>
      <c r="L101" s="11" t="str">
        <f>_xlfn.CONCAT("        Wands = """, K101, """,")</f>
        <v xml:space="preserve">        Wands = "마법봉",</v>
      </c>
      <c r="M101" s="19" t="str">
        <f>Wand!N4</f>
        <v>Varinhas</v>
      </c>
      <c r="N101" s="11" t="str">
        <f>_xlfn.CONCAT("        Wands = """, M101, """,")</f>
        <v xml:space="preserve">        Wands = "Varinhas",</v>
      </c>
      <c r="O101" s="19" t="str">
        <f>Wand!P4</f>
        <v>Жезлы</v>
      </c>
      <c r="P101" s="11" t="str">
        <f>_xlfn.CONCAT("        Wands = """, O101, """,")</f>
        <v xml:space="preserve">        Wands = "Жезлы",</v>
      </c>
      <c r="Q101" s="19" t="str">
        <f>Wand!R4</f>
        <v>ไม้กายสิทธิ์</v>
      </c>
      <c r="R101" s="11" t="str">
        <f>_xlfn.CONCAT("        Wands = """, Q101, """,")</f>
        <v xml:space="preserve">        Wands = "ไม้กายสิทธิ์",</v>
      </c>
      <c r="S101" s="19" t="e">
        <f>Wand!T4</f>
        <v>#N/A</v>
      </c>
      <c r="T101" s="11" t="e">
        <f>_xlfn.CONCAT("        Wands = """, S101, """,")</f>
        <v>#N/A</v>
      </c>
      <c r="V101" s="1" t="s">
        <v>531</v>
      </c>
    </row>
    <row r="102" spans="1:22" ht="15.95" customHeight="1" x14ac:dyDescent="0.25">
      <c r="A102" s="19" t="str">
        <f>'1H Sword'!B4</f>
        <v>One Hand Swords</v>
      </c>
      <c r="B102" s="11" t="str">
        <f>_xlfn.CONCAT("        OneHandSwords = """, A102, """,")</f>
        <v xml:space="preserve">        OneHandSwords = "One Hand Swords",</v>
      </c>
      <c r="C102" s="19" t="str">
        <f>'1H Sword'!D4</f>
        <v>Einhandschwerter</v>
      </c>
      <c r="D102" s="11" t="str">
        <f>_xlfn.CONCAT("        OneHandSwords = """, C102, """,")</f>
        <v xml:space="preserve">        OneHandSwords = "Einhandschwerter",</v>
      </c>
      <c r="E102" s="19" t="str">
        <f>'1H Sword'!F4</f>
        <v>Espadas a una mano</v>
      </c>
      <c r="F102" s="11" t="str">
        <f>_xlfn.CONCAT("        OneHandSwords = """, E102, """,")</f>
        <v xml:space="preserve">        OneHandSwords = "Espadas a una mano",</v>
      </c>
      <c r="G102" s="19" t="str">
        <f>'1H Sword'!H4</f>
        <v>Épées à une main</v>
      </c>
      <c r="H102" s="11" t="str">
        <f>_xlfn.CONCAT("        OneHandSwords = """, G102, """,")</f>
        <v xml:space="preserve">        OneHandSwords = "Épées à une main",</v>
      </c>
      <c r="I102" s="19" t="str">
        <f>'1H Sword'!J4</f>
        <v>片手剣</v>
      </c>
      <c r="J102" s="11" t="str">
        <f>_xlfn.CONCAT("        OneHandSwords = """, I102, """,")</f>
        <v xml:space="preserve">        OneHandSwords = "片手剣",</v>
      </c>
      <c r="K102" s="19" t="str">
        <f>'1H Sword'!L4</f>
        <v>한손 검</v>
      </c>
      <c r="L102" s="11" t="str">
        <f>_xlfn.CONCAT("        OneHandSwords = """, K102, """,")</f>
        <v xml:space="preserve">        OneHandSwords = "한손 검",</v>
      </c>
      <c r="M102" s="19" t="str">
        <f>'1H Sword'!N4</f>
        <v>Espadas de Uma Mão</v>
      </c>
      <c r="N102" s="11" t="str">
        <f>_xlfn.CONCAT("        OneHandSwords = """, M102, """,")</f>
        <v xml:space="preserve">        OneHandSwords = "Espadas de Uma Mão",</v>
      </c>
      <c r="O102" s="19" t="str">
        <f>'1H Sword'!P4</f>
        <v>Одноручные мечи</v>
      </c>
      <c r="P102" s="11" t="str">
        <f>_xlfn.CONCAT("        OneHandSwords = """, O102, """,")</f>
        <v xml:space="preserve">        OneHandSwords = "Одноручные мечи",</v>
      </c>
      <c r="Q102" s="19" t="str">
        <f>'1H Sword'!R4</f>
        <v>ดาบมือเดียว</v>
      </c>
      <c r="R102" s="11" t="str">
        <f>_xlfn.CONCAT("        OneHandSwords = """, Q102, """,")</f>
        <v xml:space="preserve">        OneHandSwords = "ดาบมือเดียว",</v>
      </c>
      <c r="S102" s="19" t="e">
        <f>'1H Sword'!T4</f>
        <v>#N/A</v>
      </c>
      <c r="T102" s="11" t="e">
        <f>_xlfn.CONCAT("        OneHandSwords = """, S102, """,")</f>
        <v>#N/A</v>
      </c>
      <c r="V102" s="1" t="s">
        <v>532</v>
      </c>
    </row>
    <row r="103" spans="1:22" ht="15.95" customHeight="1" x14ac:dyDescent="0.25">
      <c r="A103" s="19" t="str">
        <f>'1H Thrusting Sword'!B4</f>
        <v>Thrusting One Hand Swords</v>
      </c>
      <c r="B103" s="11" t="str">
        <f>_xlfn.CONCAT("        ThrustingOneHandSwords = """, A103, """,")</f>
        <v xml:space="preserve">        ThrustingOneHandSwords = "Thrusting One Hand Swords",</v>
      </c>
      <c r="C103" s="19" t="str">
        <f>'1H Thrusting Sword'!D4</f>
        <v>Einhandstichschwerter</v>
      </c>
      <c r="D103" s="11" t="str">
        <f>_xlfn.CONCAT("        ThrustingOneHandSwords = """, C103, """,")</f>
        <v xml:space="preserve">        ThrustingOneHandSwords = "Einhandstichschwerter",</v>
      </c>
      <c r="E103" s="19" t="str">
        <f>'1H Thrusting Sword'!F4</f>
        <v>Espadas agresivas a una mano</v>
      </c>
      <c r="F103" s="11" t="str">
        <f>_xlfn.CONCAT("        ThrustingOneHandSwords = """, E103, """,")</f>
        <v xml:space="preserve">        ThrustingOneHandSwords = "Espadas agresivas a una mano",</v>
      </c>
      <c r="G103" s="19" t="str">
        <f>'1H Thrusting Sword'!H4</f>
        <v>Épées d'estoc à une main</v>
      </c>
      <c r="H103" s="11" t="str">
        <f>_xlfn.CONCAT("        ThrustingOneHandSwords = """, G103, """,")</f>
        <v xml:space="preserve">        ThrustingOneHandSwords = "Épées d'estoc à une main",</v>
      </c>
      <c r="I103" s="19" t="str">
        <f>'1H Thrusting Sword'!J4</f>
        <v>刺突剣</v>
      </c>
      <c r="J103" s="11" t="str">
        <f>_xlfn.CONCAT("        ThrustingOneHandSwords = """, I103, """,")</f>
        <v xml:space="preserve">        ThrustingOneHandSwords = "刺突剣",</v>
      </c>
      <c r="K103" s="19" t="str">
        <f>'1H Thrusting Sword'!L4</f>
        <v>날카로운 한손 검</v>
      </c>
      <c r="L103" s="11" t="str">
        <f>_xlfn.CONCAT("        ThrustingOneHandSwords = """, K103, """,")</f>
        <v xml:space="preserve">        ThrustingOneHandSwords = "날카로운 한손 검",</v>
      </c>
      <c r="M103" s="19" t="str">
        <f>'1H Thrusting Sword'!N4</f>
        <v>Espadas de Estocada de Uma Mão</v>
      </c>
      <c r="N103" s="11" t="str">
        <f>_xlfn.CONCAT("        ThrustingOneHandSwords = """, M103, """,")</f>
        <v xml:space="preserve">        ThrustingOneHandSwords = "Espadas de Estocada de Uma Mão",</v>
      </c>
      <c r="O103" s="19" t="str">
        <f>'1H Thrusting Sword'!P4</f>
        <v>Шпаги</v>
      </c>
      <c r="P103" s="11" t="str">
        <f>_xlfn.CONCAT("        ThrustingOneHandSwords = """, O103, """,")</f>
        <v xml:space="preserve">        ThrustingOneHandSwords = "Шпаги",</v>
      </c>
      <c r="Q103" s="19" t="str">
        <f>'1H Thrusting Sword'!R4</f>
        <v>ดาบแทง</v>
      </c>
      <c r="R103" s="11" t="str">
        <f>_xlfn.CONCAT("        ThrustingOneHandSwords = """, Q103, """,")</f>
        <v xml:space="preserve">        ThrustingOneHandSwords = "ดาบแทง",</v>
      </c>
      <c r="S103" s="19" t="e">
        <f>'1H Thrusting Sword'!T4</f>
        <v>#N/A</v>
      </c>
      <c r="T103" s="11" t="e">
        <f>_xlfn.CONCAT("        ThrustingOneHandSwords = """, S103, """,")</f>
        <v>#N/A</v>
      </c>
      <c r="V103" s="1" t="s">
        <v>533</v>
      </c>
    </row>
    <row r="104" spans="1:22" ht="15.95" customHeight="1" x14ac:dyDescent="0.25">
      <c r="A104" s="19" t="str">
        <f>'1H Axe'!B4</f>
        <v>One Hand Axes</v>
      </c>
      <c r="B104" s="11" t="str">
        <f>_xlfn.CONCAT("        OneHandAxes = """, A104, """,")</f>
        <v xml:space="preserve">        OneHandAxes = "One Hand Axes",</v>
      </c>
      <c r="C104" s="19" t="str">
        <f>'1H Axe'!D4</f>
        <v>Einhandäxte</v>
      </c>
      <c r="D104" s="11" t="str">
        <f>_xlfn.CONCAT("        OneHandAxes = """, C104, """,")</f>
        <v xml:space="preserve">        OneHandAxes = "Einhandäxte",</v>
      </c>
      <c r="E104" s="19" t="str">
        <f>'1H Axe'!F4</f>
        <v>Hachas a una mano</v>
      </c>
      <c r="F104" s="11" t="str">
        <f>_xlfn.CONCAT("        OneHandAxes = """, E104, """,")</f>
        <v xml:space="preserve">        OneHandAxes = "Hachas a una mano",</v>
      </c>
      <c r="G104" s="19" t="str">
        <f>'1H Axe'!H4</f>
        <v>Haches à une main</v>
      </c>
      <c r="H104" s="11" t="str">
        <f>_xlfn.CONCAT("        OneHandAxes = """, G104, """,")</f>
        <v xml:space="preserve">        OneHandAxes = "Haches à une main",</v>
      </c>
      <c r="I104" s="19" t="str">
        <f>'1H Axe'!J4</f>
        <v>片手斧</v>
      </c>
      <c r="J104" s="11" t="str">
        <f>_xlfn.CONCAT("        OneHandAxes = """, I104, """,")</f>
        <v xml:space="preserve">        OneHandAxes = "片手斧",</v>
      </c>
      <c r="K104" s="19" t="str">
        <f>'1H Axe'!L4</f>
        <v>한손 도끼</v>
      </c>
      <c r="L104" s="11" t="str">
        <f>_xlfn.CONCAT("        OneHandAxes = """, K104, """,")</f>
        <v xml:space="preserve">        OneHandAxes = "한손 도끼",</v>
      </c>
      <c r="M104" s="19" t="str">
        <f>'1H Axe'!N4</f>
        <v>Machados de Uma Mão</v>
      </c>
      <c r="N104" s="11" t="str">
        <f>_xlfn.CONCAT("        OneHandAxes = """, M104, """,")</f>
        <v xml:space="preserve">        OneHandAxes = "Machados de Uma Mão",</v>
      </c>
      <c r="O104" s="19" t="str">
        <f>'1H Axe'!P4</f>
        <v>Одноручные топоры</v>
      </c>
      <c r="P104" s="11" t="str">
        <f>_xlfn.CONCAT("        OneHandAxes = """, O104, """,")</f>
        <v xml:space="preserve">        OneHandAxes = "Одноручные топоры",</v>
      </c>
      <c r="Q104" s="19" t="str">
        <f>'1H Axe'!R4</f>
        <v>ขวานมือเดียว</v>
      </c>
      <c r="R104" s="11" t="str">
        <f>_xlfn.CONCAT("        OneHandAxes = """, Q104, """,")</f>
        <v xml:space="preserve">        OneHandAxes = "ขวานมือเดียว",</v>
      </c>
      <c r="S104" s="19" t="e">
        <f>'1H Axe'!T4</f>
        <v>#N/A</v>
      </c>
      <c r="T104" s="11" t="e">
        <f>_xlfn.CONCAT("        OneHandAxes = """, S104, """,")</f>
        <v>#N/A</v>
      </c>
      <c r="V104" s="1" t="s">
        <v>534</v>
      </c>
    </row>
    <row r="105" spans="1:22" ht="15.95" customHeight="1" x14ac:dyDescent="0.25">
      <c r="A105" s="19" t="str">
        <f>'1H Mace'!B4</f>
        <v>One Hand Maces</v>
      </c>
      <c r="B105" s="11" t="str">
        <f>_xlfn.CONCAT("        OneHandMaces = """, A105, """,")</f>
        <v xml:space="preserve">        OneHandMaces = "One Hand Maces",</v>
      </c>
      <c r="C105" s="19" t="str">
        <f>'1H Mace'!D4</f>
        <v>Einhandstreitkolben</v>
      </c>
      <c r="D105" s="11" t="str">
        <f>_xlfn.CONCAT("        OneHandMaces = """, C105, """,")</f>
        <v xml:space="preserve">        OneHandMaces = "Einhandstreitkolben",</v>
      </c>
      <c r="E105" s="19" t="str">
        <f>'1H Mace'!F4</f>
        <v>Mazas a una mano</v>
      </c>
      <c r="F105" s="11" t="str">
        <f>_xlfn.CONCAT("        OneHandMaces = """, E105, """,")</f>
        <v xml:space="preserve">        OneHandMaces = "Mazas a una mano",</v>
      </c>
      <c r="G105" s="19" t="str">
        <f>'1H Mace'!H4</f>
        <v>Masses à une main</v>
      </c>
      <c r="H105" s="11" t="str">
        <f>_xlfn.CONCAT("        OneHandMaces = """, G105, """,")</f>
        <v xml:space="preserve">        OneHandMaces = "Masses à une main",</v>
      </c>
      <c r="I105" s="19" t="str">
        <f>'1H Mace'!J4</f>
        <v>片手メイス</v>
      </c>
      <c r="J105" s="11" t="str">
        <f>_xlfn.CONCAT("        OneHandMaces = """, I105, """,")</f>
        <v xml:space="preserve">        OneHandMaces = "片手メイス",</v>
      </c>
      <c r="K105" s="19" t="str">
        <f>'1H Mace'!L4</f>
        <v>한손 철퇴</v>
      </c>
      <c r="L105" s="11" t="str">
        <f>_xlfn.CONCAT("        OneHandMaces = """, K105, """,")</f>
        <v xml:space="preserve">        OneHandMaces = "한손 철퇴",</v>
      </c>
      <c r="M105" s="19" t="str">
        <f>'1H Mace'!N4</f>
        <v>Maças de Uma Mão</v>
      </c>
      <c r="N105" s="11" t="str">
        <f>_xlfn.CONCAT("        OneHandMaces = """, M105, """,")</f>
        <v xml:space="preserve">        OneHandMaces = "Maças de Uma Mão",</v>
      </c>
      <c r="O105" s="19" t="str">
        <f>'1H Mace'!P4</f>
        <v>Одноручные булавы</v>
      </c>
      <c r="P105" s="11" t="str">
        <f>_xlfn.CONCAT("        OneHandMaces = """, O105, """,")</f>
        <v xml:space="preserve">        OneHandMaces = "Одноручные булавы",</v>
      </c>
      <c r="Q105" s="19" t="str">
        <f>'1H Mace'!R4</f>
        <v>กระบองมือเดียว</v>
      </c>
      <c r="R105" s="11" t="str">
        <f>_xlfn.CONCAT("        OneHandMaces = """, Q105, """,")</f>
        <v xml:space="preserve">        OneHandMaces = "กระบองมือเดียว",</v>
      </c>
      <c r="S105" s="19" t="e">
        <f>'1H Mace'!T4</f>
        <v>#N/A</v>
      </c>
      <c r="T105" s="11" t="e">
        <f>_xlfn.CONCAT("        OneHandMaces = """, S105, """,")</f>
        <v>#N/A</v>
      </c>
      <c r="V105" s="1" t="s">
        <v>535</v>
      </c>
    </row>
    <row r="106" spans="1:22" ht="15.95" customHeight="1" x14ac:dyDescent="0.25">
      <c r="A106" s="19" t="str">
        <f>Bow!B4</f>
        <v>Bows</v>
      </c>
      <c r="B106" s="11" t="str">
        <f>_xlfn.CONCAT("        Bows = """, A106, """,")</f>
        <v xml:space="preserve">        Bows = "Bows",</v>
      </c>
      <c r="C106" s="19" t="str">
        <f>Bow!D4</f>
        <v>Bögen</v>
      </c>
      <c r="D106" s="11" t="str">
        <f>_xlfn.CONCAT("        Bows = """, C106, """,")</f>
        <v xml:space="preserve">        Bows = "Bögen",</v>
      </c>
      <c r="E106" s="19" t="str">
        <f>Bow!F4</f>
        <v>Arcos</v>
      </c>
      <c r="F106" s="11" t="str">
        <f>_xlfn.CONCAT("        Bows = """, E106, """,")</f>
        <v xml:space="preserve">        Bows = "Arcos",</v>
      </c>
      <c r="G106" s="19" t="str">
        <f>Bow!H4</f>
        <v>Arcs</v>
      </c>
      <c r="H106" s="11" t="str">
        <f>_xlfn.CONCAT("        Bows = """, G106, """,")</f>
        <v xml:space="preserve">        Bows = "Arcs",</v>
      </c>
      <c r="I106" s="19" t="str">
        <f>Bow!J4</f>
        <v>弓</v>
      </c>
      <c r="J106" s="11" t="str">
        <f>_xlfn.CONCAT("        Bows = """, I106, """,")</f>
        <v xml:space="preserve">        Bows = "弓",</v>
      </c>
      <c r="K106" s="19" t="str">
        <f>Bow!L4</f>
        <v>활</v>
      </c>
      <c r="L106" s="11" t="str">
        <f>_xlfn.CONCAT("        Bows = """, K106, """,")</f>
        <v xml:space="preserve">        Bows = "활",</v>
      </c>
      <c r="M106" s="19" t="str">
        <f>Bow!N4</f>
        <v>Arcos</v>
      </c>
      <c r="N106" s="11" t="str">
        <f>_xlfn.CONCAT("        Bows = """, M106, """,")</f>
        <v xml:space="preserve">        Bows = "Arcos",</v>
      </c>
      <c r="O106" s="19" t="str">
        <f>Bow!P4</f>
        <v>Луки</v>
      </c>
      <c r="P106" s="11" t="str">
        <f>_xlfn.CONCAT("        Bows = """, O106, """,")</f>
        <v xml:space="preserve">        Bows = "Луки",</v>
      </c>
      <c r="Q106" s="19" t="str">
        <f>Bow!R4</f>
        <v>ธนู</v>
      </c>
      <c r="R106" s="11" t="str">
        <f>_xlfn.CONCAT("        Bows = """, Q106, """,")</f>
        <v xml:space="preserve">        Bows = "ธนู",</v>
      </c>
      <c r="S106" s="19" t="e">
        <f>Bow!T4</f>
        <v>#N/A</v>
      </c>
      <c r="T106" s="11" t="e">
        <f>_xlfn.CONCAT("        Bows = """, S106, """,")</f>
        <v>#N/A</v>
      </c>
      <c r="V106" s="1" t="s">
        <v>536</v>
      </c>
    </row>
    <row r="107" spans="1:22" ht="15.95" customHeight="1" x14ac:dyDescent="0.25">
      <c r="A107" s="19" t="str">
        <f>Crossbow!B4</f>
        <v>Crossbows</v>
      </c>
      <c r="B107" s="11" t="str">
        <f>_xlfn.CONCAT("        Crossbows = """, A107, """,")</f>
        <v xml:space="preserve">        Crossbows = "Crossbows",</v>
      </c>
      <c r="C107" s="19" t="str">
        <f>Crossbow!D4</f>
        <v>Armbrüste</v>
      </c>
      <c r="D107" s="11" t="str">
        <f>_xlfn.CONCAT("        Crossbows = """, C107, """,")</f>
        <v xml:space="preserve">        Crossbows = "Armbrüste",</v>
      </c>
      <c r="E107" s="19" t="str">
        <f>Crossbow!F4</f>
        <v>Ballestas</v>
      </c>
      <c r="F107" s="11" t="str">
        <f>_xlfn.CONCAT("        Crossbows = """, E107, """,")</f>
        <v xml:space="preserve">        Crossbows = "Ballestas",</v>
      </c>
      <c r="G107" s="19" t="str">
        <f>Crossbow!H4</f>
        <v>Arbalètes</v>
      </c>
      <c r="H107" s="11" t="str">
        <f>_xlfn.CONCAT("        Crossbows = """, G107, """,")</f>
        <v xml:space="preserve">        Crossbows = "Arbalètes",</v>
      </c>
      <c r="I107" s="19" t="str">
        <f>Crossbow!J4</f>
        <v>クロスボウ</v>
      </c>
      <c r="J107" s="11" t="str">
        <f>_xlfn.CONCAT("        Crossbows = """, I107, """,")</f>
        <v xml:space="preserve">        Crossbows = "クロスボウ",</v>
      </c>
      <c r="K107" s="19" t="str">
        <f>Crossbow!L4</f>
        <v>쇠뇌</v>
      </c>
      <c r="L107" s="11" t="str">
        <f>_xlfn.CONCAT("        Crossbows = """, K107, """,")</f>
        <v xml:space="preserve">        Crossbows = "쇠뇌",</v>
      </c>
      <c r="M107" s="19" t="str">
        <f>Crossbow!N4</f>
        <v>Bestas</v>
      </c>
      <c r="N107" s="11" t="str">
        <f>_xlfn.CONCAT("        Crossbows = """, M107, """,")</f>
        <v xml:space="preserve">        Crossbows = "Bestas",</v>
      </c>
      <c r="O107" s="19" t="str">
        <f>Crossbow!P4</f>
        <v>Самострелы</v>
      </c>
      <c r="P107" s="11" t="str">
        <f>_xlfn.CONCAT("        Crossbows = """, O107, """,")</f>
        <v xml:space="preserve">        Crossbows = "Самострелы",</v>
      </c>
      <c r="Q107" s="19" t="str">
        <f>Crossbow!R4</f>
        <v>หน้าไม้</v>
      </c>
      <c r="R107" s="11" t="str">
        <f>_xlfn.CONCAT("        Crossbows = """, Q107, """,")</f>
        <v xml:space="preserve">        Crossbows = "หน้าไม้",</v>
      </c>
      <c r="S107" s="19" t="str">
        <f>Crossbow!T4</f>
        <v>十字弓</v>
      </c>
      <c r="T107" s="11" t="str">
        <f>_xlfn.CONCAT("        Crossbows = """, S107, """,")</f>
        <v xml:space="preserve">        Crossbows = "十字弓",</v>
      </c>
      <c r="V107" s="1" t="s">
        <v>7052</v>
      </c>
    </row>
    <row r="108" spans="1:22" ht="15.95" customHeight="1" x14ac:dyDescent="0.25">
      <c r="A108" s="19" t="str">
        <f>Staff!B4</f>
        <v>Staves</v>
      </c>
      <c r="B108" s="11" t="str">
        <f>_xlfn.CONCAT("        Staves = """, A108, """,")</f>
        <v xml:space="preserve">        Staves = "Staves",</v>
      </c>
      <c r="C108" s="19" t="str">
        <f>Staff!D4</f>
        <v>Stäbe</v>
      </c>
      <c r="D108" s="11" t="str">
        <f>_xlfn.CONCAT("        Staves = """, C108, """,")</f>
        <v xml:space="preserve">        Staves = "Stäbe",</v>
      </c>
      <c r="E108" s="19" t="str">
        <f>Staff!F4</f>
        <v>Báculos</v>
      </c>
      <c r="F108" s="11" t="str">
        <f>_xlfn.CONCAT("        Staves = """, E108, """,")</f>
        <v xml:space="preserve">        Staves = "Báculos",</v>
      </c>
      <c r="G108" s="19" t="str">
        <f>Staff!H4</f>
        <v>Bâtons</v>
      </c>
      <c r="H108" s="11" t="str">
        <f>_xlfn.CONCAT("        Staves = """, G108, """,")</f>
        <v xml:space="preserve">        Staves = "Bâtons",</v>
      </c>
      <c r="I108" s="19" t="str">
        <f>Staff!J4</f>
        <v>スタッフ</v>
      </c>
      <c r="J108" s="11" t="str">
        <f>_xlfn.CONCAT("        Staves = """, I108, """,")</f>
        <v xml:space="preserve">        Staves = "スタッフ",</v>
      </c>
      <c r="K108" s="19" t="str">
        <f>Staff!L4</f>
        <v>지팡이</v>
      </c>
      <c r="L108" s="11" t="str">
        <f>_xlfn.CONCAT("        Staves = """, K108, """,")</f>
        <v xml:space="preserve">        Staves = "지팡이",</v>
      </c>
      <c r="M108" s="19" t="str">
        <f>Staff!N4</f>
        <v>Cajados</v>
      </c>
      <c r="N108" s="11" t="str">
        <f>_xlfn.CONCAT("        Staves = """, M108, """,")</f>
        <v xml:space="preserve">        Staves = "Cajados",</v>
      </c>
      <c r="O108" s="19" t="str">
        <f>Staff!P4</f>
        <v>Посохи</v>
      </c>
      <c r="P108" s="11" t="str">
        <f>_xlfn.CONCAT("        Staves = """, O108, """,")</f>
        <v xml:space="preserve">        Staves = "Посохи",</v>
      </c>
      <c r="Q108" s="19" t="str">
        <f>Staff!R4</f>
        <v>ไม้พลอง</v>
      </c>
      <c r="R108" s="11" t="str">
        <f>_xlfn.CONCAT("        Staves = """, Q108, """,")</f>
        <v xml:space="preserve">        Staves = "ไม้พลอง",</v>
      </c>
      <c r="S108" s="19" t="e">
        <f>Staff!T4</f>
        <v>#N/A</v>
      </c>
      <c r="T108" s="11" t="e">
        <f>_xlfn.CONCAT("        Staves = """, S108, """,")</f>
        <v>#N/A</v>
      </c>
      <c r="V108" s="1" t="s">
        <v>537</v>
      </c>
    </row>
    <row r="109" spans="1:22" ht="15.95" customHeight="1" x14ac:dyDescent="0.25">
      <c r="A109" s="19" t="str">
        <f>'2H Sword'!B4</f>
        <v>Two Hand Swords</v>
      </c>
      <c r="B109" s="11" t="str">
        <f>_xlfn.CONCAT("        TwoHandSwords = """, A109, """,")</f>
        <v xml:space="preserve">        TwoHandSwords = "Two Hand Swords",</v>
      </c>
      <c r="C109" s="19" t="str">
        <f>'2H Sword'!D4</f>
        <v>Zweihandschwerter</v>
      </c>
      <c r="D109" s="11" t="str">
        <f>_xlfn.CONCAT("        TwoHandSwords = """, C109, """,")</f>
        <v xml:space="preserve">        TwoHandSwords = "Zweihandschwerter",</v>
      </c>
      <c r="E109" s="19" t="str">
        <f>'2H Sword'!F4</f>
        <v>Espadas a dos manos</v>
      </c>
      <c r="F109" s="11" t="str">
        <f>_xlfn.CONCAT("        TwoHandSwords = """, E109, """,")</f>
        <v xml:space="preserve">        TwoHandSwords = "Espadas a dos manos",</v>
      </c>
      <c r="G109" s="19" t="str">
        <f>'2H Sword'!H4</f>
        <v>Épées à deux mains</v>
      </c>
      <c r="H109" s="11" t="str">
        <f>_xlfn.CONCAT("        TwoHandSwords = """, G109, """,")</f>
        <v xml:space="preserve">        TwoHandSwords = "Épées à deux mains",</v>
      </c>
      <c r="I109" s="19" t="str">
        <f>'2H Sword'!J4</f>
        <v>両手剣</v>
      </c>
      <c r="J109" s="11" t="str">
        <f>_xlfn.CONCAT("        TwoHandSwords = """, I109, """,")</f>
        <v xml:space="preserve">        TwoHandSwords = "両手剣",</v>
      </c>
      <c r="K109" s="19" t="str">
        <f>'2H Sword'!L4</f>
        <v>양손 검</v>
      </c>
      <c r="L109" s="11" t="str">
        <f>_xlfn.CONCAT("        TwoHandSwords = """, K109, """,")</f>
        <v xml:space="preserve">        TwoHandSwords = "양손 검",</v>
      </c>
      <c r="M109" s="19" t="str">
        <f>'2H Sword'!N4</f>
        <v>Espadas de Duas Mãos</v>
      </c>
      <c r="N109" s="11" t="str">
        <f>_xlfn.CONCAT("        TwoHandSwords = """, M109, """,")</f>
        <v xml:space="preserve">        TwoHandSwords = "Espadas de Duas Mãos",</v>
      </c>
      <c r="O109" s="19" t="str">
        <f>'2H Sword'!P4</f>
        <v>Двуручные мечи</v>
      </c>
      <c r="P109" s="11" t="str">
        <f>_xlfn.CONCAT("        TwoHandSwords = """, O109, """,")</f>
        <v xml:space="preserve">        TwoHandSwords = "Двуручные мечи",</v>
      </c>
      <c r="Q109" s="19" t="str">
        <f>'2H Sword'!R4</f>
        <v>ดาบสองมือ</v>
      </c>
      <c r="R109" s="11" t="str">
        <f>_xlfn.CONCAT("        TwoHandSwords = """, Q109, """,")</f>
        <v xml:space="preserve">        TwoHandSwords = "ดาบสองมือ",</v>
      </c>
      <c r="S109" s="19" t="e">
        <f>'2H Sword'!T4</f>
        <v>#N/A</v>
      </c>
      <c r="T109" s="11" t="e">
        <f>_xlfn.CONCAT("        TwoHandSwords = """, S109, """,")</f>
        <v>#N/A</v>
      </c>
      <c r="V109" s="1" t="s">
        <v>538</v>
      </c>
    </row>
    <row r="110" spans="1:22" ht="15.95" customHeight="1" x14ac:dyDescent="0.25">
      <c r="A110" s="19" t="str">
        <f>'2H Axe'!B4</f>
        <v>Two Hand Axes</v>
      </c>
      <c r="B110" s="11" t="str">
        <f>_xlfn.CONCAT("        TwoHandAxes = """, A110, """,")</f>
        <v xml:space="preserve">        TwoHandAxes = "Two Hand Axes",</v>
      </c>
      <c r="C110" s="19" t="str">
        <f>'2H Axe'!D4</f>
        <v>Zweihandäxte</v>
      </c>
      <c r="D110" s="11" t="str">
        <f>_xlfn.CONCAT("        TwoHandAxes = """, C110, """,")</f>
        <v xml:space="preserve">        TwoHandAxes = "Zweihandäxte",</v>
      </c>
      <c r="E110" s="19" t="str">
        <f>'2H Axe'!F4</f>
        <v>Hachas a dos manos</v>
      </c>
      <c r="F110" s="11" t="str">
        <f>_xlfn.CONCAT("        TwoHandAxes = """, E110, """,")</f>
        <v xml:space="preserve">        TwoHandAxes = "Hachas a dos manos",</v>
      </c>
      <c r="G110" s="19" t="str">
        <f>'2H Axe'!H4</f>
        <v>Haches à deux mains</v>
      </c>
      <c r="H110" s="11" t="str">
        <f>_xlfn.CONCAT("        TwoHandAxes = """, G110, """,")</f>
        <v xml:space="preserve">        TwoHandAxes = "Haches à deux mains",</v>
      </c>
      <c r="I110" s="19" t="str">
        <f>'2H Axe'!J4</f>
        <v>両手斧</v>
      </c>
      <c r="J110" s="11" t="str">
        <f>_xlfn.CONCAT("        TwoHandAxes = """, I110, """,")</f>
        <v xml:space="preserve">        TwoHandAxes = "両手斧",</v>
      </c>
      <c r="K110" s="19" t="str">
        <f>'2H Axe'!L4</f>
        <v>양손 도끼</v>
      </c>
      <c r="L110" s="11" t="str">
        <f>_xlfn.CONCAT("        TwoHandAxes = """, K110, """,")</f>
        <v xml:space="preserve">        TwoHandAxes = "양손 도끼",</v>
      </c>
      <c r="M110" s="19" t="str">
        <f>'2H Axe'!N4</f>
        <v>Machados de Duas Mãos</v>
      </c>
      <c r="N110" s="11" t="str">
        <f>_xlfn.CONCAT("        TwoHandAxes = """, M110, """,")</f>
        <v xml:space="preserve">        TwoHandAxes = "Machados de Duas Mãos",</v>
      </c>
      <c r="O110" s="19" t="str">
        <f>'2H Axe'!P4</f>
        <v>Двуручные топоры</v>
      </c>
      <c r="P110" s="11" t="str">
        <f>_xlfn.CONCAT("        TwoHandAxes = """, O110, """,")</f>
        <v xml:space="preserve">        TwoHandAxes = "Двуручные топоры",</v>
      </c>
      <c r="Q110" s="19" t="str">
        <f>'2H Axe'!R4</f>
        <v>ขวานสองมือ</v>
      </c>
      <c r="R110" s="11" t="str">
        <f>_xlfn.CONCAT("        TwoHandAxes = """, Q110, """,")</f>
        <v xml:space="preserve">        TwoHandAxes = "ขวานสองมือ",</v>
      </c>
      <c r="S110" s="19" t="e">
        <f>'2H Axe'!T4</f>
        <v>#N/A</v>
      </c>
      <c r="T110" s="11" t="e">
        <f>_xlfn.CONCAT("        TwoHandAxes = """, S110, """,")</f>
        <v>#N/A</v>
      </c>
      <c r="V110" s="1" t="s">
        <v>539</v>
      </c>
    </row>
    <row r="111" spans="1:22" ht="15.95" customHeight="1" x14ac:dyDescent="0.25">
      <c r="A111" s="19" t="str">
        <f>'2H Mace'!B4</f>
        <v>Two Hand Maces</v>
      </c>
      <c r="B111" s="11" t="str">
        <f>_xlfn.CONCAT("        TwoHandMaces = """, A111, """,")</f>
        <v xml:space="preserve">        TwoHandMaces = "Two Hand Maces",</v>
      </c>
      <c r="C111" s="19" t="str">
        <f>'2H Mace'!D4</f>
        <v>Zweihandstreitkolben</v>
      </c>
      <c r="D111" s="11" t="str">
        <f>_xlfn.CONCAT("        TwoHandMaces = """, C111, """,")</f>
        <v xml:space="preserve">        TwoHandMaces = "Zweihandstreitkolben",</v>
      </c>
      <c r="E111" s="19" t="str">
        <f>'2H Mace'!F4</f>
        <v>Mazas a dos manos</v>
      </c>
      <c r="F111" s="11" t="str">
        <f>_xlfn.CONCAT("        TwoHandMaces = """, E111, """,")</f>
        <v xml:space="preserve">        TwoHandMaces = "Mazas a dos manos",</v>
      </c>
      <c r="G111" s="19" t="str">
        <f>'2H Mace'!H4</f>
        <v>Masses à deux mains</v>
      </c>
      <c r="H111" s="11" t="str">
        <f>_xlfn.CONCAT("        TwoHandMaces = """, G111, """,")</f>
        <v xml:space="preserve">        TwoHandMaces = "Masses à deux mains",</v>
      </c>
      <c r="I111" s="19" t="str">
        <f>'2H Mace'!J4</f>
        <v>両手メイス</v>
      </c>
      <c r="J111" s="11" t="str">
        <f>_xlfn.CONCAT("        TwoHandMaces = """, I111, """,")</f>
        <v xml:space="preserve">        TwoHandMaces = "両手メイス",</v>
      </c>
      <c r="K111" s="19" t="str">
        <f>'2H Mace'!L4</f>
        <v>양손 철퇴</v>
      </c>
      <c r="L111" s="11" t="str">
        <f>_xlfn.CONCAT("        TwoHandMaces = """, K111, """,")</f>
        <v xml:space="preserve">        TwoHandMaces = "양손 철퇴",</v>
      </c>
      <c r="M111" s="19" t="str">
        <f>'2H Mace'!N4</f>
        <v>Maças de Duas Mãos</v>
      </c>
      <c r="N111" s="11" t="str">
        <f>_xlfn.CONCAT("        TwoHandMaces = """, M111, """,")</f>
        <v xml:space="preserve">        TwoHandMaces = "Maças de Duas Mãos",</v>
      </c>
      <c r="O111" s="19" t="str">
        <f>'2H Mace'!P4</f>
        <v>Двуручные булавы</v>
      </c>
      <c r="P111" s="11" t="str">
        <f>_xlfn.CONCAT("        TwoHandMaces = """, O111, """,")</f>
        <v xml:space="preserve">        TwoHandMaces = "Двуручные булавы",</v>
      </c>
      <c r="Q111" s="19" t="str">
        <f>'2H Mace'!R4</f>
        <v>กระบองสองมือ</v>
      </c>
      <c r="R111" s="11" t="str">
        <f>_xlfn.CONCAT("        TwoHandMaces = """, Q111, """,")</f>
        <v xml:space="preserve">        TwoHandMaces = "กระบองสองมือ",</v>
      </c>
      <c r="S111" s="19" t="e">
        <f>'2H Mace'!T4</f>
        <v>#N/A</v>
      </c>
      <c r="T111" s="11" t="e">
        <f>_xlfn.CONCAT("        TwoHandMaces = """, S111, """,")</f>
        <v>#N/A</v>
      </c>
      <c r="V111" s="1" t="s">
        <v>540</v>
      </c>
    </row>
    <row r="112" spans="1:22" ht="15.95" customHeight="1" x14ac:dyDescent="0.25">
      <c r="A112" s="19" t="str">
        <f>Sceptre!B4</f>
        <v>Sceptres</v>
      </c>
      <c r="B112" s="11" t="str">
        <f>_xlfn.CONCAT("        Sceptres = """, A112, """,")</f>
        <v xml:space="preserve">        Sceptres = "Sceptres",</v>
      </c>
      <c r="C112" s="19" t="str">
        <f>Sceptre!D4</f>
        <v>Zepter</v>
      </c>
      <c r="D112" s="11" t="str">
        <f>_xlfn.CONCAT("        Sceptres = """, C112, """,")</f>
        <v xml:space="preserve">        Sceptres = "Zepter",</v>
      </c>
      <c r="E112" s="19" t="str">
        <f>Sceptre!F4</f>
        <v>Cetros</v>
      </c>
      <c r="F112" s="11" t="str">
        <f>_xlfn.CONCAT("        Sceptres = """, E112, """,")</f>
        <v xml:space="preserve">        Sceptres = "Cetros",</v>
      </c>
      <c r="G112" s="19" t="str">
        <f>Sceptre!H4</f>
        <v>Sceptres</v>
      </c>
      <c r="H112" s="11" t="str">
        <f>_xlfn.CONCAT("        Sceptres = """, G112, """,")</f>
        <v xml:space="preserve">        Sceptres = "Sceptres",</v>
      </c>
      <c r="I112" s="19" t="str">
        <f>Sceptre!J4</f>
        <v>セプター</v>
      </c>
      <c r="J112" s="11" t="str">
        <f>_xlfn.CONCAT("        Sceptres = """, I112, """,")</f>
        <v xml:space="preserve">        Sceptres = "セプター",</v>
      </c>
      <c r="K112" s="19" t="str">
        <f>Sceptre!L4</f>
        <v>셉터</v>
      </c>
      <c r="L112" s="11" t="str">
        <f>_xlfn.CONCAT("        Sceptres = """, K112, """,")</f>
        <v xml:space="preserve">        Sceptres = "셉터",</v>
      </c>
      <c r="M112" s="19" t="str">
        <f>Sceptre!N4</f>
        <v>Cetros</v>
      </c>
      <c r="N112" s="11" t="str">
        <f>_xlfn.CONCAT("        Sceptres = """, M112, """,")</f>
        <v xml:space="preserve">        Sceptres = "Cetros",</v>
      </c>
      <c r="O112" s="19" t="str">
        <f>Sceptre!P4</f>
        <v>Скипетры</v>
      </c>
      <c r="P112" s="11" t="str">
        <f>_xlfn.CONCAT("        Sceptres = """, O112, """,")</f>
        <v xml:space="preserve">        Sceptres = "Скипетры",</v>
      </c>
      <c r="Q112" s="19" t="str">
        <f>Sceptre!R4</f>
        <v>คทา</v>
      </c>
      <c r="R112" s="11" t="str">
        <f>_xlfn.CONCAT("        Sceptres = """, Q112, """,")</f>
        <v xml:space="preserve">        Sceptres = "คทา",</v>
      </c>
      <c r="S112" s="19" t="e">
        <f>Sceptre!T4</f>
        <v>#N/A</v>
      </c>
      <c r="T112" s="11" t="e">
        <f>_xlfn.CONCAT("        Sceptres = """, S112, """,")</f>
        <v>#N/A</v>
      </c>
      <c r="V112" s="1" t="s">
        <v>541</v>
      </c>
    </row>
    <row r="113" spans="1:22" ht="15.95" customHeight="1" x14ac:dyDescent="0.25">
      <c r="A113" s="19" t="str">
        <f>'White Wind'!B4</f>
        <v>Rune Daggers</v>
      </c>
      <c r="B113" s="11" t="str">
        <f>_xlfn.CONCAT("        RuneDaggers = """, A113, """,")</f>
        <v xml:space="preserve">        RuneDaggers = "Rune Daggers",</v>
      </c>
      <c r="C113" s="19" t="str">
        <f>'White Wind'!D4</f>
        <v>Runendolche</v>
      </c>
      <c r="D113" s="11" t="str">
        <f>_xlfn.CONCAT("        RuneDaggers = """, C113, """,")</f>
        <v xml:space="preserve">        RuneDaggers = "Runendolche",</v>
      </c>
      <c r="E113" s="19" t="str">
        <f>'White Wind'!F4</f>
        <v>Dagas rúnicas</v>
      </c>
      <c r="F113" s="11" t="str">
        <f>_xlfn.CONCAT("        RuneDaggers = """, E113, """,")</f>
        <v xml:space="preserve">        RuneDaggers = "Dagas rúnicas",</v>
      </c>
      <c r="G113" s="19" t="str">
        <f>'White Wind'!H4</f>
        <v>Dagues runiques</v>
      </c>
      <c r="H113" s="11" t="str">
        <f>_xlfn.CONCAT("        RuneDaggers = """, G113, """,")</f>
        <v xml:space="preserve">        RuneDaggers = "Dagues runiques",</v>
      </c>
      <c r="I113" s="19" t="str">
        <f>'White Wind'!J4</f>
        <v>ルーンの短剣</v>
      </c>
      <c r="J113" s="11" t="str">
        <f>_xlfn.CONCAT("        RuneDaggers = """, I113, """,")</f>
        <v xml:space="preserve">        RuneDaggers = "ルーンの短剣",</v>
      </c>
      <c r="K113" s="19" t="str">
        <f>'White Wind'!L4</f>
        <v>룬 단검</v>
      </c>
      <c r="L113" s="11" t="str">
        <f>_xlfn.CONCAT("        RuneDaggers = """, K113, """,")</f>
        <v xml:space="preserve">        RuneDaggers = "룬 단검",</v>
      </c>
      <c r="M113" s="19" t="str">
        <f>'White Wind'!N4</f>
        <v>Adagas Rúnicas</v>
      </c>
      <c r="N113" s="11" t="str">
        <f>_xlfn.CONCAT("        RuneDaggers = """, M113, """,")</f>
        <v xml:space="preserve">        RuneDaggers = "Adagas Rúnicas",</v>
      </c>
      <c r="O113" s="19" t="str">
        <f>'White Wind'!P4</f>
        <v>Рунические кинжалы</v>
      </c>
      <c r="P113" s="11" t="str">
        <f>_xlfn.CONCAT("        RuneDaggers = """, O113, """,")</f>
        <v xml:space="preserve">        RuneDaggers = "Рунические кинжалы",</v>
      </c>
      <c r="Q113" s="19" t="str">
        <f>'White Wind'!R4</f>
        <v>มีดอาคม</v>
      </c>
      <c r="R113" s="11" t="str">
        <f>_xlfn.CONCAT("        RuneDaggers = """, Q113, """,")</f>
        <v xml:space="preserve">        RuneDaggers = "มีดอาคม",</v>
      </c>
      <c r="S113" s="19" t="e">
        <f>'White Wind'!T4</f>
        <v>#N/A</v>
      </c>
      <c r="T113" s="11" t="e">
        <f>_xlfn.CONCAT("        RuneDaggers = """, S113, """,")</f>
        <v>#N/A</v>
      </c>
      <c r="V113" s="1" t="s">
        <v>542</v>
      </c>
    </row>
    <row r="114" spans="1:22" ht="15.95" customHeight="1" x14ac:dyDescent="0.25">
      <c r="A114" s="19" t="str">
        <f>Warstaff!B4</f>
        <v>Warstaves</v>
      </c>
      <c r="B114" s="11" t="str">
        <f>_xlfn.CONCAT("        Warstaves = """, A114, """,")</f>
        <v xml:space="preserve">        Warstaves = "Warstaves",</v>
      </c>
      <c r="C114" s="19" t="str">
        <f>Warstaff!D4</f>
        <v>Kriegsstäbe</v>
      </c>
      <c r="D114" s="11" t="str">
        <f>_xlfn.CONCAT("        Warstaves = """, C114, """,")</f>
        <v xml:space="preserve">        Warstaves = "Kriegsstäbe",</v>
      </c>
      <c r="E114" s="19" t="str">
        <f>Warstaff!F4</f>
        <v>Báculos de guerra</v>
      </c>
      <c r="F114" s="11" t="str">
        <f>_xlfn.CONCAT("        Warstaves = """, E114, """,")</f>
        <v xml:space="preserve">        Warstaves = "Báculos de guerra",</v>
      </c>
      <c r="G114" s="19" t="str">
        <f>Warstaff!H4</f>
        <v>Bâtons de guerre</v>
      </c>
      <c r="H114" s="11" t="str">
        <f>_xlfn.CONCAT("        Warstaves = """, G114, """,")</f>
        <v xml:space="preserve">        Warstaves = "Bâtons de guerre",</v>
      </c>
      <c r="I114" s="19" t="str">
        <f>Warstaff!J4</f>
        <v>ウォースタッフ</v>
      </c>
      <c r="J114" s="11" t="str">
        <f>_xlfn.CONCAT("        Warstaves = """, I114, """,")</f>
        <v xml:space="preserve">        Warstaves = "ウォースタッフ",</v>
      </c>
      <c r="K114" s="19" t="str">
        <f>Warstaff!L4</f>
        <v>전쟁지팡이</v>
      </c>
      <c r="L114" s="11" t="str">
        <f>_xlfn.CONCAT("        Warstaves = """, K114, """,")</f>
        <v xml:space="preserve">        Warstaves = "전쟁지팡이",</v>
      </c>
      <c r="M114" s="19" t="str">
        <f>Warstaff!N4</f>
        <v>Cajados de Guerra</v>
      </c>
      <c r="N114" s="11" t="str">
        <f>_xlfn.CONCAT("        Warstaves = """, M114, """,")</f>
        <v xml:space="preserve">        Warstaves = "Cajados de Guerra",</v>
      </c>
      <c r="O114" s="19" t="str">
        <f>Warstaff!P4</f>
        <v>Воинские посохи</v>
      </c>
      <c r="P114" s="11" t="str">
        <f>_xlfn.CONCAT("        Warstaves = """, O114, """,")</f>
        <v xml:space="preserve">        Warstaves = "Воинские посохи",</v>
      </c>
      <c r="Q114" s="19" t="str">
        <f>Warstaff!R4</f>
        <v>ไม้พลองสงคราม</v>
      </c>
      <c r="R114" s="11" t="str">
        <f>_xlfn.CONCAT("        Warstaves = """, Q114, """,")</f>
        <v xml:space="preserve">        Warstaves = "ไม้พลองสงคราม",</v>
      </c>
      <c r="S114" s="19" t="e">
        <f>Warstaff!T4</f>
        <v>#N/A</v>
      </c>
      <c r="T114" s="11" t="e">
        <f>_xlfn.CONCAT("        Warstaves = """, S114, """,")</f>
        <v>#N/A</v>
      </c>
      <c r="V114" s="1" t="s">
        <v>543</v>
      </c>
    </row>
    <row r="115" spans="1:22" ht="15.95" customHeight="1" x14ac:dyDescent="0.25">
      <c r="A115" s="19" t="str">
        <f>'Fishing Rod'!B4</f>
        <v>Fishing Rods</v>
      </c>
      <c r="B115" s="11" t="str">
        <f>_xlfn.CONCAT("        FishingRods = """, A115, """,")</f>
        <v xml:space="preserve">        FishingRods = "Fishing Rods",</v>
      </c>
      <c r="C115" s="19" t="str">
        <f>'Fishing Rod'!D4</f>
        <v>Angelruten</v>
      </c>
      <c r="D115" s="11" t="str">
        <f>_xlfn.CONCAT("        FishingRods = """, C115, """,")</f>
        <v xml:space="preserve">        FishingRods = "Angelruten",</v>
      </c>
      <c r="E115" s="19" t="str">
        <f>'Fishing Rod'!F4</f>
        <v>Cañas de pescar</v>
      </c>
      <c r="F115" s="11" t="str">
        <f>_xlfn.CONCAT("        FishingRods = """, E115, """,")</f>
        <v xml:space="preserve">        FishingRods = "Cañas de pescar",</v>
      </c>
      <c r="G115" s="19" t="str">
        <f>'Fishing Rod'!H4</f>
        <v>Cannes à pêche</v>
      </c>
      <c r="H115" s="11" t="str">
        <f>_xlfn.CONCAT("        FishingRods = """, G115, """,")</f>
        <v xml:space="preserve">        FishingRods = "Cannes à pêche",</v>
      </c>
      <c r="I115" s="19" t="str">
        <f>'Fishing Rod'!J4</f>
        <v>釣り竿</v>
      </c>
      <c r="J115" s="11" t="str">
        <f>_xlfn.CONCAT("        FishingRods = """, I115, """,")</f>
        <v xml:space="preserve">        FishingRods = "釣り竿",</v>
      </c>
      <c r="K115" s="19" t="str">
        <f>'Fishing Rod'!L4</f>
        <v>낚싯대</v>
      </c>
      <c r="L115" s="11" t="str">
        <f>_xlfn.CONCAT("        FishingRods = """, K115, """,")</f>
        <v xml:space="preserve">        FishingRods = "낚싯대",</v>
      </c>
      <c r="M115" s="19" t="str">
        <f>'Fishing Rod'!N4</f>
        <v>Varas de Pescar</v>
      </c>
      <c r="N115" s="11" t="str">
        <f>_xlfn.CONCAT("        FishingRods = """, M115, """,")</f>
        <v xml:space="preserve">        FishingRods = "Varas de Pescar",</v>
      </c>
      <c r="O115" s="19" t="str">
        <f>'Fishing Rod'!P4</f>
        <v>Удочки</v>
      </c>
      <c r="P115" s="11" t="str">
        <f>_xlfn.CONCAT("        FishingRods = """, O115, """,")</f>
        <v xml:space="preserve">        FishingRods = "Удочки",</v>
      </c>
      <c r="Q115" s="19" t="str">
        <f>'Fishing Rod'!R4</f>
        <v>เบ็ดตกปลา</v>
      </c>
      <c r="R115" s="11" t="str">
        <f>_xlfn.CONCAT("        FishingRods = """, Q115, """,")</f>
        <v xml:space="preserve">        FishingRods = "เบ็ดตกปลา",</v>
      </c>
      <c r="S115" s="19" t="e">
        <f>'Fishing Rod'!T4</f>
        <v>#N/A</v>
      </c>
      <c r="T115" s="11" t="e">
        <f>_xlfn.CONCAT("        FishingRods = """, S115, """,")</f>
        <v>#N/A</v>
      </c>
      <c r="V115" s="1" t="s">
        <v>1526</v>
      </c>
    </row>
    <row r="116" spans="1:22" ht="15.95" customHeight="1" x14ac:dyDescent="0.25">
      <c r="A116" s="19" t="str">
        <f>'Heist Gear'!B4</f>
        <v>Heist Gear</v>
      </c>
      <c r="B116" s="11" t="str">
        <f>_xlfn.CONCAT("        HeistGear = """, A116, """,")</f>
        <v xml:space="preserve">        HeistGear = "Heist Gear",</v>
      </c>
      <c r="C116" s="19" t="str">
        <f>'Heist Gear'!D4</f>
        <v>Heist-Ausrüstung</v>
      </c>
      <c r="D116" s="11" t="str">
        <f>_xlfn.CONCAT("        HeistGear = """, C116, """,")</f>
        <v xml:space="preserve">        HeistGear = "Heist-Ausrüstung",</v>
      </c>
      <c r="E116" s="19" t="str">
        <f>'Heist Gear'!F4</f>
        <v>Accesorio de Heist</v>
      </c>
      <c r="F116" s="11" t="str">
        <f>_xlfn.CONCAT("        HeistGear = """, E116, """,")</f>
        <v xml:space="preserve">        HeistGear = "Accesorio de Heist",</v>
      </c>
      <c r="G116" s="19" t="str">
        <f>'Heist Gear'!H4</f>
        <v>Équipements de Malfaiteur</v>
      </c>
      <c r="H116" s="11" t="str">
        <f>_xlfn.CONCAT("        HeistGear = """, G116, """,")</f>
        <v xml:space="preserve">        HeistGear = "Équipements de Malfaiteur",</v>
      </c>
      <c r="I116" s="19" t="str">
        <f>'Heist Gear'!J4</f>
        <v>ハイストギア</v>
      </c>
      <c r="J116" s="11" t="str">
        <f>_xlfn.CONCAT("        HeistGear = """, I116, """,")</f>
        <v xml:space="preserve">        HeistGear = "ハイストギア",</v>
      </c>
      <c r="K116" s="19" t="str">
        <f>'Heist Gear'!L4</f>
        <v>강탈 장비</v>
      </c>
      <c r="L116" s="11" t="str">
        <f>_xlfn.CONCAT("        HeistGear = """, K116, """,")</f>
        <v xml:space="preserve">        HeistGear = "강탈 장비",</v>
      </c>
      <c r="M116" s="19" t="str">
        <f>'Heist Gear'!N4</f>
        <v>Equipamento Heist</v>
      </c>
      <c r="N116" s="11" t="str">
        <f>_xlfn.CONCAT("        HeistGear = """, M116, """,")</f>
        <v xml:space="preserve">        HeistGear = "Equipamento Heist",</v>
      </c>
      <c r="O116" s="19" t="str">
        <f>'Heist Gear'!P4</f>
        <v>Разбойничьи принадлежности</v>
      </c>
      <c r="P116" s="11" t="str">
        <f>_xlfn.CONCAT("        HeistGear = """, O116, """,")</f>
        <v xml:space="preserve">        HeistGear = "Разбойничьи принадлежности",</v>
      </c>
      <c r="Q116" s="19" t="str">
        <f>'Heist Gear'!R4</f>
        <v>อุปกรณ์สวมใส่กองโจร</v>
      </c>
      <c r="R116" s="11" t="str">
        <f>_xlfn.CONCAT("        HeistGear = """, Q116, """,")</f>
        <v xml:space="preserve">        HeistGear = "อุปกรณ์สวมใส่กองโจร",</v>
      </c>
      <c r="S116" s="19" t="e">
        <f>'Heist Gear'!T4</f>
        <v>#N/A</v>
      </c>
      <c r="T116" s="11" t="e">
        <f>_xlfn.CONCAT("        HeistGear = """, S116, """,")</f>
        <v>#N/A</v>
      </c>
      <c r="V116" s="1" t="s">
        <v>757</v>
      </c>
    </row>
    <row r="117" spans="1:22" ht="15.95" customHeight="1" x14ac:dyDescent="0.25">
      <c r="A117" s="19" t="str">
        <f>'Heist Brooch'!B4</f>
        <v>Heist Brooches</v>
      </c>
      <c r="B117" s="11" t="str">
        <f>_xlfn.CONCAT("        HeistBrooch = """, A117, """,")</f>
        <v xml:space="preserve">        HeistBrooch = "Heist Brooches",</v>
      </c>
      <c r="C117" s="19" t="str">
        <f>'Heist Brooch'!D4</f>
        <v>Heist-Broschen</v>
      </c>
      <c r="D117" s="11" t="str">
        <f>_xlfn.CONCAT("        HeistBrooch = """, C117, """,")</f>
        <v xml:space="preserve">        HeistBrooch = "Heist-Broschen",</v>
      </c>
      <c r="E117" s="19" t="str">
        <f>'Heist Brooch'!F4</f>
        <v>Broches de Heist</v>
      </c>
      <c r="F117" s="11" t="str">
        <f>_xlfn.CONCAT("        HeistBrooch = """, E117, """,")</f>
        <v xml:space="preserve">        HeistBrooch = "Broches de Heist",</v>
      </c>
      <c r="G117" s="19" t="str">
        <f>'Heist Brooch'!H4</f>
        <v>Broches de Malfaiteur</v>
      </c>
      <c r="H117" s="11" t="str">
        <f>_xlfn.CONCAT("        HeistBrooch = """, G117, """,")</f>
        <v xml:space="preserve">        HeistBrooch = "Broches de Malfaiteur",</v>
      </c>
      <c r="I117" s="19" t="str">
        <f>'Heist Brooch'!J4</f>
        <v>ハイストブローチ</v>
      </c>
      <c r="J117" s="11" t="str">
        <f>_xlfn.CONCAT("        HeistBrooch = """, I117, """,")</f>
        <v xml:space="preserve">        HeistBrooch = "ハイストブローチ",</v>
      </c>
      <c r="K117" s="19" t="str">
        <f>'Heist Brooch'!L4</f>
        <v>강탈 브로치</v>
      </c>
      <c r="L117" s="11" t="str">
        <f>_xlfn.CONCAT("        HeistBrooch = """, K117, """,")</f>
        <v xml:space="preserve">        HeistBrooch = "강탈 브로치",</v>
      </c>
      <c r="M117" s="19" t="str">
        <f>'Heist Brooch'!N4</f>
        <v>Broches Heist</v>
      </c>
      <c r="N117" s="11" t="str">
        <f>_xlfn.CONCAT("        HeistBrooch = """, M117, """,")</f>
        <v xml:space="preserve">        HeistBrooch = "Broches Heist",</v>
      </c>
      <c r="O117" s="19" t="str">
        <f>'Heist Brooch'!P4</f>
        <v>Разбойничьи броши</v>
      </c>
      <c r="P117" s="11" t="str">
        <f>_xlfn.CONCAT("        HeistBrooch = """, O117, """,")</f>
        <v xml:space="preserve">        HeistBrooch = "Разбойничьи броши",</v>
      </c>
      <c r="Q117" s="19" t="str">
        <f>'Heist Brooch'!R4</f>
        <v>เข็มกลัดกองโจร</v>
      </c>
      <c r="R117" s="11" t="str">
        <f>_xlfn.CONCAT("        HeistBrooch = """, Q117, """,")</f>
        <v xml:space="preserve">        HeistBrooch = "เข็มกลัดกองโจร",</v>
      </c>
      <c r="S117" s="19" t="e">
        <f>'Heist Brooch'!T4</f>
        <v>#N/A</v>
      </c>
      <c r="T117" s="11" t="e">
        <f>_xlfn.CONCAT("        HeistBrooch = """, S117, """,")</f>
        <v>#N/A</v>
      </c>
      <c r="V117" s="1" t="s">
        <v>544</v>
      </c>
    </row>
    <row r="118" spans="1:22" ht="15.95" customHeight="1" x14ac:dyDescent="0.25">
      <c r="A118" s="19" t="str">
        <f>'Heist Target'!B4</f>
        <v>Heist Targets</v>
      </c>
      <c r="B118" s="11" t="str">
        <f>_xlfn.CONCAT("        HeistTarget = """, A118, """,")</f>
        <v xml:space="preserve">        HeistTarget = "Heist Targets",</v>
      </c>
      <c r="C118" s="19" t="str">
        <f>'Heist Target'!D4</f>
        <v>Auftragsziele</v>
      </c>
      <c r="D118" s="11" t="str">
        <f>_xlfn.CONCAT("        HeistTarget = """, C118, """,")</f>
        <v xml:space="preserve">        HeistTarget = "Auftragsziele",</v>
      </c>
      <c r="E118" s="19" t="str">
        <f>'Heist Target'!F4</f>
        <v>Objetivos de Heist</v>
      </c>
      <c r="F118" s="11" t="str">
        <f>_xlfn.CONCAT("        HeistTarget = """, E118, """,")</f>
        <v xml:space="preserve">        HeistTarget = "Objetivos de Heist",</v>
      </c>
      <c r="G118" s="19" t="str">
        <f>'Heist Target'!H4</f>
        <v>Objectifs de Casse</v>
      </c>
      <c r="H118" s="11" t="str">
        <f>_xlfn.CONCAT("        HeistTarget = """, G118, """,")</f>
        <v xml:space="preserve">        HeistTarget = "Objectifs de Casse",</v>
      </c>
      <c r="I118" s="19" t="str">
        <f>'Heist Target'!J4</f>
        <v>ハイストターゲット</v>
      </c>
      <c r="J118" s="11" t="str">
        <f>_xlfn.CONCAT("        HeistTarget = """, I118, """,")</f>
        <v xml:space="preserve">        HeistTarget = "ハイストターゲット",</v>
      </c>
      <c r="K118" s="19" t="str">
        <f>'Heist Target'!L4</f>
        <v>강탈 대상</v>
      </c>
      <c r="L118" s="11" t="str">
        <f>_xlfn.CONCAT("        HeistTarget = """, K118, """,")</f>
        <v xml:space="preserve">        HeistTarget = "강탈 대상",</v>
      </c>
      <c r="M118" s="19" t="str">
        <f>'Heist Target'!N4</f>
        <v>Alvos Heist</v>
      </c>
      <c r="N118" s="11" t="str">
        <f>_xlfn.CONCAT("        HeistTarget = """, M118, """,")</f>
        <v xml:space="preserve">        HeistTarget = "Alvos Heist",</v>
      </c>
      <c r="O118" s="19" t="str">
        <f>'Heist Target'!P4</f>
        <v>Предметы кражи</v>
      </c>
      <c r="P118" s="11" t="str">
        <f>_xlfn.CONCAT("        HeistTarget = """, O118, """,")</f>
        <v xml:space="preserve">        HeistTarget = "Предметы кражи",</v>
      </c>
      <c r="Q118" s="19" t="str">
        <f>'Heist Target'!R4</f>
        <v>เป้าหมายโจรกรรม</v>
      </c>
      <c r="R118" s="11" t="str">
        <f>_xlfn.CONCAT("        HeistTarget = """, Q118, """,")</f>
        <v xml:space="preserve">        HeistTarget = "เป้าหมายโจรกรรม",</v>
      </c>
      <c r="S118" s="19" t="e">
        <f>'Heist Target'!T4</f>
        <v>#N/A</v>
      </c>
      <c r="T118" s="11" t="e">
        <f>_xlfn.CONCAT("        HeistTarget = """, S118, """,")</f>
        <v>#N/A</v>
      </c>
      <c r="V118" s="1" t="s">
        <v>758</v>
      </c>
    </row>
    <row r="119" spans="1:22" ht="15.95" customHeight="1" x14ac:dyDescent="0.25">
      <c r="A119" s="19" t="str">
        <f>'Heist Cloak'!B4</f>
        <v>Heist Cloaks</v>
      </c>
      <c r="B119" s="11" t="str">
        <f>_xlfn.CONCAT("        HeistCloak = """, A119, """,")</f>
        <v xml:space="preserve">        HeistCloak = "Heist Cloaks",</v>
      </c>
      <c r="C119" s="19" t="str">
        <f>'Heist Cloak'!D4</f>
        <v>Heist-Umhänge</v>
      </c>
      <c r="D119" s="11" t="str">
        <f>_xlfn.CONCAT("        HeistCloak = """, C119, """,")</f>
        <v xml:space="preserve">        HeistCloak = "Heist-Umhänge",</v>
      </c>
      <c r="E119" s="19" t="str">
        <f>'Heist Cloak'!F4</f>
        <v>Capas de Heist</v>
      </c>
      <c r="F119" s="11" t="str">
        <f>_xlfn.CONCAT("        HeistCloak = """, E119, """,")</f>
        <v xml:space="preserve">        HeistCloak = "Capas de Heist",</v>
      </c>
      <c r="G119" s="19" t="str">
        <f>'Heist Cloak'!H4</f>
        <v>Capes de Malfaiteur</v>
      </c>
      <c r="H119" s="11" t="str">
        <f>_xlfn.CONCAT("        HeistCloak = """, G119, """,")</f>
        <v xml:space="preserve">        HeistCloak = "Capes de Malfaiteur",</v>
      </c>
      <c r="I119" s="19" t="str">
        <f>'Heist Cloak'!J4</f>
        <v>ハイストクローク</v>
      </c>
      <c r="J119" s="11" t="str">
        <f>_xlfn.CONCAT("        HeistCloak = """, I119, """,")</f>
        <v xml:space="preserve">        HeistCloak = "ハイストクローク",</v>
      </c>
      <c r="K119" s="19" t="str">
        <f>'Heist Cloak'!L4</f>
        <v>강탈 망토</v>
      </c>
      <c r="L119" s="11" t="str">
        <f>_xlfn.CONCAT("        HeistCloak = """, K119, """,")</f>
        <v xml:space="preserve">        HeistCloak = "강탈 망토",</v>
      </c>
      <c r="M119" s="19" t="str">
        <f>'Heist Cloak'!N4</f>
        <v>Capas Heist</v>
      </c>
      <c r="N119" s="11" t="str">
        <f>_xlfn.CONCAT("        HeistCloak = """, M119, """,")</f>
        <v xml:space="preserve">        HeistCloak = "Capas Heist",</v>
      </c>
      <c r="O119" s="19" t="str">
        <f>'Heist Cloak'!P4</f>
        <v>Разбойничьи накидки</v>
      </c>
      <c r="P119" s="11" t="str">
        <f>_xlfn.CONCAT("        HeistCloak = """, O119, """,")</f>
        <v xml:space="preserve">        HeistCloak = "Разбойничьи накидки",</v>
      </c>
      <c r="Q119" s="19" t="str">
        <f>'Heist Cloak'!R4</f>
        <v>ผ้าคลุมกองโจร</v>
      </c>
      <c r="R119" s="11" t="str">
        <f>_xlfn.CONCAT("        HeistCloak = """, Q119, """,")</f>
        <v xml:space="preserve">        HeistCloak = "ผ้าคลุมกองโจร",</v>
      </c>
      <c r="S119" s="19" t="e">
        <f>'Heist Cloak'!T4</f>
        <v>#N/A</v>
      </c>
      <c r="T119" s="11" t="e">
        <f>_xlfn.CONCAT("        HeistCloak = """, S119, """,")</f>
        <v>#N/A</v>
      </c>
      <c r="V119" s="1" t="s">
        <v>759</v>
      </c>
    </row>
    <row r="120" spans="1:22" ht="15.95" customHeight="1" x14ac:dyDescent="0.25">
      <c r="A120" s="19" t="str">
        <f>'Abyssal Jewel'!B4</f>
        <v>Abyss Jewels</v>
      </c>
      <c r="B120" s="11" t="str">
        <f>_xlfn.CONCAT("        AbyssJewel = """, A120, """,")</f>
        <v xml:space="preserve">        AbyssJewel = "Abyss Jewels",</v>
      </c>
      <c r="C120" s="19" t="str">
        <f>'Abyssal Jewel'!D4</f>
        <v>Abgrund-Juwelen</v>
      </c>
      <c r="D120" s="11" t="str">
        <f>_xlfn.CONCAT("        AbyssJewel = """, C120, """,")</f>
        <v xml:space="preserve">        AbyssJewel = "Abgrund-Juwelen",</v>
      </c>
      <c r="E120" s="19" t="str">
        <f>'Abyssal Jewel'!F4</f>
        <v>Joyas de abismo</v>
      </c>
      <c r="F120" s="11" t="str">
        <f>_xlfn.CONCAT("        AbyssJewel = """, E120, """,")</f>
        <v xml:space="preserve">        AbyssJewel = "Joyas de abismo",</v>
      </c>
      <c r="G120" s="19" t="str">
        <f>'Abyssal Jewel'!H4</f>
        <v>Joyaux abyssaux</v>
      </c>
      <c r="H120" s="11" t="str">
        <f>_xlfn.CONCAT("        AbyssJewel = """, G120, """,")</f>
        <v xml:space="preserve">        AbyssJewel = "Joyaux abyssaux",</v>
      </c>
      <c r="I120" s="19" t="str">
        <f>'Abyssal Jewel'!J4</f>
        <v>アビスジュエル</v>
      </c>
      <c r="J120" s="11" t="str">
        <f>_xlfn.CONCAT("        AbyssJewel = """, I120, """,")</f>
        <v xml:space="preserve">        AbyssJewel = "アビスジュエル",</v>
      </c>
      <c r="K120" s="19" t="str">
        <f>'Abyssal Jewel'!L4</f>
        <v>심연 주얼</v>
      </c>
      <c r="L120" s="11" t="str">
        <f>_xlfn.CONCAT("        AbyssJewel = """, K120, """,")</f>
        <v xml:space="preserve">        AbyssJewel = "심연 주얼",</v>
      </c>
      <c r="M120" s="19" t="str">
        <f>'Abyssal Jewel'!N4</f>
        <v>Joias Abissais</v>
      </c>
      <c r="N120" s="11" t="str">
        <f>_xlfn.CONCAT("        AbyssJewel = """, M120, """,")</f>
        <v xml:space="preserve">        AbyssJewel = "Joias Abissais",</v>
      </c>
      <c r="O120" s="19" t="str">
        <f>'Abyssal Jewel'!P4</f>
        <v>Самоцветы Бездны</v>
      </c>
      <c r="P120" s="11" t="str">
        <f>_xlfn.CONCAT("        AbyssJewel = """, O120, """,")</f>
        <v xml:space="preserve">        AbyssJewel = "Самоцветы Бездны",</v>
      </c>
      <c r="Q120" s="19" t="str">
        <f>'Abyssal Jewel'!R4</f>
        <v>จิวเวลอะบิส</v>
      </c>
      <c r="R120" s="11" t="str">
        <f>_xlfn.CONCAT("        AbyssJewel = """, Q120, """,")</f>
        <v xml:space="preserve">        AbyssJewel = "จิวเวลอะบิส",</v>
      </c>
      <c r="S120" s="19" t="e">
        <f>'Abyssal Jewel'!T4</f>
        <v>#N/A</v>
      </c>
      <c r="T120" s="11" t="e">
        <f>_xlfn.CONCAT("        AbyssJewel = """, S120, """,")</f>
        <v>#N/A</v>
      </c>
      <c r="V120" s="1" t="s">
        <v>845</v>
      </c>
    </row>
    <row r="121" spans="1:22" ht="15.95" customHeight="1" x14ac:dyDescent="0.25">
      <c r="A121" s="19" t="str">
        <f>'Heist Trinket'!B4</f>
        <v>Trinkets</v>
      </c>
      <c r="B121" s="11" t="str">
        <f>_xlfn.CONCAT("        Trinkets = """, A121, """,")</f>
        <v xml:space="preserve">        Trinkets = "Trinkets",</v>
      </c>
      <c r="C121" s="19" t="str">
        <f>'Heist Trinket'!D4</f>
        <v>Schmuckstücke</v>
      </c>
      <c r="D121" s="11" t="str">
        <f>_xlfn.CONCAT("        Trinkets = """, C121, """,")</f>
        <v xml:space="preserve">        Trinkets = "Schmuckstücke",</v>
      </c>
      <c r="E121" s="19" t="str">
        <f>'Heist Trinket'!F4</f>
        <v>Abalorios</v>
      </c>
      <c r="F121" s="11" t="str">
        <f>_xlfn.CONCAT("        Trinkets = """, E121, """,")</f>
        <v xml:space="preserve">        Trinkets = "Abalorios",</v>
      </c>
      <c r="G121" s="19" t="str">
        <f>'Heist Trinket'!H4</f>
        <v>Babioles</v>
      </c>
      <c r="H121" s="11" t="str">
        <f>_xlfn.CONCAT("        Trinkets = """, G121, """,")</f>
        <v xml:space="preserve">        Trinkets = "Babioles",</v>
      </c>
      <c r="I121" s="19" t="str">
        <f>'Heist Trinket'!J4</f>
        <v>トリンケット</v>
      </c>
      <c r="J121" s="11" t="str">
        <f>_xlfn.CONCAT("        Trinkets = """, I121, """,")</f>
        <v xml:space="preserve">        Trinkets = "トリンケット",</v>
      </c>
      <c r="K121" s="19" t="str">
        <f>'Heist Trinket'!L4</f>
        <v>장신구</v>
      </c>
      <c r="L121" s="11" t="str">
        <f>_xlfn.CONCAT("        Trinkets = """, K121, """,")</f>
        <v xml:space="preserve">        Trinkets = "장신구",</v>
      </c>
      <c r="M121" s="19" t="str">
        <f>'Heist Trinket'!N4</f>
        <v>Adornos</v>
      </c>
      <c r="N121" s="11" t="str">
        <f>_xlfn.CONCAT("        Trinkets = """, M121, """,")</f>
        <v xml:space="preserve">        Trinkets = "Adornos",</v>
      </c>
      <c r="O121" s="19" t="str">
        <f>'Heist Trinket'!P4</f>
        <v>Украшения</v>
      </c>
      <c r="P121" s="11" t="str">
        <f>_xlfn.CONCAT("        Trinkets = """, O121, """,")</f>
        <v xml:space="preserve">        Trinkets = "Украшения",</v>
      </c>
      <c r="Q121" s="19" t="str">
        <f>'Heist Trinket'!R4</f>
        <v>เครื่องประดับโจร</v>
      </c>
      <c r="R121" s="11" t="str">
        <f>_xlfn.CONCAT("        Trinkets = """, Q121, """,")</f>
        <v xml:space="preserve">        Trinkets = "เครื่องประดับโจร",</v>
      </c>
      <c r="S121" s="19" t="e">
        <f>'Heist Trinket'!T4</f>
        <v>#N/A</v>
      </c>
      <c r="T121" s="11" t="e">
        <f>_xlfn.CONCAT("        Trinkets = """, S121, """,")</f>
        <v>#N/A</v>
      </c>
      <c r="V121" s="1" t="s">
        <v>1525</v>
      </c>
    </row>
    <row r="122" spans="1:22" ht="15.95" customHeight="1" x14ac:dyDescent="0.25">
      <c r="A122" s="19" t="str">
        <f>Logbook!B4</f>
        <v>Expedition Logbooks</v>
      </c>
      <c r="B122" s="11" t="str">
        <f>_xlfn.CONCAT("        Logbooks = """, A122, """,")</f>
        <v xml:space="preserve">        Logbooks = "Expedition Logbooks",</v>
      </c>
      <c r="C122" s="19" t="str">
        <f>Logbook!D4</f>
        <v>Expeditions-Logbücher</v>
      </c>
      <c r="D122" s="11" t="str">
        <f>_xlfn.CONCAT("        Logbooks = """, C122, """,")</f>
        <v xml:space="preserve">        Logbooks = "Expeditions-Logbücher",</v>
      </c>
      <c r="E122" s="19" t="str">
        <f>Logbook!F4</f>
        <v>Registros de expedición</v>
      </c>
      <c r="F122" s="11" t="str">
        <f>_xlfn.CONCAT("        Logbooks = """, E122, """,")</f>
        <v xml:space="preserve">        Logbooks = "Registros de expedición",</v>
      </c>
      <c r="G122" s="19" t="str">
        <f>Logbook!H4</f>
        <v>Journaux de bord d'Expédition</v>
      </c>
      <c r="H122" s="11" t="str">
        <f>_xlfn.CONCAT("        Logbooks = """, G122, """,")</f>
        <v xml:space="preserve">        Logbooks = "Journaux de bord d'Expédition",</v>
      </c>
      <c r="I122" s="19" t="str">
        <f>Logbook!J4</f>
        <v>エクスペディションログブック</v>
      </c>
      <c r="J122" s="11" t="str">
        <f>_xlfn.CONCAT("        Logbooks = """, I122, """,")</f>
        <v xml:space="preserve">        Logbooks = "エクスペディションログブック",</v>
      </c>
      <c r="K122" s="19" t="str">
        <f>Logbook!L4</f>
        <v>탐험 일지</v>
      </c>
      <c r="L122" s="11" t="str">
        <f>_xlfn.CONCAT("        Logbooks = """, K122, """,")</f>
        <v xml:space="preserve">        Logbooks = "탐험 일지",</v>
      </c>
      <c r="M122" s="19" t="str">
        <f>Logbook!N4</f>
        <v>Diários de Bordo Expedition</v>
      </c>
      <c r="N122" s="11" t="str">
        <f>_xlfn.CONCAT("        Logbooks = """, M122, """,")</f>
        <v xml:space="preserve">        Logbooks = "Diários de Bordo Expedition",</v>
      </c>
      <c r="O122" s="19" t="str">
        <f>Logbook!P4</f>
        <v>Журналы экспедиции</v>
      </c>
      <c r="P122" s="11" t="str">
        <f>_xlfn.CONCAT("        Logbooks = """, O122, """,")</f>
        <v xml:space="preserve">        Logbooks = "Журналы экспедиции",</v>
      </c>
      <c r="Q122" s="19" t="str">
        <f>Logbook!R4</f>
        <v>สมุดปูมเดินทางกองสำรวจ</v>
      </c>
      <c r="R122" s="11" t="str">
        <f>_xlfn.CONCAT("        Logbooks = """, Q122, """,")</f>
        <v xml:space="preserve">        Logbooks = "สมุดปูมเดินทางกองสำรวจ",</v>
      </c>
      <c r="S122" s="19" t="e">
        <f>Logbook!T4</f>
        <v>#N/A</v>
      </c>
      <c r="T122" s="11" t="e">
        <f>_xlfn.CONCAT("        Logbooks = """, S122, """,")</f>
        <v>#N/A</v>
      </c>
      <c r="V122" s="1" t="s">
        <v>760</v>
      </c>
    </row>
    <row r="123" spans="1:22" ht="15.95" customHeight="1" x14ac:dyDescent="0.25">
      <c r="A123" s="19" t="str">
        <f>Memory!B4</f>
        <v>Memories</v>
      </c>
      <c r="B123" s="11" t="str">
        <f>_xlfn.CONCAT("        MemoryLine = """, A123, """,")</f>
        <v xml:space="preserve">        MemoryLine = "Memories",</v>
      </c>
      <c r="C123" s="19" t="str">
        <f>Memory!D4</f>
        <v>Erinnerungen</v>
      </c>
      <c r="D123" s="11" t="str">
        <f>_xlfn.CONCAT("        MemoryLine = """, C123, """,")</f>
        <v xml:space="preserve">        MemoryLine = "Erinnerungen",</v>
      </c>
      <c r="E123" s="19" t="str">
        <f>Memory!F4</f>
        <v>Recuerdos</v>
      </c>
      <c r="F123" s="11" t="str">
        <f>_xlfn.CONCAT("        MemoryLine = """, E123, """,")</f>
        <v xml:space="preserve">        MemoryLine = "Recuerdos",</v>
      </c>
      <c r="G123" s="19" t="str">
        <f>Memory!H4</f>
        <v>Souvenirs</v>
      </c>
      <c r="H123" s="11" t="str">
        <f>_xlfn.CONCAT("        MemoryLine = """, G123, """,")</f>
        <v xml:space="preserve">        MemoryLine = "Souvenirs",</v>
      </c>
      <c r="I123" s="19" t="str">
        <f>Memory!J4</f>
        <v>記憶</v>
      </c>
      <c r="J123" s="11" t="str">
        <f>_xlfn.CONCAT("        MemoryLine = """, I123, """,")</f>
        <v xml:space="preserve">        MemoryLine = "記憶",</v>
      </c>
      <c r="K123" s="19" t="str">
        <f>Memory!L4</f>
        <v>기억</v>
      </c>
      <c r="L123" s="11" t="str">
        <f>_xlfn.CONCAT("        MemoryLine = """, K123, """,")</f>
        <v xml:space="preserve">        MemoryLine = "기억",</v>
      </c>
      <c r="M123" s="19" t="str">
        <f>Memory!N4</f>
        <v>Memórias</v>
      </c>
      <c r="N123" s="11" t="str">
        <f>_xlfn.CONCAT("        MemoryLine = """, M123, """,")</f>
        <v xml:space="preserve">        MemoryLine = "Memórias",</v>
      </c>
      <c r="O123" s="19" t="str">
        <f>Memory!P4</f>
        <v>Воспоминания</v>
      </c>
      <c r="P123" s="11" t="str">
        <f>_xlfn.CONCAT("        MemoryLine = """, O123, """,")</f>
        <v xml:space="preserve">        MemoryLine = "Воспоминания",</v>
      </c>
      <c r="Q123" s="19" t="str">
        <f>Memory!R4</f>
        <v>ความทรงจำ</v>
      </c>
      <c r="R123" s="11" t="str">
        <f>_xlfn.CONCAT("        MemoryLine = """, Q123, """,")</f>
        <v xml:space="preserve">        MemoryLine = "ความทรงจำ",</v>
      </c>
      <c r="S123" s="19" t="e">
        <f>Memory!T4</f>
        <v>#N/A</v>
      </c>
      <c r="T123" s="11" t="e">
        <f>_xlfn.CONCAT("        MemoryLine = """, S123, """,")</f>
        <v>#N/A</v>
      </c>
      <c r="V123" s="1" t="s">
        <v>846</v>
      </c>
    </row>
    <row r="124" spans="1:22" ht="15.95" customHeight="1" x14ac:dyDescent="0.25">
      <c r="A124" s="19" t="str">
        <f>'Sanctum Relics'!B4</f>
        <v>Relics</v>
      </c>
      <c r="B124" s="11" t="str">
        <f>_xlfn.CONCAT("        SanctumRelics = """, A124, """,")</f>
        <v xml:space="preserve">        SanctumRelics = "Relics",</v>
      </c>
      <c r="C124" s="19" t="str">
        <f>'Sanctum Relics'!D4</f>
        <v>Relikte</v>
      </c>
      <c r="D124" s="11" t="str">
        <f>_xlfn.CONCAT("        SanctumRelics = """, C124, """,")</f>
        <v xml:space="preserve">        SanctumRelics = "Relikte",</v>
      </c>
      <c r="E124" s="19" t="str">
        <f>'Sanctum Relics'!F4</f>
        <v>Reliquias</v>
      </c>
      <c r="F124" s="11" t="str">
        <f>_xlfn.CONCAT("        SanctumRelics = """, E124, """,")</f>
        <v xml:space="preserve">        SanctumRelics = "Reliquias",</v>
      </c>
      <c r="G124" s="19" t="str">
        <f>'Sanctum Relics'!H4</f>
        <v>Reliques</v>
      </c>
      <c r="H124" s="11" t="str">
        <f>_xlfn.CONCAT("        SanctumRelics = """, G124, """,")</f>
        <v xml:space="preserve">        SanctumRelics = "Reliques",</v>
      </c>
      <c r="I124" s="19" t="str">
        <f>'Sanctum Relics'!J4</f>
        <v>レリック</v>
      </c>
      <c r="J124" s="11" t="str">
        <f>_xlfn.CONCAT("        SanctumRelics = """, I124, """,")</f>
        <v xml:space="preserve">        SanctumRelics = "レリック",</v>
      </c>
      <c r="K124" s="19" t="str">
        <f>'Sanctum Relics'!L4</f>
        <v>유물</v>
      </c>
      <c r="L124" s="11" t="str">
        <f>_xlfn.CONCAT("        SanctumRelics = """, K124, """,")</f>
        <v xml:space="preserve">        SanctumRelics = "유물",</v>
      </c>
      <c r="M124" s="19" t="str">
        <f>'Sanctum Relics'!N4</f>
        <v>Relíquias</v>
      </c>
      <c r="N124" s="11" t="str">
        <f>_xlfn.CONCAT("        SanctumRelics = """, M124, """,")</f>
        <v xml:space="preserve">        SanctumRelics = "Relíquias",</v>
      </c>
      <c r="O124" s="19" t="str">
        <f>'Sanctum Relics'!P4</f>
        <v>Реликвии</v>
      </c>
      <c r="P124" s="11" t="str">
        <f>_xlfn.CONCAT("        SanctumRelics = """, O124, """,")</f>
        <v xml:space="preserve">        SanctumRelics = "Реликвии",</v>
      </c>
      <c r="Q124" s="19" t="str">
        <f>'Sanctum Relics'!R4</f>
        <v>วัตถุตกทอด</v>
      </c>
      <c r="R124" s="11" t="str">
        <f>_xlfn.CONCAT("        SanctumRelics = """, Q124, """,")</f>
        <v xml:space="preserve">        SanctumRelics = "วัตถุตกทอด",</v>
      </c>
      <c r="S124" s="19" t="str">
        <f>'Sanctum Relics'!T4</f>
        <v/>
      </c>
      <c r="T124" s="11" t="str">
        <f>_xlfn.CONCAT("        SanctumRelics = """, S124, """,")</f>
        <v xml:space="preserve">        SanctumRelics = "",</v>
      </c>
      <c r="V124" s="1" t="s">
        <v>7051</v>
      </c>
    </row>
    <row r="125" spans="1:22" ht="15.95" customHeight="1" x14ac:dyDescent="0.25">
      <c r="A125" s="19" t="str">
        <f>Tinctures!B4</f>
        <v>Tinctures</v>
      </c>
      <c r="B125" s="11" t="str">
        <f>_xlfn.CONCAT("        Tinctures = """, A125, """,")</f>
        <v xml:space="preserve">        Tinctures = "Tinctures",</v>
      </c>
      <c r="C125" s="19" t="str">
        <f>Tinctures!D4</f>
        <v>Tinkturen</v>
      </c>
      <c r="D125" s="11" t="str">
        <f>_xlfn.CONCAT("        Tinctures = """, C125, """,")</f>
        <v xml:space="preserve">        Tinctures = "Tinkturen",</v>
      </c>
      <c r="E125" s="19" t="str">
        <f>Tinctures!F4</f>
        <v>Tinturas</v>
      </c>
      <c r="F125" s="11" t="str">
        <f>_xlfn.CONCAT("        Tinctures = """, E125, """,")</f>
        <v xml:space="preserve">        Tinctures = "Tinturas",</v>
      </c>
      <c r="G125" s="19" t="str">
        <f>Tinctures!H4</f>
        <v>Teintures</v>
      </c>
      <c r="H125" s="11" t="str">
        <f>_xlfn.CONCAT("        Tinctures = """, G125, """,")</f>
        <v xml:space="preserve">        Tinctures = "Teintures",</v>
      </c>
      <c r="I125" s="19" t="str">
        <f>Tinctures!J4</f>
        <v>チンキ</v>
      </c>
      <c r="J125" s="11" t="str">
        <f>_xlfn.CONCAT("        Tinctures = """, I125, """,")</f>
        <v xml:space="preserve">        Tinctures = "チンキ",</v>
      </c>
      <c r="K125" s="19" t="str">
        <f>Tinctures!L4</f>
        <v>팅크</v>
      </c>
      <c r="L125" s="11" t="str">
        <f>_xlfn.CONCAT("        Tinctures = """, K125, """,")</f>
        <v xml:space="preserve">        Tinctures = "팅크",</v>
      </c>
      <c r="M125" s="19" t="str">
        <f>Tinctures!N4</f>
        <v>Tintura</v>
      </c>
      <c r="N125" s="11" t="str">
        <f>_xlfn.CONCAT("        Tinctures = """, M125, """,")</f>
        <v xml:space="preserve">        Tinctures = "Tintura",</v>
      </c>
      <c r="O125" s="19" t="str">
        <f>Tinctures!P4</f>
        <v>Микстуры</v>
      </c>
      <c r="P125" s="11" t="str">
        <f>_xlfn.CONCAT("        Tinctures = """, O125, """,")</f>
        <v xml:space="preserve">        Tinctures = "Микстуры",</v>
      </c>
      <c r="Q125" s="19" t="str">
        <f>Tinctures!R4</f>
        <v>ยาเคลือบอาวุธ</v>
      </c>
      <c r="R125" s="11" t="str">
        <f>_xlfn.CONCAT("        Tinctures = """, Q125, """,")</f>
        <v xml:space="preserve">        Tinctures = "ยาเคลือบอาวุธ",</v>
      </c>
      <c r="S125" s="19" t="str">
        <f>Tinctures!T4</f>
        <v/>
      </c>
      <c r="T125" s="11" t="str">
        <f>_xlfn.CONCAT("        Tinctures = """, S125, """,")</f>
        <v xml:space="preserve">        Tinctures = "",</v>
      </c>
      <c r="V125" s="1" t="s">
        <v>7106</v>
      </c>
    </row>
    <row r="126" spans="1:22" ht="15.95" customHeight="1" x14ac:dyDescent="0.25">
      <c r="A126" s="19" t="str">
        <f>Corpses!B4</f>
        <v>Corpses</v>
      </c>
      <c r="B126" s="11" t="str">
        <f>_xlfn.CONCAT("        Corpses = """, A126, """,")</f>
        <v xml:space="preserve">        Corpses = "Corpses",</v>
      </c>
      <c r="C126" s="19" t="str">
        <f>Corpses!D4</f>
        <v>Leichen</v>
      </c>
      <c r="D126" s="11" t="str">
        <f>_xlfn.CONCAT("        Corpses = """, C126, """,")</f>
        <v xml:space="preserve">        Corpses = "Leichen",</v>
      </c>
      <c r="E126" s="19" t="str">
        <f>Corpses!F4</f>
        <v>Cadáveres</v>
      </c>
      <c r="F126" s="11" t="str">
        <f>_xlfn.CONCAT("        Corpses = """, E126, """,")</f>
        <v xml:space="preserve">        Corpses = "Cadáveres",</v>
      </c>
      <c r="G126" s="19" t="str">
        <f>Corpses!H4</f>
        <v>Cadavres</v>
      </c>
      <c r="H126" s="11" t="str">
        <f>_xlfn.CONCAT("        Corpses = """, G126, """,")</f>
        <v xml:space="preserve">        Corpses = "Cadavres",</v>
      </c>
      <c r="I126" s="19" t="str">
        <f>Corpses!J4</f>
        <v>死体</v>
      </c>
      <c r="J126" s="11" t="str">
        <f>_xlfn.CONCAT("        Corpses = """, I126, """,")</f>
        <v xml:space="preserve">        Corpses = "死体",</v>
      </c>
      <c r="K126" s="19" t="str">
        <f>Corpses!L4</f>
        <v>시신</v>
      </c>
      <c r="L126" s="11" t="str">
        <f>_xlfn.CONCAT("        Corpses = """, K126, """,")</f>
        <v xml:space="preserve">        Corpses = "시신",</v>
      </c>
      <c r="M126" s="19" t="str">
        <f>Corpses!N4</f>
        <v>Patuá</v>
      </c>
      <c r="N126" s="11" t="str">
        <f>_xlfn.CONCAT("        Corpses = """, M126, """,")</f>
        <v xml:space="preserve">        Corpses = "Patuá",</v>
      </c>
      <c r="O126" s="19" t="str">
        <f>Corpses!P4</f>
        <v>Трупы</v>
      </c>
      <c r="P126" s="11" t="str">
        <f>_xlfn.CONCAT("        Corpses = """, O126, """,")</f>
        <v xml:space="preserve">        Corpses = "Трупы",</v>
      </c>
      <c r="Q126" s="19" t="str">
        <f>Corpses!R4</f>
        <v>ศพ</v>
      </c>
      <c r="R126" s="11" t="str">
        <f>_xlfn.CONCAT("        Corpses = """, Q126, """,")</f>
        <v xml:space="preserve">        Corpses = "ศพ",</v>
      </c>
      <c r="S126" s="19" t="str">
        <f>Corpses!T4</f>
        <v/>
      </c>
      <c r="T126" s="11" t="str">
        <f>_xlfn.CONCAT("        Corpses = """, S126, """,")</f>
        <v xml:space="preserve">        Corpses = "",</v>
      </c>
      <c r="V126" s="1" t="s">
        <v>7105</v>
      </c>
    </row>
    <row r="127" spans="1:22" ht="15.95" customHeight="1" x14ac:dyDescent="0.25">
      <c r="A127" s="19" t="str">
        <f>Tome!B4</f>
        <v>Sanctum Research</v>
      </c>
      <c r="B127" s="11" t="str">
        <f>_xlfn.CONCAT("        SanctumResearch = """, A127, """,")</f>
        <v xml:space="preserve">        SanctumResearch = "Sanctum Research",</v>
      </c>
      <c r="C127" s="19" t="str">
        <f>Tome!D4</f>
        <v>Sanktum-Forschungsauftrag</v>
      </c>
      <c r="D127" s="11" t="str">
        <f>_xlfn.CONCAT("        SanctumResearch = """, C127, """,")</f>
        <v xml:space="preserve">        SanctumResearch = "Sanktum-Forschungsauftrag",</v>
      </c>
      <c r="E127" s="19" t="str">
        <f>Tome!F4</f>
        <v>Investigación del santuario</v>
      </c>
      <c r="F127" s="11" t="str">
        <f>_xlfn.CONCAT("        SanctumResearch = """, E127, """,")</f>
        <v xml:space="preserve">        SanctumResearch = "Investigación del santuario",</v>
      </c>
      <c r="G127" s="19" t="str">
        <f>Tome!H4</f>
        <v>Recherche du Sanctuaire</v>
      </c>
      <c r="H127" s="11" t="str">
        <f>_xlfn.CONCAT("        SanctumResearch = """, G127, """,")</f>
        <v xml:space="preserve">        SanctumResearch = "Recherche du Sanctuaire",</v>
      </c>
      <c r="I127" s="19" t="str">
        <f>Tome!J4</f>
        <v>サンクタム調査書</v>
      </c>
      <c r="J127" s="11" t="str">
        <f>_xlfn.CONCAT("        SanctumResearch = """, I127, """,")</f>
        <v xml:space="preserve">        SanctumResearch = "サンクタム調査書",</v>
      </c>
      <c r="K127" s="19" t="str">
        <f>Tome!L4</f>
        <v>성역 연구</v>
      </c>
      <c r="L127" s="11" t="str">
        <f>_xlfn.CONCAT("        SanctumResearch = """, K127, """,")</f>
        <v xml:space="preserve">        SanctumResearch = "성역 연구",</v>
      </c>
      <c r="M127" s="19" t="str">
        <f>Tome!N4</f>
        <v>Pesquisa Sanctum</v>
      </c>
      <c r="N127" s="11" t="str">
        <f>_xlfn.CONCAT("        SanctumResearch = """, M127, """,")</f>
        <v xml:space="preserve">        SanctumResearch = "Pesquisa Sanctum",</v>
      </c>
      <c r="O127" s="19" t="str">
        <f>Tome!P4</f>
        <v>Исследования Святилища</v>
      </c>
      <c r="P127" s="11" t="str">
        <f>_xlfn.CONCAT("        SanctumResearch = """, O127, """,")</f>
        <v xml:space="preserve">        SanctumResearch = "Исследования Святилища",</v>
      </c>
      <c r="Q127" s="19" t="str">
        <f>Tome!R4</f>
        <v>บทวิจัยเทวสถาน</v>
      </c>
      <c r="R127" s="11" t="str">
        <f>_xlfn.CONCAT("        SanctumResearch = """, Q127, """,")</f>
        <v xml:space="preserve">        SanctumResearch = "บทวิจัยเทวสถาน",</v>
      </c>
      <c r="S127" s="19" t="e">
        <f>Tome!T4</f>
        <v>#N/A</v>
      </c>
      <c r="T127" s="11" t="e">
        <f>_xlfn.CONCAT("        SanctumResearch = """, S127, """,")</f>
        <v>#N/A</v>
      </c>
      <c r="V127" s="1" t="s">
        <v>847</v>
      </c>
    </row>
    <row r="128" spans="1:22" ht="15.95" customHeight="1" x14ac:dyDescent="0.25">
      <c r="A128" s="12" t="s">
        <v>22</v>
      </c>
      <c r="B128" s="11" t="s">
        <v>6600</v>
      </c>
      <c r="C128" s="12" t="s">
        <v>22</v>
      </c>
      <c r="D128" s="11" t="s">
        <v>6600</v>
      </c>
      <c r="E128" s="12" t="s">
        <v>22</v>
      </c>
      <c r="F128" s="11" t="s">
        <v>6600</v>
      </c>
      <c r="G128" s="12" t="s">
        <v>22</v>
      </c>
      <c r="H128" s="11" t="s">
        <v>6600</v>
      </c>
      <c r="I128" s="12" t="s">
        <v>22</v>
      </c>
      <c r="J128" s="11" t="s">
        <v>6600</v>
      </c>
      <c r="K128" s="12" t="s">
        <v>22</v>
      </c>
      <c r="L128" s="11" t="s">
        <v>6600</v>
      </c>
      <c r="M128" s="12" t="s">
        <v>22</v>
      </c>
      <c r="N128" s="11" t="s">
        <v>6600</v>
      </c>
      <c r="O128" s="12" t="s">
        <v>22</v>
      </c>
      <c r="P128" s="11" t="s">
        <v>6600</v>
      </c>
      <c r="Q128" s="12" t="s">
        <v>22</v>
      </c>
      <c r="R128" s="11" t="s">
        <v>6600</v>
      </c>
      <c r="S128" s="12" t="s">
        <v>22</v>
      </c>
      <c r="T128" s="11" t="s">
        <v>6600</v>
      </c>
      <c r="V128" s="1" t="s">
        <v>22</v>
      </c>
    </row>
    <row r="129" spans="1:22" ht="15.95" customHeight="1" x14ac:dyDescent="0.25">
      <c r="A129" s="12" t="s">
        <v>22</v>
      </c>
      <c r="B129" s="11" t="s">
        <v>15</v>
      </c>
      <c r="C129" s="12" t="s">
        <v>22</v>
      </c>
      <c r="D129" s="11" t="s">
        <v>15</v>
      </c>
      <c r="E129" s="12" t="s">
        <v>22</v>
      </c>
      <c r="F129" s="11" t="s">
        <v>15</v>
      </c>
      <c r="G129" s="12" t="s">
        <v>22</v>
      </c>
      <c r="H129" s="11" t="s">
        <v>15</v>
      </c>
      <c r="I129" s="12" t="s">
        <v>22</v>
      </c>
      <c r="J129" s="11" t="s">
        <v>15</v>
      </c>
      <c r="K129" s="12" t="s">
        <v>22</v>
      </c>
      <c r="L129" s="11" t="s">
        <v>15</v>
      </c>
      <c r="M129" s="12" t="s">
        <v>22</v>
      </c>
      <c r="N129" s="11" t="s">
        <v>15</v>
      </c>
      <c r="O129" s="12" t="s">
        <v>22</v>
      </c>
      <c r="P129" s="11" t="s">
        <v>15</v>
      </c>
      <c r="Q129" s="12" t="s">
        <v>22</v>
      </c>
      <c r="R129" s="11" t="s">
        <v>15</v>
      </c>
      <c r="S129" s="12" t="s">
        <v>22</v>
      </c>
      <c r="T129" s="11" t="s">
        <v>15</v>
      </c>
      <c r="V129" s="1" t="s">
        <v>22</v>
      </c>
    </row>
    <row r="130" spans="1:22" ht="15.95" customHeight="1" x14ac:dyDescent="0.25">
      <c r="A130" s="12" t="s">
        <v>22</v>
      </c>
      <c r="B130" s="14"/>
      <c r="C130" s="12" t="s">
        <v>22</v>
      </c>
      <c r="D130" s="14"/>
      <c r="E130" s="12" t="s">
        <v>22</v>
      </c>
      <c r="F130" s="14"/>
      <c r="G130" s="12" t="s">
        <v>22</v>
      </c>
      <c r="H130" s="14"/>
      <c r="I130" s="12" t="s">
        <v>22</v>
      </c>
      <c r="J130" s="14"/>
      <c r="K130" s="12" t="s">
        <v>22</v>
      </c>
      <c r="L130" s="14"/>
      <c r="M130" s="12" t="s">
        <v>22</v>
      </c>
      <c r="N130" s="14"/>
      <c r="O130" s="12" t="s">
        <v>22</v>
      </c>
      <c r="P130" s="14"/>
      <c r="Q130" s="12" t="s">
        <v>22</v>
      </c>
      <c r="R130" s="14"/>
      <c r="S130" s="12" t="s">
        <v>22</v>
      </c>
      <c r="T130" s="14"/>
      <c r="V130" s="1" t="s">
        <v>22</v>
      </c>
    </row>
  </sheetData>
  <conditionalFormatting sqref="A2:T130">
    <cfRule type="containsErrors" dxfId="513" priority="5" stopIfTrue="1">
      <formula>ISERROR(A2)</formula>
    </cfRule>
    <cfRule type="containsBlanks" dxfId="512" priority="6" stopIfTrue="1">
      <formula>LEN(TRIM(A2))=0</formula>
    </cfRule>
    <cfRule type="cellIs" dxfId="511" priority="10" stopIfTrue="1" operator="equal">
      <formula>"-"</formula>
    </cfRule>
    <cfRule type="cellIs" dxfId="510" priority="11" operator="between">
      <formula>"(Lowest value)"</formula>
      <formula>0</formula>
    </cfRule>
    <cfRule type="notContainsBlanks" dxfId="509" priority="17">
      <formula>LEN(TRIM(A2))&gt;0</formula>
    </cfRule>
  </conditionalFormatting>
  <conditionalFormatting sqref="B2:B130 D2:D130 F2:F130 H2:H130 J2:J130 L2:L130 N2:N130 P2:P130 R2:R130 T2:T130">
    <cfRule type="notContainsErrors" dxfId="508" priority="2" stopIfTrue="1">
      <formula>NOT(ISERROR(B2))</formula>
    </cfRule>
  </conditionalFormatting>
  <conditionalFormatting sqref="V2:V130">
    <cfRule type="cellIs" dxfId="507" priority="7" operator="equal">
      <formula>A2</formula>
    </cfRule>
    <cfRule type="cellIs" dxfId="506"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S7" r:id="rId10" xr:uid="{2A130BA7-0C79-4776-ABE3-1B77D2435EBE}"/>
    <hyperlink ref="A7" r:id="rId11" xr:uid="{A6ED6838-C802-4BF7-A9E9-1D42003E022A}"/>
    <hyperlink ref="V7" r:id="rId12" xr:uid="{27E673D3-AFB1-43F4-996E-79C9551AAB33}"/>
    <hyperlink ref="V8" r:id="rId13" xr:uid="{0C841D1E-2F48-456E-AE8A-3FD22665AFB6}"/>
  </hyperlinks>
  <pageMargins left="0.7" right="0.7" top="0.75" bottom="0.75" header="0.3" footer="0.3"/>
  <pageSetup orientation="portrait" horizontalDpi="4294967293" verticalDpi="0"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5" priority="2" stopIfTrue="1">
      <formula>NOT(ISERROR(A3))</formula>
    </cfRule>
  </conditionalFormatting>
  <conditionalFormatting sqref="A3:T51">
    <cfRule type="containsErrors" dxfId="504" priority="1" stopIfTrue="1">
      <formula>ISERROR(A3)</formula>
    </cfRule>
    <cfRule type="notContainsBlanks" dxfId="503"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503</v>
      </c>
      <c r="B3" s="16" t="str">
        <f>TRIM(_xlfn.TEXTBEFORE(A3, ":"))</f>
        <v>Item Class</v>
      </c>
      <c r="C3" s="17" t="s">
        <v>1579</v>
      </c>
      <c r="D3" s="16" t="str">
        <f>TRIM(_xlfn.TEXTBEFORE(C3, ":"))</f>
        <v>Gegenstandsklasse</v>
      </c>
      <c r="E3" s="17" t="s">
        <v>2299</v>
      </c>
      <c r="F3" s="16" t="str">
        <f>TRIM(_xlfn.TEXTBEFORE(E3, ":"))</f>
        <v>Clase de objeto</v>
      </c>
      <c r="G3" s="17" t="s">
        <v>854</v>
      </c>
      <c r="H3" s="16" t="str">
        <f>TRIM(_xlfn.TEXTBEFORE(G3, ":"))</f>
        <v>Classe d'objet</v>
      </c>
      <c r="I3" s="17" t="s">
        <v>3009</v>
      </c>
      <c r="J3" s="16" t="str">
        <f>TRIM(_xlfn.TEXTBEFORE(I3, ":"))</f>
        <v>アイテムクラス</v>
      </c>
      <c r="K3" s="17" t="s">
        <v>3763</v>
      </c>
      <c r="L3" s="16" t="str">
        <f>TRIM(_xlfn.TEXTBEFORE(K3, ":"))</f>
        <v>아이템 종류</v>
      </c>
      <c r="M3" s="17" t="s">
        <v>4495</v>
      </c>
      <c r="N3" s="16" t="str">
        <f>TRIM(_xlfn.TEXTBEFORE(M3, ":"))</f>
        <v>Classe do Item</v>
      </c>
      <c r="O3" s="17" t="s">
        <v>5174</v>
      </c>
      <c r="P3" s="16" t="str">
        <f>TRIM(_xlfn.TEXTBEFORE(O3, ":"))</f>
        <v>Класс предмета</v>
      </c>
      <c r="Q3" s="17" t="s">
        <v>5919</v>
      </c>
      <c r="R3" s="16" t="str">
        <f>TRIM(_xlfn.TEXTBEFORE(Q3, ":"))</f>
        <v>ชนิดไอเทม</v>
      </c>
      <c r="S3" s="17"/>
      <c r="T3" s="20" t="e">
        <f>TRIM(_xlfn.TEXTBEFORE(S3, ":"))</f>
        <v>#N/A</v>
      </c>
    </row>
    <row r="4" spans="1:20" ht="15.95" customHeight="1" x14ac:dyDescent="0.25">
      <c r="A4" s="18" t="s">
        <v>504</v>
      </c>
      <c r="B4" s="16" t="str">
        <f>TRIM(_xlfn.TEXTAFTER(A3, ":"))</f>
        <v>Skill Gems</v>
      </c>
      <c r="C4" s="18" t="s">
        <v>1580</v>
      </c>
      <c r="D4" s="16" t="str">
        <f>TRIM(_xlfn.TEXTAFTER(C3, ":"))</f>
        <v>Fertigkeitengemmen</v>
      </c>
      <c r="E4" s="18" t="s">
        <v>2300</v>
      </c>
      <c r="F4" s="16" t="str">
        <f>TRIM(_xlfn.TEXTAFTER(E3, ":"))</f>
        <v>Gemas de habilidad</v>
      </c>
      <c r="G4" s="18" t="s">
        <v>855</v>
      </c>
      <c r="H4" s="16" t="str">
        <f>TRIM(_xlfn.TEXTAFTER(G3, ":"))</f>
        <v>Gemmes d'aptitude</v>
      </c>
      <c r="I4" s="18" t="s">
        <v>3010</v>
      </c>
      <c r="J4" s="16" t="str">
        <f>TRIM(_xlfn.TEXTAFTER(I3, ":"))</f>
        <v>スキルジェム</v>
      </c>
      <c r="K4" s="18" t="s">
        <v>3764</v>
      </c>
      <c r="L4" s="16" t="str">
        <f>TRIM(_xlfn.TEXTAFTER(K3, ":"))</f>
        <v>스킬 젬</v>
      </c>
      <c r="M4" s="18" t="s">
        <v>4496</v>
      </c>
      <c r="N4" s="16" t="str">
        <f>TRIM(_xlfn.TEXTAFTER(M3, ":"))</f>
        <v>Gemas de Habilidades</v>
      </c>
      <c r="O4" s="18" t="s">
        <v>5175</v>
      </c>
      <c r="P4" s="16" t="str">
        <f>TRIM(_xlfn.TEXTAFTER(O3, ":"))</f>
        <v>Камни умений</v>
      </c>
      <c r="Q4" s="18" t="s">
        <v>5920</v>
      </c>
      <c r="R4" s="16" t="str">
        <f>TRIM(_xlfn.TEXTAFTER(Q3, ":"))</f>
        <v>หินสกิล</v>
      </c>
      <c r="S4" s="18"/>
      <c r="T4" s="20" t="e">
        <f>TRIM(_xlfn.TEXTAFTER(S3, ":"))</f>
        <v>#N/A</v>
      </c>
    </row>
    <row r="5" spans="1:20" ht="15.95" customHeight="1" x14ac:dyDescent="0.25">
      <c r="A5" s="18" t="s">
        <v>597</v>
      </c>
      <c r="B5" s="16" t="str">
        <f>TRIM(_xlfn.TEXTBEFORE(A4, ":"))</f>
        <v>Rarity</v>
      </c>
      <c r="C5" s="18" t="s">
        <v>1600</v>
      </c>
      <c r="D5" s="16" t="str">
        <f>TRIM(_xlfn.TEXTBEFORE(C4, ":"))</f>
        <v>Seltenheit</v>
      </c>
      <c r="E5" s="18" t="s">
        <v>2301</v>
      </c>
      <c r="F5" s="16" t="str">
        <f>TRIM(_xlfn.TEXTBEFORE(E4, ":"))</f>
        <v>Rareza</v>
      </c>
      <c r="G5" s="18" t="s">
        <v>875</v>
      </c>
      <c r="H5" s="16" t="str">
        <f>TRIM(_xlfn.TEXTBEFORE(G4, ":"))</f>
        <v>Rareté</v>
      </c>
      <c r="I5" s="18" t="s">
        <v>3011</v>
      </c>
      <c r="J5" s="16" t="str">
        <f>TRIM(_xlfn.TEXTBEFORE(I4, ":"))</f>
        <v>レアリティ</v>
      </c>
      <c r="K5" s="18" t="s">
        <v>3765</v>
      </c>
      <c r="L5" s="16" t="str">
        <f>TRIM(_xlfn.TEXTBEFORE(K4, ":"))</f>
        <v>아이템 희귀도</v>
      </c>
      <c r="M5" s="18" t="s">
        <v>4497</v>
      </c>
      <c r="N5" s="16" t="str">
        <f>TRIM(_xlfn.TEXTBEFORE(M4, ":"))</f>
        <v>Raridade</v>
      </c>
      <c r="O5" s="18" t="s">
        <v>5176</v>
      </c>
      <c r="P5" s="16" t="str">
        <f>TRIM(_xlfn.TEXTBEFORE(O4, ":"))</f>
        <v>Редкость</v>
      </c>
      <c r="Q5" s="18" t="s">
        <v>5921</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598</v>
      </c>
      <c r="B7" s="16" t="str">
        <f>TRIM(_xlfn.TEXTBEFORE(A5, " "))</f>
        <v>Anomalous</v>
      </c>
      <c r="C7" s="18" t="s">
        <v>1601</v>
      </c>
      <c r="D7" s="16" t="str">
        <f>TRIM(_xlfn.TEXTAFTER(C5, " ",-1 ))</f>
        <v>(anormal)</v>
      </c>
      <c r="E7" s="18" t="s">
        <v>2302</v>
      </c>
      <c r="F7" s="16" t="str">
        <f>TRIM(_xlfn.TEXTAFTER(E5, " ", -1))</f>
        <v>anómala</v>
      </c>
      <c r="G7" s="18" t="s">
        <v>876</v>
      </c>
      <c r="H7" s="16" t="s">
        <v>1577</v>
      </c>
      <c r="I7" s="18" t="s">
        <v>3012</v>
      </c>
      <c r="J7" s="16" t="s">
        <v>3028</v>
      </c>
      <c r="K7" s="18" t="s">
        <v>3766</v>
      </c>
      <c r="L7" s="16" t="s">
        <v>4492</v>
      </c>
      <c r="M7" s="18" t="s">
        <v>4498</v>
      </c>
      <c r="N7" s="16" t="str">
        <f>TRIM(_xlfn.TEXTBEFORE(M5, " "))</f>
        <v>Anômalo</v>
      </c>
      <c r="O7" s="18" t="s">
        <v>5177</v>
      </c>
      <c r="P7" s="16" t="str">
        <f>TRIM(_xlfn.TEXTBEFORE(O5, " "))</f>
        <v>Аномальный:</v>
      </c>
      <c r="Q7" s="18" t="s">
        <v>5922</v>
      </c>
      <c r="R7" s="16" t="str">
        <f>TRIM(_xlfn.TEXTBEFORE(Q5, " "))</f>
        <v>Anomalous</v>
      </c>
      <c r="S7" s="18"/>
      <c r="T7" s="20" t="e">
        <f>TRIM(_xlfn.TEXTBEFORE(S5, " "))</f>
        <v>#N/A</v>
      </c>
    </row>
    <row r="8" spans="1:20" ht="15.95" customHeight="1" x14ac:dyDescent="0.25">
      <c r="A8" s="18" t="s">
        <v>572</v>
      </c>
      <c r="B8" s="16"/>
      <c r="C8" s="18" t="s">
        <v>1602</v>
      </c>
      <c r="D8" s="16"/>
      <c r="E8" s="18" t="s">
        <v>2303</v>
      </c>
      <c r="F8" s="16"/>
      <c r="G8" s="18" t="s">
        <v>877</v>
      </c>
      <c r="H8" s="16"/>
      <c r="I8" s="18" t="s">
        <v>3013</v>
      </c>
      <c r="J8" s="16"/>
      <c r="K8" s="18" t="s">
        <v>3767</v>
      </c>
      <c r="L8" s="16"/>
      <c r="M8" s="18" t="s">
        <v>4499</v>
      </c>
      <c r="N8" s="16"/>
      <c r="O8" s="18" t="s">
        <v>5178</v>
      </c>
      <c r="P8" s="16"/>
      <c r="Q8" s="18" t="s">
        <v>5923</v>
      </c>
      <c r="R8" s="16"/>
      <c r="S8" s="18"/>
      <c r="T8" s="20"/>
    </row>
    <row r="9" spans="1:20" ht="15.95" customHeight="1" x14ac:dyDescent="0.25">
      <c r="A9" s="18" t="s">
        <v>599</v>
      </c>
      <c r="B9" s="16"/>
      <c r="C9" s="18" t="s">
        <v>1603</v>
      </c>
      <c r="D9" s="16"/>
      <c r="E9" s="18" t="s">
        <v>2304</v>
      </c>
      <c r="F9" s="16"/>
      <c r="G9" s="18" t="s">
        <v>878</v>
      </c>
      <c r="H9" s="16"/>
      <c r="I9" s="18" t="s">
        <v>3014</v>
      </c>
      <c r="J9" s="16"/>
      <c r="K9" s="18" t="s">
        <v>3768</v>
      </c>
      <c r="L9" s="16"/>
      <c r="M9" s="18" t="s">
        <v>4500</v>
      </c>
      <c r="N9" s="16"/>
      <c r="O9" s="18" t="s">
        <v>5179</v>
      </c>
      <c r="P9" s="16"/>
      <c r="Q9" s="18" t="s">
        <v>5924</v>
      </c>
      <c r="R9" s="16"/>
      <c r="S9" s="18"/>
      <c r="T9" s="20"/>
    </row>
    <row r="10" spans="1:20" ht="15.95" customHeight="1" x14ac:dyDescent="0.25">
      <c r="A10" s="18" t="s">
        <v>600</v>
      </c>
      <c r="B10" s="16"/>
      <c r="C10" s="18" t="s">
        <v>1604</v>
      </c>
      <c r="D10" s="16"/>
      <c r="E10" s="18" t="s">
        <v>2305</v>
      </c>
      <c r="F10" s="16"/>
      <c r="G10" s="18" t="s">
        <v>879</v>
      </c>
      <c r="H10" s="16"/>
      <c r="I10" s="18" t="s">
        <v>3015</v>
      </c>
      <c r="J10" s="16"/>
      <c r="K10" s="18" t="s">
        <v>3769</v>
      </c>
      <c r="L10" s="16"/>
      <c r="M10" s="18" t="s">
        <v>4501</v>
      </c>
      <c r="N10" s="16"/>
      <c r="O10" s="18" t="s">
        <v>5180</v>
      </c>
      <c r="P10" s="16"/>
      <c r="Q10" s="18" t="s">
        <v>5925</v>
      </c>
      <c r="R10" s="16"/>
      <c r="S10" s="18"/>
      <c r="T10" s="20"/>
    </row>
    <row r="11" spans="1:20" ht="15.95" customHeight="1" x14ac:dyDescent="0.25">
      <c r="A11" s="18" t="s">
        <v>601</v>
      </c>
      <c r="B11" s="16"/>
      <c r="C11" s="18" t="s">
        <v>1605</v>
      </c>
      <c r="D11" s="16"/>
      <c r="E11" s="18" t="s">
        <v>2306</v>
      </c>
      <c r="F11" s="16"/>
      <c r="G11" s="18" t="s">
        <v>880</v>
      </c>
      <c r="H11" s="16"/>
      <c r="I11" s="18" t="s">
        <v>3016</v>
      </c>
      <c r="J11" s="16"/>
      <c r="K11" s="18" t="s">
        <v>3770</v>
      </c>
      <c r="L11" s="16"/>
      <c r="M11" s="18" t="s">
        <v>4502</v>
      </c>
      <c r="N11" s="16"/>
      <c r="O11" s="18" t="s">
        <v>5181</v>
      </c>
      <c r="P11" s="16"/>
      <c r="Q11" s="18" t="s">
        <v>5926</v>
      </c>
      <c r="R11" s="16"/>
      <c r="S11" s="18"/>
      <c r="T11" s="20"/>
    </row>
    <row r="12" spans="1:20" ht="15.95" customHeight="1" x14ac:dyDescent="0.25">
      <c r="A12" s="18" t="s">
        <v>602</v>
      </c>
      <c r="B12" s="16"/>
      <c r="C12" s="18" t="s">
        <v>1588</v>
      </c>
      <c r="D12" s="16"/>
      <c r="E12" s="18" t="s">
        <v>2307</v>
      </c>
      <c r="F12" s="16"/>
      <c r="G12" s="18" t="s">
        <v>863</v>
      </c>
      <c r="H12" s="16"/>
      <c r="I12" s="18" t="s">
        <v>3017</v>
      </c>
      <c r="J12" s="16"/>
      <c r="K12" s="18" t="s">
        <v>3771</v>
      </c>
      <c r="L12" s="16"/>
      <c r="M12" s="18" t="s">
        <v>4503</v>
      </c>
      <c r="N12" s="16"/>
      <c r="O12" s="18" t="s">
        <v>5182</v>
      </c>
      <c r="P12" s="16"/>
      <c r="Q12" s="18" t="s">
        <v>5927</v>
      </c>
      <c r="R12" s="16"/>
      <c r="S12" s="18"/>
      <c r="T12" s="20"/>
    </row>
    <row r="13" spans="1:20" ht="15.95" customHeight="1" x14ac:dyDescent="0.25">
      <c r="A13" s="18" t="s">
        <v>573</v>
      </c>
      <c r="B13" s="16"/>
      <c r="C13" s="18" t="s">
        <v>1589</v>
      </c>
      <c r="D13" s="16"/>
      <c r="E13" s="18" t="s">
        <v>2308</v>
      </c>
      <c r="F13" s="16"/>
      <c r="G13" s="18" t="s">
        <v>864</v>
      </c>
      <c r="H13" s="16"/>
      <c r="I13" s="18" t="s">
        <v>3018</v>
      </c>
      <c r="J13" s="16"/>
      <c r="K13" s="18" t="s">
        <v>3772</v>
      </c>
      <c r="L13" s="16"/>
      <c r="M13" s="18" t="s">
        <v>4504</v>
      </c>
      <c r="N13" s="16"/>
      <c r="O13" s="18" t="s">
        <v>5183</v>
      </c>
      <c r="P13" s="16"/>
      <c r="Q13" s="18" t="s">
        <v>5928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0"/>
    </row>
    <row r="16" spans="1:20" ht="15.95" customHeight="1" x14ac:dyDescent="0.25">
      <c r="A16" s="18" t="s">
        <v>574</v>
      </c>
      <c r="B16" s="16"/>
      <c r="C16" s="18" t="s">
        <v>1606</v>
      </c>
      <c r="D16" s="16"/>
      <c r="E16" s="18" t="s">
        <v>2310</v>
      </c>
      <c r="F16" s="16"/>
      <c r="G16" s="18" t="s">
        <v>881</v>
      </c>
      <c r="H16" s="16"/>
      <c r="I16" s="18" t="s">
        <v>3020</v>
      </c>
      <c r="J16" s="16"/>
      <c r="K16" s="18" t="s">
        <v>3774</v>
      </c>
      <c r="L16" s="16"/>
      <c r="M16" s="18" t="s">
        <v>4505</v>
      </c>
      <c r="N16" s="16"/>
      <c r="O16" s="18" t="s">
        <v>5185</v>
      </c>
      <c r="P16" s="16"/>
      <c r="Q16" s="18" t="s">
        <v>5930</v>
      </c>
      <c r="R16" s="16"/>
      <c r="S16" s="18"/>
      <c r="T16" s="20"/>
    </row>
    <row r="17" spans="1:20" ht="15.95" customHeight="1" x14ac:dyDescent="0.25">
      <c r="A17" s="18" t="s">
        <v>603</v>
      </c>
      <c r="B17" s="16"/>
      <c r="C17" s="18" t="s">
        <v>1607</v>
      </c>
      <c r="D17" s="16"/>
      <c r="E17" s="18" t="s">
        <v>2311</v>
      </c>
      <c r="F17" s="16"/>
      <c r="G17" s="18" t="s">
        <v>603</v>
      </c>
      <c r="H17" s="16"/>
      <c r="I17" s="18" t="s">
        <v>3021</v>
      </c>
      <c r="J17" s="16"/>
      <c r="K17" s="18" t="s">
        <v>3775</v>
      </c>
      <c r="L17" s="16"/>
      <c r="M17" s="18" t="s">
        <v>2311</v>
      </c>
      <c r="N17" s="16"/>
      <c r="O17" s="18" t="s">
        <v>5186</v>
      </c>
      <c r="P17" s="16"/>
      <c r="Q17" s="18" t="s">
        <v>603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604</v>
      </c>
      <c r="B19" s="16"/>
      <c r="C19" s="18" t="s">
        <v>1608</v>
      </c>
      <c r="D19" s="16"/>
      <c r="E19" s="18" t="s">
        <v>2312</v>
      </c>
      <c r="F19" s="16"/>
      <c r="G19" s="18" t="s">
        <v>882</v>
      </c>
      <c r="H19" s="16"/>
      <c r="I19" s="18" t="s">
        <v>3022</v>
      </c>
      <c r="J19" s="16"/>
      <c r="K19" s="18" t="s">
        <v>3776</v>
      </c>
      <c r="L19" s="16"/>
      <c r="M19" s="18" t="s">
        <v>4506</v>
      </c>
      <c r="N19" s="16"/>
      <c r="O19" s="18" t="s">
        <v>5187</v>
      </c>
      <c r="P19" s="16"/>
      <c r="Q19" s="18" t="s">
        <v>5931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605</v>
      </c>
      <c r="B21" s="16"/>
      <c r="C21" s="18" t="s">
        <v>1609</v>
      </c>
      <c r="D21" s="16"/>
      <c r="E21" s="18" t="s">
        <v>2313</v>
      </c>
      <c r="F21" s="16"/>
      <c r="G21" s="18" t="s">
        <v>883</v>
      </c>
      <c r="H21" s="16"/>
      <c r="I21" s="18" t="s">
        <v>3023</v>
      </c>
      <c r="J21" s="16"/>
      <c r="K21" s="18" t="s">
        <v>3777</v>
      </c>
      <c r="L21" s="16"/>
      <c r="M21" s="18" t="s">
        <v>4507</v>
      </c>
      <c r="N21" s="16"/>
      <c r="O21" s="18" t="s">
        <v>5188</v>
      </c>
      <c r="P21" s="16"/>
      <c r="Q21" s="18" t="s">
        <v>5932</v>
      </c>
      <c r="R21" s="16"/>
      <c r="S21" s="18"/>
      <c r="T21" s="20"/>
    </row>
    <row r="22" spans="1:20" ht="15.95" customHeight="1" x14ac:dyDescent="0.25">
      <c r="A22" s="18" t="s">
        <v>606</v>
      </c>
      <c r="B22" s="16"/>
      <c r="C22" s="18" t="s">
        <v>1610</v>
      </c>
      <c r="D22" s="16"/>
      <c r="E22" s="18" t="s">
        <v>2314</v>
      </c>
      <c r="F22" s="16"/>
      <c r="G22" s="18" t="s">
        <v>884</v>
      </c>
      <c r="H22" s="16"/>
      <c r="I22" s="18" t="s">
        <v>3024</v>
      </c>
      <c r="J22" s="16"/>
      <c r="K22" s="18" t="s">
        <v>3778</v>
      </c>
      <c r="L22" s="16"/>
      <c r="M22" s="18" t="s">
        <v>4508</v>
      </c>
      <c r="N22" s="16"/>
      <c r="O22" s="18" t="s">
        <v>5189</v>
      </c>
      <c r="P22" s="16"/>
      <c r="Q22" s="18" t="s">
        <v>5933</v>
      </c>
      <c r="R22" s="16"/>
      <c r="S22" s="18"/>
      <c r="T22" s="20"/>
    </row>
    <row r="23" spans="1:20" ht="15.95" customHeight="1" x14ac:dyDescent="0.25">
      <c r="A23" s="18" t="s">
        <v>607</v>
      </c>
      <c r="B23" s="16"/>
      <c r="C23" s="18" t="s">
        <v>1611</v>
      </c>
      <c r="D23" s="16"/>
      <c r="E23" s="18" t="s">
        <v>2315</v>
      </c>
      <c r="F23" s="16"/>
      <c r="G23" s="18" t="s">
        <v>885</v>
      </c>
      <c r="H23" s="16"/>
      <c r="I23" s="18" t="s">
        <v>3025</v>
      </c>
      <c r="J23" s="16"/>
      <c r="K23" s="18" t="s">
        <v>3779</v>
      </c>
      <c r="L23" s="16"/>
      <c r="M23" s="18" t="s">
        <v>4509</v>
      </c>
      <c r="N23" s="16"/>
      <c r="O23" s="18" t="s">
        <v>5190</v>
      </c>
      <c r="P23" s="16"/>
      <c r="Q23" s="18" t="s">
        <v>5934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505</v>
      </c>
      <c r="B25" s="16"/>
      <c r="C25" s="18" t="s">
        <v>1599</v>
      </c>
      <c r="D25" s="16"/>
      <c r="E25" s="18" t="s">
        <v>2316</v>
      </c>
      <c r="F25" s="16"/>
      <c r="G25" s="18" t="s">
        <v>874</v>
      </c>
      <c r="H25" s="16"/>
      <c r="I25" s="18" t="s">
        <v>3026</v>
      </c>
      <c r="J25" s="16"/>
      <c r="K25" s="18" t="s">
        <v>3780</v>
      </c>
      <c r="L25" s="16"/>
      <c r="M25" s="18" t="s">
        <v>4510</v>
      </c>
      <c r="N25" s="16"/>
      <c r="O25" s="18" t="s">
        <v>5191</v>
      </c>
      <c r="P25" s="16"/>
      <c r="Q25" s="18" t="s">
        <v>5935</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54</v>
      </c>
      <c r="B27" s="16" t="str">
        <f>A27</f>
        <v>Corrupted</v>
      </c>
      <c r="C27" s="18" t="s">
        <v>1612</v>
      </c>
      <c r="D27" s="16" t="str">
        <f>C27</f>
        <v>Verderbt</v>
      </c>
      <c r="E27" s="18" t="s">
        <v>2317</v>
      </c>
      <c r="F27" s="16" t="str">
        <f>E27</f>
        <v>Corrupto</v>
      </c>
      <c r="G27" s="18" t="s">
        <v>886</v>
      </c>
      <c r="H27" s="16" t="str">
        <f>G27</f>
        <v>Corrompu</v>
      </c>
      <c r="I27" s="18" t="s">
        <v>3027</v>
      </c>
      <c r="J27" s="16" t="str">
        <f t="shared" ref="J27" si="0">I27</f>
        <v>コラプト状態</v>
      </c>
      <c r="K27" s="18" t="s">
        <v>3781</v>
      </c>
      <c r="L27" s="16" t="str">
        <f>K27</f>
        <v>타락</v>
      </c>
      <c r="M27" s="18" t="s">
        <v>4511</v>
      </c>
      <c r="N27" s="16" t="str">
        <f>M27</f>
        <v>Corrompido</v>
      </c>
      <c r="O27" s="18" t="s">
        <v>5192</v>
      </c>
      <c r="P27" s="16" t="str">
        <f>O27</f>
        <v>Осквернено</v>
      </c>
      <c r="Q27" s="18" t="s">
        <v>5936</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2" priority="64" stopIfTrue="1">
      <formula>NOT(ISERROR(A3))</formula>
    </cfRule>
  </conditionalFormatting>
  <conditionalFormatting sqref="A3:T6 A7 C7 E7 G7 I7 K7 M7 O7 Q7 S7 A8:T25 A26:I26 K26:T26 A27 C27 E27 G27 I27 K27 M27 O27 Q27 S27 A28:T51">
    <cfRule type="notContainsBlanks" dxfId="501" priority="65">
      <formula>LEN(TRIM(A3))&gt;0</formula>
    </cfRule>
  </conditionalFormatting>
  <conditionalFormatting sqref="A3:T51">
    <cfRule type="containsErrors" dxfId="500" priority="1" stopIfTrue="1">
      <formula>ISERROR(A3)</formula>
    </cfRule>
  </conditionalFormatting>
  <conditionalFormatting sqref="B7">
    <cfRule type="notContainsBlanks" dxfId="499" priority="62">
      <formula>LEN(TRIM(B7))&gt;0</formula>
    </cfRule>
  </conditionalFormatting>
  <conditionalFormatting sqref="B27">
    <cfRule type="notContainsBlanks" dxfId="498" priority="60">
      <formula>LEN(TRIM(B27))&gt;0</formula>
    </cfRule>
  </conditionalFormatting>
  <conditionalFormatting sqref="D7">
    <cfRule type="notContainsBlanks" dxfId="497" priority="40">
      <formula>LEN(TRIM(D7))&gt;0</formula>
    </cfRule>
  </conditionalFormatting>
  <conditionalFormatting sqref="D27">
    <cfRule type="notContainsBlanks" dxfId="496" priority="20">
      <formula>LEN(TRIM(D27))&gt;0</formula>
    </cfRule>
  </conditionalFormatting>
  <conditionalFormatting sqref="F7">
    <cfRule type="notContainsBlanks" dxfId="495" priority="38">
      <formula>LEN(TRIM(F7))&gt;0</formula>
    </cfRule>
  </conditionalFormatting>
  <conditionalFormatting sqref="F27">
    <cfRule type="notContainsBlanks" dxfId="494" priority="18">
      <formula>LEN(TRIM(F27))&gt;0</formula>
    </cfRule>
  </conditionalFormatting>
  <conditionalFormatting sqref="H7">
    <cfRule type="notContainsBlanks" dxfId="493" priority="2">
      <formula>LEN(TRIM(H7))&gt;0</formula>
    </cfRule>
  </conditionalFormatting>
  <conditionalFormatting sqref="H27">
    <cfRule type="notContainsBlanks" dxfId="492" priority="16">
      <formula>LEN(TRIM(H27))&gt;0</formula>
    </cfRule>
  </conditionalFormatting>
  <conditionalFormatting sqref="J7">
    <cfRule type="notContainsBlanks" dxfId="491" priority="34">
      <formula>LEN(TRIM(J7))&gt;0</formula>
    </cfRule>
  </conditionalFormatting>
  <conditionalFormatting sqref="J26:J27">
    <cfRule type="notContainsBlanks" dxfId="490" priority="14">
      <formula>LEN(TRIM(J26))&gt;0</formula>
    </cfRule>
  </conditionalFormatting>
  <conditionalFormatting sqref="L7">
    <cfRule type="notContainsBlanks" dxfId="489" priority="32">
      <formula>LEN(TRIM(L7))&gt;0</formula>
    </cfRule>
  </conditionalFormatting>
  <conditionalFormatting sqref="L27">
    <cfRule type="notContainsBlanks" dxfId="488" priority="12">
      <formula>LEN(TRIM(L27))&gt;0</formula>
    </cfRule>
  </conditionalFormatting>
  <conditionalFormatting sqref="N7">
    <cfRule type="notContainsBlanks" dxfId="487" priority="30">
      <formula>LEN(TRIM(N7))&gt;0</formula>
    </cfRule>
  </conditionalFormatting>
  <conditionalFormatting sqref="N27">
    <cfRule type="notContainsBlanks" dxfId="486" priority="10">
      <formula>LEN(TRIM(N27))&gt;0</formula>
    </cfRule>
  </conditionalFormatting>
  <conditionalFormatting sqref="P7">
    <cfRule type="notContainsBlanks" dxfId="485" priority="28">
      <formula>LEN(TRIM(P7))&gt;0</formula>
    </cfRule>
  </conditionalFormatting>
  <conditionalFormatting sqref="P27">
    <cfRule type="notContainsBlanks" dxfId="484" priority="8">
      <formula>LEN(TRIM(P27))&gt;0</formula>
    </cfRule>
  </conditionalFormatting>
  <conditionalFormatting sqref="R7">
    <cfRule type="notContainsBlanks" dxfId="483" priority="26">
      <formula>LEN(TRIM(R7))&gt;0</formula>
    </cfRule>
  </conditionalFormatting>
  <conditionalFormatting sqref="R27">
    <cfRule type="notContainsBlanks" dxfId="482" priority="6">
      <formula>LEN(TRIM(R27))&gt;0</formula>
    </cfRule>
  </conditionalFormatting>
  <conditionalFormatting sqref="T7">
    <cfRule type="notContainsBlanks" dxfId="481" priority="22">
      <formula>LEN(TRIM(T7))&gt;0</formula>
    </cfRule>
  </conditionalFormatting>
  <conditionalFormatting sqref="T27">
    <cfRule type="notContainsBlanks" dxfId="480"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506</v>
      </c>
      <c r="B3" s="16" t="str">
        <f>TRIM(_xlfn.TEXTBEFORE(A3, ":"))</f>
        <v>Item Class</v>
      </c>
      <c r="C3" s="17" t="s">
        <v>1613</v>
      </c>
      <c r="D3" s="16" t="str">
        <f>TRIM(_xlfn.TEXTBEFORE(C3, ":"))</f>
        <v>Gegenstandsklasse</v>
      </c>
      <c r="E3" s="17" t="s">
        <v>2318</v>
      </c>
      <c r="F3" s="16" t="str">
        <f>TRIM(_xlfn.TEXTBEFORE(E3, ":"))</f>
        <v>Clase de objeto</v>
      </c>
      <c r="G3" s="17" t="s">
        <v>887</v>
      </c>
      <c r="H3" s="16" t="str">
        <f>TRIM(_xlfn.TEXTBEFORE(G3, ":"))</f>
        <v>Classe d'objet</v>
      </c>
      <c r="I3" s="17" t="s">
        <v>3029</v>
      </c>
      <c r="J3" s="16" t="str">
        <f>TRIM(_xlfn.TEXTBEFORE(I3, ":"))</f>
        <v>アイテムクラス</v>
      </c>
      <c r="K3" s="17" t="s">
        <v>3782</v>
      </c>
      <c r="L3" s="16" t="str">
        <f>TRIM(_xlfn.TEXTBEFORE(K3, ":"))</f>
        <v>아이템 종류</v>
      </c>
      <c r="M3" s="17" t="s">
        <v>4512</v>
      </c>
      <c r="N3" s="16" t="str">
        <f>TRIM(_xlfn.TEXTBEFORE(M3, ":"))</f>
        <v>Classe do Item</v>
      </c>
      <c r="O3" s="17" t="s">
        <v>5193</v>
      </c>
      <c r="P3" s="16" t="str">
        <f>TRIM(_xlfn.TEXTBEFORE(O3, ":"))</f>
        <v>Класс предмета</v>
      </c>
      <c r="Q3" s="17" t="s">
        <v>5937</v>
      </c>
      <c r="R3" s="16" t="str">
        <f>TRIM(_xlfn.TEXTBEFORE(Q3, ":"))</f>
        <v>ชนิดไอเทม</v>
      </c>
      <c r="S3" s="17"/>
      <c r="T3" s="16" t="e">
        <f>TRIM(_xlfn.TEXTBEFORE(S3, ":"))</f>
        <v>#N/A</v>
      </c>
    </row>
    <row r="4" spans="1:20" ht="15.95" customHeight="1" x14ac:dyDescent="0.25">
      <c r="A4" s="18" t="s">
        <v>504</v>
      </c>
      <c r="B4" s="16" t="str">
        <f>TRIM(_xlfn.TEXTAFTER(A3, ":"))</f>
        <v>Support Gems</v>
      </c>
      <c r="C4" s="18" t="s">
        <v>1580</v>
      </c>
      <c r="D4" s="16" t="str">
        <f>TRIM(_xlfn.TEXTAFTER(C3, ":"))</f>
        <v>Unterstützungsgemmen</v>
      </c>
      <c r="E4" s="18" t="s">
        <v>2300</v>
      </c>
      <c r="F4" s="16" t="str">
        <f>TRIM(_xlfn.TEXTAFTER(E3, ":"))</f>
        <v>Gemas de asistencia</v>
      </c>
      <c r="G4" s="18" t="s">
        <v>855</v>
      </c>
      <c r="H4" s="16" t="str">
        <f>TRIM(_xlfn.TEXTAFTER(G3, ":"))</f>
        <v>Gemmes de soutien</v>
      </c>
      <c r="I4" s="18" t="s">
        <v>3010</v>
      </c>
      <c r="J4" s="16" t="str">
        <f>TRIM(_xlfn.TEXTAFTER(I3, ":"))</f>
        <v>サポートジェム</v>
      </c>
      <c r="K4" s="18" t="s">
        <v>3764</v>
      </c>
      <c r="L4" s="16" t="str">
        <f>TRIM(_xlfn.TEXTAFTER(K3, ":"))</f>
        <v>보조 젬</v>
      </c>
      <c r="M4" s="18" t="s">
        <v>4496</v>
      </c>
      <c r="N4" s="16" t="str">
        <f>TRIM(_xlfn.TEXTAFTER(M3, ":"))</f>
        <v>Gemas de Suporte</v>
      </c>
      <c r="O4" s="18" t="s">
        <v>5175</v>
      </c>
      <c r="P4" s="16" t="str">
        <f>TRIM(_xlfn.TEXTAFTER(O3, ":"))</f>
        <v>Камни поддержки</v>
      </c>
      <c r="Q4" s="18" t="s">
        <v>5920</v>
      </c>
      <c r="R4" s="16" t="str">
        <f>TRIM(_xlfn.TEXTAFTER(Q3, ":"))</f>
        <v>หินเสริม</v>
      </c>
      <c r="S4" s="18"/>
      <c r="T4" s="16" t="e">
        <f>TRIM(_xlfn.TEXTAFTER(S3, ":"))</f>
        <v>#N/A</v>
      </c>
    </row>
    <row r="5" spans="1:20" ht="15.95" customHeight="1" x14ac:dyDescent="0.25">
      <c r="A5" s="18" t="s">
        <v>570</v>
      </c>
      <c r="B5" s="16" t="str">
        <f>TRIM(_xlfn.TEXTBEFORE(A4, ":"))</f>
        <v>Rarity</v>
      </c>
      <c r="C5" s="18" t="s">
        <v>1614</v>
      </c>
      <c r="D5" s="16" t="str">
        <f>TRIM(_xlfn.TEXTBEFORE(C4, ":"))</f>
        <v>Seltenheit</v>
      </c>
      <c r="E5" s="18" t="s">
        <v>2319</v>
      </c>
      <c r="F5" s="16" t="str">
        <f>TRIM(_xlfn.TEXTBEFORE(E4, ":"))</f>
        <v>Rareza</v>
      </c>
      <c r="G5" s="18" t="s">
        <v>888</v>
      </c>
      <c r="H5" s="16" t="str">
        <f>TRIM(_xlfn.TEXTBEFORE(G4, ":"))</f>
        <v>Rareté</v>
      </c>
      <c r="I5" s="18" t="s">
        <v>3030</v>
      </c>
      <c r="J5" s="16" t="str">
        <f>TRIM(_xlfn.TEXTBEFORE(I4, ":"))</f>
        <v>レアリティ</v>
      </c>
      <c r="K5" s="18" t="s">
        <v>3783</v>
      </c>
      <c r="L5" s="16" t="str">
        <f>TRIM(_xlfn.TEXTBEFORE(K4, ":"))</f>
        <v>아이템 희귀도</v>
      </c>
      <c r="M5" s="18" t="s">
        <v>4513</v>
      </c>
      <c r="N5" s="16" t="str">
        <f>TRIM(_xlfn.TEXTBEFORE(M4, ":"))</f>
        <v>Raridade</v>
      </c>
      <c r="O5" s="18" t="s">
        <v>5194</v>
      </c>
      <c r="P5" s="16" t="str">
        <f>TRIM(_xlfn.TEXTBEFORE(O4, ":"))</f>
        <v>Редкость</v>
      </c>
      <c r="Q5" s="18" t="s">
        <v>5938</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571</v>
      </c>
      <c r="B7" s="16" t="str">
        <f>TRIM(_xlfn.TEXTBEFORE(A5, " "))</f>
        <v>Divergent</v>
      </c>
      <c r="C7" s="18" t="s">
        <v>1615</v>
      </c>
      <c r="D7" s="16" t="str">
        <f>TRIM(_xlfn.TEXTAFTER(C5, " ",-1 ))</f>
        <v>(abweichend)</v>
      </c>
      <c r="E7" s="18" t="s">
        <v>2320</v>
      </c>
      <c r="F7" s="16" t="str">
        <f>TRIM(_xlfn.TEXTAFTER(E5, " ", -1))</f>
        <v>divergente</v>
      </c>
      <c r="G7" s="18" t="s">
        <v>889</v>
      </c>
      <c r="H7" s="16" t="s">
        <v>1576</v>
      </c>
      <c r="I7" s="18" t="s">
        <v>3031</v>
      </c>
      <c r="J7" s="16" t="s">
        <v>3043</v>
      </c>
      <c r="K7" s="18" t="s">
        <v>3784</v>
      </c>
      <c r="L7" s="16" t="s">
        <v>4493</v>
      </c>
      <c r="M7" s="18" t="s">
        <v>4514</v>
      </c>
      <c r="N7" s="16" t="str">
        <f>TRIM(_xlfn.TEXTBEFORE(M5, " "))</f>
        <v>Divergente</v>
      </c>
      <c r="O7" s="18" t="s">
        <v>5195</v>
      </c>
      <c r="P7" s="16" t="str">
        <f>TRIM(_xlfn.TEXTBEFORE(O5, " "))</f>
        <v>Искривлённый:</v>
      </c>
      <c r="Q7" s="18" t="s">
        <v>5939</v>
      </c>
      <c r="R7" s="16" t="str">
        <f>TRIM(_xlfn.TEXTBEFORE(Q5, " "))</f>
        <v>Divergent</v>
      </c>
      <c r="S7" s="18"/>
      <c r="T7" s="16" t="e">
        <f>TRIM(_xlfn.TEXTBEFORE(S5, " "))</f>
        <v>#N/A</v>
      </c>
    </row>
    <row r="8" spans="1:20" ht="15.95" customHeight="1" x14ac:dyDescent="0.25">
      <c r="A8" s="18" t="s">
        <v>572</v>
      </c>
      <c r="B8" s="16"/>
      <c r="C8" s="18" t="s">
        <v>1602</v>
      </c>
      <c r="D8" s="16"/>
      <c r="E8" s="18" t="s">
        <v>2303</v>
      </c>
      <c r="F8" s="16"/>
      <c r="G8" s="18" t="s">
        <v>877</v>
      </c>
      <c r="H8" s="16"/>
      <c r="I8" s="18" t="s">
        <v>3013</v>
      </c>
      <c r="J8" s="16"/>
      <c r="K8" s="18" t="s">
        <v>3767</v>
      </c>
      <c r="L8" s="16"/>
      <c r="M8" s="18" t="s">
        <v>4499</v>
      </c>
      <c r="N8" s="16"/>
      <c r="O8" s="18" t="s">
        <v>5178</v>
      </c>
      <c r="P8" s="16"/>
      <c r="Q8" s="18" t="s">
        <v>5923</v>
      </c>
      <c r="R8" s="16"/>
      <c r="S8" s="18"/>
      <c r="T8" s="16"/>
    </row>
    <row r="9" spans="1:20" ht="15.95" customHeight="1" x14ac:dyDescent="0.25">
      <c r="A9" s="18" t="s">
        <v>472</v>
      </c>
      <c r="B9" s="16"/>
      <c r="C9" s="18" t="s">
        <v>1616</v>
      </c>
      <c r="D9" s="16"/>
      <c r="E9" s="18" t="s">
        <v>2321</v>
      </c>
      <c r="F9" s="16"/>
      <c r="G9" s="18" t="s">
        <v>890</v>
      </c>
      <c r="H9" s="16"/>
      <c r="I9" s="18" t="s">
        <v>3032</v>
      </c>
      <c r="J9" s="16"/>
      <c r="K9" s="18" t="s">
        <v>3785</v>
      </c>
      <c r="L9" s="16"/>
      <c r="M9" s="18" t="s">
        <v>4515</v>
      </c>
      <c r="N9" s="16"/>
      <c r="O9" s="18" t="s">
        <v>5196</v>
      </c>
      <c r="P9" s="16"/>
      <c r="Q9" s="18" t="s">
        <v>5940</v>
      </c>
      <c r="R9" s="16"/>
      <c r="S9" s="18"/>
      <c r="T9" s="16"/>
    </row>
    <row r="10" spans="1:20" ht="15.95" customHeight="1" x14ac:dyDescent="0.25">
      <c r="A10" s="18" t="s">
        <v>573</v>
      </c>
      <c r="B10" s="16" t="str">
        <f>A10</f>
        <v>Alternate Quality</v>
      </c>
      <c r="C10" s="18" t="s">
        <v>1589</v>
      </c>
      <c r="D10" s="16" t="str">
        <f>C10</f>
        <v>Alternative Qualität</v>
      </c>
      <c r="E10" s="18" t="s">
        <v>2308</v>
      </c>
      <c r="F10" s="16" t="str">
        <f>E10</f>
        <v>Calidad alternativa</v>
      </c>
      <c r="G10" s="18" t="s">
        <v>864</v>
      </c>
      <c r="H10" s="16" t="str">
        <f>G10</f>
        <v>Qualité alternative</v>
      </c>
      <c r="I10" s="18" t="s">
        <v>3018</v>
      </c>
      <c r="J10" s="16" t="str">
        <f>I10</f>
        <v>代替品質</v>
      </c>
      <c r="K10" s="18" t="s">
        <v>3772</v>
      </c>
      <c r="L10" s="16" t="str">
        <f>K10</f>
        <v>대체 퀄리티</v>
      </c>
      <c r="M10" s="18" t="s">
        <v>4504</v>
      </c>
      <c r="N10" s="16" t="str">
        <f>M10</f>
        <v>Qualidade Alternativa</v>
      </c>
      <c r="O10" s="18" t="s">
        <v>5183</v>
      </c>
      <c r="P10" s="16" t="str">
        <f>O10</f>
        <v>Изменённый эффект качества</v>
      </c>
      <c r="Q10" s="18" t="s">
        <v>5928</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1"/>
    </row>
    <row r="13" spans="1:20" ht="15.95" customHeight="1" x14ac:dyDescent="0.25">
      <c r="A13" s="18" t="s">
        <v>574</v>
      </c>
      <c r="B13" s="16"/>
      <c r="C13" s="18" t="s">
        <v>1606</v>
      </c>
      <c r="D13" s="16"/>
      <c r="E13" s="18" t="s">
        <v>2310</v>
      </c>
      <c r="F13" s="16"/>
      <c r="G13" s="18" t="s">
        <v>881</v>
      </c>
      <c r="H13" s="16"/>
      <c r="I13" s="18" t="s">
        <v>3020</v>
      </c>
      <c r="J13" s="16"/>
      <c r="K13" s="18" t="s">
        <v>3774</v>
      </c>
      <c r="L13" s="16"/>
      <c r="M13" s="18" t="s">
        <v>4505</v>
      </c>
      <c r="N13" s="16"/>
      <c r="O13" s="18" t="s">
        <v>5185</v>
      </c>
      <c r="P13" s="16"/>
      <c r="Q13" s="18" t="s">
        <v>5930</v>
      </c>
      <c r="R13" s="16"/>
      <c r="S13" s="18"/>
      <c r="T13" s="21"/>
    </row>
    <row r="14" spans="1:20" ht="15.95" customHeight="1" x14ac:dyDescent="0.25">
      <c r="A14" s="18" t="s">
        <v>575</v>
      </c>
      <c r="B14" s="16"/>
      <c r="C14" s="18" t="s">
        <v>575</v>
      </c>
      <c r="D14" s="16"/>
      <c r="E14" s="18" t="s">
        <v>2322</v>
      </c>
      <c r="F14" s="16"/>
      <c r="G14" s="18" t="s">
        <v>891</v>
      </c>
      <c r="H14" s="16"/>
      <c r="I14" s="18" t="s">
        <v>3033</v>
      </c>
      <c r="J14" s="16"/>
      <c r="K14" s="18" t="s">
        <v>3786</v>
      </c>
      <c r="L14" s="16"/>
      <c r="M14" s="18" t="s">
        <v>891</v>
      </c>
      <c r="N14" s="16"/>
      <c r="O14" s="18" t="s">
        <v>5197</v>
      </c>
      <c r="P14" s="16"/>
      <c r="Q14" s="18" t="s">
        <v>575</v>
      </c>
      <c r="R14" s="16"/>
      <c r="S14" s="18"/>
      <c r="T14" s="21"/>
    </row>
    <row r="15" spans="1:20" ht="15.95" customHeight="1" x14ac:dyDescent="0.25">
      <c r="A15" s="18" t="s">
        <v>576</v>
      </c>
      <c r="B15" s="16"/>
      <c r="C15" s="18" t="s">
        <v>576</v>
      </c>
      <c r="D15" s="16"/>
      <c r="E15" s="18" t="s">
        <v>576</v>
      </c>
      <c r="F15" s="16"/>
      <c r="G15" s="18" t="s">
        <v>576</v>
      </c>
      <c r="H15" s="16"/>
      <c r="I15" s="18" t="s">
        <v>3034</v>
      </c>
      <c r="J15" s="16"/>
      <c r="K15" s="18" t="s">
        <v>3787</v>
      </c>
      <c r="L15" s="16"/>
      <c r="M15" s="18" t="s">
        <v>576</v>
      </c>
      <c r="N15" s="16"/>
      <c r="O15" s="18" t="s">
        <v>5198</v>
      </c>
      <c r="P15" s="16"/>
      <c r="Q15" s="18" t="s">
        <v>576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577</v>
      </c>
      <c r="B17" s="16"/>
      <c r="C17" s="18" t="s">
        <v>1617</v>
      </c>
      <c r="D17" s="16"/>
      <c r="E17" s="18" t="s">
        <v>2323</v>
      </c>
      <c r="F17" s="16"/>
      <c r="G17" s="18" t="s">
        <v>892</v>
      </c>
      <c r="H17" s="16"/>
      <c r="I17" s="18" t="s">
        <v>3035</v>
      </c>
      <c r="J17" s="16"/>
      <c r="K17" s="18" t="s">
        <v>3788</v>
      </c>
      <c r="L17" s="16"/>
      <c r="M17" s="18" t="s">
        <v>4516</v>
      </c>
      <c r="N17" s="16"/>
      <c r="O17" s="18" t="s">
        <v>5199</v>
      </c>
      <c r="P17" s="16"/>
      <c r="Q17" s="18" t="s">
        <v>5941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578</v>
      </c>
      <c r="B19" s="16"/>
      <c r="C19" s="18" t="s">
        <v>1618</v>
      </c>
      <c r="D19" s="16"/>
      <c r="E19" s="18" t="s">
        <v>2324</v>
      </c>
      <c r="F19" s="16"/>
      <c r="G19" s="18" t="s">
        <v>893</v>
      </c>
      <c r="H19" s="16"/>
      <c r="I19" s="18" t="s">
        <v>3036</v>
      </c>
      <c r="J19" s="16"/>
      <c r="K19" s="18" t="s">
        <v>3789</v>
      </c>
      <c r="L19" s="16"/>
      <c r="M19" s="18" t="s">
        <v>4517</v>
      </c>
      <c r="N19" s="16"/>
      <c r="O19" s="18" t="s">
        <v>5200</v>
      </c>
      <c r="P19" s="16"/>
      <c r="Q19" s="18" t="s">
        <v>5942</v>
      </c>
      <c r="R19" s="16"/>
      <c r="S19" s="18"/>
      <c r="T19" s="21"/>
    </row>
    <row r="20" spans="1:20" ht="15.95" customHeight="1" x14ac:dyDescent="0.25">
      <c r="A20" s="18" t="s">
        <v>579</v>
      </c>
      <c r="B20" s="16"/>
      <c r="C20" s="18" t="s">
        <v>1619</v>
      </c>
      <c r="D20" s="16"/>
      <c r="E20" s="18" t="s">
        <v>2325</v>
      </c>
      <c r="F20" s="16"/>
      <c r="G20" s="18" t="s">
        <v>894</v>
      </c>
      <c r="H20" s="16"/>
      <c r="I20" s="18" t="s">
        <v>3037</v>
      </c>
      <c r="J20" s="16"/>
      <c r="K20" s="18" t="s">
        <v>3790</v>
      </c>
      <c r="L20" s="16"/>
      <c r="M20" s="18" t="s">
        <v>4518</v>
      </c>
      <c r="N20" s="16"/>
      <c r="O20" s="18" t="s">
        <v>5201</v>
      </c>
      <c r="P20" s="16"/>
      <c r="Q20" s="18" t="s">
        <v>5943</v>
      </c>
      <c r="R20" s="16"/>
      <c r="S20" s="18"/>
      <c r="T20" s="21"/>
    </row>
    <row r="21" spans="1:20" ht="15.95" customHeight="1" x14ac:dyDescent="0.25">
      <c r="A21" s="18" t="s">
        <v>580</v>
      </c>
      <c r="B21" s="16"/>
      <c r="C21" s="18" t="s">
        <v>1620</v>
      </c>
      <c r="D21" s="16"/>
      <c r="E21" s="18" t="s">
        <v>2326</v>
      </c>
      <c r="F21" s="16"/>
      <c r="G21" s="18" t="s">
        <v>895</v>
      </c>
      <c r="H21" s="16"/>
      <c r="I21" s="18" t="s">
        <v>3038</v>
      </c>
      <c r="J21" s="16"/>
      <c r="K21" s="18" t="s">
        <v>3791</v>
      </c>
      <c r="L21" s="16"/>
      <c r="M21" s="18" t="s">
        <v>4519</v>
      </c>
      <c r="N21" s="16"/>
      <c r="O21" s="18" t="s">
        <v>5202</v>
      </c>
      <c r="P21" s="16"/>
      <c r="Q21" s="18" t="s">
        <v>5944</v>
      </c>
      <c r="R21" s="16"/>
      <c r="S21" s="18"/>
      <c r="T21" s="21"/>
    </row>
    <row r="22" spans="1:20" ht="15.95" customHeight="1" x14ac:dyDescent="0.25">
      <c r="A22" s="18" t="s">
        <v>581</v>
      </c>
      <c r="B22" s="16"/>
      <c r="C22" s="18" t="s">
        <v>1621</v>
      </c>
      <c r="D22" s="16"/>
      <c r="E22" s="18" t="s">
        <v>2327</v>
      </c>
      <c r="F22" s="16"/>
      <c r="G22" s="18" t="s">
        <v>896</v>
      </c>
      <c r="H22" s="16"/>
      <c r="I22" s="18" t="s">
        <v>3039</v>
      </c>
      <c r="J22" s="16"/>
      <c r="K22" s="18" t="s">
        <v>3792</v>
      </c>
      <c r="L22" s="16"/>
      <c r="M22" s="18" t="s">
        <v>4520</v>
      </c>
      <c r="N22" s="16"/>
      <c r="O22" s="18" t="s">
        <v>5203</v>
      </c>
      <c r="P22" s="16"/>
      <c r="Q22" s="18" t="s">
        <v>5945</v>
      </c>
      <c r="R22" s="16"/>
      <c r="S22" s="18"/>
      <c r="T22" s="21"/>
    </row>
    <row r="23" spans="1:20" ht="15.95" customHeight="1" x14ac:dyDescent="0.25">
      <c r="A23" s="18" t="s">
        <v>582</v>
      </c>
      <c r="B23" s="16"/>
      <c r="C23" s="18" t="s">
        <v>1622</v>
      </c>
      <c r="D23" s="16"/>
      <c r="E23" s="18" t="s">
        <v>2328</v>
      </c>
      <c r="F23" s="16"/>
      <c r="G23" s="18" t="s">
        <v>897</v>
      </c>
      <c r="H23" s="16"/>
      <c r="I23" s="18" t="s">
        <v>3040</v>
      </c>
      <c r="J23" s="16"/>
      <c r="K23" s="18" t="s">
        <v>3793</v>
      </c>
      <c r="L23" s="16"/>
      <c r="M23" s="18" t="s">
        <v>4521</v>
      </c>
      <c r="N23" s="16"/>
      <c r="O23" s="18" t="s">
        <v>5204</v>
      </c>
      <c r="P23" s="16"/>
      <c r="Q23" s="18" t="s">
        <v>5946</v>
      </c>
      <c r="R23" s="16"/>
      <c r="S23" s="18"/>
      <c r="T23" s="21"/>
    </row>
    <row r="24" spans="1:20" ht="15.95" customHeight="1" x14ac:dyDescent="0.25">
      <c r="A24" s="18" t="s">
        <v>583</v>
      </c>
      <c r="B24" s="16"/>
      <c r="C24" s="18" t="s">
        <v>1623</v>
      </c>
      <c r="D24" s="16"/>
      <c r="E24" s="18" t="s">
        <v>2329</v>
      </c>
      <c r="F24" s="16"/>
      <c r="G24" s="18" t="s">
        <v>898</v>
      </c>
      <c r="H24" s="16"/>
      <c r="I24" s="18" t="s">
        <v>3041</v>
      </c>
      <c r="J24" s="16"/>
      <c r="K24" s="18" t="s">
        <v>3794</v>
      </c>
      <c r="L24" s="16"/>
      <c r="M24" s="18" t="s">
        <v>4522</v>
      </c>
      <c r="N24" s="16"/>
      <c r="O24" s="18" t="s">
        <v>5205</v>
      </c>
      <c r="P24" s="16"/>
      <c r="Q24" s="18" t="s">
        <v>5947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508</v>
      </c>
      <c r="B26" s="16"/>
      <c r="C26" s="18" t="s">
        <v>1624</v>
      </c>
      <c r="D26" s="16"/>
      <c r="E26" s="18" t="s">
        <v>2330</v>
      </c>
      <c r="F26" s="16"/>
      <c r="G26" s="18" t="s">
        <v>899</v>
      </c>
      <c r="H26" s="16"/>
      <c r="I26" s="18" t="s">
        <v>3042</v>
      </c>
      <c r="J26" s="16"/>
      <c r="K26" s="18" t="s">
        <v>3795</v>
      </c>
      <c r="L26" s="16"/>
      <c r="M26" s="18" t="s">
        <v>4523</v>
      </c>
      <c r="N26" s="16"/>
      <c r="O26" s="18" t="s">
        <v>5206</v>
      </c>
      <c r="P26" s="16"/>
      <c r="Q26" s="18" t="s">
        <v>5948</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9" priority="28" stopIfTrue="1">
      <formula>NOT(ISERROR(A3))</formula>
    </cfRule>
  </conditionalFormatting>
  <conditionalFormatting sqref="A3:T6 A7 C7 E7 G7 I7 K7 M7 O7 Q7 S7 A8:T51">
    <cfRule type="notContainsBlanks" dxfId="478" priority="29">
      <formula>LEN(TRIM(A3))&gt;0</formula>
    </cfRule>
  </conditionalFormatting>
  <conditionalFormatting sqref="A3:T51">
    <cfRule type="containsErrors" dxfId="477" priority="1" stopIfTrue="1">
      <formula>ISERROR(A3)</formula>
    </cfRule>
  </conditionalFormatting>
  <conditionalFormatting sqref="B7">
    <cfRule type="notContainsBlanks" dxfId="476" priority="26">
      <formula>LEN(TRIM(B7))&gt;0</formula>
    </cfRule>
  </conditionalFormatting>
  <conditionalFormatting sqref="D7">
    <cfRule type="notContainsBlanks" dxfId="475" priority="2">
      <formula>LEN(TRIM(D7))&gt;0</formula>
    </cfRule>
  </conditionalFormatting>
  <conditionalFormatting sqref="F7">
    <cfRule type="notContainsBlanks" dxfId="474" priority="22">
      <formula>LEN(TRIM(F7))&gt;0</formula>
    </cfRule>
  </conditionalFormatting>
  <conditionalFormatting sqref="H7">
    <cfRule type="notContainsBlanks" dxfId="473" priority="6">
      <formula>LEN(TRIM(H7))&gt;0</formula>
    </cfRule>
  </conditionalFormatting>
  <conditionalFormatting sqref="J7">
    <cfRule type="notContainsBlanks" dxfId="472" priority="18">
      <formula>LEN(TRIM(J7))&gt;0</formula>
    </cfRule>
  </conditionalFormatting>
  <conditionalFormatting sqref="L7">
    <cfRule type="notContainsBlanks" dxfId="471" priority="16">
      <formula>LEN(TRIM(L7))&gt;0</formula>
    </cfRule>
  </conditionalFormatting>
  <conditionalFormatting sqref="N7">
    <cfRule type="notContainsBlanks" dxfId="470" priority="14">
      <formula>LEN(TRIM(N7))&gt;0</formula>
    </cfRule>
  </conditionalFormatting>
  <conditionalFormatting sqref="P7">
    <cfRule type="notContainsBlanks" dxfId="469" priority="12">
      <formula>LEN(TRIM(P7))&gt;0</formula>
    </cfRule>
  </conditionalFormatting>
  <conditionalFormatting sqref="R7">
    <cfRule type="notContainsBlanks" dxfId="468" priority="10">
      <formula>LEN(TRIM(R7))&gt;0</formula>
    </cfRule>
  </conditionalFormatting>
  <conditionalFormatting sqref="T7">
    <cfRule type="notContainsBlanks" dxfId="467"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503</v>
      </c>
      <c r="B3" s="16" t="str">
        <f>TRIM(_xlfn.TEXTBEFORE(A3, ":"))</f>
        <v>Item Class</v>
      </c>
      <c r="C3" s="17" t="s">
        <v>1579</v>
      </c>
      <c r="D3" s="16" t="str">
        <f>TRIM(_xlfn.TEXTBEFORE(C3, ":"))</f>
        <v>Gegenstandsklasse</v>
      </c>
      <c r="E3" s="17" t="s">
        <v>2299</v>
      </c>
      <c r="F3" s="16" t="str">
        <f>TRIM(_xlfn.TEXTBEFORE(E3, ":"))</f>
        <v>Clase de objeto</v>
      </c>
      <c r="G3" s="17" t="s">
        <v>854</v>
      </c>
      <c r="H3" s="16" t="str">
        <f>TRIM(_xlfn.TEXTBEFORE(G3, ":"))</f>
        <v>Classe d'objet</v>
      </c>
      <c r="I3" s="17" t="s">
        <v>3009</v>
      </c>
      <c r="J3" s="16" t="str">
        <f>TRIM(_xlfn.TEXTBEFORE(I3, ":"))</f>
        <v>アイテムクラス</v>
      </c>
      <c r="K3" s="17" t="s">
        <v>3763</v>
      </c>
      <c r="L3" s="16" t="str">
        <f>TRIM(_xlfn.TEXTBEFORE(K3, ":"))</f>
        <v>아이템 종류</v>
      </c>
      <c r="M3" s="17" t="s">
        <v>4495</v>
      </c>
      <c r="N3" s="16" t="str">
        <f>TRIM(_xlfn.TEXTBEFORE(M3, ":"))</f>
        <v>Classe do Item</v>
      </c>
      <c r="O3" s="17" t="s">
        <v>5174</v>
      </c>
      <c r="P3" s="16" t="str">
        <f>TRIM(_xlfn.TEXTBEFORE(O3, ":"))</f>
        <v>Класс предмета</v>
      </c>
      <c r="Q3" s="17" t="s">
        <v>5919</v>
      </c>
      <c r="R3" s="16" t="str">
        <f>TRIM(_xlfn.TEXTBEFORE(Q3, ":"))</f>
        <v>ชนิดไอเทม</v>
      </c>
      <c r="S3" s="17"/>
      <c r="T3" s="16" t="e">
        <f>TRIM(_xlfn.TEXTBEFORE(S3, ":"))</f>
        <v>#N/A</v>
      </c>
    </row>
    <row r="4" spans="1:20" ht="15.95" customHeight="1" x14ac:dyDescent="0.25">
      <c r="A4" s="18" t="s">
        <v>504</v>
      </c>
      <c r="B4" s="16" t="str">
        <f>TRIM(_xlfn.TEXTAFTER(A3, ":"))</f>
        <v>Skill Gems</v>
      </c>
      <c r="C4" s="18" t="s">
        <v>1580</v>
      </c>
      <c r="D4" s="16" t="str">
        <f>TRIM(_xlfn.TEXTAFTER(C3, ":"))</f>
        <v>Fertigkeitengemmen</v>
      </c>
      <c r="E4" s="18" t="s">
        <v>2300</v>
      </c>
      <c r="F4" s="16" t="str">
        <f>TRIM(_xlfn.TEXTAFTER(E3, ":"))</f>
        <v>Gemas de habilidad</v>
      </c>
      <c r="G4" s="18" t="s">
        <v>855</v>
      </c>
      <c r="H4" s="16" t="str">
        <f>TRIM(_xlfn.TEXTAFTER(G3, ":"))</f>
        <v>Gemmes d'aptitude</v>
      </c>
      <c r="I4" s="18" t="s">
        <v>3010</v>
      </c>
      <c r="J4" s="16" t="str">
        <f>TRIM(_xlfn.TEXTAFTER(I3, ":"))</f>
        <v>スキルジェム</v>
      </c>
      <c r="K4" s="18" t="s">
        <v>3764</v>
      </c>
      <c r="L4" s="16" t="str">
        <f>TRIM(_xlfn.TEXTAFTER(K3, ":"))</f>
        <v>스킬 젬</v>
      </c>
      <c r="M4" s="18" t="s">
        <v>4496</v>
      </c>
      <c r="N4" s="16" t="str">
        <f>TRIM(_xlfn.TEXTAFTER(M3, ":"))</f>
        <v>Gemas de Habilidades</v>
      </c>
      <c r="O4" s="18" t="s">
        <v>5175</v>
      </c>
      <c r="P4" s="16" t="str">
        <f>TRIM(_xlfn.TEXTAFTER(O3, ":"))</f>
        <v>Камни умений</v>
      </c>
      <c r="Q4" s="18" t="s">
        <v>5920</v>
      </c>
      <c r="R4" s="16" t="str">
        <f>TRIM(_xlfn.TEXTAFTER(Q3, ":"))</f>
        <v>หินสกิล</v>
      </c>
      <c r="S4" s="18"/>
      <c r="T4" s="16" t="e">
        <f>TRIM(_xlfn.TEXTAFTER(S3, ":"))</f>
        <v>#N/A</v>
      </c>
    </row>
    <row r="5" spans="1:20" ht="15.95" customHeight="1" x14ac:dyDescent="0.25">
      <c r="A5" s="18" t="s">
        <v>608</v>
      </c>
      <c r="B5" s="16" t="str">
        <f>TRIM(_xlfn.TEXTBEFORE(A4, ":"))</f>
        <v>Rarity</v>
      </c>
      <c r="C5" s="18" t="s">
        <v>1581</v>
      </c>
      <c r="D5" s="16" t="str">
        <f>TRIM(_xlfn.TEXTBEFORE(C4, ":"))</f>
        <v>Seltenheit</v>
      </c>
      <c r="E5" s="18" t="s">
        <v>2331</v>
      </c>
      <c r="F5" s="16" t="str">
        <f>TRIM(_xlfn.TEXTBEFORE(E4, ":"))</f>
        <v>Rareza</v>
      </c>
      <c r="G5" s="18" t="s">
        <v>856</v>
      </c>
      <c r="H5" s="16" t="str">
        <f>TRIM(_xlfn.TEXTBEFORE(G4, ":"))</f>
        <v>Rareté</v>
      </c>
      <c r="I5" s="18" t="s">
        <v>3045</v>
      </c>
      <c r="J5" s="16" t="str">
        <f>TRIM(_xlfn.TEXTBEFORE(I4, ":"))</f>
        <v>レアリティ</v>
      </c>
      <c r="K5" s="18" t="s">
        <v>3796</v>
      </c>
      <c r="L5" s="16" t="str">
        <f>TRIM(_xlfn.TEXTBEFORE(K4, ":"))</f>
        <v>아이템 희귀도</v>
      </c>
      <c r="M5" s="18" t="s">
        <v>4524</v>
      </c>
      <c r="N5" s="16" t="str">
        <f>TRIM(_xlfn.TEXTBEFORE(M4, ":"))</f>
        <v>Raridade</v>
      </c>
      <c r="O5" s="18" t="s">
        <v>5207</v>
      </c>
      <c r="P5" s="16" t="str">
        <f>TRIM(_xlfn.TEXTBEFORE(O4, ":"))</f>
        <v>Редкость</v>
      </c>
      <c r="Q5" s="18" t="s">
        <v>5949</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609</v>
      </c>
      <c r="B7" s="16" t="str">
        <f>TRIM(_xlfn.TEXTBEFORE(A5, " "))</f>
        <v>Phantasmal</v>
      </c>
      <c r="C7" s="18" t="s">
        <v>1582</v>
      </c>
      <c r="D7" s="16" t="str">
        <f>TRIM(_xlfn.TEXTAFTER(C5, " ",-1 ))</f>
        <v>(illusorisch)</v>
      </c>
      <c r="E7" s="18" t="s">
        <v>2332</v>
      </c>
      <c r="F7" s="16" t="str">
        <f>TRIM(_xlfn.TEXTAFTER(E5, " ", -1))</f>
        <v>fantasmal</v>
      </c>
      <c r="G7" s="18" t="s">
        <v>857</v>
      </c>
      <c r="H7" s="16" t="s">
        <v>1578</v>
      </c>
      <c r="I7" s="18" t="s">
        <v>3046</v>
      </c>
      <c r="J7" s="16" t="s">
        <v>3044</v>
      </c>
      <c r="K7" s="18" t="s">
        <v>3797</v>
      </c>
      <c r="L7" s="16" t="s">
        <v>4494</v>
      </c>
      <c r="M7" s="18" t="s">
        <v>4525</v>
      </c>
      <c r="N7" s="16" t="str">
        <f>TRIM(_xlfn.TEXTBEFORE(M5, " "))</f>
        <v>Fantasmal</v>
      </c>
      <c r="O7" s="18" t="s">
        <v>5208</v>
      </c>
      <c r="P7" s="16" t="str">
        <f>TRIM(_xlfn.TEXTBEFORE(O5, " "))</f>
        <v>Фантомный:</v>
      </c>
      <c r="Q7" s="18" t="s">
        <v>5950</v>
      </c>
      <c r="R7" s="16" t="str">
        <f>TRIM(_xlfn.TEXTBEFORE(Q5, " "))</f>
        <v>Phantasmal</v>
      </c>
      <c r="S7" s="18"/>
      <c r="T7" s="16" t="e">
        <f>TRIM(_xlfn.TEXTBEFORE(S5, " "))</f>
        <v>#N/A</v>
      </c>
    </row>
    <row r="8" spans="1:20" ht="15.95" customHeight="1" x14ac:dyDescent="0.25">
      <c r="A8" s="18" t="s">
        <v>507</v>
      </c>
      <c r="B8" s="16" t="str">
        <f>TRIM(_xlfn.TEXTBEFORE(A8,":"))</f>
        <v>Level</v>
      </c>
      <c r="C8" s="18" t="s">
        <v>1583</v>
      </c>
      <c r="D8" s="16" t="str">
        <f>TRIM(_xlfn.TEXTBEFORE(C8,":"))</f>
        <v>Stufe</v>
      </c>
      <c r="E8" s="18" t="s">
        <v>2333</v>
      </c>
      <c r="F8" s="16" t="str">
        <f>TRIM(_xlfn.TEXTAFTER(E8,":", -1))</f>
        <v>16</v>
      </c>
      <c r="G8" s="18" t="s">
        <v>858</v>
      </c>
      <c r="H8" s="16" t="str">
        <f>TRIM(_xlfn.TEXTBEFORE(G8,":"))</f>
        <v>Niveau</v>
      </c>
      <c r="I8" s="18" t="s">
        <v>3047</v>
      </c>
      <c r="J8" s="16" t="str">
        <f>TRIM(_xlfn.TEXTBEFORE(I8,":"))</f>
        <v>レベル</v>
      </c>
      <c r="K8" s="18" t="s">
        <v>3798</v>
      </c>
      <c r="L8" s="16" t="str">
        <f>TRIM(_xlfn.TEXTBEFORE(K8,":"))</f>
        <v>레벨</v>
      </c>
      <c r="M8" s="18" t="s">
        <v>4526</v>
      </c>
      <c r="N8" s="16" t="str">
        <f>TRIM(_xlfn.TEXTBEFORE(M8,":"))</f>
        <v>Nível</v>
      </c>
      <c r="O8" s="18" t="s">
        <v>5209</v>
      </c>
      <c r="P8" s="16" t="str">
        <f>TRIM(_xlfn.TEXTBEFORE(O8,":"))</f>
        <v>Уровень</v>
      </c>
      <c r="Q8" s="18" t="s">
        <v>5951</v>
      </c>
      <c r="R8" s="16" t="str">
        <f>TRIM(_xlfn.TEXTBEFORE(Q8,":"))</f>
        <v>เลเวล</v>
      </c>
      <c r="S8" s="18"/>
      <c r="T8" s="16" t="e">
        <f>TRIM(_xlfn.TEXTBEFORE(S8,":"))</f>
        <v>#N/A</v>
      </c>
    </row>
    <row r="9" spans="1:20" ht="15.95" customHeight="1" x14ac:dyDescent="0.25">
      <c r="A9" s="18" t="s">
        <v>610</v>
      </c>
      <c r="B9" s="16"/>
      <c r="C9" s="18" t="s">
        <v>1584</v>
      </c>
      <c r="D9" s="16"/>
      <c r="E9" s="18" t="s">
        <v>2334</v>
      </c>
      <c r="F9" s="16"/>
      <c r="G9" s="18" t="s">
        <v>859</v>
      </c>
      <c r="H9" s="16"/>
      <c r="I9" s="18" t="s">
        <v>3048</v>
      </c>
      <c r="J9" s="16"/>
      <c r="K9" s="18" t="s">
        <v>3799</v>
      </c>
      <c r="L9" s="16"/>
      <c r="M9" s="18" t="s">
        <v>4527</v>
      </c>
      <c r="N9" s="16"/>
      <c r="O9" s="18" t="s">
        <v>5210</v>
      </c>
      <c r="P9" s="16"/>
      <c r="Q9" s="18" t="s">
        <v>5952</v>
      </c>
      <c r="R9" s="16"/>
      <c r="S9" s="18"/>
      <c r="T9" s="16"/>
    </row>
    <row r="10" spans="1:20" ht="15.95" customHeight="1" x14ac:dyDescent="0.25">
      <c r="A10" s="18" t="s">
        <v>611</v>
      </c>
      <c r="B10" s="16"/>
      <c r="C10" s="18" t="s">
        <v>1585</v>
      </c>
      <c r="D10" s="16"/>
      <c r="E10" s="18" t="s">
        <v>2335</v>
      </c>
      <c r="F10" s="16"/>
      <c r="G10" s="18" t="s">
        <v>860</v>
      </c>
      <c r="H10" s="16"/>
      <c r="I10" s="18" t="s">
        <v>3049</v>
      </c>
      <c r="J10" s="16"/>
      <c r="K10" s="18" t="s">
        <v>3800</v>
      </c>
      <c r="L10" s="16"/>
      <c r="M10" s="18" t="s">
        <v>4528</v>
      </c>
      <c r="N10" s="16"/>
      <c r="O10" s="18" t="s">
        <v>5211</v>
      </c>
      <c r="P10" s="16"/>
      <c r="Q10" s="18" t="s">
        <v>5953</v>
      </c>
      <c r="R10" s="16"/>
      <c r="S10" s="18"/>
      <c r="T10" s="16"/>
    </row>
    <row r="11" spans="1:20" ht="15.95" customHeight="1" x14ac:dyDescent="0.25">
      <c r="A11" s="18" t="s">
        <v>612</v>
      </c>
      <c r="B11" s="16"/>
      <c r="C11" s="18" t="s">
        <v>1586</v>
      </c>
      <c r="D11" s="16"/>
      <c r="E11" s="18" t="s">
        <v>2336</v>
      </c>
      <c r="F11" s="16"/>
      <c r="G11" s="18" t="s">
        <v>861</v>
      </c>
      <c r="H11" s="16"/>
      <c r="I11" s="18" t="s">
        <v>3050</v>
      </c>
      <c r="J11" s="16"/>
      <c r="K11" s="18" t="s">
        <v>3801</v>
      </c>
      <c r="L11" s="16"/>
      <c r="M11" s="18" t="s">
        <v>4529</v>
      </c>
      <c r="N11" s="16"/>
      <c r="O11" s="18" t="s">
        <v>5212</v>
      </c>
      <c r="P11" s="16"/>
      <c r="Q11" s="18" t="s">
        <v>5954</v>
      </c>
      <c r="R11" s="16"/>
      <c r="S11" s="18"/>
      <c r="T11" s="16"/>
    </row>
    <row r="12" spans="1:20" ht="15.95" customHeight="1" x14ac:dyDescent="0.25">
      <c r="A12" s="18" t="s">
        <v>613</v>
      </c>
      <c r="B12" s="16"/>
      <c r="C12" s="18" t="s">
        <v>1587</v>
      </c>
      <c r="D12" s="16"/>
      <c r="E12" s="18" t="s">
        <v>2337</v>
      </c>
      <c r="F12" s="16"/>
      <c r="G12" s="18" t="s">
        <v>862</v>
      </c>
      <c r="H12" s="16"/>
      <c r="I12" s="18" t="s">
        <v>3051</v>
      </c>
      <c r="J12" s="16"/>
      <c r="K12" s="18" t="s">
        <v>3802</v>
      </c>
      <c r="L12" s="16"/>
      <c r="M12" s="18" t="s">
        <v>4530</v>
      </c>
      <c r="N12" s="16"/>
      <c r="O12" s="18" t="s">
        <v>5213</v>
      </c>
      <c r="P12" s="16"/>
      <c r="Q12" s="18" t="s">
        <v>5955</v>
      </c>
      <c r="R12" s="16"/>
      <c r="S12" s="18"/>
      <c r="T12" s="16"/>
    </row>
    <row r="13" spans="1:20" ht="15.95" customHeight="1" x14ac:dyDescent="0.25">
      <c r="A13" s="18" t="s">
        <v>602</v>
      </c>
      <c r="B13" s="16"/>
      <c r="C13" s="18" t="s">
        <v>1588</v>
      </c>
      <c r="D13" s="16"/>
      <c r="E13" s="18" t="s">
        <v>2307</v>
      </c>
      <c r="F13" s="16"/>
      <c r="G13" s="18" t="s">
        <v>863</v>
      </c>
      <c r="H13" s="16"/>
      <c r="I13" s="18" t="s">
        <v>3017</v>
      </c>
      <c r="J13" s="16"/>
      <c r="K13" s="18" t="s">
        <v>3771</v>
      </c>
      <c r="L13" s="16"/>
      <c r="M13" s="18" t="s">
        <v>4503</v>
      </c>
      <c r="N13" s="16"/>
      <c r="O13" s="18" t="s">
        <v>5182</v>
      </c>
      <c r="P13" s="16"/>
      <c r="Q13" s="18" t="s">
        <v>5927</v>
      </c>
      <c r="R13" s="16"/>
      <c r="S13" s="18"/>
      <c r="T13" s="16"/>
    </row>
    <row r="14" spans="1:20" ht="15.95" customHeight="1" x14ac:dyDescent="0.25">
      <c r="A14" s="18" t="s">
        <v>573</v>
      </c>
      <c r="B14" s="16"/>
      <c r="C14" s="18" t="s">
        <v>1589</v>
      </c>
      <c r="D14" s="16"/>
      <c r="E14" s="18" t="s">
        <v>2308</v>
      </c>
      <c r="F14" s="16"/>
      <c r="G14" s="18" t="s">
        <v>864</v>
      </c>
      <c r="H14" s="16"/>
      <c r="I14" s="18" t="s">
        <v>3018</v>
      </c>
      <c r="J14" s="16"/>
      <c r="K14" s="18" t="s">
        <v>3772</v>
      </c>
      <c r="L14" s="16"/>
      <c r="M14" s="18" t="s">
        <v>4504</v>
      </c>
      <c r="N14" s="16"/>
      <c r="O14" s="18" t="s">
        <v>5183</v>
      </c>
      <c r="P14" s="16"/>
      <c r="Q14" s="18" t="s">
        <v>5928</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82</v>
      </c>
      <c r="B16" s="16"/>
      <c r="C16" s="18" t="s">
        <v>1590</v>
      </c>
      <c r="D16" s="16"/>
      <c r="E16" s="18" t="s">
        <v>2309</v>
      </c>
      <c r="F16" s="16"/>
      <c r="G16" s="18" t="s">
        <v>5</v>
      </c>
      <c r="H16" s="16"/>
      <c r="I16" s="18" t="s">
        <v>3019</v>
      </c>
      <c r="J16" s="16"/>
      <c r="K16" s="18" t="s">
        <v>3773</v>
      </c>
      <c r="L16" s="16"/>
      <c r="M16" s="18" t="s">
        <v>2309</v>
      </c>
      <c r="N16" s="16"/>
      <c r="O16" s="18" t="s">
        <v>5184</v>
      </c>
      <c r="P16" s="16"/>
      <c r="Q16" s="18" t="s">
        <v>5929</v>
      </c>
      <c r="R16" s="16"/>
      <c r="S16" s="18"/>
      <c r="T16" s="16"/>
    </row>
    <row r="17" spans="1:20" ht="15.95" customHeight="1" x14ac:dyDescent="0.25">
      <c r="A17" s="18" t="s">
        <v>108</v>
      </c>
      <c r="B17" s="16"/>
      <c r="C17" s="18" t="s">
        <v>1591</v>
      </c>
      <c r="D17" s="16"/>
      <c r="E17" s="18" t="s">
        <v>2338</v>
      </c>
      <c r="F17" s="16"/>
      <c r="G17" s="18" t="s">
        <v>865</v>
      </c>
      <c r="H17" s="16"/>
      <c r="I17" s="18" t="s">
        <v>3052</v>
      </c>
      <c r="J17" s="16"/>
      <c r="K17" s="18" t="s">
        <v>3803</v>
      </c>
      <c r="L17" s="16"/>
      <c r="M17" s="18" t="s">
        <v>4531</v>
      </c>
      <c r="N17" s="16"/>
      <c r="O17" s="18" t="s">
        <v>5214</v>
      </c>
      <c r="P17" s="16"/>
      <c r="Q17" s="18" t="s">
        <v>5956</v>
      </c>
      <c r="R17" s="16"/>
      <c r="S17" s="18"/>
      <c r="T17" s="16"/>
    </row>
    <row r="18" spans="1:20" ht="15.95" customHeight="1" x14ac:dyDescent="0.25">
      <c r="A18" s="18" t="s">
        <v>448</v>
      </c>
      <c r="B18" s="16"/>
      <c r="C18" s="18" t="s">
        <v>448</v>
      </c>
      <c r="D18" s="16"/>
      <c r="E18" s="18" t="s">
        <v>2339</v>
      </c>
      <c r="F18" s="16"/>
      <c r="G18" s="18" t="s">
        <v>866</v>
      </c>
      <c r="H18" s="16"/>
      <c r="I18" s="18" t="s">
        <v>3053</v>
      </c>
      <c r="J18" s="16"/>
      <c r="K18" s="18" t="s">
        <v>3804</v>
      </c>
      <c r="L18" s="16"/>
      <c r="M18" s="18" t="s">
        <v>866</v>
      </c>
      <c r="N18" s="16"/>
      <c r="O18" s="18" t="s">
        <v>5215</v>
      </c>
      <c r="P18" s="16"/>
      <c r="Q18" s="18" t="s">
        <v>448</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614</v>
      </c>
      <c r="B20" s="16"/>
      <c r="C20" s="18" t="s">
        <v>1592</v>
      </c>
      <c r="D20" s="16"/>
      <c r="E20" s="18" t="s">
        <v>2340</v>
      </c>
      <c r="F20" s="16"/>
      <c r="G20" s="18" t="s">
        <v>867</v>
      </c>
      <c r="H20" s="16"/>
      <c r="I20" s="18" t="s">
        <v>3054</v>
      </c>
      <c r="J20" s="16"/>
      <c r="K20" s="18" t="s">
        <v>3805</v>
      </c>
      <c r="L20" s="16"/>
      <c r="M20" s="18" t="s">
        <v>4532</v>
      </c>
      <c r="N20" s="16"/>
      <c r="O20" s="18" t="s">
        <v>5216</v>
      </c>
      <c r="P20" s="16"/>
      <c r="Q20" s="18" t="s">
        <v>5957</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615</v>
      </c>
      <c r="B22" s="16"/>
      <c r="C22" s="18" t="s">
        <v>1593</v>
      </c>
      <c r="D22" s="16"/>
      <c r="E22" s="18" t="s">
        <v>2341</v>
      </c>
      <c r="F22" s="16"/>
      <c r="G22" s="18" t="s">
        <v>868</v>
      </c>
      <c r="H22" s="16"/>
      <c r="I22" s="18" t="s">
        <v>3055</v>
      </c>
      <c r="J22" s="16"/>
      <c r="K22" s="18" t="s">
        <v>3806</v>
      </c>
      <c r="L22" s="16"/>
      <c r="M22" s="18" t="s">
        <v>4533</v>
      </c>
      <c r="N22" s="16"/>
      <c r="O22" s="18" t="s">
        <v>5217</v>
      </c>
      <c r="P22" s="16"/>
      <c r="Q22" s="18" t="s">
        <v>5958</v>
      </c>
      <c r="R22" s="16"/>
      <c r="S22" s="18"/>
      <c r="T22" s="16"/>
    </row>
    <row r="23" spans="1:20" ht="15.95" customHeight="1" x14ac:dyDescent="0.25">
      <c r="A23" s="18" t="s">
        <v>616</v>
      </c>
      <c r="B23" s="16"/>
      <c r="C23" s="18" t="s">
        <v>1594</v>
      </c>
      <c r="D23" s="16"/>
      <c r="E23" s="18" t="s">
        <v>2342</v>
      </c>
      <c r="F23" s="16"/>
      <c r="G23" s="18" t="s">
        <v>869</v>
      </c>
      <c r="H23" s="16"/>
      <c r="I23" s="18" t="s">
        <v>3056</v>
      </c>
      <c r="J23" s="16"/>
      <c r="K23" s="18" t="s">
        <v>3807</v>
      </c>
      <c r="L23" s="16"/>
      <c r="M23" s="18" t="s">
        <v>4534</v>
      </c>
      <c r="N23" s="16"/>
      <c r="O23" s="18" t="s">
        <v>5218</v>
      </c>
      <c r="P23" s="16"/>
      <c r="Q23" s="18" t="s">
        <v>5959</v>
      </c>
      <c r="R23" s="16"/>
      <c r="S23" s="18"/>
      <c r="T23" s="16"/>
    </row>
    <row r="24" spans="1:20" ht="15.95" customHeight="1" x14ac:dyDescent="0.25">
      <c r="A24" s="18" t="s">
        <v>617</v>
      </c>
      <c r="B24" s="16"/>
      <c r="C24" s="18" t="s">
        <v>1595</v>
      </c>
      <c r="D24" s="16"/>
      <c r="E24" s="18" t="s">
        <v>2343</v>
      </c>
      <c r="F24" s="16"/>
      <c r="G24" s="18" t="s">
        <v>870</v>
      </c>
      <c r="H24" s="16"/>
      <c r="I24" s="18" t="s">
        <v>3057</v>
      </c>
      <c r="J24" s="16"/>
      <c r="K24" s="18" t="s">
        <v>3808</v>
      </c>
      <c r="L24" s="16"/>
      <c r="M24" s="18" t="s">
        <v>4535</v>
      </c>
      <c r="N24" s="16"/>
      <c r="O24" s="18" t="s">
        <v>5219</v>
      </c>
      <c r="P24" s="16"/>
      <c r="Q24" s="18" t="s">
        <v>5960</v>
      </c>
      <c r="R24" s="16"/>
      <c r="S24" s="18"/>
      <c r="T24" s="16"/>
    </row>
    <row r="25" spans="1:20" ht="15.95" customHeight="1" x14ac:dyDescent="0.25">
      <c r="A25" s="18" t="s">
        <v>618</v>
      </c>
      <c r="B25" s="16"/>
      <c r="C25" s="18" t="s">
        <v>1596</v>
      </c>
      <c r="D25" s="16"/>
      <c r="E25" s="18" t="s">
        <v>2344</v>
      </c>
      <c r="F25" s="16"/>
      <c r="G25" s="18" t="s">
        <v>871</v>
      </c>
      <c r="H25" s="16"/>
      <c r="I25" s="18" t="s">
        <v>3058</v>
      </c>
      <c r="J25" s="16"/>
      <c r="K25" s="18" t="s">
        <v>3809</v>
      </c>
      <c r="L25" s="16"/>
      <c r="M25" s="18" t="s">
        <v>4536</v>
      </c>
      <c r="N25" s="16"/>
      <c r="O25" s="18" t="s">
        <v>5220</v>
      </c>
      <c r="P25" s="16"/>
      <c r="Q25" s="18" t="s">
        <v>5961</v>
      </c>
      <c r="R25" s="16"/>
      <c r="S25" s="18"/>
      <c r="T25" s="16"/>
    </row>
    <row r="26" spans="1:20" ht="15.95" customHeight="1" x14ac:dyDescent="0.25">
      <c r="A26" s="18" t="s">
        <v>619</v>
      </c>
      <c r="B26" s="16"/>
      <c r="C26" s="18" t="s">
        <v>1597</v>
      </c>
      <c r="D26" s="16"/>
      <c r="E26" s="18" t="s">
        <v>2345</v>
      </c>
      <c r="F26" s="16"/>
      <c r="G26" s="18" t="s">
        <v>872</v>
      </c>
      <c r="H26" s="16"/>
      <c r="I26" s="18" t="s">
        <v>3059</v>
      </c>
      <c r="J26" s="16"/>
      <c r="K26" s="18" t="s">
        <v>3810</v>
      </c>
      <c r="L26" s="16"/>
      <c r="M26" s="18" t="s">
        <v>4537</v>
      </c>
      <c r="N26" s="16"/>
      <c r="O26" s="18" t="s">
        <v>5221</v>
      </c>
      <c r="P26" s="16"/>
      <c r="Q26" s="18" t="s">
        <v>5962</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620</v>
      </c>
      <c r="B28" s="16" t="str">
        <f>TRIM(_xlfn.TEXTBEFORE(A28,":"))</f>
        <v>Experience</v>
      </c>
      <c r="C28" s="18" t="s">
        <v>1598</v>
      </c>
      <c r="D28" s="16" t="str">
        <f>TRIM(_xlfn.TEXTBEFORE(C28,":"))</f>
        <v>Erfahrung</v>
      </c>
      <c r="E28" s="18" t="s">
        <v>2346</v>
      </c>
      <c r="F28" s="16" t="str">
        <f>TRIM(_xlfn.TEXTBEFORE(E28,":"))</f>
        <v>Experiencia</v>
      </c>
      <c r="G28" s="18" t="s">
        <v>873</v>
      </c>
      <c r="H28" s="16" t="str">
        <f>TRIM(_xlfn.TEXTBEFORE(G28,":"))</f>
        <v>Expérience</v>
      </c>
      <c r="I28" s="18" t="s">
        <v>3060</v>
      </c>
      <c r="J28" s="16" t="str">
        <f>TRIM(_xlfn.TEXTBEFORE(I28,":"))</f>
        <v>経験値</v>
      </c>
      <c r="K28" s="18" t="s">
        <v>3811</v>
      </c>
      <c r="L28" s="16" t="str">
        <f>TRIM(_xlfn.TEXTBEFORE(K28,":"))</f>
        <v>경험치</v>
      </c>
      <c r="M28" s="18" t="s">
        <v>4538</v>
      </c>
      <c r="N28" s="16" t="str">
        <f>TRIM(_xlfn.TEXTBEFORE(M28,":"))</f>
        <v>Experiência</v>
      </c>
      <c r="O28" s="18" t="s">
        <v>5222</v>
      </c>
      <c r="P28" s="16" t="str">
        <f>TRIM(_xlfn.TEXTBEFORE(O28,":"))</f>
        <v>Опыт</v>
      </c>
      <c r="Q28" s="18" t="s">
        <v>5963</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505</v>
      </c>
      <c r="B30" s="16"/>
      <c r="C30" s="18" t="s">
        <v>1599</v>
      </c>
      <c r="D30" s="16"/>
      <c r="E30" s="18" t="s">
        <v>2316</v>
      </c>
      <c r="F30" s="16"/>
      <c r="G30" s="18" t="s">
        <v>874</v>
      </c>
      <c r="H30" s="16"/>
      <c r="I30" s="18" t="s">
        <v>3026</v>
      </c>
      <c r="J30" s="16"/>
      <c r="K30" s="18" t="s">
        <v>3780</v>
      </c>
      <c r="L30" s="16"/>
      <c r="M30" s="18" t="s">
        <v>4510</v>
      </c>
      <c r="N30" s="16"/>
      <c r="O30" s="18" t="s">
        <v>5191</v>
      </c>
      <c r="P30" s="16"/>
      <c r="Q30" s="18" t="s">
        <v>5935</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6" priority="84" stopIfTrue="1">
      <formula>NOT(ISERROR(A3))</formula>
    </cfRule>
  </conditionalFormatting>
  <conditionalFormatting sqref="A3:T6 A7:A8 C7:C8 E7:E29 G7:G29 I7:I29 K7:K29 M7:M29 O7:O29 Q7:Q29 S7:S29 A9:D27 A28:A29 C28:C29 A30:T51">
    <cfRule type="notContainsBlanks" dxfId="465" priority="85">
      <formula>LEN(TRIM(A3))&gt;0</formula>
    </cfRule>
  </conditionalFormatting>
  <conditionalFormatting sqref="A3:T51">
    <cfRule type="containsErrors" dxfId="464" priority="1" stopIfTrue="1">
      <formula>ISERROR(A3)</formula>
    </cfRule>
  </conditionalFormatting>
  <conditionalFormatting sqref="B7:B8">
    <cfRule type="notContainsBlanks" dxfId="463" priority="24">
      <formula>LEN(TRIM(B7))&gt;0</formula>
    </cfRule>
  </conditionalFormatting>
  <conditionalFormatting sqref="B28:B29">
    <cfRule type="notContainsBlanks" dxfId="462" priority="82">
      <formula>LEN(TRIM(B28))&gt;0</formula>
    </cfRule>
  </conditionalFormatting>
  <conditionalFormatting sqref="D7:D8">
    <cfRule type="notContainsBlanks" dxfId="461" priority="22">
      <formula>LEN(TRIM(D7))&gt;0</formula>
    </cfRule>
  </conditionalFormatting>
  <conditionalFormatting sqref="D28:D29">
    <cfRule type="notContainsBlanks" dxfId="460" priority="42">
      <formula>LEN(TRIM(D28))&gt;0</formula>
    </cfRule>
  </conditionalFormatting>
  <conditionalFormatting sqref="F7:F29">
    <cfRule type="notContainsBlanks" dxfId="459" priority="20">
      <formula>LEN(TRIM(F7))&gt;0</formula>
    </cfRule>
  </conditionalFormatting>
  <conditionalFormatting sqref="H7:H29">
    <cfRule type="notContainsBlanks" dxfId="458" priority="4">
      <formula>LEN(TRIM(H7))&gt;0</formula>
    </cfRule>
  </conditionalFormatting>
  <conditionalFormatting sqref="J7:J29">
    <cfRule type="notContainsBlanks" dxfId="457" priority="2">
      <formula>LEN(TRIM(J7))&gt;0</formula>
    </cfRule>
  </conditionalFormatting>
  <conditionalFormatting sqref="L7:L29">
    <cfRule type="notContainsBlanks" dxfId="456" priority="14">
      <formula>LEN(TRIM(L7))&gt;0</formula>
    </cfRule>
  </conditionalFormatting>
  <conditionalFormatting sqref="N7:N29">
    <cfRule type="notContainsBlanks" dxfId="455" priority="12">
      <formula>LEN(TRIM(N7))&gt;0</formula>
    </cfRule>
  </conditionalFormatting>
  <conditionalFormatting sqref="P7:P29">
    <cfRule type="notContainsBlanks" dxfId="454" priority="10">
      <formula>LEN(TRIM(P7))&gt;0</formula>
    </cfRule>
  </conditionalFormatting>
  <conditionalFormatting sqref="R7:R29">
    <cfRule type="notContainsBlanks" dxfId="453" priority="8">
      <formula>LEN(TRIM(R7))&gt;0</formula>
    </cfRule>
  </conditionalFormatting>
  <conditionalFormatting sqref="T7:T29">
    <cfRule type="notContainsBlanks" dxfId="452"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553</v>
      </c>
      <c r="B3" s="16" t="str">
        <f>TRIM(_xlfn.TEXTBEFORE(A3, ":"))</f>
        <v>Item Class</v>
      </c>
      <c r="C3" s="17" t="s">
        <v>1625</v>
      </c>
      <c r="D3" s="16" t="str">
        <f>TRIM(_xlfn.TEXTBEFORE(C3, ":"))</f>
        <v>Gegenstandsklasse</v>
      </c>
      <c r="E3" s="17" t="s">
        <v>2347</v>
      </c>
      <c r="F3" s="16" t="str">
        <f>TRIM(_xlfn.TEXTBEFORE(E3, ":"))</f>
        <v>Clase de objeto</v>
      </c>
      <c r="G3" s="17" t="s">
        <v>848</v>
      </c>
      <c r="H3" s="16" t="str">
        <f>TRIM(_xlfn.TEXTBEFORE(G3, ":"))</f>
        <v>Classe d'objet</v>
      </c>
      <c r="I3" s="17" t="s">
        <v>3061</v>
      </c>
      <c r="J3" s="16" t="str">
        <f>TRIM(_xlfn.TEXTBEFORE(I3, ":"))</f>
        <v>アイテムクラス</v>
      </c>
      <c r="K3" s="17" t="s">
        <v>3812</v>
      </c>
      <c r="L3" s="16" t="str">
        <f>TRIM(_xlfn.TEXTBEFORE(K3, ":"))</f>
        <v>아이템 종류</v>
      </c>
      <c r="M3" s="17" t="s">
        <v>4539</v>
      </c>
      <c r="N3" s="16" t="str">
        <f>TRIM(_xlfn.TEXTBEFORE(M3, ":"))</f>
        <v>Classe do Item</v>
      </c>
      <c r="O3" s="17" t="s">
        <v>5223</v>
      </c>
      <c r="P3" s="16" t="str">
        <f>TRIM(_xlfn.TEXTBEFORE(O3, ":"))</f>
        <v>Класс предмета</v>
      </c>
      <c r="Q3" s="17" t="s">
        <v>5964</v>
      </c>
      <c r="R3" s="16" t="str">
        <f>TRIM(_xlfn.TEXTBEFORE(Q3, ":"))</f>
        <v>ชนิดไอเทม</v>
      </c>
      <c r="S3" s="17"/>
      <c r="T3" s="16" t="e">
        <f>TRIM(_xlfn.TEXTBEFORE(S3, ":"))</f>
        <v>#N/A</v>
      </c>
    </row>
    <row r="4" spans="1:20" ht="15.95" customHeight="1" x14ac:dyDescent="0.25">
      <c r="A4" s="18" t="s">
        <v>554</v>
      </c>
      <c r="B4" s="16" t="str">
        <f>TRIM(_xlfn.TEXTAFTER(A3, ":"))</f>
        <v>Stackable Currency</v>
      </c>
      <c r="C4" s="18" t="s">
        <v>1626</v>
      </c>
      <c r="D4" s="16" t="str">
        <f>TRIM(_xlfn.TEXTAFTER(C3, ":"))</f>
        <v>Stapelbare Währung</v>
      </c>
      <c r="E4" s="18" t="s">
        <v>2294</v>
      </c>
      <c r="F4" s="16" t="str">
        <f>TRIM(_xlfn.TEXTAFTER(E3, ":"))</f>
        <v>Objetos monetarios apilables</v>
      </c>
      <c r="G4" s="18" t="s">
        <v>849</v>
      </c>
      <c r="H4" s="16" t="str">
        <f>TRIM(_xlfn.TEXTAFTER(G3, ":"))</f>
        <v>Objets monétaires empilables</v>
      </c>
      <c r="I4" s="18" t="s">
        <v>3062</v>
      </c>
      <c r="J4" s="16" t="str">
        <f>TRIM(_xlfn.TEXTAFTER(I3, ":"))</f>
        <v>スタック可能カレンシー</v>
      </c>
      <c r="K4" s="18" t="s">
        <v>3756</v>
      </c>
      <c r="L4" s="16" t="str">
        <f>TRIM(_xlfn.TEXTAFTER(K3, ":"))</f>
        <v>중첩 가능 화폐</v>
      </c>
      <c r="M4" s="18" t="s">
        <v>4540</v>
      </c>
      <c r="N4" s="16" t="str">
        <f>TRIM(_xlfn.TEXTAFTER(M3, ":"))</f>
        <v>Moedas Empilháveis</v>
      </c>
      <c r="O4" s="18" t="s">
        <v>5224</v>
      </c>
      <c r="P4" s="16" t="str">
        <f>TRIM(_xlfn.TEXTAFTER(O3, ":"))</f>
        <v>Валюта</v>
      </c>
      <c r="Q4" s="18" t="s">
        <v>5912</v>
      </c>
      <c r="R4" s="16" t="str">
        <f>TRIM(_xlfn.TEXTAFTER(Q3, ":"))</f>
        <v>เงินตรารวมกองได้</v>
      </c>
      <c r="S4" s="18"/>
      <c r="T4" s="16" t="e">
        <f>TRIM(_xlfn.TEXTAFTER(S3, ":"))</f>
        <v>#N/A</v>
      </c>
    </row>
    <row r="5" spans="1:20" ht="15.95" customHeight="1" x14ac:dyDescent="0.25">
      <c r="A5" s="18" t="s">
        <v>555</v>
      </c>
      <c r="B5" s="16" t="str">
        <f>TRIM(_xlfn.TEXTBEFORE(A4, ":"))</f>
        <v>Rarity</v>
      </c>
      <c r="C5" s="18" t="s">
        <v>1627</v>
      </c>
      <c r="D5" s="16" t="str">
        <f>TRIM(_xlfn.TEXTBEFORE(C4, ":"))</f>
        <v>Seltenheit</v>
      </c>
      <c r="E5" s="18" t="s">
        <v>2348</v>
      </c>
      <c r="F5" s="16" t="str">
        <f>TRIM(_xlfn.TEXTBEFORE(E4, ":"))</f>
        <v>Rareza</v>
      </c>
      <c r="G5" s="18" t="s">
        <v>850</v>
      </c>
      <c r="H5" s="16" t="str">
        <f>TRIM(_xlfn.TEXTBEFORE(G4, ":"))</f>
        <v>Rareté</v>
      </c>
      <c r="I5" s="18" t="s">
        <v>3063</v>
      </c>
      <c r="J5" s="16" t="str">
        <f>TRIM(_xlfn.TEXTBEFORE(I4, ":"))</f>
        <v>レアリティ</v>
      </c>
      <c r="K5" s="18" t="s">
        <v>3813</v>
      </c>
      <c r="L5" s="16" t="str">
        <f>TRIM(_xlfn.TEXTBEFORE(K4, ":"))</f>
        <v>아이템 희귀도</v>
      </c>
      <c r="M5" s="18" t="s">
        <v>4541</v>
      </c>
      <c r="N5" s="16" t="str">
        <f>TRIM(_xlfn.TEXTBEFORE(M4, ":"))</f>
        <v>Raridade</v>
      </c>
      <c r="O5" s="18" t="s">
        <v>5225</v>
      </c>
      <c r="P5" s="16" t="str">
        <f>TRIM(_xlfn.TEXTBEFORE(O4, ":"))</f>
        <v>Редкость</v>
      </c>
      <c r="Q5" s="18" t="s">
        <v>555</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556</v>
      </c>
      <c r="B7" s="16"/>
      <c r="C7" s="18" t="s">
        <v>1628</v>
      </c>
      <c r="D7" s="16"/>
      <c r="E7" s="18" t="s">
        <v>2349</v>
      </c>
      <c r="F7" s="16"/>
      <c r="G7" s="18" t="s">
        <v>851</v>
      </c>
      <c r="H7" s="16"/>
      <c r="I7" s="18" t="s">
        <v>3064</v>
      </c>
      <c r="J7" s="16"/>
      <c r="K7" s="18" t="s">
        <v>3814</v>
      </c>
      <c r="L7" s="16"/>
      <c r="M7" s="18" t="s">
        <v>4542</v>
      </c>
      <c r="N7" s="16"/>
      <c r="O7" s="18" t="s">
        <v>5226</v>
      </c>
      <c r="P7" s="16"/>
      <c r="Q7" s="18" t="s">
        <v>5965</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557</v>
      </c>
      <c r="B9" s="16"/>
      <c r="C9" s="18" t="s">
        <v>1629</v>
      </c>
      <c r="D9" s="16"/>
      <c r="E9" s="18" t="s">
        <v>2350</v>
      </c>
      <c r="F9" s="16"/>
      <c r="G9" s="18" t="s">
        <v>852</v>
      </c>
      <c r="H9" s="16"/>
      <c r="I9" s="18" t="s">
        <v>3065</v>
      </c>
      <c r="J9" s="16"/>
      <c r="K9" s="18" t="s">
        <v>3815</v>
      </c>
      <c r="L9" s="16"/>
      <c r="M9" s="18" t="s">
        <v>4543</v>
      </c>
      <c r="N9" s="16"/>
      <c r="O9" s="18" t="s">
        <v>5227</v>
      </c>
      <c r="P9" s="16"/>
      <c r="Q9" s="18" t="s">
        <v>5966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558</v>
      </c>
      <c r="B11" s="16"/>
      <c r="C11" s="18" t="s">
        <v>1630</v>
      </c>
      <c r="D11" s="16"/>
      <c r="E11" s="18" t="s">
        <v>2351</v>
      </c>
      <c r="F11" s="16"/>
      <c r="G11" s="18" t="s">
        <v>853</v>
      </c>
      <c r="H11" s="16"/>
      <c r="I11" s="18" t="s">
        <v>3066</v>
      </c>
      <c r="J11" s="16"/>
      <c r="K11" s="18" t="s">
        <v>3816</v>
      </c>
      <c r="L11" s="16"/>
      <c r="M11" s="18" t="s">
        <v>4544</v>
      </c>
      <c r="N11" s="16"/>
      <c r="O11" s="18" t="s">
        <v>5228</v>
      </c>
      <c r="P11" s="16"/>
      <c r="Q11" s="18" t="s">
        <v>5967</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1" priority="2" stopIfTrue="1">
      <formula>NOT(ISERROR(A3))</formula>
    </cfRule>
  </conditionalFormatting>
  <conditionalFormatting sqref="A3:T51">
    <cfRule type="containsErrors" dxfId="450" priority="1" stopIfTrue="1">
      <formula>ISERROR(A3)</formula>
    </cfRule>
    <cfRule type="notContainsBlanks" dxfId="449"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584</v>
      </c>
      <c r="B3" s="16" t="str">
        <f>TRIM(_xlfn.TEXTBEFORE(A3, ":"))</f>
        <v>Item Class</v>
      </c>
      <c r="C3" s="17" t="s">
        <v>1631</v>
      </c>
      <c r="D3" s="16" t="str">
        <f>TRIM(_xlfn.TEXTBEFORE(C3, ":"))</f>
        <v>Gegenstandsklasse</v>
      </c>
      <c r="E3" s="17" t="s">
        <v>2352</v>
      </c>
      <c r="F3" s="16" t="str">
        <f>TRIM(_xlfn.TEXTBEFORE(E3, ":"))</f>
        <v>Clase de objeto</v>
      </c>
      <c r="G3" s="17" t="s">
        <v>900</v>
      </c>
      <c r="H3" s="16" t="str">
        <f>TRIM(_xlfn.TEXTBEFORE(G3, ":"))</f>
        <v>Classe d'objet</v>
      </c>
      <c r="I3" s="17" t="s">
        <v>3067</v>
      </c>
      <c r="J3" s="16" t="str">
        <f>TRIM(_xlfn.TEXTBEFORE(I3, ":"))</f>
        <v>アイテムクラス</v>
      </c>
      <c r="K3" s="17" t="s">
        <v>3817</v>
      </c>
      <c r="L3" s="16" t="str">
        <f>TRIM(_xlfn.TEXTBEFORE(K3, ":"))</f>
        <v>아이템 종류</v>
      </c>
      <c r="M3" s="17" t="s">
        <v>4545</v>
      </c>
      <c r="N3" s="16" t="str">
        <f>TRIM(_xlfn.TEXTBEFORE(M3, ":"))</f>
        <v>Classe do Item</v>
      </c>
      <c r="O3" s="17" t="s">
        <v>5229</v>
      </c>
      <c r="P3" s="16" t="str">
        <f>TRIM(_xlfn.TEXTBEFORE(O3, ":"))</f>
        <v>Класс предмета</v>
      </c>
      <c r="Q3" s="17" t="s">
        <v>5968</v>
      </c>
      <c r="R3" s="16" t="str">
        <f>TRIM(_xlfn.TEXTBEFORE(Q3, ":"))</f>
        <v>ชนิดไอเทม</v>
      </c>
      <c r="S3" s="17"/>
      <c r="T3" s="16" t="e">
        <f>TRIM(_xlfn.TEXTBEFORE(S3, ":"))</f>
        <v>#N/A</v>
      </c>
    </row>
    <row r="4" spans="1:20" ht="15.95" customHeight="1" x14ac:dyDescent="0.25">
      <c r="A4" s="18" t="s">
        <v>554</v>
      </c>
      <c r="B4" s="16" t="str">
        <f>TRIM(_xlfn.TEXTAFTER(A3, ":"))</f>
        <v>Delve Stackable Socketable Currency</v>
      </c>
      <c r="C4" s="18" t="s">
        <v>1626</v>
      </c>
      <c r="D4" s="16" t="str">
        <f>TRIM(_xlfn.TEXTAFTER(C3, ":"))</f>
        <v>Delve: Stapelbare, einfassbare Währung</v>
      </c>
      <c r="E4" s="18" t="s">
        <v>2294</v>
      </c>
      <c r="F4" s="16" t="str">
        <f>TRIM(_xlfn.TEXTAFTER(E3, ":"))</f>
        <v>Objetos monetarios apilables y engarzables de Delve</v>
      </c>
      <c r="G4" s="18" t="s">
        <v>849</v>
      </c>
      <c r="H4" s="16" t="str">
        <f>TRIM(_xlfn.TEXTAFTER(G3, ":"))</f>
        <v>Objets enchâssables et empilables Delve</v>
      </c>
      <c r="I4" s="18" t="s">
        <v>3062</v>
      </c>
      <c r="J4" s="16" t="str">
        <f>TRIM(_xlfn.TEXTAFTER(I3, ":"))</f>
        <v>デルヴスタック可能ソケット可能カレンシー</v>
      </c>
      <c r="K4" s="18" t="s">
        <v>3756</v>
      </c>
      <c r="L4" s="16" t="str">
        <f>TRIM(_xlfn.TEXTAFTER(K3, ":"))</f>
        <v>탐광 중첩 및 결합형 화폐</v>
      </c>
      <c r="M4" s="18" t="s">
        <v>4540</v>
      </c>
      <c r="N4" s="16" t="str">
        <f>TRIM(_xlfn.TEXTAFTER(M3, ":"))</f>
        <v>Item Monetário Aglomerável e Encaixável Delve</v>
      </c>
      <c r="O4" s="18" t="s">
        <v>5224</v>
      </c>
      <c r="P4" s="16" t="str">
        <f>TRIM(_xlfn.TEXTAFTER(O3, ":"))</f>
        <v>Валюта Спуска</v>
      </c>
      <c r="Q4" s="18" t="s">
        <v>5912</v>
      </c>
      <c r="R4" s="16" t="str">
        <f>TRIM(_xlfn.TEXTAFTER(Q3, ":"))</f>
        <v>เงินตรามีรูของเหมืองแบบรวมกองได้</v>
      </c>
      <c r="S4" s="18"/>
      <c r="T4" s="16" t="e">
        <f>TRIM(_xlfn.TEXTAFTER(S3, ":"))</f>
        <v>#N/A</v>
      </c>
    </row>
    <row r="5" spans="1:20" ht="15.95" customHeight="1" x14ac:dyDescent="0.25">
      <c r="A5" s="18" t="s">
        <v>585</v>
      </c>
      <c r="B5" s="16" t="str">
        <f>TRIM(_xlfn.TEXTBEFORE(A4, ":"))</f>
        <v>Rarity</v>
      </c>
      <c r="C5" s="18" t="s">
        <v>1632</v>
      </c>
      <c r="D5" s="16" t="str">
        <f>TRIM(_xlfn.TEXTBEFORE(C4, ":"))</f>
        <v>Seltenheit</v>
      </c>
      <c r="E5" s="18" t="s">
        <v>2353</v>
      </c>
      <c r="F5" s="16" t="str">
        <f>TRIM(_xlfn.TEXTBEFORE(E4, ":"))</f>
        <v>Rareza</v>
      </c>
      <c r="G5" s="18" t="s">
        <v>901</v>
      </c>
      <c r="H5" s="16" t="str">
        <f>TRIM(_xlfn.TEXTBEFORE(G4, ":"))</f>
        <v>Rareté</v>
      </c>
      <c r="I5" s="18" t="s">
        <v>3068</v>
      </c>
      <c r="J5" s="16" t="str">
        <f>TRIM(_xlfn.TEXTBEFORE(I4, ":"))</f>
        <v>レアリティ</v>
      </c>
      <c r="K5" s="18" t="s">
        <v>3818</v>
      </c>
      <c r="L5" s="16" t="str">
        <f>TRIM(_xlfn.TEXTBEFORE(K4, ":"))</f>
        <v>아이템 희귀도</v>
      </c>
      <c r="M5" s="18" t="s">
        <v>4546</v>
      </c>
      <c r="N5" s="16" t="str">
        <f>TRIM(_xlfn.TEXTBEFORE(M4, ":"))</f>
        <v>Raridade</v>
      </c>
      <c r="O5" s="18" t="s">
        <v>5230</v>
      </c>
      <c r="P5" s="16" t="str">
        <f>TRIM(_xlfn.TEXTBEFORE(O4, ":"))</f>
        <v>Редкость</v>
      </c>
      <c r="Q5" s="18" t="s">
        <v>5969</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c r="T7" s="16"/>
    </row>
    <row r="8" spans="1:20" ht="15.95" customHeight="1" x14ac:dyDescent="0.25">
      <c r="A8" s="18" t="s">
        <v>587</v>
      </c>
      <c r="B8" s="16"/>
      <c r="C8" s="18" t="s">
        <v>1634</v>
      </c>
      <c r="D8" s="16"/>
      <c r="E8" s="18" t="s">
        <v>2355</v>
      </c>
      <c r="F8" s="16"/>
      <c r="G8" s="18" t="s">
        <v>903</v>
      </c>
      <c r="H8" s="16"/>
      <c r="I8" s="18" t="s">
        <v>3070</v>
      </c>
      <c r="J8" s="16"/>
      <c r="K8" s="18" t="s">
        <v>3820</v>
      </c>
      <c r="L8" s="16"/>
      <c r="M8" s="18" t="s">
        <v>4548</v>
      </c>
      <c r="N8" s="16"/>
      <c r="O8" s="18" t="s">
        <v>5232</v>
      </c>
      <c r="P8" s="16"/>
      <c r="Q8" s="18" t="s">
        <v>5971</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588</v>
      </c>
      <c r="B10" s="16"/>
      <c r="C10" s="18" t="s">
        <v>1635</v>
      </c>
      <c r="D10" s="16"/>
      <c r="E10" s="18" t="s">
        <v>2356</v>
      </c>
      <c r="F10" s="16"/>
      <c r="G10" s="18" t="s">
        <v>904</v>
      </c>
      <c r="H10" s="16"/>
      <c r="I10" s="18" t="s">
        <v>3071</v>
      </c>
      <c r="J10" s="16"/>
      <c r="K10" s="18" t="s">
        <v>3821</v>
      </c>
      <c r="L10" s="16"/>
      <c r="M10" s="18" t="s">
        <v>4549</v>
      </c>
      <c r="N10" s="16"/>
      <c r="O10" s="18" t="s">
        <v>5233</v>
      </c>
      <c r="P10" s="16"/>
      <c r="Q10" s="18" t="s">
        <v>5972</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557</v>
      </c>
      <c r="B12" s="16"/>
      <c r="C12" s="18" t="s">
        <v>1629</v>
      </c>
      <c r="D12" s="16"/>
      <c r="E12" s="18" t="s">
        <v>2350</v>
      </c>
      <c r="F12" s="16"/>
      <c r="G12" s="18" t="s">
        <v>852</v>
      </c>
      <c r="H12" s="16"/>
      <c r="I12" s="18" t="s">
        <v>3065</v>
      </c>
      <c r="J12" s="16"/>
      <c r="K12" s="18" t="s">
        <v>3815</v>
      </c>
      <c r="L12" s="16"/>
      <c r="M12" s="18" t="s">
        <v>4550</v>
      </c>
      <c r="N12" s="16"/>
      <c r="O12" s="18" t="s">
        <v>5227</v>
      </c>
      <c r="P12" s="16"/>
      <c r="Q12" s="18" t="s">
        <v>5966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589</v>
      </c>
      <c r="B14" s="16"/>
      <c r="C14" s="18" t="s">
        <v>1636</v>
      </c>
      <c r="D14" s="16"/>
      <c r="E14" s="18" t="s">
        <v>2357</v>
      </c>
      <c r="F14" s="16"/>
      <c r="G14" s="18" t="s">
        <v>905</v>
      </c>
      <c r="H14" s="16"/>
      <c r="I14" s="18" t="s">
        <v>3072</v>
      </c>
      <c r="J14" s="16"/>
      <c r="K14" s="18" t="s">
        <v>3822</v>
      </c>
      <c r="L14" s="16"/>
      <c r="M14" s="18" t="s">
        <v>4551</v>
      </c>
      <c r="N14" s="16"/>
      <c r="O14" s="18" t="s">
        <v>5234</v>
      </c>
      <c r="P14" s="16"/>
      <c r="Q14" s="18" t="s">
        <v>5973</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8" priority="2" stopIfTrue="1">
      <formula>NOT(ISERROR(A3))</formula>
    </cfRule>
  </conditionalFormatting>
  <conditionalFormatting sqref="A3:T51">
    <cfRule type="containsErrors" dxfId="447" priority="1" stopIfTrue="1">
      <formula>ISERROR(A3)</formula>
    </cfRule>
    <cfRule type="notContainsBlanks" dxfId="446"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509</v>
      </c>
      <c r="B3" s="16" t="str">
        <f>TRIM(_xlfn.TEXTBEFORE(A3, ":"))</f>
        <v>Item Class</v>
      </c>
      <c r="C3" s="17" t="s">
        <v>1637</v>
      </c>
      <c r="D3" s="16" t="str">
        <f>TRIM(_xlfn.TEXTBEFORE(C3, ":"))</f>
        <v>Gegenstandsklasse</v>
      </c>
      <c r="E3" s="17" t="s">
        <v>2358</v>
      </c>
      <c r="F3" s="16" t="str">
        <f>TRIM(_xlfn.TEXTBEFORE(E3, ":"))</f>
        <v>Clase de objeto</v>
      </c>
      <c r="G3" s="17" t="s">
        <v>906</v>
      </c>
      <c r="H3" s="16" t="str">
        <f>TRIM(_xlfn.TEXTBEFORE(G3, ":"))</f>
        <v>Classe d'objet</v>
      </c>
      <c r="I3" s="17" t="s">
        <v>3073</v>
      </c>
      <c r="J3" s="16" t="str">
        <f>TRIM(_xlfn.TEXTBEFORE(I3, ":"))</f>
        <v>アイテムクラス</v>
      </c>
      <c r="K3" s="17" t="s">
        <v>3823</v>
      </c>
      <c r="L3" s="16" t="str">
        <f>TRIM(_xlfn.TEXTBEFORE(K3, ":"))</f>
        <v>아이템 종류</v>
      </c>
      <c r="M3" s="17" t="s">
        <v>4552</v>
      </c>
      <c r="N3" s="16" t="str">
        <f>TRIM(_xlfn.TEXTBEFORE(M3, ":"))</f>
        <v>Classe do Item</v>
      </c>
      <c r="O3" s="17" t="s">
        <v>5235</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510</v>
      </c>
      <c r="B4" s="16" t="str">
        <f>TRIM(_xlfn.TEXTAFTER(A3, ":"))</f>
        <v>Divination Cards</v>
      </c>
      <c r="C4" s="18" t="s">
        <v>1638</v>
      </c>
      <c r="D4" s="16" t="str">
        <f>TRIM(_xlfn.TEXTAFTER(C3, ":"))</f>
        <v>Weissagungskarten</v>
      </c>
      <c r="E4" s="18" t="s">
        <v>2359</v>
      </c>
      <c r="F4" s="16" t="str">
        <f>TRIM(_xlfn.TEXTAFTER(E3, ":"))</f>
        <v>Cartas de adivinación</v>
      </c>
      <c r="G4" s="18" t="s">
        <v>907</v>
      </c>
      <c r="H4" s="16" t="str">
        <f>TRIM(_xlfn.TEXTAFTER(G3, ":"))</f>
        <v>Cartes divinatoires</v>
      </c>
      <c r="I4" s="18" t="s">
        <v>3074</v>
      </c>
      <c r="J4" s="16" t="str">
        <f>TRIM(_xlfn.TEXTAFTER(I3, ":"))</f>
        <v>占いカード</v>
      </c>
      <c r="K4" s="18" t="s">
        <v>3824</v>
      </c>
      <c r="L4" s="16" t="str">
        <f>TRIM(_xlfn.TEXTAFTER(K3, ":"))</f>
        <v>점술 카드</v>
      </c>
      <c r="M4" s="18" t="s">
        <v>4553</v>
      </c>
      <c r="N4" s="16" t="str">
        <f>TRIM(_xlfn.TEXTAFTER(M3, ":"))</f>
        <v>Cartas de Adivinhação</v>
      </c>
      <c r="O4" s="18" t="s">
        <v>5236</v>
      </c>
      <c r="P4" s="16" t="str">
        <f>TRIM(_xlfn.TEXTAFTER(O3, ":"))</f>
        <v>Гадальные карты</v>
      </c>
      <c r="Q4" s="18" t="s">
        <v>5975</v>
      </c>
      <c r="R4" s="16" t="str">
        <f>TRIM(_xlfn.TEXTAFTER(Q3, ":"))</f>
        <v>ไพ่พยากรณ์</v>
      </c>
      <c r="S4" s="18"/>
      <c r="T4" s="16" t="e">
        <f>TRIM(_xlfn.TEXTAFTER(S3, ":"))</f>
        <v>#N/A</v>
      </c>
    </row>
    <row r="5" spans="1:20" ht="15.95" customHeight="1" x14ac:dyDescent="0.25">
      <c r="A5" s="18" t="s">
        <v>511</v>
      </c>
      <c r="B5" s="16" t="str">
        <f>TRIM(_xlfn.TEXTBEFORE(A4, ":"))</f>
        <v>Rarity</v>
      </c>
      <c r="C5" s="18" t="s">
        <v>1639</v>
      </c>
      <c r="D5" s="16" t="str">
        <f>TRIM(_xlfn.TEXTBEFORE(C4, ":"))</f>
        <v>Seltenheit</v>
      </c>
      <c r="E5" s="18" t="s">
        <v>2360</v>
      </c>
      <c r="F5" s="16" t="str">
        <f>TRIM(_xlfn.TEXTBEFORE(E4, ":"))</f>
        <v>Rareza</v>
      </c>
      <c r="G5" s="18" t="s">
        <v>908</v>
      </c>
      <c r="H5" s="16" t="str">
        <f>TRIM(_xlfn.TEXTBEFORE(G4, ":"))</f>
        <v>Rareté</v>
      </c>
      <c r="I5" s="18" t="s">
        <v>3075</v>
      </c>
      <c r="J5" s="16" t="str">
        <f>TRIM(_xlfn.TEXTBEFORE(I4, ":"))</f>
        <v>レアリティ</v>
      </c>
      <c r="K5" s="18" t="s">
        <v>3825</v>
      </c>
      <c r="L5" s="16" t="str">
        <f>TRIM(_xlfn.TEXTBEFORE(K4, ":"))</f>
        <v>아이템 희귀도</v>
      </c>
      <c r="M5" s="18" t="s">
        <v>4554</v>
      </c>
      <c r="N5" s="16" t="str">
        <f>TRIM(_xlfn.TEXTBEFORE(M4, ":"))</f>
        <v>Raridade</v>
      </c>
      <c r="O5" s="18" t="s">
        <v>5237</v>
      </c>
      <c r="P5" s="16" t="str">
        <f>TRIM(_xlfn.TEXTBEFORE(O4, ":"))</f>
        <v>Редкость</v>
      </c>
      <c r="Q5" s="18" t="s">
        <v>511</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512</v>
      </c>
      <c r="B7" s="16"/>
      <c r="C7" s="18" t="s">
        <v>1640</v>
      </c>
      <c r="D7" s="16"/>
      <c r="E7" s="18" t="s">
        <v>2361</v>
      </c>
      <c r="F7" s="16"/>
      <c r="G7" s="18" t="s">
        <v>909</v>
      </c>
      <c r="H7" s="16"/>
      <c r="I7" s="18" t="s">
        <v>3076</v>
      </c>
      <c r="J7" s="16"/>
      <c r="K7" s="18" t="s">
        <v>3826</v>
      </c>
      <c r="L7" s="16"/>
      <c r="M7" s="18" t="s">
        <v>4555</v>
      </c>
      <c r="N7" s="16"/>
      <c r="O7" s="18" t="s">
        <v>5238</v>
      </c>
      <c r="P7" s="16"/>
      <c r="Q7" s="18" t="s">
        <v>512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513</v>
      </c>
      <c r="B9" s="16"/>
      <c r="C9" s="18" t="s">
        <v>1641</v>
      </c>
      <c r="D9" s="16"/>
      <c r="E9" s="18" t="s">
        <v>2362</v>
      </c>
      <c r="F9" s="16"/>
      <c r="G9" s="18" t="s">
        <v>910</v>
      </c>
      <c r="H9" s="16"/>
      <c r="I9" s="18" t="s">
        <v>3077</v>
      </c>
      <c r="J9" s="16"/>
      <c r="K9" s="18" t="s">
        <v>3827</v>
      </c>
      <c r="L9" s="16"/>
      <c r="M9" s="18" t="s">
        <v>4556</v>
      </c>
      <c r="N9" s="16"/>
      <c r="O9" s="18" t="s">
        <v>5239</v>
      </c>
      <c r="P9" s="16"/>
      <c r="Q9" s="18" t="s">
        <v>5976</v>
      </c>
      <c r="R9" s="16"/>
      <c r="S9" s="18"/>
      <c r="T9" s="16"/>
    </row>
    <row r="10" spans="1:20" ht="15.95" customHeight="1" x14ac:dyDescent="0.25">
      <c r="A10" s="18"/>
      <c r="B10" s="16"/>
      <c r="C10" s="18" t="s">
        <v>1642</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5" priority="2" stopIfTrue="1">
      <formula>NOT(ISERROR(A3))</formula>
    </cfRule>
  </conditionalFormatting>
  <conditionalFormatting sqref="A3:T51">
    <cfRule type="containsErrors" dxfId="444" priority="1" stopIfTrue="1">
      <formula>ISERROR(A3)</formula>
    </cfRule>
    <cfRule type="notContainsBlanks" dxfId="443"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590</v>
      </c>
      <c r="B3" s="16" t="str">
        <f>TRIM(_xlfn.TEXTBEFORE(A3, ":"))</f>
        <v>Item Class</v>
      </c>
      <c r="C3" s="17" t="s">
        <v>1643</v>
      </c>
      <c r="D3" s="16" t="str">
        <f>TRIM(_xlfn.TEXTBEFORE(C3, ":"))</f>
        <v>Gegenstandsklasse</v>
      </c>
      <c r="E3" s="17" t="s">
        <v>2363</v>
      </c>
      <c r="F3" s="16" t="str">
        <f>TRIM(_xlfn.TEXTBEFORE(E3, ":"))</f>
        <v>Clase de objeto</v>
      </c>
      <c r="G3" s="17" t="s">
        <v>911</v>
      </c>
      <c r="H3" s="16" t="str">
        <f>TRIM(_xlfn.TEXTBEFORE(G3, ":"))</f>
        <v>Classe d'objet</v>
      </c>
      <c r="I3" s="17" t="s">
        <v>3078</v>
      </c>
      <c r="J3" s="16" t="str">
        <f>TRIM(_xlfn.TEXTBEFORE(I3, ":"))</f>
        <v>アイテムクラス</v>
      </c>
      <c r="K3" s="17" t="s">
        <v>3828</v>
      </c>
      <c r="L3" s="16" t="str">
        <f>TRIM(_xlfn.TEXTBEFORE(K3, ":"))</f>
        <v>아이템 종류</v>
      </c>
      <c r="M3" s="17" t="s">
        <v>4557</v>
      </c>
      <c r="N3" s="16" t="str">
        <f>TRIM(_xlfn.TEXTBEFORE(M3, ":"))</f>
        <v>Classe do Item</v>
      </c>
      <c r="O3" s="17" t="s">
        <v>5240</v>
      </c>
      <c r="P3" s="16" t="str">
        <f>TRIM(_xlfn.TEXTBEFORE(O3, ":"))</f>
        <v>Класс предмета</v>
      </c>
      <c r="Q3" s="17" t="s">
        <v>5977</v>
      </c>
      <c r="R3" s="16" t="str">
        <f>TRIM(_xlfn.TEXTBEFORE(Q3, ":"))</f>
        <v>ชนิดไอเทม</v>
      </c>
      <c r="S3" s="17"/>
      <c r="T3" s="16" t="e">
        <f>TRIM(_xlfn.TEXTBEFORE(S3, ":"))</f>
        <v>#N/A</v>
      </c>
    </row>
    <row r="4" spans="1:20" ht="15.95" customHeight="1" x14ac:dyDescent="0.25">
      <c r="A4" s="18" t="s">
        <v>81</v>
      </c>
      <c r="B4" s="16" t="str">
        <f>TRIM(_xlfn.TEXTAFTER(A3, ":"))</f>
        <v>Metamorph Samples</v>
      </c>
      <c r="C4" s="18" t="s">
        <v>1644</v>
      </c>
      <c r="D4" s="16" t="str">
        <f>TRIM(_xlfn.TEXTAFTER(C3, ":"))</f>
        <v>Metamorph-Proben</v>
      </c>
      <c r="E4" s="18" t="s">
        <v>2364</v>
      </c>
      <c r="F4" s="16" t="str">
        <f>TRIM(_xlfn.TEXTAFTER(E3, ":"))</f>
        <v>Muestras de metamorfo</v>
      </c>
      <c r="G4" s="18" t="s">
        <v>1</v>
      </c>
      <c r="H4" s="16" t="str">
        <f>TRIM(_xlfn.TEXTAFTER(G3, ":"))</f>
        <v>Organes de Métamorphe</v>
      </c>
      <c r="I4" s="18" t="s">
        <v>3079</v>
      </c>
      <c r="J4" s="16" t="str">
        <f>TRIM(_xlfn.TEXTAFTER(I3, ":"))</f>
        <v>メタモルフサンプル</v>
      </c>
      <c r="K4" s="18" t="s">
        <v>3829</v>
      </c>
      <c r="L4" s="16" t="str">
        <f>TRIM(_xlfn.TEXTAFTER(K3, ":"))</f>
        <v>변형 샘플</v>
      </c>
      <c r="M4" s="18" t="s">
        <v>4558</v>
      </c>
      <c r="N4" s="16" t="str">
        <f>TRIM(_xlfn.TEXTAFTER(M3, ":"))</f>
        <v>Amostras Metamorfas</v>
      </c>
      <c r="O4" s="18" t="s">
        <v>5241</v>
      </c>
      <c r="P4" s="16" t="str">
        <f>TRIM(_xlfn.TEXTAFTER(O3, ":"))</f>
        <v>Образцы Метаморфа</v>
      </c>
      <c r="Q4" s="18" t="s">
        <v>5978</v>
      </c>
      <c r="R4" s="16" t="str">
        <f>TRIM(_xlfn.TEXTAFTER(Q3, ":"))</f>
        <v>ชิ้นส่วนตัวอย่างเมตามอร์ฟ</v>
      </c>
      <c r="S4" s="18"/>
      <c r="T4" s="16" t="e">
        <f>TRIM(_xlfn.TEXTAFTER(S3, ":"))</f>
        <v>#N/A</v>
      </c>
    </row>
    <row r="5" spans="1:20" ht="15.95" customHeight="1" x14ac:dyDescent="0.25">
      <c r="A5" s="18" t="s">
        <v>591</v>
      </c>
      <c r="B5" s="16" t="str">
        <f>TRIM(_xlfn.TEXTBEFORE(A4, ":"))</f>
        <v>Rarity</v>
      </c>
      <c r="C5" s="18" t="s">
        <v>1645</v>
      </c>
      <c r="D5" s="16" t="str">
        <f>TRIM(_xlfn.TEXTBEFORE(C4, ":"))</f>
        <v>Seltenheit</v>
      </c>
      <c r="E5" s="18" t="s">
        <v>2365</v>
      </c>
      <c r="F5" s="16" t="str">
        <f>TRIM(_xlfn.TEXTBEFORE(E4, ":"))</f>
        <v>Rareza</v>
      </c>
      <c r="G5" s="18" t="s">
        <v>912</v>
      </c>
      <c r="H5" s="16" t="str">
        <f>TRIM(_xlfn.TEXTBEFORE(G4, ":"))</f>
        <v>Rareté</v>
      </c>
      <c r="I5" s="18" t="s">
        <v>3080</v>
      </c>
      <c r="J5" s="16" t="str">
        <f>TRIM(_xlfn.TEXTBEFORE(I4, ":"))</f>
        <v>レアリティ</v>
      </c>
      <c r="K5" s="18" t="s">
        <v>3830</v>
      </c>
      <c r="L5" s="16" t="str">
        <f>TRIM(_xlfn.TEXTBEFORE(K4, ":"))</f>
        <v>아이템 희귀도</v>
      </c>
      <c r="M5" s="18" t="s">
        <v>4559</v>
      </c>
      <c r="N5" s="16" t="str">
        <f>TRIM(_xlfn.TEXTBEFORE(M4, ":"))</f>
        <v>Raridade</v>
      </c>
      <c r="O5" s="18" t="s">
        <v>5242</v>
      </c>
      <c r="P5" s="16" t="str">
        <f>TRIM(_xlfn.TEXTBEFORE(O4, ":"))</f>
        <v>Редкость</v>
      </c>
      <c r="Q5" s="18" t="s">
        <v>5979</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592</v>
      </c>
      <c r="B7" s="16"/>
      <c r="C7" s="18" t="s">
        <v>1646</v>
      </c>
      <c r="D7" s="16"/>
      <c r="E7" s="18" t="s">
        <v>2366</v>
      </c>
      <c r="F7" s="16"/>
      <c r="G7" s="18" t="s">
        <v>913</v>
      </c>
      <c r="H7" s="16"/>
      <c r="I7" s="18" t="s">
        <v>3081</v>
      </c>
      <c r="J7" s="16"/>
      <c r="K7" s="18" t="s">
        <v>3831</v>
      </c>
      <c r="L7" s="16"/>
      <c r="M7" s="18" t="s">
        <v>4560</v>
      </c>
      <c r="N7" s="16"/>
      <c r="O7" s="18" t="s">
        <v>5243</v>
      </c>
      <c r="P7" s="16"/>
      <c r="Q7" s="18" t="s">
        <v>5980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170</v>
      </c>
      <c r="B9" s="16"/>
      <c r="C9" s="18" t="s">
        <v>1647</v>
      </c>
      <c r="D9" s="16"/>
      <c r="E9" s="18" t="s">
        <v>2367</v>
      </c>
      <c r="F9" s="16"/>
      <c r="G9" s="18" t="s">
        <v>914</v>
      </c>
      <c r="H9" s="16"/>
      <c r="I9" s="18" t="s">
        <v>3082</v>
      </c>
      <c r="J9" s="16"/>
      <c r="K9" s="18" t="s">
        <v>3832</v>
      </c>
      <c r="L9" s="16"/>
      <c r="M9" s="18" t="s">
        <v>4561</v>
      </c>
      <c r="N9" s="16"/>
      <c r="O9" s="18" t="s">
        <v>5244</v>
      </c>
      <c r="P9" s="16"/>
      <c r="Q9" s="18" t="s">
        <v>5981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593</v>
      </c>
      <c r="B11" s="16"/>
      <c r="C11" s="18" t="s">
        <v>1648</v>
      </c>
      <c r="D11" s="16"/>
      <c r="E11" s="18" t="s">
        <v>2368</v>
      </c>
      <c r="F11" s="16"/>
      <c r="G11" s="18" t="s">
        <v>915</v>
      </c>
      <c r="H11" s="16"/>
      <c r="I11" s="18" t="s">
        <v>3083</v>
      </c>
      <c r="J11" s="16"/>
      <c r="K11" s="18" t="s">
        <v>3833</v>
      </c>
      <c r="L11" s="16"/>
      <c r="M11" s="18" t="s">
        <v>4562</v>
      </c>
      <c r="N11" s="16"/>
      <c r="O11" s="18" t="s">
        <v>5245</v>
      </c>
      <c r="P11" s="16"/>
      <c r="Q11" s="18" t="s">
        <v>5982</v>
      </c>
      <c r="R11" s="16"/>
      <c r="S11" s="18"/>
      <c r="T11" s="16"/>
    </row>
    <row r="12" spans="1:20" ht="15.95" customHeight="1" x14ac:dyDescent="0.25">
      <c r="A12" s="18" t="s">
        <v>593</v>
      </c>
      <c r="B12" s="16"/>
      <c r="C12" s="18" t="s">
        <v>1648</v>
      </c>
      <c r="D12" s="16"/>
      <c r="E12" s="18" t="s">
        <v>2368</v>
      </c>
      <c r="F12" s="16"/>
      <c r="G12" s="18" t="s">
        <v>915</v>
      </c>
      <c r="H12" s="16"/>
      <c r="I12" s="18" t="s">
        <v>3083</v>
      </c>
      <c r="J12" s="16"/>
      <c r="K12" s="18" t="s">
        <v>3833</v>
      </c>
      <c r="L12" s="16"/>
      <c r="M12" s="18" t="s">
        <v>4562</v>
      </c>
      <c r="N12" s="16"/>
      <c r="O12" s="18" t="s">
        <v>5245</v>
      </c>
      <c r="P12" s="16"/>
      <c r="Q12" s="18" t="s">
        <v>5982</v>
      </c>
      <c r="R12" s="16"/>
      <c r="S12" s="18"/>
      <c r="T12" s="21"/>
    </row>
    <row r="13" spans="1:20" ht="15.95" customHeight="1" x14ac:dyDescent="0.25">
      <c r="A13" s="18" t="s">
        <v>594</v>
      </c>
      <c r="B13" s="16"/>
      <c r="C13" s="18" t="s">
        <v>1649</v>
      </c>
      <c r="D13" s="16"/>
      <c r="E13" s="18" t="s">
        <v>2369</v>
      </c>
      <c r="F13" s="16"/>
      <c r="G13" s="18" t="s">
        <v>916</v>
      </c>
      <c r="H13" s="16"/>
      <c r="I13" s="18" t="s">
        <v>3084</v>
      </c>
      <c r="J13" s="16"/>
      <c r="K13" s="18" t="s">
        <v>3834</v>
      </c>
      <c r="L13" s="16"/>
      <c r="M13" s="18" t="s">
        <v>4563</v>
      </c>
      <c r="N13" s="16"/>
      <c r="O13" s="18" t="s">
        <v>5246</v>
      </c>
      <c r="P13" s="16"/>
      <c r="Q13" s="18" t="s">
        <v>5983</v>
      </c>
      <c r="R13" s="16"/>
      <c r="S13" s="18"/>
      <c r="T13" s="21"/>
    </row>
    <row r="14" spans="1:20" ht="15.95" customHeight="1" x14ac:dyDescent="0.25">
      <c r="A14" s="18" t="s">
        <v>595</v>
      </c>
      <c r="B14" s="16"/>
      <c r="C14" s="18" t="s">
        <v>1650</v>
      </c>
      <c r="D14" s="16"/>
      <c r="E14" s="18" t="s">
        <v>2370</v>
      </c>
      <c r="F14" s="16"/>
      <c r="G14" s="18" t="s">
        <v>917</v>
      </c>
      <c r="H14" s="16"/>
      <c r="I14" s="18" t="s">
        <v>3085</v>
      </c>
      <c r="J14" s="16"/>
      <c r="K14" s="18" t="s">
        <v>3835</v>
      </c>
      <c r="L14" s="16"/>
      <c r="M14" s="18" t="s">
        <v>4564</v>
      </c>
      <c r="N14" s="16"/>
      <c r="O14" s="18" t="s">
        <v>5247</v>
      </c>
      <c r="P14" s="16"/>
      <c r="Q14" s="18" t="s">
        <v>5984</v>
      </c>
      <c r="R14" s="16"/>
      <c r="S14" s="18"/>
      <c r="T14" s="21"/>
    </row>
    <row r="15" spans="1:20" ht="15.95" customHeight="1" x14ac:dyDescent="0.25">
      <c r="A15" s="18" t="s">
        <v>594</v>
      </c>
      <c r="B15" s="16"/>
      <c r="C15" s="18" t="s">
        <v>1649</v>
      </c>
      <c r="D15" s="16"/>
      <c r="E15" s="18" t="s">
        <v>2369</v>
      </c>
      <c r="F15" s="16"/>
      <c r="G15" s="18" t="s">
        <v>916</v>
      </c>
      <c r="H15" s="16"/>
      <c r="I15" s="18" t="s">
        <v>3084</v>
      </c>
      <c r="J15" s="16"/>
      <c r="K15" s="18" t="s">
        <v>3834</v>
      </c>
      <c r="L15" s="16"/>
      <c r="M15" s="18" t="s">
        <v>4563</v>
      </c>
      <c r="N15" s="16"/>
      <c r="O15" s="18" t="s">
        <v>5246</v>
      </c>
      <c r="P15" s="16"/>
      <c r="Q15" s="18" t="s">
        <v>5983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596</v>
      </c>
      <c r="B17" s="16"/>
      <c r="C17" s="18" t="s">
        <v>1651</v>
      </c>
      <c r="D17" s="16"/>
      <c r="E17" s="18" t="s">
        <v>2371</v>
      </c>
      <c r="F17" s="16"/>
      <c r="G17" s="18" t="s">
        <v>918</v>
      </c>
      <c r="H17" s="16"/>
      <c r="I17" s="18" t="s">
        <v>3086</v>
      </c>
      <c r="J17" s="16"/>
      <c r="K17" s="18" t="s">
        <v>3836</v>
      </c>
      <c r="L17" s="16"/>
      <c r="M17" s="18" t="s">
        <v>4565</v>
      </c>
      <c r="N17" s="16"/>
      <c r="O17" s="18" t="s">
        <v>5248</v>
      </c>
      <c r="P17" s="16"/>
      <c r="Q17" s="18" t="s">
        <v>5985</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2" priority="2" stopIfTrue="1">
      <formula>NOT(ISERROR(A3))</formula>
    </cfRule>
  </conditionalFormatting>
  <conditionalFormatting sqref="A3:T51">
    <cfRule type="containsErrors" dxfId="441" priority="1" stopIfTrue="1">
      <formula>ISERROR(A3)</formula>
    </cfRule>
    <cfRule type="notContainsBlanks" dxfId="440"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16" t="e">
        <f>TRIM(_xlfn.TEXTBEFORE(S3, ":"))</f>
        <v>#N/A</v>
      </c>
    </row>
    <row r="4" spans="1:20" ht="15.95" customHeight="1" x14ac:dyDescent="0.25">
      <c r="A4" s="18" t="s">
        <v>497</v>
      </c>
      <c r="B4" s="16" t="str">
        <f>TRIM(_xlfn.TEXTAFTER(A3, ":"))</f>
        <v>Maps</v>
      </c>
      <c r="C4" s="18" t="s">
        <v>1653</v>
      </c>
      <c r="D4" s="16" t="str">
        <f>TRIM(_xlfn.TEXTAFTER(C3, ":"))</f>
        <v>Karten</v>
      </c>
      <c r="E4" s="18" t="s">
        <v>2373</v>
      </c>
      <c r="F4" s="16" t="str">
        <f>TRIM(_xlfn.TEXTAFTER(E3, ":"))</f>
        <v>Mapas</v>
      </c>
      <c r="G4" s="18" t="s">
        <v>920</v>
      </c>
      <c r="H4" s="16" t="str">
        <f>TRIM(_xlfn.TEXTAFTER(G3, ":"))</f>
        <v>Cartes</v>
      </c>
      <c r="I4" s="18" t="s">
        <v>3088</v>
      </c>
      <c r="J4" s="16" t="str">
        <f>TRIM(_xlfn.TEXTAFTER(I3, ":"))</f>
        <v>マップ</v>
      </c>
      <c r="K4" s="18" t="s">
        <v>3838</v>
      </c>
      <c r="L4" s="16" t="str">
        <f>TRIM(_xlfn.TEXTAFTER(K3, ":"))</f>
        <v>지도</v>
      </c>
      <c r="M4" s="18" t="s">
        <v>4567</v>
      </c>
      <c r="N4" s="16" t="str">
        <f>TRIM(_xlfn.TEXTAFTER(M3, ":"))</f>
        <v>Mapas</v>
      </c>
      <c r="O4" s="18" t="s">
        <v>5250</v>
      </c>
      <c r="P4" s="16" t="str">
        <f>TRIM(_xlfn.TEXTAFTER(O3, ":"))</f>
        <v>Карты</v>
      </c>
      <c r="Q4" s="18" t="s">
        <v>5987</v>
      </c>
      <c r="R4" s="16" t="str">
        <f>TRIM(_xlfn.TEXTAFTER(Q3, ":"))</f>
        <v>แผนที่</v>
      </c>
      <c r="S4" s="18"/>
      <c r="T4" s="16" t="e">
        <f>TRIM(_xlfn.TEXTAFTER(S3, ":"))</f>
        <v>#N/A</v>
      </c>
    </row>
    <row r="5" spans="1:20" ht="15.95" customHeight="1" x14ac:dyDescent="0.25">
      <c r="A5" s="18" t="s">
        <v>667</v>
      </c>
      <c r="B5" s="16" t="str">
        <f>TRIM(_xlfn.TEXTBEFORE(A4, ":"))</f>
        <v>Rarity</v>
      </c>
      <c r="C5" s="18" t="s">
        <v>1654</v>
      </c>
      <c r="D5" s="16" t="str">
        <f>TRIM(_xlfn.TEXTBEFORE(C4, ":"))</f>
        <v>Seltenheit</v>
      </c>
      <c r="E5" s="18" t="s">
        <v>2374</v>
      </c>
      <c r="F5" s="16" t="str">
        <f>TRIM(_xlfn.TEXTBEFORE(E4, ":"))</f>
        <v>Rareza</v>
      </c>
      <c r="G5" s="18" t="s">
        <v>921</v>
      </c>
      <c r="H5" s="16" t="str">
        <f>TRIM(_xlfn.TEXTBEFORE(G4, ":"))</f>
        <v>Rareté</v>
      </c>
      <c r="I5" s="18" t="s">
        <v>3089</v>
      </c>
      <c r="J5" s="16" t="str">
        <f>TRIM(_xlfn.TEXTBEFORE(I4, ":"))</f>
        <v>レアリティ</v>
      </c>
      <c r="K5" s="18" t="s">
        <v>3839</v>
      </c>
      <c r="L5" s="16" t="str">
        <f>TRIM(_xlfn.TEXTBEFORE(K4, ":"))</f>
        <v>아이템 희귀도</v>
      </c>
      <c r="M5" s="18" t="s">
        <v>4568</v>
      </c>
      <c r="N5" s="16" t="str">
        <f>TRIM(_xlfn.TEXTBEFORE(M4, ":"))</f>
        <v>Raridade</v>
      </c>
      <c r="O5" s="18" t="s">
        <v>5251</v>
      </c>
      <c r="P5" s="16" t="str">
        <f>TRIM(_xlfn.TEXTBEFORE(O4, ":"))</f>
        <v>Редкость</v>
      </c>
      <c r="Q5" s="18" t="s">
        <v>667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668</v>
      </c>
      <c r="B7" s="16" t="str">
        <f>TRIM(_xlfn.TEXTBEFORE(A7,":"))</f>
        <v>Map Tier</v>
      </c>
      <c r="C7" s="18" t="s">
        <v>1655</v>
      </c>
      <c r="D7" s="16" t="str">
        <f>TRIM(_xlfn.TEXTBEFORE(C7,":"))</f>
        <v>Kartenlevel</v>
      </c>
      <c r="E7" s="18" t="s">
        <v>2375</v>
      </c>
      <c r="F7" s="16" t="str">
        <f>TRIM(_xlfn.TEXTBEFORE(E7,":"))</f>
        <v>Grado del mapa</v>
      </c>
      <c r="G7" s="18" t="s">
        <v>922</v>
      </c>
      <c r="H7" s="16" t="str">
        <f>TRIM(_xlfn.TEXTBEFORE(G7,":"))</f>
        <v>Palier de Carte</v>
      </c>
      <c r="I7" s="18" t="s">
        <v>3090</v>
      </c>
      <c r="J7" s="16" t="str">
        <f>TRIM(_xlfn.TEXTBEFORE(I7,":"))</f>
        <v>マップティア</v>
      </c>
      <c r="K7" s="18" t="s">
        <v>3840</v>
      </c>
      <c r="L7" s="16" t="str">
        <f>TRIM(_xlfn.TEXTBEFORE(K7,":"))</f>
        <v>지도 등급</v>
      </c>
      <c r="M7" s="18" t="s">
        <v>4569</v>
      </c>
      <c r="N7" s="16" t="str">
        <f>TRIM(_xlfn.TEXTBEFORE(M7,":"))</f>
        <v>Tier do Mapa</v>
      </c>
      <c r="O7" s="18" t="s">
        <v>5252</v>
      </c>
      <c r="P7" s="16" t="str">
        <f>TRIM(_xlfn.TEXTBEFORE(O7,":"))</f>
        <v>Уровень карты</v>
      </c>
      <c r="Q7" s="18" t="s">
        <v>5988</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170</v>
      </c>
      <c r="B9" s="16"/>
      <c r="C9" s="18" t="s">
        <v>1647</v>
      </c>
      <c r="D9" s="16"/>
      <c r="E9" s="18" t="s">
        <v>2367</v>
      </c>
      <c r="F9" s="16"/>
      <c r="G9" s="18" t="s">
        <v>914</v>
      </c>
      <c r="H9" s="16"/>
      <c r="I9" s="18" t="s">
        <v>3082</v>
      </c>
      <c r="J9" s="16"/>
      <c r="K9" s="18" t="s">
        <v>3832</v>
      </c>
      <c r="L9" s="16"/>
      <c r="M9" s="18" t="s">
        <v>4561</v>
      </c>
      <c r="N9" s="16"/>
      <c r="O9" s="18" t="s">
        <v>5244</v>
      </c>
      <c r="P9" s="16"/>
      <c r="Q9" s="18" t="s">
        <v>5981</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3096</v>
      </c>
      <c r="K10" s="18" t="s">
        <v>4</v>
      </c>
      <c r="L10" s="16" t="s">
        <v>4490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498</v>
      </c>
      <c r="B11" s="16"/>
      <c r="C11" s="18" t="s">
        <v>1656</v>
      </c>
      <c r="D11" s="16"/>
      <c r="E11" s="18" t="s">
        <v>2376</v>
      </c>
      <c r="F11" s="16"/>
      <c r="G11" s="18" t="s">
        <v>923</v>
      </c>
      <c r="H11" s="16"/>
      <c r="I11" s="18" t="s">
        <v>3091</v>
      </c>
      <c r="J11" s="16"/>
      <c r="K11" s="18" t="s">
        <v>3841</v>
      </c>
      <c r="L11" s="16"/>
      <c r="M11" s="18" t="s">
        <v>4570</v>
      </c>
      <c r="N11" s="16"/>
      <c r="O11" s="18" t="s">
        <v>5253</v>
      </c>
      <c r="P11" s="16"/>
      <c r="Q11" s="18" t="s">
        <v>5989</v>
      </c>
      <c r="R11" s="16"/>
      <c r="S11" s="18"/>
      <c r="T11" s="16"/>
    </row>
    <row r="12" spans="1:20" ht="15.95" customHeight="1" x14ac:dyDescent="0.25">
      <c r="A12" s="18" t="s">
        <v>499</v>
      </c>
      <c r="B12" s="16"/>
      <c r="C12" s="18" t="s">
        <v>1657</v>
      </c>
      <c r="D12" s="16"/>
      <c r="E12" s="18" t="s">
        <v>2377</v>
      </c>
      <c r="F12" s="16"/>
      <c r="G12" s="18" t="s">
        <v>924</v>
      </c>
      <c r="H12" s="16"/>
      <c r="I12" s="18" t="s">
        <v>3092</v>
      </c>
      <c r="J12" s="16"/>
      <c r="K12" s="18" t="s">
        <v>3842</v>
      </c>
      <c r="L12" s="16"/>
      <c r="M12" s="18" t="s">
        <v>4571</v>
      </c>
      <c r="N12" s="16"/>
      <c r="O12" s="18" t="s">
        <v>5254</v>
      </c>
      <c r="P12" s="16"/>
      <c r="Q12" s="18" t="s">
        <v>5990</v>
      </c>
      <c r="R12" s="16"/>
      <c r="S12" s="18"/>
      <c r="T12" s="21"/>
    </row>
    <row r="13" spans="1:20" ht="15.95" customHeight="1" x14ac:dyDescent="0.25">
      <c r="A13" s="18" t="s">
        <v>500</v>
      </c>
      <c r="B13" s="16"/>
      <c r="C13" s="18" t="s">
        <v>1658</v>
      </c>
      <c r="D13" s="16"/>
      <c r="E13" s="18" t="s">
        <v>2378</v>
      </c>
      <c r="F13" s="16"/>
      <c r="G13" s="18" t="s">
        <v>925</v>
      </c>
      <c r="H13" s="16"/>
      <c r="I13" s="18" t="s">
        <v>3093</v>
      </c>
      <c r="J13" s="16"/>
      <c r="K13" s="18" t="s">
        <v>3843</v>
      </c>
      <c r="L13" s="16"/>
      <c r="M13" s="18" t="s">
        <v>4572</v>
      </c>
      <c r="N13" s="16"/>
      <c r="O13" s="18" t="s">
        <v>5255</v>
      </c>
      <c r="P13" s="16"/>
      <c r="Q13" s="18" t="s">
        <v>5991</v>
      </c>
      <c r="R13" s="16"/>
      <c r="S13" s="18"/>
      <c r="T13" s="21"/>
    </row>
    <row r="14" spans="1:20" ht="15.95" customHeight="1" x14ac:dyDescent="0.25">
      <c r="A14" s="18" t="s">
        <v>501</v>
      </c>
      <c r="B14" s="16"/>
      <c r="C14" s="18" t="s">
        <v>1659</v>
      </c>
      <c r="D14" s="16"/>
      <c r="E14" s="18" t="s">
        <v>2379</v>
      </c>
      <c r="F14" s="16"/>
      <c r="G14" s="18" t="s">
        <v>926</v>
      </c>
      <c r="H14" s="16"/>
      <c r="I14" s="18" t="s">
        <v>3094</v>
      </c>
      <c r="J14" s="16"/>
      <c r="K14" s="18" t="s">
        <v>3844</v>
      </c>
      <c r="L14" s="16"/>
      <c r="M14" s="18" t="s">
        <v>4573</v>
      </c>
      <c r="N14" s="16"/>
      <c r="O14" s="18" t="s">
        <v>5256</v>
      </c>
      <c r="P14" s="16"/>
      <c r="Q14" s="18" t="s">
        <v>5992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502</v>
      </c>
      <c r="B16" s="16"/>
      <c r="C16" s="18" t="s">
        <v>1660</v>
      </c>
      <c r="D16" s="16"/>
      <c r="E16" s="18" t="s">
        <v>2380</v>
      </c>
      <c r="F16" s="16"/>
      <c r="G16" s="18" t="s">
        <v>927</v>
      </c>
      <c r="H16" s="16"/>
      <c r="I16" s="18" t="s">
        <v>3095</v>
      </c>
      <c r="J16" s="16"/>
      <c r="K16" s="18" t="s">
        <v>3845</v>
      </c>
      <c r="L16" s="16"/>
      <c r="M16" s="18" t="s">
        <v>4574</v>
      </c>
      <c r="N16" s="16"/>
      <c r="O16" s="18" t="s">
        <v>5257</v>
      </c>
      <c r="P16" s="16"/>
      <c r="Q16" s="18" t="s">
        <v>5993</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9" priority="98" stopIfTrue="1">
      <formula>NOT(ISERROR(A3))</formula>
    </cfRule>
  </conditionalFormatting>
  <conditionalFormatting sqref="A3:T6 A7:A9 C7:C9 E7:E9 G7:G9 I7:I9 K7:K9 M7:M9 O7:O9 Q7:Q9 S7:S9 A10:T51">
    <cfRule type="notContainsBlanks" dxfId="438" priority="99">
      <formula>LEN(TRIM(A3))&gt;0</formula>
    </cfRule>
  </conditionalFormatting>
  <conditionalFormatting sqref="A3:T51">
    <cfRule type="containsErrors" dxfId="437" priority="1" stopIfTrue="1">
      <formula>ISERROR(A3)</formula>
    </cfRule>
  </conditionalFormatting>
  <conditionalFormatting sqref="B7:B9">
    <cfRule type="notContainsBlanks" dxfId="436" priority="92">
      <formula>LEN(TRIM(B7))&gt;0</formula>
    </cfRule>
  </conditionalFormatting>
  <conditionalFormatting sqref="D7:D9">
    <cfRule type="notContainsBlanks" dxfId="435" priority="34">
      <formula>LEN(TRIM(D7))&gt;0</formula>
    </cfRule>
  </conditionalFormatting>
  <conditionalFormatting sqref="F7:F9">
    <cfRule type="notContainsBlanks" dxfId="434" priority="30">
      <formula>LEN(TRIM(F7))&gt;0</formula>
    </cfRule>
  </conditionalFormatting>
  <conditionalFormatting sqref="H7:H9">
    <cfRule type="notContainsBlanks" dxfId="433" priority="26">
      <formula>LEN(TRIM(H7))&gt;0</formula>
    </cfRule>
  </conditionalFormatting>
  <conditionalFormatting sqref="J7:J9">
    <cfRule type="notContainsBlanks" dxfId="432" priority="22">
      <formula>LEN(TRIM(J7))&gt;0</formula>
    </cfRule>
  </conditionalFormatting>
  <conditionalFormatting sqref="L7:L9">
    <cfRule type="notContainsBlanks" dxfId="431" priority="18">
      <formula>LEN(TRIM(L7))&gt;0</formula>
    </cfRule>
  </conditionalFormatting>
  <conditionalFormatting sqref="N7:N9">
    <cfRule type="notContainsBlanks" dxfId="430" priority="14">
      <formula>LEN(TRIM(N7))&gt;0</formula>
    </cfRule>
  </conditionalFormatting>
  <conditionalFormatting sqref="P7:P9">
    <cfRule type="notContainsBlanks" dxfId="429" priority="10">
      <formula>LEN(TRIM(P7))&gt;0</formula>
    </cfRule>
  </conditionalFormatting>
  <conditionalFormatting sqref="R7:R9">
    <cfRule type="notContainsBlanks" dxfId="428" priority="6">
      <formula>LEN(TRIM(R7))&gt;0</formula>
    </cfRule>
  </conditionalFormatting>
  <conditionalFormatting sqref="T7:T9">
    <cfRule type="notContainsBlanks" dxfId="427"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20" t="e">
        <f>TRIM(_xlfn.TEXTBEFORE(S3, ":"))</f>
        <v>#N/A</v>
      </c>
    </row>
    <row r="4" spans="1:20" ht="15.95" customHeight="1" x14ac:dyDescent="0.25">
      <c r="A4" s="18" t="s">
        <v>497</v>
      </c>
      <c r="B4" s="16" t="str">
        <f>TRIM(_xlfn.TEXTAFTER(A3, ":"))</f>
        <v>Maps</v>
      </c>
      <c r="C4" s="18" t="s">
        <v>1653</v>
      </c>
      <c r="D4" s="16" t="str">
        <f>TRIM(_xlfn.TEXTAFTER(C3, ":"))</f>
        <v>Karten</v>
      </c>
      <c r="E4" s="18" t="s">
        <v>2373</v>
      </c>
      <c r="F4" s="16" t="str">
        <f>TRIM(_xlfn.TEXTAFTER(E3, ":"))</f>
        <v>Mapas</v>
      </c>
      <c r="G4" s="18" t="s">
        <v>920</v>
      </c>
      <c r="H4" s="16" t="str">
        <f>TRIM(_xlfn.TEXTAFTER(G3, ":"))</f>
        <v>Cartes</v>
      </c>
      <c r="I4" s="18" t="s">
        <v>3088</v>
      </c>
      <c r="J4" s="16" t="str">
        <f>TRIM(_xlfn.TEXTAFTER(I3, ":"))</f>
        <v>マップ</v>
      </c>
      <c r="K4" s="18" t="s">
        <v>3838</v>
      </c>
      <c r="L4" s="16" t="str">
        <f>TRIM(_xlfn.TEXTAFTER(K3, ":"))</f>
        <v>지도</v>
      </c>
      <c r="M4" s="18" t="s">
        <v>4567</v>
      </c>
      <c r="N4" s="16" t="str">
        <f>TRIM(_xlfn.TEXTAFTER(M3, ":"))</f>
        <v>Mapas</v>
      </c>
      <c r="O4" s="18" t="s">
        <v>5250</v>
      </c>
      <c r="P4" s="16" t="str">
        <f>TRIM(_xlfn.TEXTAFTER(O3, ":"))</f>
        <v>Карты</v>
      </c>
      <c r="Q4" s="18" t="s">
        <v>5987</v>
      </c>
      <c r="R4" s="16" t="str">
        <f>TRIM(_xlfn.TEXTAFTER(Q3, ":"))</f>
        <v>แผนที่</v>
      </c>
      <c r="S4" s="18"/>
      <c r="T4" s="20" t="e">
        <f>TRIM(_xlfn.TEXTAFTER(S3, ":"))</f>
        <v>#N/A</v>
      </c>
    </row>
    <row r="5" spans="1:20" ht="15.95" customHeight="1" x14ac:dyDescent="0.25">
      <c r="A5" s="18" t="s">
        <v>660</v>
      </c>
      <c r="B5" s="16" t="str">
        <f>TRIM(_xlfn.TEXTBEFORE(A4, ":"))</f>
        <v>Rarity</v>
      </c>
      <c r="C5" s="18" t="s">
        <v>1661</v>
      </c>
      <c r="D5" s="16" t="str">
        <f>TRIM(_xlfn.TEXTBEFORE(C4, ":"))</f>
        <v>Seltenheit</v>
      </c>
      <c r="E5" s="18" t="s">
        <v>2381</v>
      </c>
      <c r="F5" s="16" t="str">
        <f>TRIM(_xlfn.TEXTBEFORE(E4, ":"))</f>
        <v>Rareza</v>
      </c>
      <c r="G5" s="18" t="s">
        <v>928</v>
      </c>
      <c r="H5" s="16" t="str">
        <f>TRIM(_xlfn.TEXTBEFORE(G4, ":"))</f>
        <v>Rareté</v>
      </c>
      <c r="I5" s="18" t="s">
        <v>3097</v>
      </c>
      <c r="J5" s="16" t="str">
        <f>TRIM(_xlfn.TEXTBEFORE(I4, ":"))</f>
        <v>レアリティ</v>
      </c>
      <c r="K5" s="18" t="s">
        <v>3846</v>
      </c>
      <c r="L5" s="16" t="str">
        <f>TRIM(_xlfn.TEXTBEFORE(K4, ":"))</f>
        <v>아이템 희귀도</v>
      </c>
      <c r="M5" s="18" t="s">
        <v>4575</v>
      </c>
      <c r="N5" s="16" t="str">
        <f>TRIM(_xlfn.TEXTBEFORE(M4, ":"))</f>
        <v>Raridade</v>
      </c>
      <c r="O5" s="18" t="s">
        <v>5258</v>
      </c>
      <c r="P5" s="16" t="str">
        <f>TRIM(_xlfn.TEXTBEFORE(O4, ":"))</f>
        <v>Редкость</v>
      </c>
      <c r="Q5" s="18" t="s">
        <v>660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661</v>
      </c>
      <c r="B7" s="16" t="str">
        <f>TRIM(_xlfn.TEXTBEFORE(A5, " "))</f>
        <v>Blight-ravaged</v>
      </c>
      <c r="C7" s="18" t="s">
        <v>1662</v>
      </c>
      <c r="D7" s="16" t="str">
        <f>TRIM(_xlfn.TEXTBEFORE(C5, " ", 2))</f>
        <v>Extrem befallene</v>
      </c>
      <c r="E7" s="18" t="s">
        <v>2382</v>
      </c>
      <c r="F7" s="16" t="str">
        <f>TRIM(_xlfn.TEXTAFTER(E5, " ", -4))</f>
        <v>devastado por la plaga</v>
      </c>
      <c r="G7" s="18" t="s">
        <v>929</v>
      </c>
      <c r="H7" s="16" t="str">
        <f>TRIM(_xlfn.TEXTAFTER(G5, " ", -4))</f>
        <v>Carte ravagée par l'Infestation</v>
      </c>
      <c r="I7" s="18" t="s">
        <v>3098</v>
      </c>
      <c r="J7" s="16" t="s">
        <v>3105</v>
      </c>
      <c r="K7" s="18" t="s">
        <v>3847</v>
      </c>
      <c r="L7" s="16" t="s">
        <v>4491</v>
      </c>
      <c r="M7" s="18" t="s">
        <v>4576</v>
      </c>
      <c r="N7" s="16" t="str">
        <f>TRIM(_xlfn.TEXTAFTER(M5, " ", -1))</f>
        <v>Devastado</v>
      </c>
      <c r="O7" s="18" t="s">
        <v>5259</v>
      </c>
      <c r="P7" s="16" t="str">
        <f>TRIM(_xlfn.TEXTBEFORE(O5, " ", 2))</f>
        <v>Разорённая Скверной</v>
      </c>
      <c r="Q7" s="18" t="s">
        <v>5994</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83</v>
      </c>
      <c r="B9" s="16"/>
      <c r="C9" s="18" t="s">
        <v>1663</v>
      </c>
      <c r="D9" s="16"/>
      <c r="E9" s="18" t="s">
        <v>2297</v>
      </c>
      <c r="F9" s="16"/>
      <c r="G9" s="18" t="s">
        <v>930</v>
      </c>
      <c r="H9" s="16"/>
      <c r="I9" s="18" t="s">
        <v>3099</v>
      </c>
      <c r="J9" s="16"/>
      <c r="K9" s="18" t="s">
        <v>3759</v>
      </c>
      <c r="L9" s="16"/>
      <c r="M9" s="18" t="s">
        <v>4577</v>
      </c>
      <c r="N9" s="16"/>
      <c r="O9" s="18" t="s">
        <v>5260</v>
      </c>
      <c r="P9" s="16"/>
      <c r="Q9" s="18" t="s">
        <v>5915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662</v>
      </c>
      <c r="B11" s="16"/>
      <c r="C11" s="18" t="s">
        <v>1664</v>
      </c>
      <c r="D11" s="16"/>
      <c r="E11" s="18" t="s">
        <v>2383</v>
      </c>
      <c r="F11" s="16"/>
      <c r="G11" s="18" t="s">
        <v>931</v>
      </c>
      <c r="H11" s="16"/>
      <c r="I11" s="18" t="s">
        <v>3100</v>
      </c>
      <c r="J11" s="16"/>
      <c r="K11" s="18" t="s">
        <v>3848</v>
      </c>
      <c r="L11" s="16"/>
      <c r="M11" s="18" t="s">
        <v>4578</v>
      </c>
      <c r="N11" s="16"/>
      <c r="O11" s="18" t="s">
        <v>5261</v>
      </c>
      <c r="P11" s="16"/>
      <c r="Q11" s="18" t="s">
        <v>5995</v>
      </c>
      <c r="R11" s="16"/>
      <c r="S11" s="18"/>
      <c r="T11" s="20"/>
    </row>
    <row r="12" spans="1:20" ht="15.95" customHeight="1" x14ac:dyDescent="0.25">
      <c r="A12" s="18" t="s">
        <v>663</v>
      </c>
      <c r="B12" s="16"/>
      <c r="C12" s="18" t="s">
        <v>1665</v>
      </c>
      <c r="D12" s="16"/>
      <c r="E12" s="18" t="s">
        <v>2384</v>
      </c>
      <c r="F12" s="16"/>
      <c r="G12" s="18" t="s">
        <v>932</v>
      </c>
      <c r="H12" s="16"/>
      <c r="I12" s="18" t="s">
        <v>3101</v>
      </c>
      <c r="J12" s="16"/>
      <c r="K12" s="18" t="s">
        <v>3849</v>
      </c>
      <c r="L12" s="16"/>
      <c r="M12" s="18" t="s">
        <v>4579</v>
      </c>
      <c r="N12" s="16"/>
      <c r="O12" s="18" t="s">
        <v>5262</v>
      </c>
      <c r="P12" s="16"/>
      <c r="Q12" s="18" t="s">
        <v>5996</v>
      </c>
      <c r="R12" s="16"/>
      <c r="S12" s="18"/>
      <c r="T12" s="20"/>
    </row>
    <row r="13" spans="1:20" ht="15.95" customHeight="1" x14ac:dyDescent="0.25">
      <c r="A13" s="18" t="s">
        <v>664</v>
      </c>
      <c r="B13" s="16"/>
      <c r="C13" s="18" t="s">
        <v>1666</v>
      </c>
      <c r="D13" s="16"/>
      <c r="E13" s="18" t="s">
        <v>2385</v>
      </c>
      <c r="F13" s="16"/>
      <c r="G13" s="18" t="s">
        <v>933</v>
      </c>
      <c r="H13" s="16"/>
      <c r="I13" s="18" t="s">
        <v>3102</v>
      </c>
      <c r="J13" s="16"/>
      <c r="K13" s="18" t="s">
        <v>3850</v>
      </c>
      <c r="L13" s="16"/>
      <c r="M13" s="18" t="s">
        <v>4580</v>
      </c>
      <c r="N13" s="16"/>
      <c r="O13" s="18" t="s">
        <v>5263</v>
      </c>
      <c r="P13" s="16"/>
      <c r="Q13" s="18" t="s">
        <v>5997</v>
      </c>
      <c r="R13" s="16"/>
      <c r="S13" s="18"/>
      <c r="T13" s="20"/>
    </row>
    <row r="14" spans="1:20" ht="15.95" customHeight="1" x14ac:dyDescent="0.25">
      <c r="A14" s="18" t="s">
        <v>498</v>
      </c>
      <c r="B14" s="16"/>
      <c r="C14" s="18" t="s">
        <v>1656</v>
      </c>
      <c r="D14" s="16"/>
      <c r="E14" s="18" t="s">
        <v>2376</v>
      </c>
      <c r="F14" s="16"/>
      <c r="G14" s="18" t="s">
        <v>923</v>
      </c>
      <c r="H14" s="16"/>
      <c r="I14" s="18" t="s">
        <v>3091</v>
      </c>
      <c r="J14" s="16"/>
      <c r="K14" s="18" t="s">
        <v>3841</v>
      </c>
      <c r="L14" s="16"/>
      <c r="M14" s="18" t="s">
        <v>4570</v>
      </c>
      <c r="N14" s="16"/>
      <c r="O14" s="18" t="s">
        <v>5253</v>
      </c>
      <c r="P14" s="16"/>
      <c r="Q14" s="18" t="s">
        <v>5989</v>
      </c>
      <c r="R14" s="16"/>
      <c r="S14" s="18"/>
      <c r="T14" s="20"/>
    </row>
    <row r="15" spans="1:20" ht="15.95" customHeight="1" x14ac:dyDescent="0.25">
      <c r="A15" s="18" t="s">
        <v>665</v>
      </c>
      <c r="B15" s="16"/>
      <c r="C15" s="18" t="s">
        <v>1667</v>
      </c>
      <c r="D15" s="16"/>
      <c r="E15" s="18" t="s">
        <v>2386</v>
      </c>
      <c r="F15" s="16"/>
      <c r="G15" s="18" t="s">
        <v>934</v>
      </c>
      <c r="H15" s="16"/>
      <c r="I15" s="18" t="s">
        <v>3103</v>
      </c>
      <c r="J15" s="16"/>
      <c r="K15" s="18" t="s">
        <v>3851</v>
      </c>
      <c r="L15" s="16"/>
      <c r="M15" s="18" t="s">
        <v>4581</v>
      </c>
      <c r="N15" s="16"/>
      <c r="O15" s="18" t="s">
        <v>5264</v>
      </c>
      <c r="P15" s="16"/>
      <c r="Q15" s="18" t="s">
        <v>5998</v>
      </c>
      <c r="R15" s="16"/>
      <c r="S15" s="18"/>
      <c r="T15" s="20"/>
    </row>
    <row r="16" spans="1:20" ht="15.95" customHeight="1" x14ac:dyDescent="0.25">
      <c r="A16" s="18" t="s">
        <v>666</v>
      </c>
      <c r="B16" s="16"/>
      <c r="C16" s="18" t="s">
        <v>1668</v>
      </c>
      <c r="D16" s="16"/>
      <c r="E16" s="18" t="s">
        <v>2387</v>
      </c>
      <c r="F16" s="16"/>
      <c r="G16" s="18" t="s">
        <v>935</v>
      </c>
      <c r="H16" s="16"/>
      <c r="I16" s="18" t="s">
        <v>3104</v>
      </c>
      <c r="J16" s="16"/>
      <c r="K16" s="18" t="s">
        <v>3852</v>
      </c>
      <c r="L16" s="16"/>
      <c r="M16" s="18" t="s">
        <v>4582</v>
      </c>
      <c r="N16" s="16"/>
      <c r="O16" s="18" t="s">
        <v>5265</v>
      </c>
      <c r="P16" s="16"/>
      <c r="Q16" s="18" t="s">
        <v>5999</v>
      </c>
      <c r="R16" s="16"/>
      <c r="S16" s="18"/>
      <c r="T16" s="20"/>
    </row>
    <row r="17" spans="1:20" ht="15.95" customHeight="1" x14ac:dyDescent="0.25">
      <c r="A17" s="18" t="s">
        <v>501</v>
      </c>
      <c r="B17" s="16"/>
      <c r="C17" s="18" t="s">
        <v>1659</v>
      </c>
      <c r="D17" s="16"/>
      <c r="E17" s="18" t="s">
        <v>2379</v>
      </c>
      <c r="F17" s="16"/>
      <c r="G17" s="18" t="s">
        <v>926</v>
      </c>
      <c r="H17" s="16"/>
      <c r="I17" s="18" t="s">
        <v>3094</v>
      </c>
      <c r="J17" s="16"/>
      <c r="K17" s="18" t="s">
        <v>3844</v>
      </c>
      <c r="L17" s="16"/>
      <c r="M17" s="18" t="s">
        <v>4573</v>
      </c>
      <c r="N17" s="16"/>
      <c r="O17" s="18" t="s">
        <v>5256</v>
      </c>
      <c r="P17" s="16"/>
      <c r="Q17" s="18" t="s">
        <v>5992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502</v>
      </c>
      <c r="B19" s="16"/>
      <c r="C19" s="18" t="s">
        <v>1660</v>
      </c>
      <c r="D19" s="16"/>
      <c r="E19" s="18" t="s">
        <v>2380</v>
      </c>
      <c r="F19" s="16"/>
      <c r="G19" s="18" t="s">
        <v>927</v>
      </c>
      <c r="H19" s="16"/>
      <c r="I19" s="18" t="s">
        <v>3095</v>
      </c>
      <c r="J19" s="16"/>
      <c r="K19" s="18" t="s">
        <v>3845</v>
      </c>
      <c r="L19" s="16"/>
      <c r="M19" s="18" t="s">
        <v>4574</v>
      </c>
      <c r="N19" s="16"/>
      <c r="O19" s="18" t="s">
        <v>5257</v>
      </c>
      <c r="P19" s="16"/>
      <c r="Q19" s="18" t="s">
        <v>5993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6" priority="28" stopIfTrue="1">
      <formula>NOT(ISERROR(A3))</formula>
    </cfRule>
  </conditionalFormatting>
  <conditionalFormatting sqref="A3:T6 A7 C7 E7 G7 I7 K7 M7 O7 Q7 S7 A8:T51">
    <cfRule type="notContainsBlanks" dxfId="425" priority="29">
      <formula>LEN(TRIM(A3))&gt;0</formula>
    </cfRule>
  </conditionalFormatting>
  <conditionalFormatting sqref="A3:T51">
    <cfRule type="containsErrors" dxfId="424" priority="1" stopIfTrue="1">
      <formula>ISERROR(A3)</formula>
    </cfRule>
  </conditionalFormatting>
  <conditionalFormatting sqref="B7">
    <cfRule type="notContainsBlanks" dxfId="423" priority="26">
      <formula>LEN(TRIM(B7))&gt;0</formula>
    </cfRule>
  </conditionalFormatting>
  <conditionalFormatting sqref="D7">
    <cfRule type="notContainsBlanks" dxfId="422" priority="22">
      <formula>LEN(TRIM(D7))&gt;0</formula>
    </cfRule>
  </conditionalFormatting>
  <conditionalFormatting sqref="F7">
    <cfRule type="notContainsBlanks" dxfId="421" priority="2">
      <formula>LEN(TRIM(F7))&gt;0</formula>
    </cfRule>
  </conditionalFormatting>
  <conditionalFormatting sqref="H7">
    <cfRule type="notContainsBlanks" dxfId="420" priority="4">
      <formula>LEN(TRIM(H7))&gt;0</formula>
    </cfRule>
  </conditionalFormatting>
  <conditionalFormatting sqref="J7">
    <cfRule type="notContainsBlanks" dxfId="419" priority="16">
      <formula>LEN(TRIM(J7))&gt;0</formula>
    </cfRule>
  </conditionalFormatting>
  <conditionalFormatting sqref="L7">
    <cfRule type="notContainsBlanks" dxfId="418" priority="14">
      <formula>LEN(TRIM(L7))&gt;0</formula>
    </cfRule>
  </conditionalFormatting>
  <conditionalFormatting sqref="N7">
    <cfRule type="notContainsBlanks" dxfId="417" priority="12">
      <formula>LEN(TRIM(N7))&gt;0</formula>
    </cfRule>
  </conditionalFormatting>
  <conditionalFormatting sqref="P7">
    <cfRule type="notContainsBlanks" dxfId="416" priority="10">
      <formula>LEN(TRIM(P7))&gt;0</formula>
    </cfRule>
  </conditionalFormatting>
  <conditionalFormatting sqref="R7">
    <cfRule type="notContainsBlanks" dxfId="415" priority="8">
      <formula>LEN(TRIM(R7))&gt;0</formula>
    </cfRule>
  </conditionalFormatting>
  <conditionalFormatting sqref="T7">
    <cfRule type="notContainsBlanks" dxfId="414"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v>
      </c>
      <c r="B3" s="16" t="str">
        <f>TRIM(_xlfn.TEXTBEFORE(A3, ":"))</f>
        <v>Item Class</v>
      </c>
      <c r="C3" s="17" t="s">
        <v>1669</v>
      </c>
      <c r="D3" s="16" t="str">
        <f>TRIM(_xlfn.TEXTBEFORE(C3, ":"))</f>
        <v>Gegenstandsklasse</v>
      </c>
      <c r="E3" s="17" t="s">
        <v>2388</v>
      </c>
      <c r="F3" s="16" t="str">
        <f>TRIM(_xlfn.TEXTBEFORE(E3, ":"))</f>
        <v>Clase de objeto</v>
      </c>
      <c r="G3" s="17" t="s">
        <v>936</v>
      </c>
      <c r="H3" s="16" t="str">
        <f>TRIM(_xlfn.TEXTBEFORE(G3, ":"))</f>
        <v>Classe d'objet</v>
      </c>
      <c r="I3" s="17" t="s">
        <v>3106</v>
      </c>
      <c r="J3" s="16" t="str">
        <f>TRIM(_xlfn.TEXTBEFORE(I3, ":"))</f>
        <v>アイテムクラス</v>
      </c>
      <c r="K3" s="17" t="s">
        <v>3853</v>
      </c>
      <c r="L3" s="16" t="str">
        <f>TRIM(_xlfn.TEXTBEFORE(K3, ":"))</f>
        <v>아이템 종류</v>
      </c>
      <c r="M3" s="17" t="s">
        <v>4583</v>
      </c>
      <c r="N3" s="16" t="str">
        <f>TRIM(_xlfn.TEXTBEFORE(M3, ":"))</f>
        <v>Classe do Item</v>
      </c>
      <c r="O3" s="17" t="s">
        <v>5266</v>
      </c>
      <c r="P3" s="16" t="str">
        <f>TRIM(_xlfn.TEXTBEFORE(O3, ":"))</f>
        <v>Класс предмета</v>
      </c>
      <c r="Q3" s="17" t="s">
        <v>6000</v>
      </c>
      <c r="R3" s="16" t="str">
        <f>TRIM(_xlfn.TEXTBEFORE(Q3, ":"))</f>
        <v>ชนิดไอเทม</v>
      </c>
      <c r="S3" s="17"/>
      <c r="T3" s="20" t="e">
        <f>TRIM(_xlfn.TEXTBEFORE(S3, ":"))</f>
        <v>#N/A</v>
      </c>
    </row>
    <row r="4" spans="1:20" ht="15.95" customHeight="1" x14ac:dyDescent="0.25">
      <c r="A4" s="18" t="s">
        <v>497</v>
      </c>
      <c r="B4" s="16" t="str">
        <f>TRIM(_xlfn.TEXTAFTER(A3, ":"))</f>
        <v>Blueprints</v>
      </c>
      <c r="C4" s="18" t="s">
        <v>1653</v>
      </c>
      <c r="D4" s="16" t="str">
        <f>TRIM(_xlfn.TEXTAFTER(C3, ":"))</f>
        <v>Grundrisse</v>
      </c>
      <c r="E4" s="18" t="s">
        <v>2373</v>
      </c>
      <c r="F4" s="16" t="str">
        <f>TRIM(_xlfn.TEXTAFTER(E3, ":"))</f>
        <v>Planos</v>
      </c>
      <c r="G4" s="18" t="s">
        <v>920</v>
      </c>
      <c r="H4" s="16" t="str">
        <f>TRIM(_xlfn.TEXTAFTER(G3, ":"))</f>
        <v>Plans</v>
      </c>
      <c r="I4" s="18" t="s">
        <v>3088</v>
      </c>
      <c r="J4" s="16" t="str">
        <f>TRIM(_xlfn.TEXTAFTER(I3, ":"))</f>
        <v>計画書</v>
      </c>
      <c r="K4" s="18" t="s">
        <v>3838</v>
      </c>
      <c r="L4" s="16" t="str">
        <f>TRIM(_xlfn.TEXTAFTER(K3, ":"))</f>
        <v>도면</v>
      </c>
      <c r="M4" s="18" t="s">
        <v>4567</v>
      </c>
      <c r="N4" s="16" t="str">
        <f>TRIM(_xlfn.TEXTAFTER(M3, ":"))</f>
        <v>Plantas</v>
      </c>
      <c r="O4" s="18" t="s">
        <v>5250</v>
      </c>
      <c r="P4" s="16" t="str">
        <f>TRIM(_xlfn.TEXTAFTER(O3, ":"))</f>
        <v>Чертежи</v>
      </c>
      <c r="Q4" s="18" t="s">
        <v>5987</v>
      </c>
      <c r="R4" s="16" t="str">
        <f>TRIM(_xlfn.TEXTAFTER(Q3, ":"))</f>
        <v>พิมพ์เขียว</v>
      </c>
      <c r="S4" s="18"/>
      <c r="T4" s="20" t="e">
        <f>TRIM(_xlfn.TEXTAFTER(S3, ":"))</f>
        <v>#N/A</v>
      </c>
    </row>
    <row r="5" spans="1:20" ht="15.95" customHeight="1" x14ac:dyDescent="0.25">
      <c r="A5" s="18" t="s">
        <v>680</v>
      </c>
      <c r="B5" s="16" t="str">
        <f>TRIM(_xlfn.TEXTBEFORE(A4, ":"))</f>
        <v>Rarity</v>
      </c>
      <c r="C5" s="18" t="s">
        <v>1670</v>
      </c>
      <c r="D5" s="16" t="str">
        <f>TRIM(_xlfn.TEXTBEFORE(C4, ":"))</f>
        <v>Seltenheit</v>
      </c>
      <c r="E5" s="18" t="s">
        <v>2389</v>
      </c>
      <c r="F5" s="16" t="str">
        <f>TRIM(_xlfn.TEXTBEFORE(E4, ":"))</f>
        <v>Rareza</v>
      </c>
      <c r="G5" s="18" t="s">
        <v>937</v>
      </c>
      <c r="H5" s="16" t="str">
        <f>TRIM(_xlfn.TEXTBEFORE(G4, ":"))</f>
        <v>Rareté</v>
      </c>
      <c r="I5" s="18" t="s">
        <v>3107</v>
      </c>
      <c r="J5" s="16" t="str">
        <f>TRIM(_xlfn.TEXTBEFORE(I4, ":"))</f>
        <v>レアリティ</v>
      </c>
      <c r="K5" s="18" t="s">
        <v>3854</v>
      </c>
      <c r="L5" s="16" t="str">
        <f>TRIM(_xlfn.TEXTBEFORE(K4, ":"))</f>
        <v>아이템 희귀도</v>
      </c>
      <c r="M5" s="18" t="s">
        <v>4584</v>
      </c>
      <c r="N5" s="16" t="str">
        <f>TRIM(_xlfn.TEXTBEFORE(M4, ":"))</f>
        <v>Raridade</v>
      </c>
      <c r="O5" s="18" t="s">
        <v>5267</v>
      </c>
      <c r="P5" s="16" t="str">
        <f>TRIM(_xlfn.TEXTBEFORE(O4, ":"))</f>
        <v>Редкость</v>
      </c>
      <c r="Q5" s="18" t="s">
        <v>6001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681</v>
      </c>
      <c r="B7" s="16"/>
      <c r="C7" s="18" t="s">
        <v>1671</v>
      </c>
      <c r="D7" s="16"/>
      <c r="E7" s="18" t="s">
        <v>2390</v>
      </c>
      <c r="F7" s="16"/>
      <c r="G7" s="18" t="s">
        <v>938</v>
      </c>
      <c r="H7" s="16"/>
      <c r="I7" s="18" t="s">
        <v>3108</v>
      </c>
      <c r="J7" s="16"/>
      <c r="K7" s="18" t="s">
        <v>3855</v>
      </c>
      <c r="L7" s="16"/>
      <c r="M7" s="18" t="s">
        <v>4585</v>
      </c>
      <c r="N7" s="16"/>
      <c r="O7" s="18" t="s">
        <v>5268</v>
      </c>
      <c r="P7" s="16"/>
      <c r="Q7" s="18" t="s">
        <v>6002</v>
      </c>
      <c r="R7" s="16"/>
      <c r="S7" s="18"/>
      <c r="T7" s="20"/>
    </row>
    <row r="8" spans="1:20" ht="15.95" customHeight="1" x14ac:dyDescent="0.25">
      <c r="A8" s="18" t="s">
        <v>682</v>
      </c>
      <c r="B8" s="16"/>
      <c r="C8" s="18" t="s">
        <v>1672</v>
      </c>
      <c r="D8" s="16"/>
      <c r="E8" s="18" t="s">
        <v>2391</v>
      </c>
      <c r="F8" s="16"/>
      <c r="G8" s="18" t="s">
        <v>939</v>
      </c>
      <c r="H8" s="16"/>
      <c r="I8" s="18" t="s">
        <v>3109</v>
      </c>
      <c r="J8" s="16"/>
      <c r="K8" s="18" t="s">
        <v>3856</v>
      </c>
      <c r="L8" s="16"/>
      <c r="M8" s="18" t="s">
        <v>4586</v>
      </c>
      <c r="N8" s="16"/>
      <c r="O8" s="18" t="s">
        <v>5269</v>
      </c>
      <c r="P8" s="16"/>
      <c r="Q8" s="18" t="s">
        <v>6003</v>
      </c>
      <c r="R8" s="16"/>
      <c r="S8" s="18"/>
      <c r="T8" s="20"/>
    </row>
    <row r="9" spans="1:20" ht="15.95" customHeight="1" x14ac:dyDescent="0.25">
      <c r="A9" s="18" t="s">
        <v>683</v>
      </c>
      <c r="B9" s="16"/>
      <c r="C9" s="18" t="s">
        <v>1673</v>
      </c>
      <c r="D9" s="16"/>
      <c r="E9" s="18" t="s">
        <v>2392</v>
      </c>
      <c r="F9" s="16"/>
      <c r="G9" s="18" t="s">
        <v>940</v>
      </c>
      <c r="H9" s="16"/>
      <c r="I9" s="18" t="s">
        <v>3110</v>
      </c>
      <c r="J9" s="16"/>
      <c r="K9" s="18" t="s">
        <v>3857</v>
      </c>
      <c r="L9" s="16"/>
      <c r="M9" s="18" t="s">
        <v>4587</v>
      </c>
      <c r="N9" s="16"/>
      <c r="O9" s="18" t="s">
        <v>5270</v>
      </c>
      <c r="P9" s="16"/>
      <c r="Q9" s="18" t="s">
        <v>6004</v>
      </c>
      <c r="R9" s="16"/>
      <c r="S9" s="18"/>
      <c r="T9" s="20"/>
    </row>
    <row r="10" spans="1:20" ht="15.95" customHeight="1" x14ac:dyDescent="0.25">
      <c r="A10" s="18" t="s">
        <v>684</v>
      </c>
      <c r="B10" s="16"/>
      <c r="C10" s="18" t="s">
        <v>1674</v>
      </c>
      <c r="D10" s="16"/>
      <c r="E10" s="18" t="s">
        <v>2393</v>
      </c>
      <c r="F10" s="16"/>
      <c r="G10" s="18" t="s">
        <v>941</v>
      </c>
      <c r="H10" s="16"/>
      <c r="I10" s="18" t="s">
        <v>3111</v>
      </c>
      <c r="J10" s="16"/>
      <c r="K10" s="18" t="s">
        <v>3858</v>
      </c>
      <c r="L10" s="16"/>
      <c r="M10" s="18" t="s">
        <v>4588</v>
      </c>
      <c r="N10" s="16"/>
      <c r="O10" s="18" t="s">
        <v>5271</v>
      </c>
      <c r="P10" s="16"/>
      <c r="Q10" s="18" t="s">
        <v>6005</v>
      </c>
      <c r="R10" s="16"/>
      <c r="S10" s="18"/>
      <c r="T10" s="20"/>
    </row>
    <row r="11" spans="1:20" ht="15.95" customHeight="1" x14ac:dyDescent="0.25">
      <c r="A11" s="18" t="s">
        <v>685</v>
      </c>
      <c r="B11" s="16"/>
      <c r="C11" s="18" t="s">
        <v>1675</v>
      </c>
      <c r="D11" s="16"/>
      <c r="E11" s="18" t="s">
        <v>2394</v>
      </c>
      <c r="F11" s="16"/>
      <c r="G11" s="18" t="s">
        <v>942</v>
      </c>
      <c r="H11" s="16"/>
      <c r="I11" s="18" t="s">
        <v>3112</v>
      </c>
      <c r="J11" s="16"/>
      <c r="K11" s="18" t="s">
        <v>3859</v>
      </c>
      <c r="L11" s="16"/>
      <c r="M11" s="18" t="s">
        <v>4589</v>
      </c>
      <c r="N11" s="16"/>
      <c r="O11" s="18" t="s">
        <v>5272</v>
      </c>
      <c r="P11" s="16"/>
      <c r="Q11" s="18" t="s">
        <v>6006</v>
      </c>
      <c r="R11" s="16"/>
      <c r="S11" s="18"/>
      <c r="T11" s="20"/>
    </row>
    <row r="12" spans="1:20" ht="15.95" customHeight="1" x14ac:dyDescent="0.25">
      <c r="A12" s="18" t="s">
        <v>686</v>
      </c>
      <c r="B12" s="16"/>
      <c r="C12" s="18" t="s">
        <v>1676</v>
      </c>
      <c r="D12" s="16"/>
      <c r="E12" s="18" t="s">
        <v>2395</v>
      </c>
      <c r="F12" s="16"/>
      <c r="G12" s="18" t="s">
        <v>943</v>
      </c>
      <c r="H12" s="16"/>
      <c r="I12" s="18" t="s">
        <v>3113</v>
      </c>
      <c r="J12" s="16"/>
      <c r="K12" s="18" t="s">
        <v>3860</v>
      </c>
      <c r="L12" s="16"/>
      <c r="M12" s="18" t="s">
        <v>4590</v>
      </c>
      <c r="N12" s="16"/>
      <c r="O12" s="18" t="s">
        <v>5273</v>
      </c>
      <c r="P12" s="16"/>
      <c r="Q12" s="18" t="s">
        <v>6007</v>
      </c>
      <c r="R12" s="16"/>
      <c r="S12" s="18"/>
      <c r="T12" s="20"/>
    </row>
    <row r="13" spans="1:20" ht="15.95" customHeight="1" x14ac:dyDescent="0.25">
      <c r="A13" s="18" t="s">
        <v>687</v>
      </c>
      <c r="B13" s="16"/>
      <c r="C13" s="18" t="s">
        <v>1677</v>
      </c>
      <c r="D13" s="16"/>
      <c r="E13" s="18" t="s">
        <v>2396</v>
      </c>
      <c r="F13" s="16"/>
      <c r="G13" s="18" t="s">
        <v>944</v>
      </c>
      <c r="H13" s="16"/>
      <c r="I13" s="18" t="s">
        <v>3114</v>
      </c>
      <c r="J13" s="16"/>
      <c r="K13" s="18" t="s">
        <v>3861</v>
      </c>
      <c r="L13" s="16"/>
      <c r="M13" s="18" t="s">
        <v>4591</v>
      </c>
      <c r="N13" s="16"/>
      <c r="O13" s="18" t="s">
        <v>5274</v>
      </c>
      <c r="P13" s="16"/>
      <c r="Q13" s="18" t="s">
        <v>6008</v>
      </c>
      <c r="R13" s="16"/>
      <c r="S13" s="18"/>
      <c r="T13" s="20"/>
    </row>
    <row r="14" spans="1:20" ht="15.95" customHeight="1" x14ac:dyDescent="0.25">
      <c r="A14" s="18" t="s">
        <v>688</v>
      </c>
      <c r="B14" s="16"/>
      <c r="C14" s="18" t="s">
        <v>1678</v>
      </c>
      <c r="D14" s="16"/>
      <c r="E14" s="18" t="s">
        <v>2397</v>
      </c>
      <c r="F14" s="16"/>
      <c r="G14" s="18" t="s">
        <v>945</v>
      </c>
      <c r="H14" s="16"/>
      <c r="I14" s="18" t="s">
        <v>3115</v>
      </c>
      <c r="J14" s="16"/>
      <c r="K14" s="18" t="s">
        <v>3862</v>
      </c>
      <c r="L14" s="16"/>
      <c r="M14" s="18" t="s">
        <v>4592</v>
      </c>
      <c r="N14" s="16"/>
      <c r="O14" s="18" t="s">
        <v>5275</v>
      </c>
      <c r="P14" s="16"/>
      <c r="Q14" s="18" t="s">
        <v>6009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689</v>
      </c>
      <c r="B16" s="16"/>
      <c r="C16" s="18" t="s">
        <v>1679</v>
      </c>
      <c r="D16" s="16"/>
      <c r="E16" s="18" t="s">
        <v>2398</v>
      </c>
      <c r="F16" s="16"/>
      <c r="G16" s="18" t="s">
        <v>946</v>
      </c>
      <c r="H16" s="16"/>
      <c r="I16" s="18" t="s">
        <v>3116</v>
      </c>
      <c r="J16" s="16"/>
      <c r="K16" s="18" t="s">
        <v>3863</v>
      </c>
      <c r="L16" s="16"/>
      <c r="M16" s="18" t="s">
        <v>4593</v>
      </c>
      <c r="N16" s="16"/>
      <c r="O16" s="18" t="s">
        <v>5276</v>
      </c>
      <c r="P16" s="16"/>
      <c r="Q16" s="18" t="s">
        <v>6010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690</v>
      </c>
      <c r="B18" s="16"/>
      <c r="C18" s="18" t="s">
        <v>1680</v>
      </c>
      <c r="D18" s="16"/>
      <c r="E18" s="18" t="s">
        <v>2399</v>
      </c>
      <c r="F18" s="16"/>
      <c r="G18" s="18" t="s">
        <v>947</v>
      </c>
      <c r="H18" s="16"/>
      <c r="I18" s="18" t="s">
        <v>3117</v>
      </c>
      <c r="J18" s="16"/>
      <c r="K18" s="18" t="s">
        <v>3864</v>
      </c>
      <c r="L18" s="16"/>
      <c r="M18" s="18" t="s">
        <v>4594</v>
      </c>
      <c r="N18" s="16"/>
      <c r="O18" s="18" t="s">
        <v>5277</v>
      </c>
      <c r="P18" s="16"/>
      <c r="Q18" s="18" t="s">
        <v>6011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3" priority="2" stopIfTrue="1">
      <formula>NOT(ISERROR(A3))</formula>
    </cfRule>
  </conditionalFormatting>
  <conditionalFormatting sqref="A3:T51">
    <cfRule type="containsErrors" dxfId="412" priority="1" stopIfTrue="1">
      <formula>ISERROR(A3)</formula>
    </cfRule>
    <cfRule type="notContainsBlanks" dxfId="411"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691</v>
      </c>
      <c r="B3" s="16" t="str">
        <f>TRIM(_xlfn.TEXTBEFORE(A3, ":"))</f>
        <v>Item Class</v>
      </c>
      <c r="C3" s="17" t="s">
        <v>1681</v>
      </c>
      <c r="D3" s="16" t="str">
        <f>TRIM(_xlfn.TEXTBEFORE(C3, ":"))</f>
        <v>Gegenstandsklasse</v>
      </c>
      <c r="E3" s="17" t="s">
        <v>2400</v>
      </c>
      <c r="F3" s="16" t="str">
        <f>TRIM(_xlfn.TEXTBEFORE(E3, ":"))</f>
        <v>Clase de objeto</v>
      </c>
      <c r="G3" s="17" t="s">
        <v>948</v>
      </c>
      <c r="H3" s="16" t="str">
        <f>TRIM(_xlfn.TEXTBEFORE(G3, ":"))</f>
        <v>Classe d'objet</v>
      </c>
      <c r="I3" s="17" t="s">
        <v>3118</v>
      </c>
      <c r="J3" s="16" t="str">
        <f>TRIM(_xlfn.TEXTBEFORE(I3, ":"))</f>
        <v>アイテムクラス</v>
      </c>
      <c r="K3" s="17" t="s">
        <v>3865</v>
      </c>
      <c r="L3" s="16" t="str">
        <f>TRIM(_xlfn.TEXTBEFORE(K3, ":"))</f>
        <v>아이템 종류</v>
      </c>
      <c r="M3" s="17" t="s">
        <v>4595</v>
      </c>
      <c r="N3" s="16" t="str">
        <f>TRIM(_xlfn.TEXTBEFORE(M3, ":"))</f>
        <v>Classe do Item</v>
      </c>
      <c r="O3" s="17" t="s">
        <v>5278</v>
      </c>
      <c r="P3" s="16" t="str">
        <f>TRIM(_xlfn.TEXTBEFORE(O3, ":"))</f>
        <v>Класс предмета</v>
      </c>
      <c r="Q3" s="17" t="s">
        <v>6012</v>
      </c>
      <c r="R3" s="16" t="str">
        <f>TRIM(_xlfn.TEXTBEFORE(Q3, ":"))</f>
        <v>ชนิดไอเทม</v>
      </c>
      <c r="S3" s="17"/>
      <c r="T3" s="20" t="e">
        <f>TRIM(_xlfn.TEXTBEFORE(S3, ":"))</f>
        <v>#N/A</v>
      </c>
    </row>
    <row r="4" spans="1:20" ht="15.95" customHeight="1" x14ac:dyDescent="0.25">
      <c r="A4" s="18" t="s">
        <v>471</v>
      </c>
      <c r="B4" s="16" t="str">
        <f>TRIM(_xlfn.TEXTAFTER(A3, ":"))</f>
        <v>Contracts</v>
      </c>
      <c r="C4" s="18" t="s">
        <v>1682</v>
      </c>
      <c r="D4" s="16" t="str">
        <f>TRIM(_xlfn.TEXTAFTER(C3, ":"))</f>
        <v>Aufträge</v>
      </c>
      <c r="E4" s="18" t="s">
        <v>2401</v>
      </c>
      <c r="F4" s="16" t="str">
        <f>TRIM(_xlfn.TEXTAFTER(E3, ":"))</f>
        <v>Contratos</v>
      </c>
      <c r="G4" s="18" t="s">
        <v>949</v>
      </c>
      <c r="H4" s="16" t="str">
        <f>TRIM(_xlfn.TEXTAFTER(G3, ":"))</f>
        <v>Contrats</v>
      </c>
      <c r="I4" s="18" t="s">
        <v>3119</v>
      </c>
      <c r="J4" s="16" t="str">
        <f>TRIM(_xlfn.TEXTAFTER(I3, ":"))</f>
        <v>依頼書</v>
      </c>
      <c r="K4" s="18" t="s">
        <v>3866</v>
      </c>
      <c r="L4" s="16" t="str">
        <f>TRIM(_xlfn.TEXTAFTER(K3, ":"))</f>
        <v>계약</v>
      </c>
      <c r="M4" s="18" t="s">
        <v>4596</v>
      </c>
      <c r="N4" s="16" t="str">
        <f>TRIM(_xlfn.TEXTAFTER(M3, ":"))</f>
        <v>Contratos</v>
      </c>
      <c r="O4" s="18" t="s">
        <v>5279</v>
      </c>
      <c r="P4" s="16" t="str">
        <f>TRIM(_xlfn.TEXTAFTER(O3, ":"))</f>
        <v>Контракты</v>
      </c>
      <c r="Q4" s="18" t="s">
        <v>6013</v>
      </c>
      <c r="R4" s="16" t="str">
        <f>TRIM(_xlfn.TEXTAFTER(Q3, ":"))</f>
        <v>สัญญาจ้าง</v>
      </c>
      <c r="S4" s="18"/>
      <c r="T4" s="20" t="e">
        <f>TRIM(_xlfn.TEXTAFTER(S3, ":"))</f>
        <v>#N/A</v>
      </c>
    </row>
    <row r="5" spans="1:20" ht="15.95" customHeight="1" x14ac:dyDescent="0.25">
      <c r="A5" s="18" t="s">
        <v>692</v>
      </c>
      <c r="B5" s="16" t="str">
        <f>TRIM(_xlfn.TEXTBEFORE(A4, ":"))</f>
        <v>Rarity</v>
      </c>
      <c r="C5" s="18" t="s">
        <v>1683</v>
      </c>
      <c r="D5" s="16" t="str">
        <f>TRIM(_xlfn.TEXTBEFORE(C4, ":"))</f>
        <v>Seltenheit</v>
      </c>
      <c r="E5" s="18" t="s">
        <v>2402</v>
      </c>
      <c r="F5" s="16" t="str">
        <f>TRIM(_xlfn.TEXTBEFORE(E4, ":"))</f>
        <v>Rareza</v>
      </c>
      <c r="G5" s="18" t="s">
        <v>950</v>
      </c>
      <c r="H5" s="16" t="str">
        <f>TRIM(_xlfn.TEXTBEFORE(G4, ":"))</f>
        <v>Rareté</v>
      </c>
      <c r="I5" s="18" t="s">
        <v>3120</v>
      </c>
      <c r="J5" s="16" t="str">
        <f>TRIM(_xlfn.TEXTBEFORE(I4, ":"))</f>
        <v>レアリティ</v>
      </c>
      <c r="K5" s="18" t="s">
        <v>3867</v>
      </c>
      <c r="L5" s="16" t="str">
        <f>TRIM(_xlfn.TEXTBEFORE(K4, ":"))</f>
        <v>아이템 희귀도</v>
      </c>
      <c r="M5" s="18" t="s">
        <v>4597</v>
      </c>
      <c r="N5" s="16" t="str">
        <f>TRIM(_xlfn.TEXTBEFORE(M4, ":"))</f>
        <v>Raridade</v>
      </c>
      <c r="O5" s="18" t="s">
        <v>5280</v>
      </c>
      <c r="P5" s="16" t="str">
        <f>TRIM(_xlfn.TEXTBEFORE(O4, ":"))</f>
        <v>Редкость</v>
      </c>
      <c r="Q5" s="18" t="s">
        <v>6014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693</v>
      </c>
      <c r="B7" s="16"/>
      <c r="C7" s="18" t="s">
        <v>1684</v>
      </c>
      <c r="D7" s="16"/>
      <c r="E7" s="18" t="s">
        <v>2403</v>
      </c>
      <c r="F7" s="16"/>
      <c r="G7" s="18" t="s">
        <v>951</v>
      </c>
      <c r="H7" s="16"/>
      <c r="I7" s="18" t="s">
        <v>3121</v>
      </c>
      <c r="J7" s="16"/>
      <c r="K7" s="18" t="s">
        <v>3868</v>
      </c>
      <c r="L7" s="16"/>
      <c r="M7" s="18" t="s">
        <v>2403</v>
      </c>
      <c r="N7" s="16"/>
      <c r="O7" s="18" t="s">
        <v>5281</v>
      </c>
      <c r="P7" s="16"/>
      <c r="Q7" s="18" t="s">
        <v>6015</v>
      </c>
      <c r="R7" s="16"/>
      <c r="S7" s="18"/>
      <c r="T7" s="20"/>
    </row>
    <row r="8" spans="1:20" ht="15.95" customHeight="1" x14ac:dyDescent="0.25">
      <c r="A8" s="18" t="s">
        <v>694</v>
      </c>
      <c r="B8" s="16"/>
      <c r="C8" s="18" t="s">
        <v>1685</v>
      </c>
      <c r="D8" s="16"/>
      <c r="E8" s="18" t="s">
        <v>2404</v>
      </c>
      <c r="F8" s="16"/>
      <c r="G8" s="18" t="s">
        <v>952</v>
      </c>
      <c r="H8" s="16"/>
      <c r="I8" s="18" t="s">
        <v>3122</v>
      </c>
      <c r="J8" s="16"/>
      <c r="K8" s="18" t="s">
        <v>3869</v>
      </c>
      <c r="L8" s="16"/>
      <c r="M8" s="18" t="s">
        <v>4598</v>
      </c>
      <c r="N8" s="16"/>
      <c r="O8" s="18" t="s">
        <v>5282</v>
      </c>
      <c r="P8" s="16"/>
      <c r="Q8" s="18" t="s">
        <v>6016</v>
      </c>
      <c r="R8" s="16"/>
      <c r="S8" s="18"/>
      <c r="T8" s="20"/>
    </row>
    <row r="9" spans="1:20" ht="15.95" customHeight="1" x14ac:dyDescent="0.25">
      <c r="A9" s="18" t="s">
        <v>695</v>
      </c>
      <c r="B9" s="16"/>
      <c r="C9" s="18" t="s">
        <v>1686</v>
      </c>
      <c r="D9" s="16"/>
      <c r="E9" s="18" t="s">
        <v>2405</v>
      </c>
      <c r="F9" s="16"/>
      <c r="G9" s="18" t="s">
        <v>953</v>
      </c>
      <c r="H9" s="16"/>
      <c r="I9" s="18" t="s">
        <v>3123</v>
      </c>
      <c r="J9" s="16"/>
      <c r="K9" s="18" t="s">
        <v>3870</v>
      </c>
      <c r="L9" s="16"/>
      <c r="M9" s="18" t="s">
        <v>4599</v>
      </c>
      <c r="N9" s="16"/>
      <c r="O9" s="18" t="s">
        <v>5283</v>
      </c>
      <c r="P9" s="16"/>
      <c r="Q9" s="18" t="s">
        <v>6017</v>
      </c>
      <c r="R9" s="16"/>
      <c r="S9" s="18"/>
      <c r="T9" s="20"/>
    </row>
    <row r="10" spans="1:20" ht="15.95" customHeight="1" x14ac:dyDescent="0.25">
      <c r="A10" s="18" t="s">
        <v>696</v>
      </c>
      <c r="B10" s="16"/>
      <c r="C10" s="18" t="s">
        <v>1687</v>
      </c>
      <c r="D10" s="16"/>
      <c r="E10" s="18" t="s">
        <v>2406</v>
      </c>
      <c r="F10" s="16"/>
      <c r="G10" s="18" t="s">
        <v>954</v>
      </c>
      <c r="H10" s="16"/>
      <c r="I10" s="18" t="s">
        <v>3124</v>
      </c>
      <c r="J10" s="16"/>
      <c r="K10" s="18" t="s">
        <v>3871</v>
      </c>
      <c r="L10" s="16"/>
      <c r="M10" s="18" t="s">
        <v>4600</v>
      </c>
      <c r="N10" s="16"/>
      <c r="O10" s="18" t="s">
        <v>5284</v>
      </c>
      <c r="P10" s="16"/>
      <c r="Q10" s="18" t="s">
        <v>6018</v>
      </c>
      <c r="R10" s="16"/>
      <c r="S10" s="18"/>
      <c r="T10" s="20"/>
    </row>
    <row r="11" spans="1:20" ht="15.95" customHeight="1" x14ac:dyDescent="0.25">
      <c r="A11" s="18" t="s">
        <v>697</v>
      </c>
      <c r="B11" s="16"/>
      <c r="C11" s="18" t="s">
        <v>1688</v>
      </c>
      <c r="D11" s="16"/>
      <c r="E11" s="18" t="s">
        <v>2407</v>
      </c>
      <c r="F11" s="16"/>
      <c r="G11" s="18" t="s">
        <v>955</v>
      </c>
      <c r="H11" s="16"/>
      <c r="I11" s="18" t="s">
        <v>3125</v>
      </c>
      <c r="J11" s="16"/>
      <c r="K11" s="18" t="s">
        <v>3872</v>
      </c>
      <c r="L11" s="16"/>
      <c r="M11" s="18" t="s">
        <v>4601</v>
      </c>
      <c r="N11" s="16"/>
      <c r="O11" s="18" t="s">
        <v>5285</v>
      </c>
      <c r="P11" s="16"/>
      <c r="Q11" s="18" t="s">
        <v>6019</v>
      </c>
      <c r="R11" s="16"/>
      <c r="S11" s="18"/>
      <c r="T11" s="20"/>
    </row>
    <row r="12" spans="1:20" ht="15.95" customHeight="1" x14ac:dyDescent="0.25">
      <c r="A12" s="18" t="s">
        <v>698</v>
      </c>
      <c r="B12" s="16"/>
      <c r="C12" s="18" t="s">
        <v>1689</v>
      </c>
      <c r="D12" s="16"/>
      <c r="E12" s="18" t="s">
        <v>2408</v>
      </c>
      <c r="F12" s="16"/>
      <c r="G12" s="18" t="s">
        <v>956</v>
      </c>
      <c r="H12" s="16"/>
      <c r="I12" s="18" t="s">
        <v>3126</v>
      </c>
      <c r="J12" s="16"/>
      <c r="K12" s="18" t="s">
        <v>3873</v>
      </c>
      <c r="L12" s="16"/>
      <c r="M12" s="18" t="s">
        <v>4602</v>
      </c>
      <c r="N12" s="16"/>
      <c r="O12" s="18" t="s">
        <v>5286</v>
      </c>
      <c r="P12" s="16"/>
      <c r="Q12" s="18" t="s">
        <v>6020</v>
      </c>
      <c r="R12" s="16"/>
      <c r="S12" s="18"/>
      <c r="T12" s="20"/>
    </row>
    <row r="13" spans="1:20" ht="15.95" customHeight="1" x14ac:dyDescent="0.25">
      <c r="A13" s="18" t="s">
        <v>699</v>
      </c>
      <c r="B13" s="16"/>
      <c r="C13" s="18" t="s">
        <v>1690</v>
      </c>
      <c r="D13" s="16"/>
      <c r="E13" s="18" t="s">
        <v>2409</v>
      </c>
      <c r="F13" s="16"/>
      <c r="G13" s="18" t="s">
        <v>957</v>
      </c>
      <c r="H13" s="16"/>
      <c r="I13" s="18" t="s">
        <v>3127</v>
      </c>
      <c r="J13" s="16"/>
      <c r="K13" s="18" t="s">
        <v>3874</v>
      </c>
      <c r="L13" s="16"/>
      <c r="M13" s="18" t="s">
        <v>4603</v>
      </c>
      <c r="N13" s="16"/>
      <c r="O13" s="18" t="s">
        <v>5287</v>
      </c>
      <c r="P13" s="16"/>
      <c r="Q13" s="18" t="s">
        <v>6021</v>
      </c>
      <c r="R13" s="16"/>
      <c r="S13" s="18"/>
      <c r="T13" s="20"/>
    </row>
    <row r="14" spans="1:20" ht="15.95" customHeight="1" x14ac:dyDescent="0.25">
      <c r="A14" s="18" t="s">
        <v>700</v>
      </c>
      <c r="B14" s="16"/>
      <c r="C14" s="18" t="s">
        <v>1691</v>
      </c>
      <c r="D14" s="16"/>
      <c r="E14" s="18" t="s">
        <v>2410</v>
      </c>
      <c r="F14" s="16"/>
      <c r="G14" s="18" t="s">
        <v>958</v>
      </c>
      <c r="H14" s="16"/>
      <c r="I14" s="18" t="s">
        <v>3128</v>
      </c>
      <c r="J14" s="16"/>
      <c r="K14" s="18" t="s">
        <v>3875</v>
      </c>
      <c r="L14" s="16"/>
      <c r="M14" s="18" t="s">
        <v>4604</v>
      </c>
      <c r="N14" s="16"/>
      <c r="O14" s="18" t="s">
        <v>5288</v>
      </c>
      <c r="P14" s="16"/>
      <c r="Q14" s="18" t="s">
        <v>6022</v>
      </c>
      <c r="R14" s="16"/>
      <c r="S14" s="18"/>
      <c r="T14" s="20"/>
    </row>
    <row r="15" spans="1:20" ht="15.95" customHeight="1" x14ac:dyDescent="0.25">
      <c r="A15" s="18" t="s">
        <v>701</v>
      </c>
      <c r="B15" s="16"/>
      <c r="C15" s="18" t="s">
        <v>1692</v>
      </c>
      <c r="D15" s="16"/>
      <c r="E15" s="18" t="s">
        <v>2411</v>
      </c>
      <c r="F15" s="16"/>
      <c r="G15" s="18" t="s">
        <v>959</v>
      </c>
      <c r="H15" s="16"/>
      <c r="I15" s="18" t="s">
        <v>3129</v>
      </c>
      <c r="J15" s="16"/>
      <c r="K15" s="18" t="s">
        <v>3876</v>
      </c>
      <c r="L15" s="16"/>
      <c r="M15" s="18" t="s">
        <v>4605</v>
      </c>
      <c r="N15" s="16"/>
      <c r="O15" s="18" t="s">
        <v>5289</v>
      </c>
      <c r="P15" s="16"/>
      <c r="Q15" s="18" t="s">
        <v>6023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702</v>
      </c>
      <c r="B17" s="16"/>
      <c r="C17" s="18" t="s">
        <v>1693</v>
      </c>
      <c r="D17" s="16"/>
      <c r="E17" s="18" t="s">
        <v>2412</v>
      </c>
      <c r="F17" s="16"/>
      <c r="G17" s="18" t="s">
        <v>960</v>
      </c>
      <c r="H17" s="16"/>
      <c r="I17" s="18" t="s">
        <v>3130</v>
      </c>
      <c r="J17" s="16"/>
      <c r="K17" s="18" t="s">
        <v>3877</v>
      </c>
      <c r="L17" s="16"/>
      <c r="M17" s="18" t="s">
        <v>4606</v>
      </c>
      <c r="N17" s="16"/>
      <c r="O17" s="18" t="s">
        <v>5290</v>
      </c>
      <c r="P17" s="16"/>
      <c r="Q17" s="18" t="s">
        <v>6024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703</v>
      </c>
      <c r="B19" s="16"/>
      <c r="C19" s="18" t="s">
        <v>1694</v>
      </c>
      <c r="D19" s="16"/>
      <c r="E19" s="18" t="s">
        <v>2413</v>
      </c>
      <c r="F19" s="16"/>
      <c r="G19" s="18" t="s">
        <v>961</v>
      </c>
      <c r="H19" s="16"/>
      <c r="I19" s="18" t="s">
        <v>3131</v>
      </c>
      <c r="J19" s="16"/>
      <c r="K19" s="18" t="s">
        <v>3878</v>
      </c>
      <c r="L19" s="16"/>
      <c r="M19" s="18" t="s">
        <v>4607</v>
      </c>
      <c r="N19" s="16"/>
      <c r="O19" s="18" t="s">
        <v>5291</v>
      </c>
      <c r="P19" s="16"/>
      <c r="Q19" s="18" t="s">
        <v>6025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704</v>
      </c>
      <c r="B21" s="16"/>
      <c r="C21" s="18" t="s">
        <v>1695</v>
      </c>
      <c r="D21" s="16"/>
      <c r="E21" s="18" t="s">
        <v>2414</v>
      </c>
      <c r="F21" s="16"/>
      <c r="G21" s="18" t="s">
        <v>962</v>
      </c>
      <c r="H21" s="16"/>
      <c r="I21" s="18" t="s">
        <v>3132</v>
      </c>
      <c r="J21" s="16"/>
      <c r="K21" s="18" t="s">
        <v>3879</v>
      </c>
      <c r="L21" s="16"/>
      <c r="M21" s="18" t="s">
        <v>4608</v>
      </c>
      <c r="N21" s="16"/>
      <c r="O21" s="18" t="s">
        <v>5292</v>
      </c>
      <c r="P21" s="16"/>
      <c r="Q21" s="18" t="s">
        <v>6026</v>
      </c>
      <c r="R21" s="16"/>
      <c r="S21" s="18"/>
      <c r="T21" s="20"/>
    </row>
    <row r="22" spans="1:20" ht="15.95" customHeight="1" x14ac:dyDescent="0.25">
      <c r="A22" s="18" t="s">
        <v>4</v>
      </c>
      <c r="B22" s="16"/>
      <c r="C22" s="18" t="s">
        <v>4</v>
      </c>
      <c r="D22" s="16"/>
      <c r="E22" s="18" t="s">
        <v>4</v>
      </c>
      <c r="F22" s="16"/>
      <c r="G22" s="18" t="s">
        <v>963</v>
      </c>
      <c r="H22" s="16"/>
      <c r="I22" s="18" t="s">
        <v>4</v>
      </c>
      <c r="J22" s="16"/>
      <c r="K22" s="18" t="s">
        <v>4</v>
      </c>
      <c r="L22" s="16"/>
      <c r="M22" s="18" t="s">
        <v>4</v>
      </c>
      <c r="N22" s="16"/>
      <c r="O22" s="18" t="s">
        <v>5293</v>
      </c>
      <c r="P22" s="16"/>
      <c r="Q22" s="18" t="s">
        <v>4</v>
      </c>
      <c r="R22" s="16"/>
      <c r="S22" s="18"/>
      <c r="T22" s="20"/>
    </row>
    <row r="23" spans="1:20" ht="15.95" customHeight="1" x14ac:dyDescent="0.25">
      <c r="A23" s="18" t="s">
        <v>705</v>
      </c>
      <c r="B23" s="16"/>
      <c r="C23" s="18" t="s">
        <v>1696</v>
      </c>
      <c r="D23" s="16"/>
      <c r="E23" s="18" t="s">
        <v>2415</v>
      </c>
      <c r="F23" s="16"/>
      <c r="G23" s="18" t="s">
        <v>4</v>
      </c>
      <c r="H23" s="16"/>
      <c r="I23" s="18" t="s">
        <v>3133</v>
      </c>
      <c r="J23" s="16"/>
      <c r="K23" s="18" t="s">
        <v>3880</v>
      </c>
      <c r="L23" s="16"/>
      <c r="M23" s="18" t="s">
        <v>4609</v>
      </c>
      <c r="N23" s="16"/>
      <c r="O23" s="18" t="s">
        <v>4</v>
      </c>
      <c r="P23" s="16"/>
      <c r="Q23" s="18" t="s">
        <v>6027</v>
      </c>
      <c r="R23" s="16"/>
      <c r="S23" s="18"/>
      <c r="T23" s="20"/>
    </row>
    <row r="24" spans="1:20" ht="15.95" customHeight="1" x14ac:dyDescent="0.25">
      <c r="A24" s="18"/>
      <c r="B24" s="16"/>
      <c r="C24" s="18"/>
      <c r="D24" s="16"/>
      <c r="E24" s="18"/>
      <c r="F24" s="16"/>
      <c r="G24" s="18" t="s">
        <v>964</v>
      </c>
      <c r="H24" s="16"/>
      <c r="I24" s="18"/>
      <c r="J24" s="16"/>
      <c r="K24" s="18"/>
      <c r="L24" s="16"/>
      <c r="M24" s="18"/>
      <c r="N24" s="16"/>
      <c r="O24" s="18" t="s">
        <v>5294</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0" priority="2" stopIfTrue="1">
      <formula>NOT(ISERROR(A3))</formula>
    </cfRule>
  </conditionalFormatting>
  <conditionalFormatting sqref="A3:T51">
    <cfRule type="containsErrors" dxfId="409" priority="1" stopIfTrue="1">
      <formula>ISERROR(A3)</formula>
    </cfRule>
    <cfRule type="notContainsBlanks" dxfId="408"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559</v>
      </c>
      <c r="B3" s="16" t="str">
        <f>TRIM(_xlfn.TEXTBEFORE(A3, ":"))</f>
        <v>Item Class</v>
      </c>
      <c r="C3" s="17" t="s">
        <v>1697</v>
      </c>
      <c r="D3" s="16" t="str">
        <f>TRIM(_xlfn.TEXTBEFORE(C3, ":"))</f>
        <v>Gegenstandsklasse</v>
      </c>
      <c r="E3" s="17" t="s">
        <v>2416</v>
      </c>
      <c r="F3" s="16" t="str">
        <f>TRIM(_xlfn.TEXTBEFORE(E3, ":"))</f>
        <v>Clase de objeto</v>
      </c>
      <c r="G3" s="17" t="s">
        <v>965</v>
      </c>
      <c r="H3" s="16" t="str">
        <f>TRIM(_xlfn.TEXTBEFORE(G3, ":"))</f>
        <v>Classe d'objet</v>
      </c>
      <c r="I3" s="17" t="s">
        <v>3134</v>
      </c>
      <c r="J3" s="16" t="str">
        <f>TRIM(_xlfn.TEXTBEFORE(I3, ":"))</f>
        <v>アイテムクラス</v>
      </c>
      <c r="K3" s="17" t="s">
        <v>3881</v>
      </c>
      <c r="L3" s="16" t="str">
        <f>TRIM(_xlfn.TEXTBEFORE(K3, ":"))</f>
        <v>아이템 종류</v>
      </c>
      <c r="M3" s="17" t="s">
        <v>4610</v>
      </c>
      <c r="N3" s="16" t="str">
        <f>TRIM(_xlfn.TEXTBEFORE(M3, ":"))</f>
        <v>Classe do Item</v>
      </c>
      <c r="O3" s="17" t="s">
        <v>5295</v>
      </c>
      <c r="P3" s="16" t="str">
        <f>TRIM(_xlfn.TEXTBEFORE(O3, ":"))</f>
        <v>Класс предмета</v>
      </c>
      <c r="Q3" s="17" t="s">
        <v>6028</v>
      </c>
      <c r="R3" s="16" t="str">
        <f>TRIM(_xlfn.TEXTBEFORE(Q3, ":"))</f>
        <v>ชนิดไอเทม</v>
      </c>
      <c r="S3" s="17"/>
      <c r="T3" s="16" t="e">
        <f>TRIM(_xlfn.TEXTBEFORE(S3, ":"))</f>
        <v>#N/A</v>
      </c>
    </row>
    <row r="4" spans="1:20" ht="15.95" customHeight="1" x14ac:dyDescent="0.25">
      <c r="A4" s="18" t="s">
        <v>497</v>
      </c>
      <c r="B4" s="16" t="str">
        <f>TRIM(_xlfn.TEXTAFTER(A3, ":"))</f>
        <v>Expedition Logbooks</v>
      </c>
      <c r="C4" s="18" t="s">
        <v>1653</v>
      </c>
      <c r="D4" s="16" t="str">
        <f>TRIM(_xlfn.TEXTAFTER(C3, ":"))</f>
        <v>Expeditions-Logbücher</v>
      </c>
      <c r="E4" s="18" t="s">
        <v>2373</v>
      </c>
      <c r="F4" s="16" t="str">
        <f>TRIM(_xlfn.TEXTAFTER(E3, ":"))</f>
        <v>Registros de expedición</v>
      </c>
      <c r="G4" s="18" t="s">
        <v>920</v>
      </c>
      <c r="H4" s="16" t="str">
        <f>TRIM(_xlfn.TEXTAFTER(G3, ":"))</f>
        <v>Journaux de bord d'Expédition</v>
      </c>
      <c r="I4" s="18" t="s">
        <v>3088</v>
      </c>
      <c r="J4" s="16" t="str">
        <f>TRIM(_xlfn.TEXTAFTER(I3, ":"))</f>
        <v>エクスペディションログブック</v>
      </c>
      <c r="K4" s="18" t="s">
        <v>3838</v>
      </c>
      <c r="L4" s="16" t="str">
        <f>TRIM(_xlfn.TEXTAFTER(K3, ":"))</f>
        <v>탐험 일지</v>
      </c>
      <c r="M4" s="18" t="s">
        <v>4567</v>
      </c>
      <c r="N4" s="16" t="str">
        <f>TRIM(_xlfn.TEXTAFTER(M3, ":"))</f>
        <v>Diários de Bordo Expedition</v>
      </c>
      <c r="O4" s="18" t="s">
        <v>5250</v>
      </c>
      <c r="P4" s="16" t="str">
        <f>TRIM(_xlfn.TEXTAFTER(O3, ":"))</f>
        <v>Журналы экспедиции</v>
      </c>
      <c r="Q4" s="18" t="s">
        <v>5987</v>
      </c>
      <c r="R4" s="16" t="str">
        <f>TRIM(_xlfn.TEXTAFTER(Q3, ":"))</f>
        <v>สมุดปูมเดินทางกองสำรวจ</v>
      </c>
      <c r="S4" s="18"/>
      <c r="T4" s="16" t="e">
        <f>TRIM(_xlfn.TEXTAFTER(S3, ":"))</f>
        <v>#N/A</v>
      </c>
    </row>
    <row r="5" spans="1:20" ht="15.95" customHeight="1" x14ac:dyDescent="0.25">
      <c r="A5" s="18" t="s">
        <v>560</v>
      </c>
      <c r="B5" s="16" t="str">
        <f>TRIM(_xlfn.TEXTBEFORE(A4, ":"))</f>
        <v>Rarity</v>
      </c>
      <c r="C5" s="18" t="s">
        <v>1698</v>
      </c>
      <c r="D5" s="16" t="str">
        <f>TRIM(_xlfn.TEXTBEFORE(C4, ":"))</f>
        <v>Seltenheit</v>
      </c>
      <c r="E5" s="18" t="s">
        <v>2417</v>
      </c>
      <c r="F5" s="16" t="str">
        <f>TRIM(_xlfn.TEXTBEFORE(E4, ":"))</f>
        <v>Rareza</v>
      </c>
      <c r="G5" s="18" t="s">
        <v>966</v>
      </c>
      <c r="H5" s="16" t="str">
        <f>TRIM(_xlfn.TEXTBEFORE(G4, ":"))</f>
        <v>Rareté</v>
      </c>
      <c r="I5" s="18" t="s">
        <v>3135</v>
      </c>
      <c r="J5" s="16" t="str">
        <f>TRIM(_xlfn.TEXTBEFORE(I4, ":"))</f>
        <v>レアリティ</v>
      </c>
      <c r="K5" s="18" t="s">
        <v>3882</v>
      </c>
      <c r="L5" s="16" t="str">
        <f>TRIM(_xlfn.TEXTBEFORE(K4, ":"))</f>
        <v>아이템 희귀도</v>
      </c>
      <c r="M5" s="18" t="s">
        <v>4611</v>
      </c>
      <c r="N5" s="16" t="str">
        <f>TRIM(_xlfn.TEXTBEFORE(M4, ":"))</f>
        <v>Raridade</v>
      </c>
      <c r="O5" s="18" t="s">
        <v>5296</v>
      </c>
      <c r="P5" s="16" t="str">
        <f>TRIM(_xlfn.TEXTBEFORE(O4, ":"))</f>
        <v>Редкость</v>
      </c>
      <c r="Q5" s="18" t="s">
        <v>6029</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561</v>
      </c>
      <c r="B7" s="16" t="str">
        <f>TRIM(_xlfn.TEXTBEFORE(A7,":"))</f>
        <v>Area Level</v>
      </c>
      <c r="C7" s="18" t="s">
        <v>1699</v>
      </c>
      <c r="D7" s="16" t="str">
        <f>TRIM(_xlfn.TEXTBEFORE(C7,":"))</f>
        <v>Gebietsstufe</v>
      </c>
      <c r="E7" s="18" t="s">
        <v>2418</v>
      </c>
      <c r="F7" s="16" t="str">
        <f>TRIM(_xlfn.TEXTBEFORE(E7,":"))</f>
        <v>Nivel del área</v>
      </c>
      <c r="G7" s="18" t="s">
        <v>967</v>
      </c>
      <c r="H7" s="16" t="str">
        <f>TRIM(_xlfn.TEXTBEFORE(G7,":"))</f>
        <v>Niveau de la zone</v>
      </c>
      <c r="I7" s="18" t="s">
        <v>3136</v>
      </c>
      <c r="J7" s="16" t="str">
        <f>TRIM(_xlfn.TEXTBEFORE(I7,":"))</f>
        <v>エリアレベル</v>
      </c>
      <c r="K7" s="18" t="s">
        <v>3883</v>
      </c>
      <c r="L7" s="16" t="str">
        <f>TRIM(_xlfn.TEXTBEFORE(K7,":"))</f>
        <v>지역 레벨</v>
      </c>
      <c r="M7" s="18" t="s">
        <v>4612</v>
      </c>
      <c r="N7" s="16" t="str">
        <f>TRIM(_xlfn.TEXTBEFORE(M7,":"))</f>
        <v>Nível da Área</v>
      </c>
      <c r="O7" s="18" t="s">
        <v>5297</v>
      </c>
      <c r="P7" s="16" t="str">
        <f>TRIM(_xlfn.TEXTBEFORE(O7,":"))</f>
        <v>Уровень области</v>
      </c>
      <c r="Q7" s="18" t="s">
        <v>6030</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434</v>
      </c>
      <c r="B9" s="16"/>
      <c r="C9" s="18" t="s">
        <v>1700</v>
      </c>
      <c r="D9" s="16"/>
      <c r="E9" s="18" t="s">
        <v>2419</v>
      </c>
      <c r="F9" s="16"/>
      <c r="G9" s="18" t="s">
        <v>968</v>
      </c>
      <c r="H9" s="16"/>
      <c r="I9" s="18" t="s">
        <v>3137</v>
      </c>
      <c r="J9" s="16"/>
      <c r="K9" s="18" t="s">
        <v>3884</v>
      </c>
      <c r="L9" s="16"/>
      <c r="M9" s="18" t="s">
        <v>4613</v>
      </c>
      <c r="N9" s="16"/>
      <c r="O9" s="18" t="s">
        <v>5298</v>
      </c>
      <c r="P9" s="16"/>
      <c r="Q9" s="18" t="s">
        <v>6031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562</v>
      </c>
      <c r="B11" s="16"/>
      <c r="C11" s="18" t="s">
        <v>1701</v>
      </c>
      <c r="D11" s="16"/>
      <c r="E11" s="18" t="s">
        <v>2420</v>
      </c>
      <c r="F11" s="16"/>
      <c r="G11" s="18" t="s">
        <v>969</v>
      </c>
      <c r="H11" s="16"/>
      <c r="I11" s="18" t="s">
        <v>3138</v>
      </c>
      <c r="J11" s="16"/>
      <c r="K11" s="18" t="s">
        <v>3885</v>
      </c>
      <c r="L11" s="16"/>
      <c r="M11" s="18" t="s">
        <v>4614</v>
      </c>
      <c r="N11" s="16"/>
      <c r="O11" s="18" t="s">
        <v>5299</v>
      </c>
      <c r="P11" s="16"/>
      <c r="Q11" s="18" t="s">
        <v>6032</v>
      </c>
      <c r="R11" s="16"/>
      <c r="S11" s="18"/>
      <c r="T11" s="16"/>
    </row>
    <row r="12" spans="1:20" ht="15.95" customHeight="1" x14ac:dyDescent="0.25">
      <c r="A12" s="18" t="s">
        <v>563</v>
      </c>
      <c r="B12" s="16"/>
      <c r="C12" s="18" t="s">
        <v>1702</v>
      </c>
      <c r="D12" s="16"/>
      <c r="E12" s="18" t="s">
        <v>2421</v>
      </c>
      <c r="F12" s="16"/>
      <c r="G12" s="18" t="s">
        <v>970</v>
      </c>
      <c r="H12" s="16"/>
      <c r="I12" s="18" t="s">
        <v>3139</v>
      </c>
      <c r="J12" s="16"/>
      <c r="K12" s="18" t="s">
        <v>3886</v>
      </c>
      <c r="L12" s="16"/>
      <c r="M12" s="18" t="s">
        <v>4615</v>
      </c>
      <c r="N12" s="16"/>
      <c r="O12" s="18" t="s">
        <v>5300</v>
      </c>
      <c r="P12" s="16"/>
      <c r="Q12" s="18" t="s">
        <v>6033</v>
      </c>
      <c r="R12" s="16"/>
      <c r="S12" s="18"/>
      <c r="T12" s="21"/>
    </row>
    <row r="13" spans="1:20" ht="15.95" customHeight="1" x14ac:dyDescent="0.25">
      <c r="A13" s="18" t="s">
        <v>564</v>
      </c>
      <c r="B13" s="16"/>
      <c r="C13" s="18" t="s">
        <v>1703</v>
      </c>
      <c r="D13" s="16"/>
      <c r="E13" s="18" t="s">
        <v>2422</v>
      </c>
      <c r="F13" s="16"/>
      <c r="G13" s="18" t="s">
        <v>971</v>
      </c>
      <c r="H13" s="16"/>
      <c r="I13" s="18" t="s">
        <v>3140</v>
      </c>
      <c r="J13" s="16"/>
      <c r="K13" s="18" t="s">
        <v>3887</v>
      </c>
      <c r="L13" s="16"/>
      <c r="M13" s="18" t="s">
        <v>4616</v>
      </c>
      <c r="N13" s="16"/>
      <c r="O13" s="18" t="s">
        <v>5301</v>
      </c>
      <c r="P13" s="16"/>
      <c r="Q13" s="18" t="s">
        <v>6034</v>
      </c>
      <c r="R13" s="16"/>
      <c r="S13" s="18"/>
      <c r="T13" s="21"/>
    </row>
    <row r="14" spans="1:20" ht="15.95" customHeight="1" x14ac:dyDescent="0.25">
      <c r="A14" s="18" t="s">
        <v>565</v>
      </c>
      <c r="B14" s="16"/>
      <c r="C14" s="18" t="s">
        <v>1704</v>
      </c>
      <c r="D14" s="16"/>
      <c r="E14" s="18" t="s">
        <v>2423</v>
      </c>
      <c r="F14" s="16"/>
      <c r="G14" s="18" t="s">
        <v>972</v>
      </c>
      <c r="H14" s="16"/>
      <c r="I14" s="18" t="s">
        <v>3141</v>
      </c>
      <c r="J14" s="16"/>
      <c r="K14" s="18" t="s">
        <v>3888</v>
      </c>
      <c r="L14" s="16"/>
      <c r="M14" s="18" t="s">
        <v>4617</v>
      </c>
      <c r="N14" s="16"/>
      <c r="O14" s="18" t="s">
        <v>5302</v>
      </c>
      <c r="P14" s="16"/>
      <c r="Q14" s="18" t="s">
        <v>6035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566</v>
      </c>
      <c r="B16" s="16"/>
      <c r="C16" s="18" t="s">
        <v>1705</v>
      </c>
      <c r="D16" s="16"/>
      <c r="E16" s="18" t="s">
        <v>2424</v>
      </c>
      <c r="F16" s="16"/>
      <c r="G16" s="18" t="s">
        <v>973</v>
      </c>
      <c r="H16" s="16"/>
      <c r="I16" s="18" t="s">
        <v>3142</v>
      </c>
      <c r="J16" s="16"/>
      <c r="K16" s="18" t="s">
        <v>3889</v>
      </c>
      <c r="L16" s="16"/>
      <c r="M16" s="18" t="s">
        <v>4618</v>
      </c>
      <c r="N16" s="16"/>
      <c r="O16" s="18" t="s">
        <v>5303</v>
      </c>
      <c r="P16" s="16"/>
      <c r="Q16" s="18" t="s">
        <v>6036</v>
      </c>
      <c r="R16" s="16"/>
      <c r="S16" s="18"/>
      <c r="T16" s="21"/>
    </row>
    <row r="17" spans="1:20" ht="15.95" customHeight="1" x14ac:dyDescent="0.25">
      <c r="A17" s="18" t="s">
        <v>563</v>
      </c>
      <c r="B17" s="16"/>
      <c r="C17" s="18" t="s">
        <v>1702</v>
      </c>
      <c r="D17" s="16"/>
      <c r="E17" s="18" t="s">
        <v>2421</v>
      </c>
      <c r="F17" s="16"/>
      <c r="G17" s="18" t="s">
        <v>970</v>
      </c>
      <c r="H17" s="16"/>
      <c r="I17" s="18" t="s">
        <v>3139</v>
      </c>
      <c r="J17" s="16"/>
      <c r="K17" s="18" t="s">
        <v>3886</v>
      </c>
      <c r="L17" s="16"/>
      <c r="M17" s="18" t="s">
        <v>4615</v>
      </c>
      <c r="N17" s="16"/>
      <c r="O17" s="18" t="s">
        <v>5300</v>
      </c>
      <c r="P17" s="16"/>
      <c r="Q17" s="18" t="s">
        <v>6033</v>
      </c>
      <c r="R17" s="16"/>
      <c r="S17" s="18"/>
      <c r="T17" s="21"/>
    </row>
    <row r="18" spans="1:20" ht="15.95" customHeight="1" x14ac:dyDescent="0.25">
      <c r="A18" s="18" t="s">
        <v>567</v>
      </c>
      <c r="B18" s="16"/>
      <c r="C18" s="18" t="s">
        <v>1706</v>
      </c>
      <c r="D18" s="16"/>
      <c r="E18" s="18" t="s">
        <v>2425</v>
      </c>
      <c r="F18" s="16"/>
      <c r="G18" s="18" t="s">
        <v>974</v>
      </c>
      <c r="H18" s="16"/>
      <c r="I18" s="18" t="s">
        <v>3143</v>
      </c>
      <c r="J18" s="16"/>
      <c r="K18" s="18" t="s">
        <v>3890</v>
      </c>
      <c r="L18" s="16"/>
      <c r="M18" s="18" t="s">
        <v>4619</v>
      </c>
      <c r="N18" s="16"/>
      <c r="O18" s="18" t="s">
        <v>5304</v>
      </c>
      <c r="P18" s="16"/>
      <c r="Q18" s="18" t="s">
        <v>6037</v>
      </c>
      <c r="R18" s="16"/>
      <c r="S18" s="18"/>
      <c r="T18" s="21"/>
    </row>
    <row r="19" spans="1:20" ht="15.95" customHeight="1" x14ac:dyDescent="0.25">
      <c r="A19" s="18" t="s">
        <v>568</v>
      </c>
      <c r="B19" s="16"/>
      <c r="C19" s="18" t="s">
        <v>1707</v>
      </c>
      <c r="D19" s="16"/>
      <c r="E19" s="18" t="s">
        <v>2426</v>
      </c>
      <c r="F19" s="16"/>
      <c r="G19" s="18" t="s">
        <v>975</v>
      </c>
      <c r="H19" s="16"/>
      <c r="I19" s="18" t="s">
        <v>3144</v>
      </c>
      <c r="J19" s="16"/>
      <c r="K19" s="18" t="s">
        <v>3891</v>
      </c>
      <c r="L19" s="16"/>
      <c r="M19" s="18" t="s">
        <v>4620</v>
      </c>
      <c r="N19" s="16"/>
      <c r="O19" s="18" t="s">
        <v>5305</v>
      </c>
      <c r="P19" s="16"/>
      <c r="Q19" s="18" t="s">
        <v>6038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569</v>
      </c>
      <c r="B21" s="16"/>
      <c r="C21" s="18" t="s">
        <v>1708</v>
      </c>
      <c r="D21" s="16"/>
      <c r="E21" s="18" t="s">
        <v>2427</v>
      </c>
      <c r="F21" s="16"/>
      <c r="G21" s="18" t="s">
        <v>976</v>
      </c>
      <c r="H21" s="16"/>
      <c r="I21" s="18" t="s">
        <v>3145</v>
      </c>
      <c r="J21" s="16"/>
      <c r="K21" s="18" t="s">
        <v>3892</v>
      </c>
      <c r="L21" s="16"/>
      <c r="M21" s="18" t="s">
        <v>4621</v>
      </c>
      <c r="N21" s="16"/>
      <c r="O21" s="18" t="s">
        <v>5306</v>
      </c>
      <c r="P21" s="16"/>
      <c r="Q21" s="18" t="s">
        <v>6039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7" priority="22" stopIfTrue="1">
      <formula>NOT(ISERROR(A3))</formula>
    </cfRule>
  </conditionalFormatting>
  <conditionalFormatting sqref="A3:T6 A7 C7 E7 G7 I7 K7 M7 O7 Q7 S7 A8:T51">
    <cfRule type="notContainsBlanks" dxfId="406" priority="23">
      <formula>LEN(TRIM(A3))&gt;0</formula>
    </cfRule>
  </conditionalFormatting>
  <conditionalFormatting sqref="A3:T51">
    <cfRule type="containsErrors" dxfId="405" priority="1" stopIfTrue="1">
      <formula>ISERROR(A3)</formula>
    </cfRule>
  </conditionalFormatting>
  <conditionalFormatting sqref="B7">
    <cfRule type="notContainsBlanks" dxfId="404" priority="20">
      <formula>LEN(TRIM(B7))&gt;0</formula>
    </cfRule>
  </conditionalFormatting>
  <conditionalFormatting sqref="D7">
    <cfRule type="notContainsBlanks" dxfId="403" priority="18">
      <formula>LEN(TRIM(D7))&gt;0</formula>
    </cfRule>
  </conditionalFormatting>
  <conditionalFormatting sqref="F7">
    <cfRule type="notContainsBlanks" dxfId="402" priority="16">
      <formula>LEN(TRIM(F7))&gt;0</formula>
    </cfRule>
  </conditionalFormatting>
  <conditionalFormatting sqref="H7">
    <cfRule type="notContainsBlanks" dxfId="401" priority="14">
      <formula>LEN(TRIM(H7))&gt;0</formula>
    </cfRule>
  </conditionalFormatting>
  <conditionalFormatting sqref="J7">
    <cfRule type="notContainsBlanks" dxfId="400" priority="12">
      <formula>LEN(TRIM(J7))&gt;0</formula>
    </cfRule>
  </conditionalFormatting>
  <conditionalFormatting sqref="L7">
    <cfRule type="notContainsBlanks" dxfId="399" priority="10">
      <formula>LEN(TRIM(L7))&gt;0</formula>
    </cfRule>
  </conditionalFormatting>
  <conditionalFormatting sqref="N7">
    <cfRule type="notContainsBlanks" dxfId="398" priority="8">
      <formula>LEN(TRIM(N7))&gt;0</formula>
    </cfRule>
  </conditionalFormatting>
  <conditionalFormatting sqref="P7">
    <cfRule type="notContainsBlanks" dxfId="397" priority="6">
      <formula>LEN(TRIM(P7))&gt;0</formula>
    </cfRule>
  </conditionalFormatting>
  <conditionalFormatting sqref="R7">
    <cfRule type="notContainsBlanks" dxfId="396" priority="4">
      <formula>LEN(TRIM(R7))&gt;0</formula>
    </cfRule>
  </conditionalFormatting>
  <conditionalFormatting sqref="T7">
    <cfRule type="notContainsBlanks" dxfId="395"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496</v>
      </c>
      <c r="B3" s="16" t="str">
        <f>TRIM(_xlfn.TEXTBEFORE(A3, ":"))</f>
        <v>Item Class</v>
      </c>
      <c r="C3" s="17" t="s">
        <v>1652</v>
      </c>
      <c r="D3" s="16" t="str">
        <f>TRIM(_xlfn.TEXTBEFORE(C3, ":"))</f>
        <v>Gegenstandsklasse</v>
      </c>
      <c r="E3" s="17" t="s">
        <v>2372</v>
      </c>
      <c r="F3" s="16" t="str">
        <f>TRIM(_xlfn.TEXTBEFORE(E3, ":"))</f>
        <v>Clase de objeto</v>
      </c>
      <c r="G3" s="17" t="s">
        <v>919</v>
      </c>
      <c r="H3" s="16" t="str">
        <f>TRIM(_xlfn.TEXTBEFORE(G3, ":"))</f>
        <v>Classe d'objet</v>
      </c>
      <c r="I3" s="17" t="s">
        <v>3087</v>
      </c>
      <c r="J3" s="16" t="str">
        <f>TRIM(_xlfn.TEXTBEFORE(I3, ":"))</f>
        <v>アイテムクラス</v>
      </c>
      <c r="K3" s="17" t="s">
        <v>3837</v>
      </c>
      <c r="L3" s="16" t="str">
        <f>TRIM(_xlfn.TEXTBEFORE(K3, ":"))</f>
        <v>아이템 종류</v>
      </c>
      <c r="M3" s="17" t="s">
        <v>4566</v>
      </c>
      <c r="N3" s="16" t="str">
        <f>TRIM(_xlfn.TEXTBEFORE(M3, ":"))</f>
        <v>Classe do Item</v>
      </c>
      <c r="O3" s="17" t="s">
        <v>5249</v>
      </c>
      <c r="P3" s="16" t="str">
        <f>TRIM(_xlfn.TEXTBEFORE(O3, ":"))</f>
        <v>Класс предмета</v>
      </c>
      <c r="Q3" s="17" t="s">
        <v>5986</v>
      </c>
      <c r="R3" s="16" t="str">
        <f>TRIM(_xlfn.TEXTBEFORE(Q3, ":"))</f>
        <v>ชนิดไอเทม</v>
      </c>
      <c r="S3" s="17"/>
      <c r="T3" s="16" t="e">
        <f>TRIM(_xlfn.TEXTBEFORE(S3, ":"))</f>
        <v>#N/A</v>
      </c>
    </row>
    <row r="4" spans="1:20" ht="15.95" customHeight="1" x14ac:dyDescent="0.25">
      <c r="A4" s="18" t="s">
        <v>471</v>
      </c>
      <c r="B4" s="16" t="str">
        <f>TRIM(_xlfn.TEXTAFTER(A3, ":"))</f>
        <v>Maps</v>
      </c>
      <c r="C4" s="18" t="s">
        <v>1682</v>
      </c>
      <c r="D4" s="16" t="str">
        <f>TRIM(_xlfn.TEXTAFTER(C3, ":"))</f>
        <v>Karten</v>
      </c>
      <c r="E4" s="18" t="s">
        <v>2401</v>
      </c>
      <c r="F4" s="16" t="str">
        <f>TRIM(_xlfn.TEXTAFTER(E3, ":"))</f>
        <v>Mapas</v>
      </c>
      <c r="G4" s="18" t="s">
        <v>949</v>
      </c>
      <c r="H4" s="16" t="str">
        <f>TRIM(_xlfn.TEXTAFTER(G3, ":"))</f>
        <v>Cartes</v>
      </c>
      <c r="I4" s="18" t="s">
        <v>3119</v>
      </c>
      <c r="J4" s="16" t="str">
        <f>TRIM(_xlfn.TEXTAFTER(I3, ":"))</f>
        <v>マップ</v>
      </c>
      <c r="K4" s="18" t="s">
        <v>3866</v>
      </c>
      <c r="L4" s="16" t="str">
        <f>TRIM(_xlfn.TEXTAFTER(K3, ":"))</f>
        <v>지도</v>
      </c>
      <c r="M4" s="18" t="s">
        <v>4596</v>
      </c>
      <c r="N4" s="16" t="str">
        <f>TRIM(_xlfn.TEXTAFTER(M3, ":"))</f>
        <v>Mapas</v>
      </c>
      <c r="O4" s="18" t="s">
        <v>5279</v>
      </c>
      <c r="P4" s="16" t="str">
        <f>TRIM(_xlfn.TEXTAFTER(O3, ":"))</f>
        <v>Карты</v>
      </c>
      <c r="Q4" s="18" t="s">
        <v>6013</v>
      </c>
      <c r="R4" s="16" t="str">
        <f>TRIM(_xlfn.TEXTAFTER(Q3, ":"))</f>
        <v>แผนที่</v>
      </c>
      <c r="S4" s="18"/>
      <c r="T4" s="16" t="e">
        <f>TRIM(_xlfn.TEXTAFTER(S3, ":"))</f>
        <v>#N/A</v>
      </c>
    </row>
    <row r="5" spans="1:20" ht="15.95" customHeight="1" x14ac:dyDescent="0.25">
      <c r="A5" s="18" t="s">
        <v>545</v>
      </c>
      <c r="B5" s="16" t="str">
        <f>TRIM(_xlfn.TEXTBEFORE(A4, ":"))</f>
        <v>Rarity</v>
      </c>
      <c r="C5" s="18" t="s">
        <v>1709</v>
      </c>
      <c r="D5" s="16" t="str">
        <f>TRIM(_xlfn.TEXTBEFORE(C4, ":"))</f>
        <v>Seltenheit</v>
      </c>
      <c r="E5" s="18" t="s">
        <v>2428</v>
      </c>
      <c r="F5" s="16" t="str">
        <f>TRIM(_xlfn.TEXTBEFORE(E4, ":"))</f>
        <v>Rareza</v>
      </c>
      <c r="G5" s="18" t="s">
        <v>977</v>
      </c>
      <c r="H5" s="16" t="str">
        <f>TRIM(_xlfn.TEXTBEFORE(G4, ":"))</f>
        <v>Rareté</v>
      </c>
      <c r="I5" s="18" t="s">
        <v>3146</v>
      </c>
      <c r="J5" s="16" t="str">
        <f>TRIM(_xlfn.TEXTBEFORE(I4, ":"))</f>
        <v>レアリティ</v>
      </c>
      <c r="K5" s="18" t="s">
        <v>3893</v>
      </c>
      <c r="L5" s="16" t="str">
        <f>TRIM(_xlfn.TEXTBEFORE(K4, ":"))</f>
        <v>아이템 희귀도</v>
      </c>
      <c r="M5" s="18" t="s">
        <v>4622</v>
      </c>
      <c r="N5" s="16" t="str">
        <f>TRIM(_xlfn.TEXTBEFORE(M4, ":"))</f>
        <v>Raridade</v>
      </c>
      <c r="O5" s="18" t="s">
        <v>5307</v>
      </c>
      <c r="P5" s="16" t="str">
        <f>TRIM(_xlfn.TEXTBEFORE(O4, ":"))</f>
        <v>Редкость</v>
      </c>
      <c r="Q5" s="18" t="s">
        <v>545</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546</v>
      </c>
      <c r="B7" s="16"/>
      <c r="C7" s="18" t="s">
        <v>1710</v>
      </c>
      <c r="D7" s="16"/>
      <c r="E7" s="18" t="s">
        <v>2429</v>
      </c>
      <c r="F7" s="16"/>
      <c r="G7" s="18" t="s">
        <v>978</v>
      </c>
      <c r="H7" s="16"/>
      <c r="I7" s="18" t="s">
        <v>3147</v>
      </c>
      <c r="J7" s="16"/>
      <c r="K7" s="18" t="s">
        <v>3894</v>
      </c>
      <c r="L7" s="16"/>
      <c r="M7" s="18" t="s">
        <v>4623</v>
      </c>
      <c r="N7" s="16"/>
      <c r="O7" s="18" t="s">
        <v>5308</v>
      </c>
      <c r="P7" s="16"/>
      <c r="Q7" s="18" t="s">
        <v>6040</v>
      </c>
      <c r="R7" s="16"/>
      <c r="S7" s="18"/>
      <c r="T7" s="16"/>
    </row>
    <row r="8" spans="1:20" ht="15.95" customHeight="1" x14ac:dyDescent="0.25">
      <c r="A8" s="18" t="s">
        <v>547</v>
      </c>
      <c r="B8" s="16" t="str">
        <f>TRIM(_xlfn.TEXTBEFORE(A8,":"))</f>
        <v>Item Quantity</v>
      </c>
      <c r="C8" s="18" t="s">
        <v>1711</v>
      </c>
      <c r="D8" s="16" t="str">
        <f>TRIM(_xlfn.TEXTBEFORE(C8,":"))</f>
        <v>Gegenstandsmenge</v>
      </c>
      <c r="E8" s="18" t="s">
        <v>2430</v>
      </c>
      <c r="F8" s="16" t="str">
        <f>TRIM(_xlfn.TEXTBEFORE(E8,":"))</f>
        <v>Cantidad de objetos</v>
      </c>
      <c r="G8" s="18" t="s">
        <v>979</v>
      </c>
      <c r="H8" s="16" t="str">
        <f>TRIM(_xlfn.TEXTBEFORE(G8,":"))</f>
        <v>Quantité d'objets</v>
      </c>
      <c r="I8" s="18" t="s">
        <v>3148</v>
      </c>
      <c r="J8" s="16" t="str">
        <f>TRIM(_xlfn.TEXTBEFORE(I8,":"))</f>
        <v>アイテム数量</v>
      </c>
      <c r="K8" s="18" t="s">
        <v>3895</v>
      </c>
      <c r="L8" s="16" t="str">
        <f>TRIM(_xlfn.TEXTBEFORE(K8,":"))</f>
        <v>아이템 수량</v>
      </c>
      <c r="M8" s="18" t="s">
        <v>4624</v>
      </c>
      <c r="N8" s="16" t="str">
        <f>TRIM(_xlfn.TEXTBEFORE(M8,":"))</f>
        <v>Quantidade de Itens</v>
      </c>
      <c r="O8" s="18" t="s">
        <v>5309</v>
      </c>
      <c r="P8" s="16" t="str">
        <f>TRIM(_xlfn.TEXTBEFORE(O8,":"))</f>
        <v>Количество предметов</v>
      </c>
      <c r="Q8" s="18" t="s">
        <v>6041</v>
      </c>
      <c r="R8" s="16" t="str">
        <f>TRIM(_xlfn.TEXTBEFORE(Q8,":"))</f>
        <v>จำนวนของไอเทม</v>
      </c>
      <c r="S8" s="18"/>
      <c r="T8" s="16" t="e">
        <f>TRIM(_xlfn.TEXTBEFORE(S8,":"))</f>
        <v>#N/A</v>
      </c>
    </row>
    <row r="9" spans="1:20" ht="15.95" customHeight="1" x14ac:dyDescent="0.25">
      <c r="A9" s="18" t="s">
        <v>548</v>
      </c>
      <c r="B9" s="16" t="str">
        <f>TRIM(_xlfn.TEXTBEFORE(A9,":"))</f>
        <v>Item Rarity</v>
      </c>
      <c r="C9" s="18" t="s">
        <v>1712</v>
      </c>
      <c r="D9" s="16" t="str">
        <f>TRIM(_xlfn.TEXTBEFORE(C9,":"))</f>
        <v>Gegenstandsseltenheit</v>
      </c>
      <c r="E9" s="18" t="s">
        <v>2431</v>
      </c>
      <c r="F9" s="16" t="str">
        <f>TRIM(_xlfn.TEXTBEFORE(E9,":"))</f>
        <v>Rareza de objetos</v>
      </c>
      <c r="G9" s="18" t="s">
        <v>980</v>
      </c>
      <c r="H9" s="16" t="str">
        <f>TRIM(_xlfn.TEXTBEFORE(G9,":"))</f>
        <v>Rareté des objets</v>
      </c>
      <c r="I9" s="18" t="s">
        <v>3149</v>
      </c>
      <c r="J9" s="16" t="str">
        <f>TRIM(_xlfn.TEXTBEFORE(I9,":"))</f>
        <v>アイテムレアリティ</v>
      </c>
      <c r="K9" s="18" t="s">
        <v>3896</v>
      </c>
      <c r="L9" s="16" t="str">
        <f>TRIM(_xlfn.TEXTBEFORE(K9,":"))</f>
        <v>아이템 희귀도</v>
      </c>
      <c r="M9" s="18" t="s">
        <v>4625</v>
      </c>
      <c r="N9" s="16" t="str">
        <f>TRIM(_xlfn.TEXTBEFORE(M9,":"))</f>
        <v>Raridade de Itens</v>
      </c>
      <c r="O9" s="18" t="s">
        <v>5310</v>
      </c>
      <c r="P9" s="16" t="str">
        <f>TRIM(_xlfn.TEXTBEFORE(O9,":"))</f>
        <v>Редкость предметов</v>
      </c>
      <c r="Q9" s="18" t="s">
        <v>6042</v>
      </c>
      <c r="R9" s="16" t="str">
        <f>TRIM(_xlfn.TEXTBEFORE(Q9,":"))</f>
        <v>ระดับความหายากของไอเทม</v>
      </c>
      <c r="S9" s="18"/>
      <c r="T9" s="16" t="e">
        <f>TRIM(_xlfn.TEXTBEFORE(S9,":"))</f>
        <v>#N/A</v>
      </c>
    </row>
    <row r="10" spans="1:20" ht="15.95" customHeight="1" x14ac:dyDescent="0.25">
      <c r="A10" s="18" t="s">
        <v>549</v>
      </c>
      <c r="B10" s="16" t="str">
        <f>TRIM(_xlfn.TEXTBEFORE(A10,":"))</f>
        <v>Monster Pack Size</v>
      </c>
      <c r="C10" s="18" t="s">
        <v>1713</v>
      </c>
      <c r="D10" s="16" t="str">
        <f>TRIM(_xlfn.TEXTBEFORE(C10,":"))</f>
        <v>Monstergruppengröße</v>
      </c>
      <c r="E10" s="18" t="s">
        <v>2432</v>
      </c>
      <c r="F10" s="16" t="str">
        <f>TRIM(_xlfn.TEXTBEFORE(E10,":"))</f>
        <v>Tamaño de los grupos de monstruos</v>
      </c>
      <c r="G10" s="18" t="s">
        <v>981</v>
      </c>
      <c r="H10" s="16" t="str">
        <f>TRIM(_xlfn.TEXTBEFORE(G10,":"))</f>
        <v>Taille des groupes de monstres</v>
      </c>
      <c r="I10" s="18" t="s">
        <v>3150</v>
      </c>
      <c r="J10" s="16" t="str">
        <f>TRIM(_xlfn.TEXTBEFORE(I10,":"))</f>
        <v>モンスターパックサイズ</v>
      </c>
      <c r="K10" s="18" t="s">
        <v>3897</v>
      </c>
      <c r="L10" s="16" t="str">
        <f>TRIM(_xlfn.TEXTBEFORE(K10,":"))</f>
        <v>몬스터 무리 규모</v>
      </c>
      <c r="M10" s="18" t="s">
        <v>4626</v>
      </c>
      <c r="N10" s="16" t="str">
        <f>TRIM(_xlfn.TEXTBEFORE(M10,":"))</f>
        <v>Tamanho do Grupo de Monstros</v>
      </c>
      <c r="O10" s="18" t="s">
        <v>5311</v>
      </c>
      <c r="P10" s="16" t="str">
        <f>TRIM(_xlfn.TEXTBEFORE(O10,":"))</f>
        <v>Размер групп монстров</v>
      </c>
      <c r="Q10" s="18" t="s">
        <v>6043</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89</v>
      </c>
      <c r="B12" s="16"/>
      <c r="C12" s="18" t="s">
        <v>1714</v>
      </c>
      <c r="D12" s="16"/>
      <c r="E12" s="18" t="s">
        <v>2433</v>
      </c>
      <c r="F12" s="16"/>
      <c r="G12" s="18" t="s">
        <v>982</v>
      </c>
      <c r="H12" s="16"/>
      <c r="I12" s="18" t="s">
        <v>3151</v>
      </c>
      <c r="J12" s="16"/>
      <c r="K12" s="18" t="s">
        <v>3898</v>
      </c>
      <c r="L12" s="16"/>
      <c r="M12" s="18" t="s">
        <v>4627</v>
      </c>
      <c r="N12" s="16"/>
      <c r="O12" s="18" t="s">
        <v>5312</v>
      </c>
      <c r="P12" s="16"/>
      <c r="Q12" s="18" t="s">
        <v>6044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550</v>
      </c>
      <c r="B14" s="16"/>
      <c r="C14" s="18" t="s">
        <v>1715</v>
      </c>
      <c r="D14" s="16"/>
      <c r="E14" s="18" t="s">
        <v>2434</v>
      </c>
      <c r="F14" s="16"/>
      <c r="G14" s="18" t="s">
        <v>983</v>
      </c>
      <c r="H14" s="16"/>
      <c r="I14" s="18" t="s">
        <v>3152</v>
      </c>
      <c r="J14" s="16"/>
      <c r="K14" s="18" t="s">
        <v>3899</v>
      </c>
      <c r="L14" s="16"/>
      <c r="M14" s="18" t="s">
        <v>4628</v>
      </c>
      <c r="N14" s="16"/>
      <c r="O14" s="18" t="s">
        <v>5313</v>
      </c>
      <c r="P14" s="16"/>
      <c r="Q14" s="18" t="s">
        <v>6045</v>
      </c>
      <c r="R14" s="16"/>
      <c r="S14" s="18"/>
      <c r="T14" s="21"/>
    </row>
    <row r="15" spans="1:20" ht="15.95" customHeight="1" x14ac:dyDescent="0.25">
      <c r="A15" s="18" t="s">
        <v>551</v>
      </c>
      <c r="B15" s="16"/>
      <c r="C15" s="18" t="s">
        <v>1716</v>
      </c>
      <c r="D15" s="16"/>
      <c r="E15" s="18" t="s">
        <v>2435</v>
      </c>
      <c r="F15" s="16"/>
      <c r="G15" s="18" t="s">
        <v>984</v>
      </c>
      <c r="H15" s="16"/>
      <c r="I15" s="18" t="s">
        <v>3153</v>
      </c>
      <c r="J15" s="16"/>
      <c r="K15" s="18" t="s">
        <v>3900</v>
      </c>
      <c r="L15" s="16"/>
      <c r="M15" s="18" t="s">
        <v>4629</v>
      </c>
      <c r="N15" s="16"/>
      <c r="O15" s="18" t="s">
        <v>5314</v>
      </c>
      <c r="P15" s="16"/>
      <c r="Q15" s="18" t="s">
        <v>6046</v>
      </c>
      <c r="R15" s="16"/>
      <c r="S15" s="18"/>
      <c r="T15" s="21"/>
    </row>
    <row r="16" spans="1:20" ht="15.95" customHeight="1" x14ac:dyDescent="0.25">
      <c r="A16" s="18" t="s">
        <v>552</v>
      </c>
      <c r="B16" s="16"/>
      <c r="C16" s="18" t="s">
        <v>1717</v>
      </c>
      <c r="D16" s="16"/>
      <c r="E16" s="18" t="s">
        <v>2436</v>
      </c>
      <c r="F16" s="16"/>
      <c r="G16" s="18" t="s">
        <v>985</v>
      </c>
      <c r="H16" s="16"/>
      <c r="I16" s="18" t="s">
        <v>3154</v>
      </c>
      <c r="J16" s="16"/>
      <c r="K16" s="18" t="s">
        <v>3901</v>
      </c>
      <c r="L16" s="16"/>
      <c r="M16" s="18" t="s">
        <v>4630</v>
      </c>
      <c r="N16" s="16"/>
      <c r="O16" s="18" t="s">
        <v>5315</v>
      </c>
      <c r="P16" s="16"/>
      <c r="Q16" s="18" t="s">
        <v>6047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502</v>
      </c>
      <c r="B18" s="16"/>
      <c r="C18" s="18" t="s">
        <v>1660</v>
      </c>
      <c r="D18" s="16"/>
      <c r="E18" s="18" t="s">
        <v>2380</v>
      </c>
      <c r="F18" s="16"/>
      <c r="G18" s="18" t="s">
        <v>927</v>
      </c>
      <c r="H18" s="16"/>
      <c r="I18" s="18" t="s">
        <v>3095</v>
      </c>
      <c r="J18" s="16"/>
      <c r="K18" s="18" t="s">
        <v>3845</v>
      </c>
      <c r="L18" s="16"/>
      <c r="M18" s="18" t="s">
        <v>4574</v>
      </c>
      <c r="N18" s="16"/>
      <c r="O18" s="18" t="s">
        <v>5257</v>
      </c>
      <c r="P18" s="16"/>
      <c r="Q18" s="18" t="s">
        <v>5993</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4" priority="42" stopIfTrue="1">
      <formula>NOT(ISERROR(A3))</formula>
    </cfRule>
  </conditionalFormatting>
  <conditionalFormatting sqref="A3:T7 A8:A10 C8:C10 E8:E10 G8:G10 I8:I10 K8:K10 M8:M10 O8:O10 Q8:Q10 S8:S10 A11:T51">
    <cfRule type="notContainsBlanks" dxfId="393" priority="43">
      <formula>LEN(TRIM(A3))&gt;0</formula>
    </cfRule>
  </conditionalFormatting>
  <conditionalFormatting sqref="A3:T51">
    <cfRule type="containsErrors" dxfId="392" priority="1" stopIfTrue="1">
      <formula>ISERROR(A3)</formula>
    </cfRule>
  </conditionalFormatting>
  <conditionalFormatting sqref="B8:B10">
    <cfRule type="notContainsBlanks" dxfId="391" priority="38">
      <formula>LEN(TRIM(B8))&gt;0</formula>
    </cfRule>
  </conditionalFormatting>
  <conditionalFormatting sqref="D8:D10">
    <cfRule type="notContainsBlanks" dxfId="390" priority="34">
      <formula>LEN(TRIM(D8))&gt;0</formula>
    </cfRule>
  </conditionalFormatting>
  <conditionalFormatting sqref="F8:F10">
    <cfRule type="notContainsBlanks" dxfId="389" priority="30">
      <formula>LEN(TRIM(F8))&gt;0</formula>
    </cfRule>
  </conditionalFormatting>
  <conditionalFormatting sqref="H8:H10">
    <cfRule type="notContainsBlanks" dxfId="388" priority="26">
      <formula>LEN(TRIM(H8))&gt;0</formula>
    </cfRule>
  </conditionalFormatting>
  <conditionalFormatting sqref="J8:J10">
    <cfRule type="notContainsBlanks" dxfId="387" priority="22">
      <formula>LEN(TRIM(J8))&gt;0</formula>
    </cfRule>
  </conditionalFormatting>
  <conditionalFormatting sqref="L8:L10">
    <cfRule type="notContainsBlanks" dxfId="386" priority="18">
      <formula>LEN(TRIM(L8))&gt;0</formula>
    </cfRule>
  </conditionalFormatting>
  <conditionalFormatting sqref="N8:N10">
    <cfRule type="notContainsBlanks" dxfId="385" priority="14">
      <formula>LEN(TRIM(N8))&gt;0</formula>
    </cfRule>
  </conditionalFormatting>
  <conditionalFormatting sqref="P8:P10">
    <cfRule type="notContainsBlanks" dxfId="384" priority="10">
      <formula>LEN(TRIM(P8))&gt;0</formula>
    </cfRule>
  </conditionalFormatting>
  <conditionalFormatting sqref="R8:R10">
    <cfRule type="notContainsBlanks" dxfId="383" priority="6">
      <formula>LEN(TRIM(R8))&gt;0</formula>
    </cfRule>
  </conditionalFormatting>
  <conditionalFormatting sqref="T8:T10">
    <cfRule type="notContainsBlanks" dxfId="382"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669</v>
      </c>
      <c r="B3" s="16" t="str">
        <f>TRIM(_xlfn.TEXTBEFORE(A3, ":"))</f>
        <v>Item Class</v>
      </c>
      <c r="C3" s="17" t="s">
        <v>1718</v>
      </c>
      <c r="D3" s="16" t="str">
        <f>TRIM(_xlfn.TEXTBEFORE(C3, ":"))</f>
        <v>Gegenstandsklasse</v>
      </c>
      <c r="E3" s="17" t="s">
        <v>2437</v>
      </c>
      <c r="F3" s="16" t="str">
        <f>TRIM(_xlfn.TEXTBEFORE(E3, ":"))</f>
        <v>Clase de objeto</v>
      </c>
      <c r="G3" s="17" t="s">
        <v>986</v>
      </c>
      <c r="H3" s="16" t="str">
        <f>TRIM(_xlfn.TEXTBEFORE(G3, ":"))</f>
        <v>Classe d'objet</v>
      </c>
      <c r="I3" s="17" t="s">
        <v>3155</v>
      </c>
      <c r="J3" s="16" t="str">
        <f>TRIM(_xlfn.TEXTBEFORE(I3, ":"))</f>
        <v>アイテムクラス</v>
      </c>
      <c r="K3" s="17" t="s">
        <v>3902</v>
      </c>
      <c r="L3" s="16" t="str">
        <f>TRIM(_xlfn.TEXTBEFORE(K3, ":"))</f>
        <v>아이템 종류</v>
      </c>
      <c r="M3" s="17" t="s">
        <v>4631</v>
      </c>
      <c r="N3" s="16" t="str">
        <f>TRIM(_xlfn.TEXTBEFORE(M3, ":"))</f>
        <v>Classe do Item</v>
      </c>
      <c r="O3" s="17" t="s">
        <v>5316</v>
      </c>
      <c r="P3" s="16" t="str">
        <f>TRIM(_xlfn.TEXTBEFORE(O3, ":"))</f>
        <v>Класс предмета</v>
      </c>
      <c r="Q3" s="17" t="s">
        <v>6048</v>
      </c>
      <c r="R3" s="16" t="str">
        <f>TRIM(_xlfn.TEXTBEFORE(Q3, ":"))</f>
        <v>ชนิดไอเทม</v>
      </c>
      <c r="S3" s="17"/>
      <c r="T3" s="20" t="e">
        <f>TRIM(_xlfn.TEXTBEFORE(S3, ":"))</f>
        <v>#N/A</v>
      </c>
    </row>
    <row r="4" spans="1:20" ht="15.95" customHeight="1" x14ac:dyDescent="0.25">
      <c r="A4" s="18" t="s">
        <v>497</v>
      </c>
      <c r="B4" s="16" t="str">
        <f>TRIM(_xlfn.TEXTAFTER(A3, ":"))</f>
        <v>Map Fragments</v>
      </c>
      <c r="C4" s="18" t="s">
        <v>1653</v>
      </c>
      <c r="D4" s="16" t="str">
        <f>TRIM(_xlfn.TEXTAFTER(C3, ":"))</f>
        <v>Kartenfragmente</v>
      </c>
      <c r="E4" s="18" t="s">
        <v>2373</v>
      </c>
      <c r="F4" s="16" t="str">
        <f>TRIM(_xlfn.TEXTAFTER(E3, ":"))</f>
        <v>Fragmentos de mapa</v>
      </c>
      <c r="G4" s="18" t="s">
        <v>920</v>
      </c>
      <c r="H4" s="16" t="str">
        <f>TRIM(_xlfn.TEXTAFTER(G3, ":"))</f>
        <v>Fragments de carte</v>
      </c>
      <c r="I4" s="18" t="s">
        <v>3088</v>
      </c>
      <c r="J4" s="16" t="str">
        <f>TRIM(_xlfn.TEXTAFTER(I3, ":"))</f>
        <v>マップの断片</v>
      </c>
      <c r="K4" s="18" t="s">
        <v>3838</v>
      </c>
      <c r="L4" s="16" t="str">
        <f>TRIM(_xlfn.TEXTAFTER(K3, ":"))</f>
        <v>지도 조각</v>
      </c>
      <c r="M4" s="18" t="s">
        <v>4567</v>
      </c>
      <c r="N4" s="16" t="str">
        <f>TRIM(_xlfn.TEXTAFTER(M3, ":"))</f>
        <v>Fragmentos de Mapas</v>
      </c>
      <c r="O4" s="18" t="s">
        <v>5250</v>
      </c>
      <c r="P4" s="16" t="str">
        <f>TRIM(_xlfn.TEXTAFTER(O3, ":"))</f>
        <v>Обрывки карт</v>
      </c>
      <c r="Q4" s="18" t="s">
        <v>5987</v>
      </c>
      <c r="R4" s="16" t="str">
        <f>TRIM(_xlfn.TEXTAFTER(Q3, ":"))</f>
        <v>ชิ้นส่วนแผนที่</v>
      </c>
      <c r="S4" s="18"/>
      <c r="T4" s="20" t="e">
        <f>TRIM(_xlfn.TEXTAFTER(S3, ":"))</f>
        <v>#N/A</v>
      </c>
    </row>
    <row r="5" spans="1:20" ht="15.95" customHeight="1" x14ac:dyDescent="0.25">
      <c r="A5" s="18" t="s">
        <v>670</v>
      </c>
      <c r="B5" s="16" t="str">
        <f>TRIM(_xlfn.TEXTBEFORE(A4, ":"))</f>
        <v>Rarity</v>
      </c>
      <c r="C5" s="18" t="s">
        <v>1719</v>
      </c>
      <c r="D5" s="16" t="str">
        <f>TRIM(_xlfn.TEXTBEFORE(C4, ":"))</f>
        <v>Seltenheit</v>
      </c>
      <c r="E5" s="18" t="s">
        <v>2438</v>
      </c>
      <c r="F5" s="16" t="str">
        <f>TRIM(_xlfn.TEXTBEFORE(E4, ":"))</f>
        <v>Rareza</v>
      </c>
      <c r="G5" s="18" t="s">
        <v>987</v>
      </c>
      <c r="H5" s="16" t="str">
        <f>TRIM(_xlfn.TEXTBEFORE(G4, ":"))</f>
        <v>Rareté</v>
      </c>
      <c r="I5" s="18" t="s">
        <v>3156</v>
      </c>
      <c r="J5" s="16" t="str">
        <f>TRIM(_xlfn.TEXTBEFORE(I4, ":"))</f>
        <v>レアリティ</v>
      </c>
      <c r="K5" s="18" t="s">
        <v>3903</v>
      </c>
      <c r="L5" s="16" t="str">
        <f>TRIM(_xlfn.TEXTBEFORE(K4, ":"))</f>
        <v>아이템 희귀도</v>
      </c>
      <c r="M5" s="18" t="s">
        <v>4632</v>
      </c>
      <c r="N5" s="16" t="str">
        <f>TRIM(_xlfn.TEXTBEFORE(M4, ":"))</f>
        <v>Raridade</v>
      </c>
      <c r="O5" s="18" t="s">
        <v>5317</v>
      </c>
      <c r="P5" s="16" t="str">
        <f>TRIM(_xlfn.TEXTBEFORE(O4, ":"))</f>
        <v>Редкость</v>
      </c>
      <c r="Q5" s="18" t="s">
        <v>6049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671</v>
      </c>
      <c r="B9" s="16"/>
      <c r="C9" s="18" t="s">
        <v>1720</v>
      </c>
      <c r="D9" s="16"/>
      <c r="E9" s="18" t="s">
        <v>2439</v>
      </c>
      <c r="F9" s="16"/>
      <c r="G9" s="18" t="s">
        <v>988</v>
      </c>
      <c r="H9" s="16"/>
      <c r="I9" s="18" t="s">
        <v>3157</v>
      </c>
      <c r="J9" s="16"/>
      <c r="K9" s="18" t="s">
        <v>3904</v>
      </c>
      <c r="L9" s="16"/>
      <c r="M9" s="18" t="s">
        <v>4633</v>
      </c>
      <c r="N9" s="16"/>
      <c r="O9" s="18" t="s">
        <v>5318</v>
      </c>
      <c r="P9" s="16"/>
      <c r="Q9" s="18" t="s">
        <v>6050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672</v>
      </c>
      <c r="B11" s="16"/>
      <c r="C11" s="18" t="s">
        <v>1721</v>
      </c>
      <c r="D11" s="16"/>
      <c r="E11" s="18" t="s">
        <v>2440</v>
      </c>
      <c r="F11" s="16"/>
      <c r="G11" s="18" t="s">
        <v>989</v>
      </c>
      <c r="H11" s="16"/>
      <c r="I11" s="18" t="s">
        <v>3158</v>
      </c>
      <c r="J11" s="16"/>
      <c r="K11" s="18" t="s">
        <v>3905</v>
      </c>
      <c r="L11" s="16"/>
      <c r="M11" s="18" t="s">
        <v>4634</v>
      </c>
      <c r="N11" s="16"/>
      <c r="O11" s="18" t="s">
        <v>5319</v>
      </c>
      <c r="P11" s="16"/>
      <c r="Q11" s="18" t="s">
        <v>6051</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1" priority="2" stopIfTrue="1">
      <formula>NOT(ISERROR(A3))</formula>
    </cfRule>
  </conditionalFormatting>
  <conditionalFormatting sqref="A3:T51">
    <cfRule type="containsErrors" dxfId="380" priority="1" stopIfTrue="1">
      <formula>ISERROR(A3)</formula>
    </cfRule>
    <cfRule type="notContainsBlanks" dxfId="379"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761</v>
      </c>
      <c r="B3" s="16" t="str">
        <f>TRIM(_xlfn.TEXTBEFORE(A3, ":"))</f>
        <v>Item Class</v>
      </c>
      <c r="C3" s="17" t="s">
        <v>1722</v>
      </c>
      <c r="D3" s="16" t="str">
        <f>TRIM(_xlfn.TEXTBEFORE(C3, ":"))</f>
        <v>Gegenstandsklasse</v>
      </c>
      <c r="E3" s="17" t="s">
        <v>2441</v>
      </c>
      <c r="F3" s="16" t="str">
        <f>TRIM(_xlfn.TEXTBEFORE(E3, ":"))</f>
        <v>Clase de objeto</v>
      </c>
      <c r="G3" s="17" t="s">
        <v>990</v>
      </c>
      <c r="H3" s="16" t="str">
        <f>TRIM(_xlfn.TEXTBEFORE(G3, ":"))</f>
        <v>Classe d'objet</v>
      </c>
      <c r="I3" s="17" t="s">
        <v>3159</v>
      </c>
      <c r="J3" s="16" t="str">
        <f>TRIM(_xlfn.TEXTBEFORE(I3, ":"))</f>
        <v>アイテムクラス</v>
      </c>
      <c r="K3" s="17" t="s">
        <v>3906</v>
      </c>
      <c r="L3" s="16" t="str">
        <f>TRIM(_xlfn.TEXTBEFORE(K3, ":"))</f>
        <v>아이템 종류</v>
      </c>
      <c r="M3" s="17" t="s">
        <v>4635</v>
      </c>
      <c r="N3" s="16" t="str">
        <f>TRIM(_xlfn.TEXTBEFORE(M3, ":"))</f>
        <v>Classe do Item</v>
      </c>
      <c r="O3" s="17" t="s">
        <v>5320</v>
      </c>
      <c r="P3" s="16" t="str">
        <f>TRIM(_xlfn.TEXTBEFORE(O3, ":"))</f>
        <v>Класс предмета</v>
      </c>
      <c r="Q3" s="17" t="s">
        <v>6052</v>
      </c>
      <c r="R3" s="16" t="str">
        <f>TRIM(_xlfn.TEXTBEFORE(Q3, ":"))</f>
        <v>ชนิดไอเทม</v>
      </c>
      <c r="S3" s="17"/>
      <c r="T3" s="20" t="e">
        <f>TRIM(_xlfn.TEXTBEFORE(S3, ":"))</f>
        <v>#N/A</v>
      </c>
    </row>
    <row r="4" spans="1:20" ht="15.95" customHeight="1" x14ac:dyDescent="0.25">
      <c r="A4" s="18" t="s">
        <v>471</v>
      </c>
      <c r="B4" s="16" t="str">
        <f>TRIM(_xlfn.TEXTAFTER(A3, ":"))</f>
        <v>Memories</v>
      </c>
      <c r="C4" s="18" t="s">
        <v>1682</v>
      </c>
      <c r="D4" s="16" t="str">
        <f>TRIM(_xlfn.TEXTAFTER(C3, ":"))</f>
        <v>Erinnerungen</v>
      </c>
      <c r="E4" s="18" t="s">
        <v>2401</v>
      </c>
      <c r="F4" s="16" t="str">
        <f>TRIM(_xlfn.TEXTAFTER(E3, ":"))</f>
        <v>Recuerdos</v>
      </c>
      <c r="G4" s="18" t="s">
        <v>949</v>
      </c>
      <c r="H4" s="16" t="str">
        <f>TRIM(_xlfn.TEXTAFTER(G3, ":"))</f>
        <v>Souvenirs</v>
      </c>
      <c r="I4" s="18" t="s">
        <v>3119</v>
      </c>
      <c r="J4" s="16" t="str">
        <f>TRIM(_xlfn.TEXTAFTER(I3, ":"))</f>
        <v>記憶</v>
      </c>
      <c r="K4" s="18" t="s">
        <v>3866</v>
      </c>
      <c r="L4" s="16" t="str">
        <f>TRIM(_xlfn.TEXTAFTER(K3, ":"))</f>
        <v>기억</v>
      </c>
      <c r="M4" s="18" t="s">
        <v>4596</v>
      </c>
      <c r="N4" s="16" t="str">
        <f>TRIM(_xlfn.TEXTAFTER(M3, ":"))</f>
        <v>Memórias</v>
      </c>
      <c r="O4" s="18" t="s">
        <v>5279</v>
      </c>
      <c r="P4" s="16" t="str">
        <f>TRIM(_xlfn.TEXTAFTER(O3, ":"))</f>
        <v>Воспоминания</v>
      </c>
      <c r="Q4" s="18" t="s">
        <v>6013</v>
      </c>
      <c r="R4" s="16" t="str">
        <f>TRIM(_xlfn.TEXTAFTER(Q3, ":"))</f>
        <v>ความทรงจำ</v>
      </c>
      <c r="S4" s="18"/>
      <c r="T4" s="20" t="e">
        <f>TRIM(_xlfn.TEXTAFTER(S3, ":"))</f>
        <v>#N/A</v>
      </c>
    </row>
    <row r="5" spans="1:20" ht="15.95" customHeight="1" x14ac:dyDescent="0.25">
      <c r="A5" s="18" t="s">
        <v>762</v>
      </c>
      <c r="B5" s="16" t="str">
        <f>TRIM(_xlfn.TEXTBEFORE(A4, ":"))</f>
        <v>Rarity</v>
      </c>
      <c r="C5" s="18" t="s">
        <v>1723</v>
      </c>
      <c r="D5" s="16" t="str">
        <f>TRIM(_xlfn.TEXTBEFORE(C4, ":"))</f>
        <v>Seltenheit</v>
      </c>
      <c r="E5" s="18" t="s">
        <v>2442</v>
      </c>
      <c r="F5" s="16" t="str">
        <f>TRIM(_xlfn.TEXTBEFORE(E4, ":"))</f>
        <v>Rareza</v>
      </c>
      <c r="G5" s="18" t="s">
        <v>991</v>
      </c>
      <c r="H5" s="16" t="str">
        <f>TRIM(_xlfn.TEXTBEFORE(G4, ":"))</f>
        <v>Rareté</v>
      </c>
      <c r="I5" s="18" t="s">
        <v>3160</v>
      </c>
      <c r="J5" s="16" t="str">
        <f>TRIM(_xlfn.TEXTBEFORE(I4, ":"))</f>
        <v>レアリティ</v>
      </c>
      <c r="K5" s="18" t="s">
        <v>3907</v>
      </c>
      <c r="L5" s="16" t="str">
        <f>TRIM(_xlfn.TEXTBEFORE(K4, ":"))</f>
        <v>아이템 희귀도</v>
      </c>
      <c r="M5" s="18" t="s">
        <v>4636</v>
      </c>
      <c r="N5" s="16" t="str">
        <f>TRIM(_xlfn.TEXTBEFORE(M4, ":"))</f>
        <v>Raridade</v>
      </c>
      <c r="O5" s="18" t="s">
        <v>5321</v>
      </c>
      <c r="P5" s="16" t="str">
        <f>TRIM(_xlfn.TEXTBEFORE(O4, ":"))</f>
        <v>Редкость</v>
      </c>
      <c r="Q5" s="18" t="s">
        <v>6053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89</v>
      </c>
      <c r="B7" s="16"/>
      <c r="C7" s="18" t="s">
        <v>1714</v>
      </c>
      <c r="D7" s="16"/>
      <c r="E7" s="18" t="s">
        <v>2433</v>
      </c>
      <c r="F7" s="16"/>
      <c r="G7" s="18" t="s">
        <v>982</v>
      </c>
      <c r="H7" s="16"/>
      <c r="I7" s="18" t="s">
        <v>3151</v>
      </c>
      <c r="J7" s="16"/>
      <c r="K7" s="18" t="s">
        <v>3898</v>
      </c>
      <c r="L7" s="16"/>
      <c r="M7" s="18" t="s">
        <v>4627</v>
      </c>
      <c r="N7" s="16"/>
      <c r="O7" s="18" t="s">
        <v>5312</v>
      </c>
      <c r="P7" s="16"/>
      <c r="Q7" s="18" t="s">
        <v>6044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763</v>
      </c>
      <c r="B9" s="16"/>
      <c r="C9" s="18" t="s">
        <v>1724</v>
      </c>
      <c r="D9" s="16"/>
      <c r="E9" s="18" t="s">
        <v>2443</v>
      </c>
      <c r="F9" s="16"/>
      <c r="G9" s="18" t="s">
        <v>992</v>
      </c>
      <c r="H9" s="16"/>
      <c r="I9" s="18" t="s">
        <v>3161</v>
      </c>
      <c r="J9" s="16"/>
      <c r="K9" s="18" t="s">
        <v>3908</v>
      </c>
      <c r="L9" s="16"/>
      <c r="M9" s="18" t="s">
        <v>4637</v>
      </c>
      <c r="N9" s="16"/>
      <c r="O9" s="18" t="s">
        <v>5322</v>
      </c>
      <c r="P9" s="16"/>
      <c r="Q9" s="18" t="s">
        <v>6054</v>
      </c>
      <c r="R9" s="16"/>
      <c r="S9" s="18"/>
      <c r="T9" s="20"/>
    </row>
    <row r="10" spans="1:20" ht="15.95" customHeight="1" x14ac:dyDescent="0.25">
      <c r="A10" s="18" t="s">
        <v>764</v>
      </c>
      <c r="B10" s="16"/>
      <c r="C10" s="18" t="s">
        <v>1725</v>
      </c>
      <c r="D10" s="16"/>
      <c r="E10" s="18" t="s">
        <v>2444</v>
      </c>
      <c r="F10" s="16"/>
      <c r="G10" s="18" t="s">
        <v>993</v>
      </c>
      <c r="H10" s="16"/>
      <c r="I10" s="18" t="s">
        <v>3162</v>
      </c>
      <c r="J10" s="16"/>
      <c r="K10" s="18" t="s">
        <v>3909</v>
      </c>
      <c r="L10" s="16"/>
      <c r="M10" s="18" t="s">
        <v>4638</v>
      </c>
      <c r="N10" s="16"/>
      <c r="O10" s="18" t="s">
        <v>5323</v>
      </c>
      <c r="P10" s="16"/>
      <c r="Q10" s="18" t="s">
        <v>6055</v>
      </c>
      <c r="R10" s="16"/>
      <c r="S10" s="18"/>
      <c r="T10" s="20"/>
    </row>
    <row r="11" spans="1:20" ht="15.95" customHeight="1" x14ac:dyDescent="0.25">
      <c r="A11" s="18" t="s">
        <v>765</v>
      </c>
      <c r="B11" s="16"/>
      <c r="C11" s="18" t="s">
        <v>1726</v>
      </c>
      <c r="D11" s="16"/>
      <c r="E11" s="18" t="s">
        <v>2445</v>
      </c>
      <c r="F11" s="16"/>
      <c r="G11" s="18" t="s">
        <v>994</v>
      </c>
      <c r="H11" s="16"/>
      <c r="I11" s="18" t="s">
        <v>3163</v>
      </c>
      <c r="J11" s="16"/>
      <c r="K11" s="18" t="s">
        <v>3910</v>
      </c>
      <c r="L11" s="16"/>
      <c r="M11" s="18" t="s">
        <v>4639</v>
      </c>
      <c r="N11" s="16"/>
      <c r="O11" s="18" t="s">
        <v>5324</v>
      </c>
      <c r="P11" s="16"/>
      <c r="Q11" s="18" t="s">
        <v>6056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766</v>
      </c>
      <c r="B13" s="16"/>
      <c r="C13" s="18" t="s">
        <v>1727</v>
      </c>
      <c r="D13" s="16"/>
      <c r="E13" s="18" t="s">
        <v>2446</v>
      </c>
      <c r="F13" s="16"/>
      <c r="G13" s="18" t="s">
        <v>995</v>
      </c>
      <c r="H13" s="16"/>
      <c r="I13" s="18" t="s">
        <v>3164</v>
      </c>
      <c r="J13" s="16"/>
      <c r="K13" s="18" t="s">
        <v>3911</v>
      </c>
      <c r="L13" s="16"/>
      <c r="M13" s="18" t="s">
        <v>4640</v>
      </c>
      <c r="N13" s="16"/>
      <c r="O13" s="18" t="s">
        <v>5325</v>
      </c>
      <c r="P13" s="16"/>
      <c r="Q13" s="18" t="s">
        <v>6057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767</v>
      </c>
      <c r="B15" s="16"/>
      <c r="C15" s="18" t="s">
        <v>1728</v>
      </c>
      <c r="D15" s="16"/>
      <c r="E15" s="18" t="s">
        <v>2447</v>
      </c>
      <c r="F15" s="16"/>
      <c r="G15" s="18" t="s">
        <v>996</v>
      </c>
      <c r="H15" s="16"/>
      <c r="I15" s="18" t="s">
        <v>3165</v>
      </c>
      <c r="J15" s="16"/>
      <c r="K15" s="18" t="s">
        <v>3912</v>
      </c>
      <c r="L15" s="16"/>
      <c r="M15" s="18" t="s">
        <v>4641</v>
      </c>
      <c r="N15" s="16"/>
      <c r="O15" s="18" t="s">
        <v>5326</v>
      </c>
      <c r="P15" s="16"/>
      <c r="Q15" s="18" t="s">
        <v>6058</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 stopIfTrue="1">
      <formula>NOT(ISERROR(A3))</formula>
    </cfRule>
  </conditionalFormatting>
  <conditionalFormatting sqref="A3:T51">
    <cfRule type="containsErrors" dxfId="377" priority="1" stopIfTrue="1">
      <formula>ISERROR(A3)</formula>
    </cfRule>
    <cfRule type="notContainsBlanks" dxfId="376"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673</v>
      </c>
      <c r="B3" s="16" t="str">
        <f>TRIM(_xlfn.TEXTBEFORE(A3, ":"))</f>
        <v>Item Class</v>
      </c>
      <c r="C3" s="17" t="s">
        <v>1729</v>
      </c>
      <c r="D3" s="16" t="str">
        <f>TRIM(_xlfn.TEXTBEFORE(C3, ":"))</f>
        <v>Gegenstandsklasse</v>
      </c>
      <c r="E3" s="17" t="s">
        <v>2448</v>
      </c>
      <c r="F3" s="16" t="str">
        <f>TRIM(_xlfn.TEXTBEFORE(E3, ":"))</f>
        <v>Clase de objeto</v>
      </c>
      <c r="G3" s="17" t="s">
        <v>997</v>
      </c>
      <c r="H3" s="16" t="str">
        <f>TRIM(_xlfn.TEXTBEFORE(G3, ":"))</f>
        <v>Classe d'objet</v>
      </c>
      <c r="I3" s="17" t="s">
        <v>3166</v>
      </c>
      <c r="J3" s="16" t="str">
        <f>TRIM(_xlfn.TEXTBEFORE(I3, ":"))</f>
        <v>アイテムクラス</v>
      </c>
      <c r="K3" s="17" t="s">
        <v>3913</v>
      </c>
      <c r="L3" s="16" t="str">
        <f>TRIM(_xlfn.TEXTBEFORE(K3, ":"))</f>
        <v>아이템 종류</v>
      </c>
      <c r="M3" s="17" t="s">
        <v>4642</v>
      </c>
      <c r="N3" s="16" t="str">
        <f>TRIM(_xlfn.TEXTBEFORE(M3, ":"))</f>
        <v>Classe do Item</v>
      </c>
      <c r="O3" s="17" t="s">
        <v>5327</v>
      </c>
      <c r="P3" s="16" t="str">
        <f>TRIM(_xlfn.TEXTBEFORE(O3, ":"))</f>
        <v>Класс предмета</v>
      </c>
      <c r="Q3" s="17" t="s">
        <v>6059</v>
      </c>
      <c r="R3" s="16" t="str">
        <f>TRIM(_xlfn.TEXTBEFORE(Q3, ":"))</f>
        <v>ชนิดไอเทม</v>
      </c>
      <c r="S3" s="17"/>
      <c r="T3" s="20" t="e">
        <f>TRIM(_xlfn.TEXTBEFORE(S3, ":"))</f>
        <v>#N/A</v>
      </c>
    </row>
    <row r="4" spans="1:20" ht="15.95" customHeight="1" x14ac:dyDescent="0.25">
      <c r="A4" s="18" t="s">
        <v>497</v>
      </c>
      <c r="B4" s="16" t="str">
        <f>TRIM(_xlfn.TEXTAFTER(A3, ":"))</f>
        <v>Misc Map Items</v>
      </c>
      <c r="C4" s="18" t="s">
        <v>1653</v>
      </c>
      <c r="D4" s="16" t="str">
        <f>TRIM(_xlfn.TEXTAFTER(C3, ":"))</f>
        <v>Sonstige Kartengegenstände</v>
      </c>
      <c r="E4" s="18" t="s">
        <v>2373</v>
      </c>
      <c r="F4" s="16" t="str">
        <f>TRIM(_xlfn.TEXTAFTER(E3, ":"))</f>
        <v>Objetos misceláneos de mapa</v>
      </c>
      <c r="G4" s="18" t="s">
        <v>920</v>
      </c>
      <c r="H4" s="16" t="str">
        <f>TRIM(_xlfn.TEXTAFTER(G3, ":"))</f>
        <v>Objets de Carte divers</v>
      </c>
      <c r="I4" s="18" t="s">
        <v>3088</v>
      </c>
      <c r="J4" s="16" t="str">
        <f>TRIM(_xlfn.TEXTAFTER(I3, ":"))</f>
        <v>その他マップアイテム</v>
      </c>
      <c r="K4" s="18" t="s">
        <v>3838</v>
      </c>
      <c r="L4" s="16" t="str">
        <f>TRIM(_xlfn.TEXTAFTER(K3, ":"))</f>
        <v>기타 지도 아이템</v>
      </c>
      <c r="M4" s="18" t="s">
        <v>4567</v>
      </c>
      <c r="N4" s="16" t="str">
        <f>TRIM(_xlfn.TEXTAFTER(M3, ":"))</f>
        <v>Itens Mapas Variados</v>
      </c>
      <c r="O4" s="18" t="s">
        <v>5250</v>
      </c>
      <c r="P4" s="16" t="str">
        <f>TRIM(_xlfn.TEXTAFTER(O3, ":"))</f>
        <v>Прочие предметы карт</v>
      </c>
      <c r="Q4" s="18" t="s">
        <v>5987</v>
      </c>
      <c r="R4" s="16" t="str">
        <f>TRIM(_xlfn.TEXTAFTER(Q3, ":"))</f>
        <v>ไอเทมแผนที่อื่นๆ</v>
      </c>
      <c r="S4" s="18"/>
      <c r="T4" s="20" t="e">
        <f>TRIM(_xlfn.TEXTAFTER(S3, ":"))</f>
        <v>#N/A</v>
      </c>
    </row>
    <row r="5" spans="1:20" ht="15.95" customHeight="1" x14ac:dyDescent="0.25">
      <c r="A5" s="18" t="s">
        <v>674</v>
      </c>
      <c r="B5" s="16" t="str">
        <f>TRIM(_xlfn.TEXTBEFORE(A4, ":"))</f>
        <v>Rarity</v>
      </c>
      <c r="C5" s="18" t="s">
        <v>1730</v>
      </c>
      <c r="D5" s="16" t="str">
        <f>TRIM(_xlfn.TEXTBEFORE(C4, ":"))</f>
        <v>Seltenheit</v>
      </c>
      <c r="E5" s="18" t="s">
        <v>2449</v>
      </c>
      <c r="F5" s="16" t="str">
        <f>TRIM(_xlfn.TEXTBEFORE(E4, ":"))</f>
        <v>Rareza</v>
      </c>
      <c r="G5" s="18" t="s">
        <v>998</v>
      </c>
      <c r="H5" s="16" t="str">
        <f>TRIM(_xlfn.TEXTBEFORE(G4, ":"))</f>
        <v>Rareté</v>
      </c>
      <c r="I5" s="18" t="s">
        <v>3167</v>
      </c>
      <c r="J5" s="16" t="str">
        <f>TRIM(_xlfn.TEXTBEFORE(I4, ":"))</f>
        <v>レアリティ</v>
      </c>
      <c r="K5" s="18" t="s">
        <v>3914</v>
      </c>
      <c r="L5" s="16" t="str">
        <f>TRIM(_xlfn.TEXTBEFORE(K4, ":"))</f>
        <v>아이템 희귀도</v>
      </c>
      <c r="M5" s="18" t="s">
        <v>4643</v>
      </c>
      <c r="N5" s="16" t="str">
        <f>TRIM(_xlfn.TEXTBEFORE(M4, ":"))</f>
        <v>Raridade</v>
      </c>
      <c r="O5" s="18" t="s">
        <v>5328</v>
      </c>
      <c r="P5" s="16" t="str">
        <f>TRIM(_xlfn.TEXTBEFORE(O4, ":"))</f>
        <v>Редкость</v>
      </c>
      <c r="Q5" s="18" t="s">
        <v>6060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255</v>
      </c>
      <c r="B7" s="16"/>
      <c r="C7" s="18" t="s">
        <v>1731</v>
      </c>
      <c r="D7" s="16"/>
      <c r="E7" s="18" t="s">
        <v>2450</v>
      </c>
      <c r="F7" s="16"/>
      <c r="G7" s="18" t="s">
        <v>999</v>
      </c>
      <c r="H7" s="16"/>
      <c r="I7" s="18" t="s">
        <v>3168</v>
      </c>
      <c r="J7" s="16"/>
      <c r="K7" s="18" t="s">
        <v>3915</v>
      </c>
      <c r="L7" s="16"/>
      <c r="M7" s="18" t="s">
        <v>4644</v>
      </c>
      <c r="N7" s="16"/>
      <c r="O7" s="18" t="s">
        <v>5329</v>
      </c>
      <c r="P7" s="16"/>
      <c r="Q7" s="18" t="s">
        <v>6061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675</v>
      </c>
      <c r="B9" s="16"/>
      <c r="C9" s="18" t="s">
        <v>1732</v>
      </c>
      <c r="D9" s="16"/>
      <c r="E9" s="18" t="s">
        <v>2451</v>
      </c>
      <c r="F9" s="16"/>
      <c r="G9" s="18" t="s">
        <v>1000</v>
      </c>
      <c r="H9" s="16"/>
      <c r="I9" s="18" t="s">
        <v>3169</v>
      </c>
      <c r="J9" s="16"/>
      <c r="K9" s="18" t="s">
        <v>3916</v>
      </c>
      <c r="L9" s="16"/>
      <c r="M9" s="18" t="s">
        <v>4645</v>
      </c>
      <c r="N9" s="16"/>
      <c r="O9" s="18" t="s">
        <v>5330</v>
      </c>
      <c r="P9" s="16"/>
      <c r="Q9" s="18" t="s">
        <v>6062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676</v>
      </c>
      <c r="B11" s="16"/>
      <c r="C11" s="18" t="s">
        <v>1733</v>
      </c>
      <c r="D11" s="16"/>
      <c r="E11" s="18" t="s">
        <v>2452</v>
      </c>
      <c r="F11" s="16"/>
      <c r="G11" s="18" t="s">
        <v>1001</v>
      </c>
      <c r="H11" s="16"/>
      <c r="I11" s="18" t="s">
        <v>3170</v>
      </c>
      <c r="J11" s="16"/>
      <c r="K11" s="18" t="s">
        <v>3917</v>
      </c>
      <c r="L11" s="16"/>
      <c r="M11" s="18" t="s">
        <v>4646</v>
      </c>
      <c r="N11" s="16"/>
      <c r="O11" s="18" t="s">
        <v>5331</v>
      </c>
      <c r="P11" s="16"/>
      <c r="Q11" s="18" t="s">
        <v>6063</v>
      </c>
      <c r="R11" s="16"/>
      <c r="S11" s="18"/>
      <c r="T11" s="20"/>
    </row>
    <row r="12" spans="1:20" ht="15.95" customHeight="1" x14ac:dyDescent="0.25">
      <c r="A12" s="18" t="s">
        <v>677</v>
      </c>
      <c r="B12" s="16"/>
      <c r="C12" s="18" t="s">
        <v>1734</v>
      </c>
      <c r="D12" s="16"/>
      <c r="E12" s="18" t="s">
        <v>2453</v>
      </c>
      <c r="F12" s="16"/>
      <c r="G12" s="18" t="s">
        <v>1002</v>
      </c>
      <c r="H12" s="16"/>
      <c r="I12" s="18" t="s">
        <v>3171</v>
      </c>
      <c r="J12" s="16"/>
      <c r="K12" s="18" t="s">
        <v>3918</v>
      </c>
      <c r="L12" s="16"/>
      <c r="M12" s="18" t="s">
        <v>4647</v>
      </c>
      <c r="N12" s="16"/>
      <c r="O12" s="18" t="s">
        <v>5332</v>
      </c>
      <c r="P12" s="16"/>
      <c r="Q12" s="18" t="s">
        <v>6064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678</v>
      </c>
      <c r="B14" s="16"/>
      <c r="C14" s="18" t="s">
        <v>1735</v>
      </c>
      <c r="D14" s="16"/>
      <c r="E14" s="18" t="s">
        <v>2454</v>
      </c>
      <c r="F14" s="16"/>
      <c r="G14" s="18" t="s">
        <v>1003</v>
      </c>
      <c r="H14" s="16"/>
      <c r="I14" s="18" t="s">
        <v>3172</v>
      </c>
      <c r="J14" s="16"/>
      <c r="K14" s="18" t="s">
        <v>3919</v>
      </c>
      <c r="L14" s="16"/>
      <c r="M14" s="18" t="s">
        <v>4648</v>
      </c>
      <c r="N14" s="16"/>
      <c r="O14" s="18" t="s">
        <v>5333</v>
      </c>
      <c r="P14" s="16"/>
      <c r="Q14" s="18" t="s">
        <v>6065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5" priority="2" stopIfTrue="1">
      <formula>NOT(ISERROR(A3))</formula>
    </cfRule>
  </conditionalFormatting>
  <conditionalFormatting sqref="A3:T51">
    <cfRule type="containsErrors" dxfId="374" priority="1" stopIfTrue="1">
      <formula>ISERROR(A3)</formula>
    </cfRule>
    <cfRule type="notContainsBlanks" dxfId="373"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839</v>
      </c>
      <c r="B3" s="16" t="str">
        <f>TRIM(_xlfn.TEXTBEFORE(A3, ":"))</f>
        <v>Item Class</v>
      </c>
      <c r="C3" s="17" t="s">
        <v>2288</v>
      </c>
      <c r="D3" s="16" t="str">
        <f>TRIM(_xlfn.TEXTBEFORE(C3, ":"))</f>
        <v>Gegenstandsklasse</v>
      </c>
      <c r="E3" s="17" t="s">
        <v>2293</v>
      </c>
      <c r="F3" s="16" t="str">
        <f>TRIM(_xlfn.TEXTBEFORE(E3, ":"))</f>
        <v>Clase de objeto</v>
      </c>
      <c r="G3" s="17" t="s">
        <v>1572</v>
      </c>
      <c r="H3" s="16" t="str">
        <f>TRIM(_xlfn.TEXTBEFORE(G3, ":"))</f>
        <v>Classe d'objet</v>
      </c>
      <c r="I3" s="17" t="s">
        <v>3751</v>
      </c>
      <c r="J3" s="16" t="str">
        <f>TRIM(_xlfn.TEXTBEFORE(I3, ":"))</f>
        <v>アイテムクラス</v>
      </c>
      <c r="K3" s="17" t="s">
        <v>3755</v>
      </c>
      <c r="L3" s="16" t="str">
        <f>TRIM(_xlfn.TEXTBEFORE(K3, ":"))</f>
        <v>아이템 종류</v>
      </c>
      <c r="M3" s="17" t="s">
        <v>5157</v>
      </c>
      <c r="N3" s="16" t="str">
        <f>TRIM(_xlfn.TEXTBEFORE(M3, ":"))</f>
        <v>Classe do Item</v>
      </c>
      <c r="O3" s="17" t="s">
        <v>5907</v>
      </c>
      <c r="P3" s="16" t="str">
        <f>TRIM(_xlfn.TEXTBEFORE(O3, ":"))</f>
        <v>Класс предмета</v>
      </c>
      <c r="Q3" s="17" t="s">
        <v>5911</v>
      </c>
      <c r="R3" s="16" t="str">
        <f>TRIM(_xlfn.TEXTBEFORE(Q3, ":"))</f>
        <v>ชนิดไอเทม</v>
      </c>
      <c r="S3" s="17"/>
      <c r="T3" s="20" t="e">
        <f>TRIM(_xlfn.TEXTBEFORE(S3, ":"))</f>
        <v>#N/A</v>
      </c>
    </row>
    <row r="4" spans="1:20" ht="15.95" customHeight="1" x14ac:dyDescent="0.25">
      <c r="A4" s="18" t="s">
        <v>554</v>
      </c>
      <c r="B4" s="16" t="str">
        <f>TRIM(_xlfn.TEXTAFTER(A3, ":"))</f>
        <v>Sanctum Research</v>
      </c>
      <c r="C4" s="18" t="s">
        <v>1626</v>
      </c>
      <c r="D4" s="16" t="str">
        <f>TRIM(_xlfn.TEXTAFTER(C3, ":"))</f>
        <v>Sanktum-Forschungsauftrag</v>
      </c>
      <c r="E4" s="18" t="s">
        <v>2294</v>
      </c>
      <c r="F4" s="16" t="str">
        <f>TRIM(_xlfn.TEXTAFTER(E3, ":"))</f>
        <v>Investigación del santuario</v>
      </c>
      <c r="G4" s="18" t="s">
        <v>849</v>
      </c>
      <c r="H4" s="16" t="str">
        <f>TRIM(_xlfn.TEXTAFTER(G3, ":"))</f>
        <v>Recherche du Sanctuaire</v>
      </c>
      <c r="I4" s="18" t="s">
        <v>3062</v>
      </c>
      <c r="J4" s="16" t="str">
        <f>TRIM(_xlfn.TEXTAFTER(I3, ":"))</f>
        <v>サンクタム調査書</v>
      </c>
      <c r="K4" s="18" t="s">
        <v>3756</v>
      </c>
      <c r="L4" s="16" t="str">
        <f>TRIM(_xlfn.TEXTAFTER(K3, ":"))</f>
        <v>성역 연구</v>
      </c>
      <c r="M4" s="18" t="s">
        <v>4540</v>
      </c>
      <c r="N4" s="16" t="str">
        <f>TRIM(_xlfn.TEXTAFTER(M3, ":"))</f>
        <v>Pesquisa Sanctum</v>
      </c>
      <c r="O4" s="18" t="s">
        <v>5224</v>
      </c>
      <c r="P4" s="16" t="str">
        <f>TRIM(_xlfn.TEXTAFTER(O3, ":"))</f>
        <v>Исследования Святилища</v>
      </c>
      <c r="Q4" s="18" t="s">
        <v>5912</v>
      </c>
      <c r="R4" s="16" t="str">
        <f>TRIM(_xlfn.TEXTAFTER(Q3, ":"))</f>
        <v>บทวิจัยเทวสถาน</v>
      </c>
      <c r="S4" s="18"/>
      <c r="T4" s="20" t="e">
        <f>TRIM(_xlfn.TEXTAFTER(S3, ":"))</f>
        <v>#N/A</v>
      </c>
    </row>
    <row r="5" spans="1:20" ht="15.95" customHeight="1" x14ac:dyDescent="0.25">
      <c r="A5" s="18" t="s">
        <v>840</v>
      </c>
      <c r="B5" s="16" t="str">
        <f>TRIM(_xlfn.TEXTBEFORE(A4, ":"))</f>
        <v>Rarity</v>
      </c>
      <c r="C5" s="18" t="s">
        <v>2289</v>
      </c>
      <c r="D5" s="16" t="str">
        <f>TRIM(_xlfn.TEXTBEFORE(C4, ":"))</f>
        <v>Seltenheit</v>
      </c>
      <c r="E5" s="18" t="s">
        <v>2295</v>
      </c>
      <c r="F5" s="16" t="str">
        <f>TRIM(_xlfn.TEXTBEFORE(E4, ":"))</f>
        <v>Rareza</v>
      </c>
      <c r="G5" s="18" t="s">
        <v>1573</v>
      </c>
      <c r="H5" s="16" t="str">
        <f>TRIM(_xlfn.TEXTBEFORE(G4, ":"))</f>
        <v>Rareté</v>
      </c>
      <c r="I5" s="18" t="s">
        <v>3752</v>
      </c>
      <c r="J5" s="16" t="str">
        <f>TRIM(_xlfn.TEXTBEFORE(I4, ":"))</f>
        <v>レアリティ</v>
      </c>
      <c r="K5" s="18" t="s">
        <v>3757</v>
      </c>
      <c r="L5" s="16" t="str">
        <f>TRIM(_xlfn.TEXTBEFORE(K4, ":"))</f>
        <v>아이템 희귀도</v>
      </c>
      <c r="M5" s="18" t="s">
        <v>5158</v>
      </c>
      <c r="N5" s="16" t="str">
        <f>TRIM(_xlfn.TEXTBEFORE(M4, ":"))</f>
        <v>Raridade</v>
      </c>
      <c r="O5" s="18" t="s">
        <v>5908</v>
      </c>
      <c r="P5" s="16" t="str">
        <f>TRIM(_xlfn.TEXTBEFORE(O4, ":"))</f>
        <v>Редкость</v>
      </c>
      <c r="Q5" s="18" t="s">
        <v>5913</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841</v>
      </c>
      <c r="B7" s="16"/>
      <c r="C7" s="18" t="s">
        <v>2290</v>
      </c>
      <c r="D7" s="16"/>
      <c r="E7" s="18" t="s">
        <v>2296</v>
      </c>
      <c r="F7" s="16"/>
      <c r="G7" s="18" t="s">
        <v>1574</v>
      </c>
      <c r="H7" s="16"/>
      <c r="I7" s="18" t="s">
        <v>3753</v>
      </c>
      <c r="J7" s="16"/>
      <c r="K7" s="18" t="s">
        <v>3758</v>
      </c>
      <c r="L7" s="16"/>
      <c r="M7" s="18" t="s">
        <v>5159</v>
      </c>
      <c r="N7" s="16"/>
      <c r="O7" s="18" t="s">
        <v>5909</v>
      </c>
      <c r="P7" s="16"/>
      <c r="Q7" s="18" t="s">
        <v>5914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83</v>
      </c>
      <c r="B9" s="16"/>
      <c r="C9" s="18" t="s">
        <v>1663</v>
      </c>
      <c r="D9" s="16"/>
      <c r="E9" s="18" t="s">
        <v>2297</v>
      </c>
      <c r="F9" s="16"/>
      <c r="G9" s="18" t="s">
        <v>930</v>
      </c>
      <c r="H9" s="16"/>
      <c r="I9" s="18" t="s">
        <v>3099</v>
      </c>
      <c r="J9" s="16"/>
      <c r="K9" s="18" t="s">
        <v>3759</v>
      </c>
      <c r="L9" s="16"/>
      <c r="M9" s="18" t="s">
        <v>4577</v>
      </c>
      <c r="N9" s="16"/>
      <c r="O9" s="18" t="s">
        <v>5260</v>
      </c>
      <c r="P9" s="16"/>
      <c r="Q9" s="18" t="s">
        <v>5915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842</v>
      </c>
      <c r="B11" s="16"/>
      <c r="C11" s="18" t="s">
        <v>842</v>
      </c>
      <c r="D11" s="16"/>
      <c r="E11" s="18" t="s">
        <v>842</v>
      </c>
      <c r="F11" s="16"/>
      <c r="G11" s="18" t="s">
        <v>842</v>
      </c>
      <c r="H11" s="16"/>
      <c r="I11" s="18" t="s">
        <v>842</v>
      </c>
      <c r="J11" s="16"/>
      <c r="K11" s="18" t="s">
        <v>3760</v>
      </c>
      <c r="L11" s="16"/>
      <c r="M11" s="18" t="s">
        <v>842</v>
      </c>
      <c r="N11" s="16"/>
      <c r="O11" s="18" t="s">
        <v>842</v>
      </c>
      <c r="P11" s="16"/>
      <c r="Q11" s="18" t="s">
        <v>5916</v>
      </c>
      <c r="R11" s="16"/>
      <c r="S11" s="18"/>
      <c r="T11" s="20"/>
    </row>
    <row r="12" spans="1:20" ht="15.95" customHeight="1" x14ac:dyDescent="0.25">
      <c r="A12" s="18" t="s">
        <v>843</v>
      </c>
      <c r="B12" s="16"/>
      <c r="C12" s="18" t="s">
        <v>2291</v>
      </c>
      <c r="D12" s="16"/>
      <c r="E12" s="18" t="s">
        <v>843</v>
      </c>
      <c r="F12" s="16"/>
      <c r="G12" s="18" t="s">
        <v>843</v>
      </c>
      <c r="H12" s="16"/>
      <c r="I12" s="18" t="s">
        <v>843</v>
      </c>
      <c r="J12" s="16"/>
      <c r="K12" s="18" t="s">
        <v>3761</v>
      </c>
      <c r="L12" s="16"/>
      <c r="M12" s="18" t="s">
        <v>843</v>
      </c>
      <c r="N12" s="16"/>
      <c r="O12" s="18" t="s">
        <v>843</v>
      </c>
      <c r="P12" s="16"/>
      <c r="Q12" s="18" t="s">
        <v>5917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844</v>
      </c>
      <c r="B14" s="16"/>
      <c r="C14" s="18" t="s">
        <v>2292</v>
      </c>
      <c r="D14" s="16"/>
      <c r="E14" s="18" t="s">
        <v>2298</v>
      </c>
      <c r="F14" s="16"/>
      <c r="G14" s="18" t="s">
        <v>1575</v>
      </c>
      <c r="H14" s="16"/>
      <c r="I14" s="18" t="s">
        <v>3754</v>
      </c>
      <c r="J14" s="16"/>
      <c r="K14" s="18" t="s">
        <v>3762</v>
      </c>
      <c r="L14" s="16"/>
      <c r="M14" s="18" t="s">
        <v>5160</v>
      </c>
      <c r="N14" s="16"/>
      <c r="O14" s="18" t="s">
        <v>5910</v>
      </c>
      <c r="P14" s="16"/>
      <c r="Q14" s="18" t="s">
        <v>5918</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2" priority="2" stopIfTrue="1">
      <formula>NOT(ISERROR(A3))</formula>
    </cfRule>
  </conditionalFormatting>
  <conditionalFormatting sqref="A3:T51">
    <cfRule type="containsErrors" dxfId="371" priority="1" stopIfTrue="1">
      <formula>ISERROR(A3)</formula>
    </cfRule>
    <cfRule type="notContainsBlanks" dxfId="370"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646</v>
      </c>
      <c r="B3" s="16" t="str">
        <f>TRIM(_xlfn.TEXTBEFORE(A3, ":"))</f>
        <v>Item Class</v>
      </c>
      <c r="C3" s="17" t="s">
        <v>1736</v>
      </c>
      <c r="D3" s="16" t="str">
        <f>TRIM(_xlfn.TEXTBEFORE(C3, ":"))</f>
        <v>Gegenstandsklasse</v>
      </c>
      <c r="E3" s="17" t="s">
        <v>2455</v>
      </c>
      <c r="F3" s="16" t="str">
        <f>TRIM(_xlfn.TEXTBEFORE(E3, ":"))</f>
        <v>Clase de objeto</v>
      </c>
      <c r="G3" s="17" t="s">
        <v>1004</v>
      </c>
      <c r="H3" s="16" t="str">
        <f>TRIM(_xlfn.TEXTBEFORE(G3, ":"))</f>
        <v>Classe d'objet</v>
      </c>
      <c r="I3" s="17" t="s">
        <v>3173</v>
      </c>
      <c r="J3" s="16" t="str">
        <f>TRIM(_xlfn.TEXTBEFORE(I3, ":"))</f>
        <v>アイテムクラス</v>
      </c>
      <c r="K3" s="17" t="s">
        <v>3920</v>
      </c>
      <c r="L3" s="16" t="str">
        <f>TRIM(_xlfn.TEXTBEFORE(K3, ":"))</f>
        <v>아이템 종류</v>
      </c>
      <c r="M3" s="17" t="s">
        <v>4649</v>
      </c>
      <c r="N3" s="16" t="str">
        <f>TRIM(_xlfn.TEXTBEFORE(M3, ":"))</f>
        <v>Classe do Item</v>
      </c>
      <c r="O3" s="17" t="s">
        <v>5334</v>
      </c>
      <c r="P3" s="16" t="str">
        <f>TRIM(_xlfn.TEXTBEFORE(O3, ":"))</f>
        <v>Класс предмета</v>
      </c>
      <c r="Q3" s="17" t="s">
        <v>6066</v>
      </c>
      <c r="R3" s="16" t="str">
        <f>TRIM(_xlfn.TEXTBEFORE(Q3, ":"))</f>
        <v>ชนิดไอเทม</v>
      </c>
      <c r="S3" s="17"/>
      <c r="T3" s="20" t="e">
        <f>TRIM(_xlfn.TEXTBEFORE(S3, ":"))</f>
        <v>#N/A</v>
      </c>
    </row>
    <row r="4" spans="1:20" ht="15.95" customHeight="1" x14ac:dyDescent="0.25">
      <c r="A4" s="18" t="s">
        <v>497</v>
      </c>
      <c r="B4" s="16" t="str">
        <f>TRIM(_xlfn.TEXTAFTER(A3, ":"))</f>
        <v>Hybrid Flasks</v>
      </c>
      <c r="C4" s="18" t="s">
        <v>1653</v>
      </c>
      <c r="D4" s="16" t="str">
        <f>TRIM(_xlfn.TEXTAFTER(C3, ":"))</f>
        <v>Hybridfläschchen</v>
      </c>
      <c r="E4" s="18" t="s">
        <v>2373</v>
      </c>
      <c r="F4" s="16" t="str">
        <f>TRIM(_xlfn.TEXTAFTER(E3, ":"))</f>
        <v>Frascos híbridos</v>
      </c>
      <c r="G4" s="18" t="s">
        <v>920</v>
      </c>
      <c r="H4" s="16" t="str">
        <f>TRIM(_xlfn.TEXTAFTER(G3, ":"))</f>
        <v>Flacons hybrides</v>
      </c>
      <c r="I4" s="18" t="s">
        <v>3088</v>
      </c>
      <c r="J4" s="16" t="str">
        <f>TRIM(_xlfn.TEXTAFTER(I3, ":"))</f>
        <v>ハイブリッドフラスコ</v>
      </c>
      <c r="K4" s="18" t="s">
        <v>3838</v>
      </c>
      <c r="L4" s="16" t="str">
        <f>TRIM(_xlfn.TEXTAFTER(K3, ":"))</f>
        <v>하이브리드 플라스크</v>
      </c>
      <c r="M4" s="18" t="s">
        <v>4567</v>
      </c>
      <c r="N4" s="16" t="str">
        <f>TRIM(_xlfn.TEXTAFTER(M3, ":"))</f>
        <v>Frascos Híbridos</v>
      </c>
      <c r="O4" s="18" t="s">
        <v>5250</v>
      </c>
      <c r="P4" s="16" t="str">
        <f>TRIM(_xlfn.TEXTAFTER(O3, ":"))</f>
        <v>Флаконы равновесия</v>
      </c>
      <c r="Q4" s="18" t="s">
        <v>5987</v>
      </c>
      <c r="R4" s="16" t="str">
        <f>TRIM(_xlfn.TEXTAFTER(Q3, ":"))</f>
        <v>ขวดยาผสม</v>
      </c>
      <c r="S4" s="18"/>
      <c r="T4" s="20" t="e">
        <f>TRIM(_xlfn.TEXTAFTER(S3, ":"))</f>
        <v>#N/A</v>
      </c>
    </row>
    <row r="5" spans="1:20" ht="15.95" customHeight="1" x14ac:dyDescent="0.25">
      <c r="A5" s="18" t="s">
        <v>647</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t="s">
        <v>5335</v>
      </c>
      <c r="P5" s="16" t="str">
        <f>TRIM(_xlfn.TEXTBEFORE(O4, ":"))</f>
        <v>Редкость</v>
      </c>
      <c r="Q5" s="18" t="s">
        <v>647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648</v>
      </c>
      <c r="B7" s="16"/>
      <c r="C7" s="18" t="s">
        <v>1738</v>
      </c>
      <c r="D7" s="16"/>
      <c r="E7" s="18" t="s">
        <v>2457</v>
      </c>
      <c r="F7" s="16"/>
      <c r="G7" s="18" t="s">
        <v>1006</v>
      </c>
      <c r="H7" s="16"/>
      <c r="I7" s="18" t="s">
        <v>3175</v>
      </c>
      <c r="J7" s="16"/>
      <c r="K7" s="18" t="s">
        <v>3922</v>
      </c>
      <c r="L7" s="16"/>
      <c r="M7" s="18" t="s">
        <v>4651</v>
      </c>
      <c r="N7" s="16"/>
      <c r="O7" s="18" t="s">
        <v>5336</v>
      </c>
      <c r="P7" s="16"/>
      <c r="Q7" s="18" t="s">
        <v>6067</v>
      </c>
      <c r="R7" s="16"/>
      <c r="S7" s="18"/>
      <c r="T7" s="20"/>
    </row>
    <row r="8" spans="1:20" ht="15.95" customHeight="1" x14ac:dyDescent="0.25">
      <c r="A8" s="18" t="s">
        <v>649</v>
      </c>
      <c r="B8" s="16"/>
      <c r="C8" s="18" t="s">
        <v>1739</v>
      </c>
      <c r="D8" s="16"/>
      <c r="E8" s="18" t="s">
        <v>2458</v>
      </c>
      <c r="F8" s="16"/>
      <c r="G8" s="18" t="s">
        <v>1007</v>
      </c>
      <c r="H8" s="16"/>
      <c r="I8" s="18" t="s">
        <v>3176</v>
      </c>
      <c r="J8" s="16"/>
      <c r="K8" s="18" t="s">
        <v>3923</v>
      </c>
      <c r="L8" s="16"/>
      <c r="M8" s="18" t="s">
        <v>4652</v>
      </c>
      <c r="N8" s="16"/>
      <c r="O8" s="18" t="s">
        <v>5337</v>
      </c>
      <c r="P8" s="16"/>
      <c r="Q8" s="18" t="s">
        <v>6068</v>
      </c>
      <c r="R8" s="16"/>
      <c r="S8" s="18"/>
      <c r="T8" s="20"/>
    </row>
    <row r="9" spans="1:20" ht="15.95" customHeight="1" x14ac:dyDescent="0.25">
      <c r="A9" s="18" t="s">
        <v>650</v>
      </c>
      <c r="B9" s="16"/>
      <c r="C9" s="18" t="s">
        <v>1740</v>
      </c>
      <c r="D9" s="16"/>
      <c r="E9" s="18" t="s">
        <v>2459</v>
      </c>
      <c r="F9" s="16"/>
      <c r="G9" s="18" t="s">
        <v>1008</v>
      </c>
      <c r="H9" s="16"/>
      <c r="I9" s="18" t="s">
        <v>3177</v>
      </c>
      <c r="J9" s="16"/>
      <c r="K9" s="18" t="s">
        <v>3924</v>
      </c>
      <c r="L9" s="16"/>
      <c r="M9" s="18" t="s">
        <v>4653</v>
      </c>
      <c r="N9" s="16"/>
      <c r="O9" s="18" t="s">
        <v>5338</v>
      </c>
      <c r="P9" s="16"/>
      <c r="Q9" s="18" t="s">
        <v>6069</v>
      </c>
      <c r="R9" s="16"/>
      <c r="S9" s="18"/>
      <c r="T9" s="20"/>
    </row>
    <row r="10" spans="1:20" ht="15.95" customHeight="1" x14ac:dyDescent="0.25">
      <c r="A10" s="18" t="s">
        <v>651</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20"/>
    </row>
    <row r="11" spans="1:20" ht="15.95" customHeight="1" x14ac:dyDescent="0.25">
      <c r="A11" s="18" t="s">
        <v>473</v>
      </c>
      <c r="B11" s="16"/>
      <c r="C11" s="18" t="s">
        <v>1742</v>
      </c>
      <c r="D11" s="16"/>
      <c r="E11" s="18" t="s">
        <v>2461</v>
      </c>
      <c r="F11" s="16"/>
      <c r="G11" s="18" t="s">
        <v>1010</v>
      </c>
      <c r="H11" s="16"/>
      <c r="I11" s="18" t="s">
        <v>3179</v>
      </c>
      <c r="J11" s="16"/>
      <c r="K11" s="18" t="s">
        <v>3926</v>
      </c>
      <c r="L11" s="16"/>
      <c r="M11" s="18" t="s">
        <v>4655</v>
      </c>
      <c r="N11" s="16"/>
      <c r="O11" s="18" t="s">
        <v>5340</v>
      </c>
      <c r="P11" s="16"/>
      <c r="Q11" s="18" t="s">
        <v>6071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0"/>
    </row>
    <row r="14" spans="1:20" ht="15.95" customHeight="1" x14ac:dyDescent="0.25">
      <c r="A14" s="18" t="s">
        <v>290</v>
      </c>
      <c r="B14" s="16"/>
      <c r="C14" s="18" t="s">
        <v>1743</v>
      </c>
      <c r="D14" s="16"/>
      <c r="E14" s="18" t="s">
        <v>2462</v>
      </c>
      <c r="F14" s="16"/>
      <c r="G14" s="18" t="s">
        <v>1011</v>
      </c>
      <c r="H14" s="16"/>
      <c r="I14" s="18" t="s">
        <v>3180</v>
      </c>
      <c r="J14" s="16"/>
      <c r="K14" s="18" t="s">
        <v>3927</v>
      </c>
      <c r="L14" s="16"/>
      <c r="M14" s="18" t="s">
        <v>4656</v>
      </c>
      <c r="N14" s="16"/>
      <c r="O14" s="18" t="s">
        <v>5341</v>
      </c>
      <c r="P14" s="16"/>
      <c r="Q14" s="18" t="s">
        <v>6072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293</v>
      </c>
      <c r="B16" s="16"/>
      <c r="C16" s="18" t="s">
        <v>1744</v>
      </c>
      <c r="D16" s="16"/>
      <c r="E16" s="18" t="s">
        <v>2463</v>
      </c>
      <c r="F16" s="16"/>
      <c r="G16" s="18" t="s">
        <v>1012</v>
      </c>
      <c r="H16" s="16"/>
      <c r="I16" s="18" t="s">
        <v>3181</v>
      </c>
      <c r="J16" s="16"/>
      <c r="K16" s="18" t="s">
        <v>3928</v>
      </c>
      <c r="L16" s="16"/>
      <c r="M16" s="18" t="s">
        <v>4657</v>
      </c>
      <c r="N16" s="16"/>
      <c r="O16" s="18" t="s">
        <v>5342</v>
      </c>
      <c r="P16" s="16"/>
      <c r="Q16" s="18" t="s">
        <v>6073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474</v>
      </c>
      <c r="B18" s="16"/>
      <c r="C18" s="18" t="s">
        <v>1745</v>
      </c>
      <c r="D18" s="16"/>
      <c r="E18" s="18" t="s">
        <v>2464</v>
      </c>
      <c r="F18" s="16"/>
      <c r="G18" s="18" t="s">
        <v>1013</v>
      </c>
      <c r="H18" s="16"/>
      <c r="I18" s="18" t="s">
        <v>3182</v>
      </c>
      <c r="J18" s="16"/>
      <c r="K18" s="18" t="s">
        <v>3929</v>
      </c>
      <c r="L18" s="16"/>
      <c r="M18" s="18" t="s">
        <v>4658</v>
      </c>
      <c r="N18" s="16"/>
      <c r="O18" s="18" t="s">
        <v>5343</v>
      </c>
      <c r="P18" s="16"/>
      <c r="Q18" s="18" t="s">
        <v>6074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9" priority="2" stopIfTrue="1">
      <formula>NOT(ISERROR(A3))</formula>
    </cfRule>
  </conditionalFormatting>
  <conditionalFormatting sqref="A3:T51">
    <cfRule type="containsErrors" dxfId="368" priority="1" stopIfTrue="1">
      <formula>ISERROR(A3)</formula>
    </cfRule>
    <cfRule type="notContainsBlanks" dxfId="367"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6" t="s">
        <v>641</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t="s">
        <v>5344</v>
      </c>
      <c r="P3" s="16" t="str">
        <f>TRIM(_xlfn.TEXTBEFORE(O3, ":"))</f>
        <v>Класс предмета</v>
      </c>
      <c r="Q3" s="17" t="s">
        <v>6075</v>
      </c>
      <c r="R3" s="16" t="str">
        <f>TRIM(_xlfn.TEXTBEFORE(Q3, ":"))</f>
        <v>ชนิดไอเทม</v>
      </c>
      <c r="S3" s="17"/>
      <c r="T3" s="20" t="e">
        <f>TRIM(_xlfn.TEXTBEFORE(S3, ":"))</f>
        <v>#N/A</v>
      </c>
    </row>
    <row r="4" spans="1:20" ht="15.95" customHeight="1" x14ac:dyDescent="0.25">
      <c r="A4" s="18" t="s">
        <v>497</v>
      </c>
      <c r="B4" s="16" t="str">
        <f>TRIM(_xlfn.TEXTAFTER(A3, ":"))</f>
        <v>Mana Flasks</v>
      </c>
      <c r="C4" s="18" t="s">
        <v>1653</v>
      </c>
      <c r="D4" s="16" t="str">
        <f>TRIM(_xlfn.TEXTAFTER(C3, ":"))</f>
        <v>Manafläschchen</v>
      </c>
      <c r="E4" s="18" t="s">
        <v>2373</v>
      </c>
      <c r="F4" s="16" t="str">
        <f>TRIM(_xlfn.TEXTAFTER(E3, ":"))</f>
        <v>Frascos de maná</v>
      </c>
      <c r="G4" s="18" t="s">
        <v>920</v>
      </c>
      <c r="H4" s="16" t="str">
        <f>TRIM(_xlfn.TEXTAFTER(G3, ":"))</f>
        <v>Flacons de Mana</v>
      </c>
      <c r="I4" s="18" t="s">
        <v>3088</v>
      </c>
      <c r="J4" s="16" t="str">
        <f>TRIM(_xlfn.TEXTAFTER(I3, ":"))</f>
        <v>マナフラスコ</v>
      </c>
      <c r="K4" s="18" t="s">
        <v>3838</v>
      </c>
      <c r="L4" s="16" t="str">
        <f>TRIM(_xlfn.TEXTAFTER(K3, ":"))</f>
        <v>마나 플라스크</v>
      </c>
      <c r="M4" s="18" t="s">
        <v>4567</v>
      </c>
      <c r="N4" s="16" t="str">
        <f>TRIM(_xlfn.TEXTAFTER(M3, ":"))</f>
        <v>Frascos de Mana</v>
      </c>
      <c r="O4" s="18" t="s">
        <v>5250</v>
      </c>
      <c r="P4" s="16" t="str">
        <f>TRIM(_xlfn.TEXTAFTER(O3, ":"))</f>
        <v>Флаконы маны</v>
      </c>
      <c r="Q4" s="18" t="s">
        <v>5987</v>
      </c>
      <c r="R4" s="16" t="str">
        <f>TRIM(_xlfn.TEXTAFTER(Q3, ":"))</f>
        <v>ขวดยามานา</v>
      </c>
      <c r="S4" s="18"/>
      <c r="T4" s="20" t="e">
        <f>TRIM(_xlfn.TEXTAFTER(S3, ":"))</f>
        <v>#N/A</v>
      </c>
    </row>
    <row r="5" spans="1:20" ht="15.95" customHeight="1" x14ac:dyDescent="0.25">
      <c r="A5" s="18" t="s">
        <v>642</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t="s">
        <v>5345</v>
      </c>
      <c r="P5" s="16" t="str">
        <f>TRIM(_xlfn.TEXTBEFORE(O4, ":"))</f>
        <v>Редкость</v>
      </c>
      <c r="Q5" s="18" t="s">
        <v>642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643</v>
      </c>
      <c r="B7" s="16"/>
      <c r="C7" s="18" t="s">
        <v>1748</v>
      </c>
      <c r="D7" s="16"/>
      <c r="E7" s="18" t="s">
        <v>2467</v>
      </c>
      <c r="F7" s="16"/>
      <c r="G7" s="18" t="s">
        <v>1016</v>
      </c>
      <c r="H7" s="16"/>
      <c r="I7" s="18" t="s">
        <v>3185</v>
      </c>
      <c r="J7" s="16"/>
      <c r="K7" s="18" t="s">
        <v>3932</v>
      </c>
      <c r="L7" s="16"/>
      <c r="M7" s="18" t="s">
        <v>4661</v>
      </c>
      <c r="N7" s="16"/>
      <c r="O7" s="18" t="s">
        <v>5346</v>
      </c>
      <c r="P7" s="16"/>
      <c r="Q7" s="18" t="s">
        <v>6076</v>
      </c>
      <c r="R7" s="16"/>
      <c r="S7" s="18"/>
      <c r="T7" s="20"/>
    </row>
    <row r="8" spans="1:20" ht="15.95" customHeight="1" x14ac:dyDescent="0.25">
      <c r="A8" s="18" t="s">
        <v>644</v>
      </c>
      <c r="B8" s="16"/>
      <c r="C8" s="18" t="s">
        <v>1749</v>
      </c>
      <c r="D8" s="16"/>
      <c r="E8" s="18" t="s">
        <v>2468</v>
      </c>
      <c r="F8" s="16"/>
      <c r="G8" s="18" t="s">
        <v>1017</v>
      </c>
      <c r="H8" s="16"/>
      <c r="I8" s="18" t="s">
        <v>3186</v>
      </c>
      <c r="J8" s="16"/>
      <c r="K8" s="18" t="s">
        <v>3933</v>
      </c>
      <c r="L8" s="16"/>
      <c r="M8" s="18" t="s">
        <v>4662</v>
      </c>
      <c r="N8" s="16"/>
      <c r="O8" s="18" t="s">
        <v>5347</v>
      </c>
      <c r="P8" s="16"/>
      <c r="Q8" s="18" t="s">
        <v>6077</v>
      </c>
      <c r="R8" s="16"/>
      <c r="S8" s="18"/>
      <c r="T8" s="20"/>
    </row>
    <row r="9" spans="1:20" ht="15.95" customHeight="1" x14ac:dyDescent="0.25">
      <c r="A9" s="18" t="s">
        <v>645</v>
      </c>
      <c r="B9" s="16"/>
      <c r="C9" s="18" t="s">
        <v>1750</v>
      </c>
      <c r="D9" s="16"/>
      <c r="E9" s="18" t="s">
        <v>2469</v>
      </c>
      <c r="F9" s="16"/>
      <c r="G9" s="18" t="s">
        <v>1018</v>
      </c>
      <c r="H9" s="16"/>
      <c r="I9" s="18" t="s">
        <v>3187</v>
      </c>
      <c r="J9" s="16"/>
      <c r="K9" s="18" t="s">
        <v>3934</v>
      </c>
      <c r="L9" s="16"/>
      <c r="M9" s="18" t="s">
        <v>4663</v>
      </c>
      <c r="N9" s="16"/>
      <c r="O9" s="18" t="s">
        <v>5348</v>
      </c>
      <c r="P9" s="16"/>
      <c r="Q9" s="18" t="s">
        <v>6078</v>
      </c>
      <c r="R9" s="16"/>
      <c r="S9" s="18"/>
      <c r="T9" s="20"/>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0"/>
    </row>
    <row r="13" spans="1:20" ht="15.95" customHeight="1" x14ac:dyDescent="0.25">
      <c r="A13" s="18" t="s">
        <v>639</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232</v>
      </c>
      <c r="B15" s="16"/>
      <c r="C15" s="18" t="s">
        <v>1752</v>
      </c>
      <c r="D15" s="16"/>
      <c r="E15" s="18" t="s">
        <v>2471</v>
      </c>
      <c r="F15" s="16"/>
      <c r="G15" s="18" t="s">
        <v>1020</v>
      </c>
      <c r="H15" s="16"/>
      <c r="I15" s="18" t="s">
        <v>3189</v>
      </c>
      <c r="J15" s="16"/>
      <c r="K15" s="18" t="s">
        <v>3936</v>
      </c>
      <c r="L15" s="16"/>
      <c r="M15" s="18" t="s">
        <v>4665</v>
      </c>
      <c r="N15" s="16"/>
      <c r="O15" s="18" t="s">
        <v>5350</v>
      </c>
      <c r="P15" s="16"/>
      <c r="Q15" s="18" t="s">
        <v>6080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474</v>
      </c>
      <c r="B17" s="16"/>
      <c r="C17" s="18" t="s">
        <v>1745</v>
      </c>
      <c r="D17" s="16"/>
      <c r="E17" s="18" t="s">
        <v>2464</v>
      </c>
      <c r="F17" s="16"/>
      <c r="G17" s="18" t="s">
        <v>1013</v>
      </c>
      <c r="H17" s="16"/>
      <c r="I17" s="18" t="s">
        <v>3182</v>
      </c>
      <c r="J17" s="16"/>
      <c r="K17" s="18" t="s">
        <v>3929</v>
      </c>
      <c r="L17" s="16"/>
      <c r="M17" s="18" t="s">
        <v>4658</v>
      </c>
      <c r="N17" s="16"/>
      <c r="O17" s="18" t="s">
        <v>5343</v>
      </c>
      <c r="P17" s="16"/>
      <c r="Q17" s="18" t="s">
        <v>6074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6" priority="2" stopIfTrue="1">
      <formula>NOT(ISERROR(A3))</formula>
    </cfRule>
  </conditionalFormatting>
  <conditionalFormatting sqref="A3:T51">
    <cfRule type="containsErrors" dxfId="365" priority="1" stopIfTrue="1">
      <formula>ISERROR(A3)</formula>
    </cfRule>
    <cfRule type="notContainsBlanks" dxfId="364"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634</v>
      </c>
      <c r="B3" s="16" t="str">
        <f>TRIM(_xlfn.TEXTBEFORE(A3, ":"))</f>
        <v>Item Class</v>
      </c>
      <c r="C3" s="17" t="s">
        <v>1753</v>
      </c>
      <c r="D3" s="16" t="str">
        <f>TRIM(_xlfn.TEXTBEFORE(C3, ":"))</f>
        <v>Gegenstandsklasse</v>
      </c>
      <c r="E3" s="17" t="s">
        <v>2472</v>
      </c>
      <c r="F3" s="16" t="str">
        <f>TRIM(_xlfn.TEXTBEFORE(E3, ":"))</f>
        <v>Clase de objeto</v>
      </c>
      <c r="G3" s="17" t="s">
        <v>1021</v>
      </c>
      <c r="H3" s="16" t="str">
        <f>TRIM(_xlfn.TEXTBEFORE(G3, ":"))</f>
        <v>Classe d'objet</v>
      </c>
      <c r="I3" s="17" t="s">
        <v>3190</v>
      </c>
      <c r="J3" s="16" t="str">
        <f>TRIM(_xlfn.TEXTBEFORE(I3, ":"))</f>
        <v>アイテムクラス</v>
      </c>
      <c r="K3" s="17" t="s">
        <v>3937</v>
      </c>
      <c r="L3" s="16" t="str">
        <f>TRIM(_xlfn.TEXTBEFORE(K3, ":"))</f>
        <v>아이템 종류</v>
      </c>
      <c r="M3" s="17" t="s">
        <v>4666</v>
      </c>
      <c r="N3" s="16" t="str">
        <f>TRIM(_xlfn.TEXTBEFORE(M3, ":"))</f>
        <v>Classe do Item</v>
      </c>
      <c r="O3" s="17" t="s">
        <v>5351</v>
      </c>
      <c r="P3" s="16" t="str">
        <f>TRIM(_xlfn.TEXTBEFORE(O3, ":"))</f>
        <v>Класс предмета</v>
      </c>
      <c r="Q3" s="17" t="s">
        <v>6081</v>
      </c>
      <c r="R3" s="16" t="str">
        <f>TRIM(_xlfn.TEXTBEFORE(Q3, ":"))</f>
        <v>ชนิดไอเทม</v>
      </c>
      <c r="S3" s="17"/>
      <c r="T3" s="20" t="e">
        <f>TRIM(_xlfn.TEXTBEFORE(S3, ":"))</f>
        <v>#N/A</v>
      </c>
    </row>
    <row r="4" spans="1:20" ht="15.95" customHeight="1" x14ac:dyDescent="0.25">
      <c r="A4" s="18" t="s">
        <v>497</v>
      </c>
      <c r="B4" s="16" t="str">
        <f>TRIM(_xlfn.TEXTAFTER(A3, ":"))</f>
        <v>Life Flasks</v>
      </c>
      <c r="C4" s="18" t="s">
        <v>1653</v>
      </c>
      <c r="D4" s="16" t="str">
        <f>TRIM(_xlfn.TEXTAFTER(C3, ":"))</f>
        <v>Lebensfläschchen</v>
      </c>
      <c r="E4" s="18" t="s">
        <v>2373</v>
      </c>
      <c r="F4" s="16" t="str">
        <f>TRIM(_xlfn.TEXTAFTER(E3, ":"))</f>
        <v>Frascos de vida</v>
      </c>
      <c r="G4" s="18" t="s">
        <v>920</v>
      </c>
      <c r="H4" s="16" t="str">
        <f>TRIM(_xlfn.TEXTAFTER(G3, ":"))</f>
        <v>Flacons de Vie</v>
      </c>
      <c r="I4" s="18" t="s">
        <v>3088</v>
      </c>
      <c r="J4" s="16" t="str">
        <f>TRIM(_xlfn.TEXTAFTER(I3, ":"))</f>
        <v>ライフフラスコ</v>
      </c>
      <c r="K4" s="18" t="s">
        <v>3838</v>
      </c>
      <c r="L4" s="16" t="str">
        <f>TRIM(_xlfn.TEXTAFTER(K3, ":"))</f>
        <v>생명력 플라스크</v>
      </c>
      <c r="M4" s="18" t="s">
        <v>4567</v>
      </c>
      <c r="N4" s="16" t="str">
        <f>TRIM(_xlfn.TEXTAFTER(M3, ":"))</f>
        <v>Frascos de Vida</v>
      </c>
      <c r="O4" s="18" t="s">
        <v>5250</v>
      </c>
      <c r="P4" s="16" t="str">
        <f>TRIM(_xlfn.TEXTAFTER(O3, ":"))</f>
        <v>Флаконы жизни</v>
      </c>
      <c r="Q4" s="18" t="s">
        <v>5987</v>
      </c>
      <c r="R4" s="16" t="str">
        <f>TRIM(_xlfn.TEXTAFTER(Q3, ":"))</f>
        <v>ขวดยาพลังชีวิต</v>
      </c>
      <c r="S4" s="18"/>
      <c r="T4" s="20" t="e">
        <f>TRIM(_xlfn.TEXTAFTER(S3, ":"))</f>
        <v>#N/A</v>
      </c>
    </row>
    <row r="5" spans="1:20" ht="15.95" customHeight="1" x14ac:dyDescent="0.25">
      <c r="A5" s="18" t="s">
        <v>635</v>
      </c>
      <c r="B5" s="16" t="str">
        <f>TRIM(_xlfn.TEXTBEFORE(A4, ":"))</f>
        <v>Rarity</v>
      </c>
      <c r="C5" s="18" t="s">
        <v>1754</v>
      </c>
      <c r="D5" s="16" t="str">
        <f>TRIM(_xlfn.TEXTBEFORE(C4, ":"))</f>
        <v>Seltenheit</v>
      </c>
      <c r="E5" s="18" t="s">
        <v>2473</v>
      </c>
      <c r="F5" s="16" t="str">
        <f>TRIM(_xlfn.TEXTBEFORE(E4, ":"))</f>
        <v>Rareza</v>
      </c>
      <c r="G5" s="18" t="s">
        <v>1022</v>
      </c>
      <c r="H5" s="16" t="str">
        <f>TRIM(_xlfn.TEXTBEFORE(G4, ":"))</f>
        <v>Rareté</v>
      </c>
      <c r="I5" s="18" t="s">
        <v>3191</v>
      </c>
      <c r="J5" s="16" t="str">
        <f>TRIM(_xlfn.TEXTBEFORE(I4, ":"))</f>
        <v>レアリティ</v>
      </c>
      <c r="K5" s="18" t="s">
        <v>3938</v>
      </c>
      <c r="L5" s="16" t="str">
        <f>TRIM(_xlfn.TEXTBEFORE(K4, ":"))</f>
        <v>아이템 희귀도</v>
      </c>
      <c r="M5" s="18" t="s">
        <v>4667</v>
      </c>
      <c r="N5" s="16" t="str">
        <f>TRIM(_xlfn.TEXTBEFORE(M4, ":"))</f>
        <v>Raridade</v>
      </c>
      <c r="O5" s="18" t="s">
        <v>5352</v>
      </c>
      <c r="P5" s="16" t="str">
        <f>TRIM(_xlfn.TEXTBEFORE(O4, ":"))</f>
        <v>Редкость</v>
      </c>
      <c r="Q5" s="18" t="s">
        <v>635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636</v>
      </c>
      <c r="B7" s="16" t="str">
        <f>TRIM(_xlfn.TEXTBEFORE(A5, " "))</f>
        <v>Superior</v>
      </c>
      <c r="C7" s="18" t="s">
        <v>1755</v>
      </c>
      <c r="D7" s="16" t="str">
        <f>TRIM(_xlfn.TEXTAFTER(C5, " ",-1 ))</f>
        <v>(hochwertig)</v>
      </c>
      <c r="E7" s="18" t="s">
        <v>2474</v>
      </c>
      <c r="F7" s="16" t="str">
        <f>TRIM(_xlfn.TEXTAFTER(E5, " ", -1))</f>
        <v>Superior</v>
      </c>
      <c r="G7" s="18" t="s">
        <v>1023</v>
      </c>
      <c r="H7" s="16" t="str">
        <f>TRIM(_xlfn.TEXTAFTER(G5, " ", -1))</f>
        <v>supérieur</v>
      </c>
      <c r="I7" s="18" t="s">
        <v>3192</v>
      </c>
      <c r="J7" s="16" t="s">
        <v>3196</v>
      </c>
      <c r="K7" s="18" t="s">
        <v>3939</v>
      </c>
      <c r="L7" s="16" t="s">
        <v>4489</v>
      </c>
      <c r="M7" s="18" t="s">
        <v>4668</v>
      </c>
      <c r="N7" s="16" t="str">
        <f>TRIM(_xlfn.TEXTAFTER(M5, " ", -1))</f>
        <v>Superior</v>
      </c>
      <c r="O7" s="18" t="s">
        <v>5353</v>
      </c>
      <c r="P7" s="16" t="str">
        <f>TRIM(_xlfn.TEXTAFTER(O5, " ", -2))</f>
        <v>высокого качества</v>
      </c>
      <c r="Q7" s="18" t="s">
        <v>6082</v>
      </c>
      <c r="R7" s="16" t="str">
        <f>TRIM(_xlfn.TEXTBEFORE(Q5, " "))</f>
        <v>Superior</v>
      </c>
      <c r="S7" s="18"/>
      <c r="T7" s="16" t="e">
        <f>TRIM(_xlfn.TEXTBEFORE(S5, " "))</f>
        <v>#N/A</v>
      </c>
    </row>
    <row r="8" spans="1:20" ht="15.95" customHeight="1" x14ac:dyDescent="0.25">
      <c r="A8" s="18" t="s">
        <v>637</v>
      </c>
      <c r="B8" s="16" t="str">
        <f>TRIM(_xlfn.TEXTBEFORE(A7, ":"))</f>
        <v>Quality</v>
      </c>
      <c r="C8" s="18" t="s">
        <v>1756</v>
      </c>
      <c r="D8" s="16" t="str">
        <f>TRIM(_xlfn.TEXTBEFORE(C7, ":"))</f>
        <v>Qualität</v>
      </c>
      <c r="E8" s="18" t="s">
        <v>2475</v>
      </c>
      <c r="F8" s="16" t="str">
        <f>TRIM(_xlfn.TEXTBEFORE(E7, ":"))</f>
        <v>Calidad</v>
      </c>
      <c r="G8" s="18" t="s">
        <v>1024</v>
      </c>
      <c r="H8" s="16" t="str">
        <f>TRIM(_xlfn.TEXTBEFORE(G7, ":"))</f>
        <v>Qualité</v>
      </c>
      <c r="I8" s="18" t="s">
        <v>3193</v>
      </c>
      <c r="J8" s="16" t="str">
        <f>TRIM(_xlfn.TEXTBEFORE(I7, ":"))</f>
        <v>品質</v>
      </c>
      <c r="K8" s="18" t="s">
        <v>3940</v>
      </c>
      <c r="L8" s="16" t="str">
        <f>TRIM(_xlfn.TEXTBEFORE(K7, ":"))</f>
        <v>퀄리티</v>
      </c>
      <c r="M8" s="18" t="s">
        <v>4669</v>
      </c>
      <c r="N8" s="16" t="str">
        <f>TRIM(_xlfn.TEXTBEFORE(M7, ":"))</f>
        <v>Qualidade</v>
      </c>
      <c r="O8" s="18" t="s">
        <v>5354</v>
      </c>
      <c r="P8" s="16" t="str">
        <f>TRIM(_xlfn.TEXTBEFORE(O7, ":"))</f>
        <v>Качество</v>
      </c>
      <c r="Q8" s="18" t="s">
        <v>6083</v>
      </c>
      <c r="R8" s="16" t="str">
        <f>TRIM(_xlfn.TEXTBEFORE(Q7, ":"))</f>
        <v>ค่าคุณภาพ</v>
      </c>
      <c r="S8" s="18"/>
      <c r="T8" s="16" t="e">
        <f>TRIM(_xlfn.TEXTBEFORE(S7, ":"))</f>
        <v>#N/A</v>
      </c>
    </row>
    <row r="9" spans="1:20" ht="15.95" customHeight="1" x14ac:dyDescent="0.25">
      <c r="A9" s="18" t="s">
        <v>638</v>
      </c>
      <c r="B9" s="16"/>
      <c r="C9" s="18" t="s">
        <v>1757</v>
      </c>
      <c r="D9" s="16"/>
      <c r="E9" s="18" t="s">
        <v>2476</v>
      </c>
      <c r="F9" s="16"/>
      <c r="G9" s="18" t="s">
        <v>1025</v>
      </c>
      <c r="H9" s="16"/>
      <c r="I9" s="18" t="s">
        <v>3194</v>
      </c>
      <c r="J9" s="16"/>
      <c r="K9" s="18" t="s">
        <v>3941</v>
      </c>
      <c r="L9" s="16"/>
      <c r="M9" s="18" t="s">
        <v>4670</v>
      </c>
      <c r="N9" s="16"/>
      <c r="O9" s="18" t="s">
        <v>5355</v>
      </c>
      <c r="P9" s="16"/>
      <c r="Q9" s="18" t="s">
        <v>6084</v>
      </c>
      <c r="R9" s="16"/>
      <c r="S9" s="18"/>
      <c r="T9" s="20"/>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c r="T12" s="20"/>
    </row>
    <row r="13" spans="1:20" ht="15.95" customHeight="1" x14ac:dyDescent="0.25">
      <c r="A13" s="18" t="s">
        <v>639</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640</v>
      </c>
      <c r="B15" s="16"/>
      <c r="C15" s="18" t="s">
        <v>1758</v>
      </c>
      <c r="D15" s="16"/>
      <c r="E15" s="18" t="s">
        <v>2477</v>
      </c>
      <c r="F15" s="16"/>
      <c r="G15" s="18" t="s">
        <v>1026</v>
      </c>
      <c r="H15" s="16"/>
      <c r="I15" s="18" t="s">
        <v>3195</v>
      </c>
      <c r="J15" s="16"/>
      <c r="K15" s="18" t="s">
        <v>3942</v>
      </c>
      <c r="L15" s="16"/>
      <c r="M15" s="18" t="s">
        <v>4671</v>
      </c>
      <c r="N15" s="16"/>
      <c r="O15" s="18" t="s">
        <v>5356</v>
      </c>
      <c r="P15" s="16"/>
      <c r="Q15" s="18" t="s">
        <v>6085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474</v>
      </c>
      <c r="B17" s="16"/>
      <c r="C17" s="18" t="s">
        <v>1745</v>
      </c>
      <c r="D17" s="16"/>
      <c r="E17" s="18" t="s">
        <v>2464</v>
      </c>
      <c r="F17" s="16"/>
      <c r="G17" s="18" t="s">
        <v>1013</v>
      </c>
      <c r="H17" s="16"/>
      <c r="I17" s="18" t="s">
        <v>3182</v>
      </c>
      <c r="J17" s="16"/>
      <c r="K17" s="18" t="s">
        <v>3929</v>
      </c>
      <c r="L17" s="16"/>
      <c r="M17" s="18" t="s">
        <v>4658</v>
      </c>
      <c r="N17" s="16"/>
      <c r="O17" s="18" t="s">
        <v>5343</v>
      </c>
      <c r="P17" s="16"/>
      <c r="Q17" s="18" t="s">
        <v>6074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3" priority="46" stopIfTrue="1">
      <formula>NOT(ISERROR(A3))</formula>
    </cfRule>
  </conditionalFormatting>
  <conditionalFormatting sqref="A3:T6 A7:A8 C7:C8 E7:E8 G7:G8 I7:I8 K7:K8 M7:M8 O7:O8 Q7:Q8 S7:S8 A9:T51">
    <cfRule type="notContainsBlanks" dxfId="362" priority="47">
      <formula>LEN(TRIM(A3))&gt;0</formula>
    </cfRule>
  </conditionalFormatting>
  <conditionalFormatting sqref="A3:T51">
    <cfRule type="containsErrors" dxfId="361" priority="1" stopIfTrue="1">
      <formula>ISERROR(A3)</formula>
    </cfRule>
  </conditionalFormatting>
  <conditionalFormatting sqref="B7:B8">
    <cfRule type="notContainsBlanks" dxfId="360" priority="44">
      <formula>LEN(TRIM(B7))&gt;0</formula>
    </cfRule>
  </conditionalFormatting>
  <conditionalFormatting sqref="D7:D8">
    <cfRule type="notContainsBlanks" dxfId="359" priority="24">
      <formula>LEN(TRIM(D7))&gt;0</formula>
    </cfRule>
  </conditionalFormatting>
  <conditionalFormatting sqref="F7:F8">
    <cfRule type="notContainsBlanks" dxfId="358" priority="2">
      <formula>LEN(TRIM(F7))&gt;0</formula>
    </cfRule>
  </conditionalFormatting>
  <conditionalFormatting sqref="H7:H8">
    <cfRule type="notContainsBlanks" dxfId="357" priority="6">
      <formula>LEN(TRIM(H7))&gt;0</formula>
    </cfRule>
  </conditionalFormatting>
  <conditionalFormatting sqref="J7:J8">
    <cfRule type="notContainsBlanks" dxfId="356" priority="18">
      <formula>LEN(TRIM(J7))&gt;0</formula>
    </cfRule>
  </conditionalFormatting>
  <conditionalFormatting sqref="L7:L8">
    <cfRule type="notContainsBlanks" dxfId="355" priority="16">
      <formula>LEN(TRIM(L7))&gt;0</formula>
    </cfRule>
  </conditionalFormatting>
  <conditionalFormatting sqref="N7:N8">
    <cfRule type="notContainsBlanks" dxfId="354" priority="14">
      <formula>LEN(TRIM(N7))&gt;0</formula>
    </cfRule>
  </conditionalFormatting>
  <conditionalFormatting sqref="P7:P8">
    <cfRule type="notContainsBlanks" dxfId="353" priority="12">
      <formula>LEN(TRIM(P7))&gt;0</formula>
    </cfRule>
  </conditionalFormatting>
  <conditionalFormatting sqref="R7:R8">
    <cfRule type="notContainsBlanks" dxfId="352" priority="10">
      <formula>LEN(TRIM(R7))&gt;0</formula>
    </cfRule>
  </conditionalFormatting>
  <conditionalFormatting sqref="T7:T8">
    <cfRule type="notContainsBlanks" dxfId="351"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470</v>
      </c>
      <c r="B3" s="16" t="str">
        <f>TRIM(_xlfn.TEXTBEFORE(A3, ":"))</f>
        <v>Item Class</v>
      </c>
      <c r="C3" s="17" t="s">
        <v>1759</v>
      </c>
      <c r="D3" s="16" t="str">
        <f>TRIM(_xlfn.TEXTBEFORE(C3, ":"))</f>
        <v>Gegenstandsklasse</v>
      </c>
      <c r="E3" s="17" t="s">
        <v>2478</v>
      </c>
      <c r="F3" s="16" t="str">
        <f>TRIM(_xlfn.TEXTBEFORE(E3, ":"))</f>
        <v>Clase de objeto</v>
      </c>
      <c r="G3" s="17" t="s">
        <v>1027</v>
      </c>
      <c r="H3" s="16" t="str">
        <f>TRIM(_xlfn.TEXTBEFORE(G3, ":"))</f>
        <v>Classe d'objet</v>
      </c>
      <c r="I3" s="17" t="s">
        <v>3197</v>
      </c>
      <c r="J3" s="16" t="str">
        <f>TRIM(_xlfn.TEXTBEFORE(I3, ":"))</f>
        <v>アイテムクラス</v>
      </c>
      <c r="K3" s="17" t="s">
        <v>3943</v>
      </c>
      <c r="L3" s="16" t="str">
        <f>TRIM(_xlfn.TEXTBEFORE(K3, ":"))</f>
        <v>아이템 종류</v>
      </c>
      <c r="M3" s="17" t="s">
        <v>4672</v>
      </c>
      <c r="N3" s="16" t="str">
        <f>TRIM(_xlfn.TEXTBEFORE(M3, ":"))</f>
        <v>Classe do Item</v>
      </c>
      <c r="O3" s="17" t="s">
        <v>5357</v>
      </c>
      <c r="P3" s="16" t="str">
        <f>TRIM(_xlfn.TEXTBEFORE(O3, ":"))</f>
        <v>Класс предмета</v>
      </c>
      <c r="Q3" s="17" t="s">
        <v>6086</v>
      </c>
      <c r="R3" s="16" t="str">
        <f>TRIM(_xlfn.TEXTBEFORE(Q3, ":"))</f>
        <v>ชนิดไอเทม</v>
      </c>
      <c r="S3" s="17"/>
      <c r="T3" s="16" t="e">
        <f>TRIM(_xlfn.TEXTBEFORE(S3, ":"))</f>
        <v>#N/A</v>
      </c>
    </row>
    <row r="4" spans="1:20" ht="15.95" customHeight="1" x14ac:dyDescent="0.25">
      <c r="A4" s="18" t="s">
        <v>471</v>
      </c>
      <c r="B4" s="16" t="str">
        <f>TRIM(_xlfn.TEXTAFTER(A3, ":"))</f>
        <v>Utility Flasks</v>
      </c>
      <c r="C4" s="18" t="s">
        <v>1682</v>
      </c>
      <c r="D4" s="16" t="str">
        <f>TRIM(_xlfn.TEXTAFTER(C3, ":"))</f>
        <v>Hilfsfläschchen</v>
      </c>
      <c r="E4" s="18" t="s">
        <v>2401</v>
      </c>
      <c r="F4" s="16" t="str">
        <f>TRIM(_xlfn.TEXTAFTER(E3, ":"))</f>
        <v>Frascos de utilidad</v>
      </c>
      <c r="G4" s="18" t="s">
        <v>949</v>
      </c>
      <c r="H4" s="16" t="str">
        <f>TRIM(_xlfn.TEXTAFTER(G3, ":"))</f>
        <v>Flacons utilitaires</v>
      </c>
      <c r="I4" s="18" t="s">
        <v>3119</v>
      </c>
      <c r="J4" s="16" t="str">
        <f>TRIM(_xlfn.TEXTAFTER(I3, ":"))</f>
        <v>ユーティリティフラスコ</v>
      </c>
      <c r="K4" s="18" t="s">
        <v>3866</v>
      </c>
      <c r="L4" s="16" t="str">
        <f>TRIM(_xlfn.TEXTAFTER(K3, ":"))</f>
        <v>특수 플라스크</v>
      </c>
      <c r="M4" s="18" t="s">
        <v>4596</v>
      </c>
      <c r="N4" s="16" t="str">
        <f>TRIM(_xlfn.TEXTAFTER(M3, ":"))</f>
        <v>Frascos de Utilidade</v>
      </c>
      <c r="O4" s="18" t="s">
        <v>5279</v>
      </c>
      <c r="P4" s="16" t="str">
        <f>TRIM(_xlfn.TEXTAFTER(O3, ":"))</f>
        <v>Особые флаконы</v>
      </c>
      <c r="Q4" s="18" t="s">
        <v>6013</v>
      </c>
      <c r="R4" s="16" t="str">
        <f>TRIM(_xlfn.TEXTAFTER(Q3, ":"))</f>
        <v>ขวดยาช่วยเหลือ</v>
      </c>
      <c r="S4" s="18"/>
      <c r="T4" s="16" t="e">
        <f>TRIM(_xlfn.TEXTAFTER(S3, ":"))</f>
        <v>#N/A</v>
      </c>
    </row>
    <row r="5" spans="1:20" ht="15.95" customHeight="1" x14ac:dyDescent="0.25">
      <c r="A5" s="18" t="s">
        <v>475</v>
      </c>
      <c r="B5" s="16" t="str">
        <f>TRIM(_xlfn.TEXTBEFORE(A4, ":"))</f>
        <v>Rarity</v>
      </c>
      <c r="C5" s="18" t="s">
        <v>1760</v>
      </c>
      <c r="D5" s="16" t="str">
        <f>TRIM(_xlfn.TEXTBEFORE(C4, ":"))</f>
        <v>Seltenheit</v>
      </c>
      <c r="E5" s="18" t="s">
        <v>2479</v>
      </c>
      <c r="F5" s="16" t="str">
        <f>TRIM(_xlfn.TEXTBEFORE(E4, ":"))</f>
        <v>Rareza</v>
      </c>
      <c r="G5" s="18" t="s">
        <v>1028</v>
      </c>
      <c r="H5" s="16" t="str">
        <f>TRIM(_xlfn.TEXTBEFORE(G4, ":"))</f>
        <v>Rareté</v>
      </c>
      <c r="I5" s="18" t="s">
        <v>3198</v>
      </c>
      <c r="J5" s="16" t="str">
        <f>TRIM(_xlfn.TEXTBEFORE(I4, ":"))</f>
        <v>レアリティ</v>
      </c>
      <c r="K5" s="18" t="s">
        <v>3944</v>
      </c>
      <c r="L5" s="16" t="str">
        <f>TRIM(_xlfn.TEXTBEFORE(K4, ":"))</f>
        <v>아이템 희귀도</v>
      </c>
      <c r="M5" s="18" t="s">
        <v>4673</v>
      </c>
      <c r="N5" s="16" t="str">
        <f>TRIM(_xlfn.TEXTBEFORE(M4, ":"))</f>
        <v>Raridade</v>
      </c>
      <c r="O5" s="18" t="s">
        <v>5358</v>
      </c>
      <c r="P5" s="16" t="str">
        <f>TRIM(_xlfn.TEXTBEFORE(O4, ":"))</f>
        <v>Редкость</v>
      </c>
      <c r="Q5" s="18" t="s">
        <v>475</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476</v>
      </c>
      <c r="B7" s="16"/>
      <c r="C7" s="18" t="s">
        <v>1761</v>
      </c>
      <c r="D7" s="16"/>
      <c r="E7" s="18" t="s">
        <v>2480</v>
      </c>
      <c r="F7" s="16"/>
      <c r="G7" s="18" t="s">
        <v>1029</v>
      </c>
      <c r="H7" s="16"/>
      <c r="I7" s="18" t="s">
        <v>3199</v>
      </c>
      <c r="J7" s="16"/>
      <c r="K7" s="18" t="s">
        <v>3945</v>
      </c>
      <c r="L7" s="16"/>
      <c r="M7" s="18" t="s">
        <v>4674</v>
      </c>
      <c r="N7" s="16"/>
      <c r="O7" s="18" t="s">
        <v>5359</v>
      </c>
      <c r="P7" s="16"/>
      <c r="Q7" s="18" t="s">
        <v>6087</v>
      </c>
      <c r="R7" s="16"/>
      <c r="S7" s="18"/>
      <c r="T7" s="16"/>
    </row>
    <row r="8" spans="1:20" ht="15.95" customHeight="1" x14ac:dyDescent="0.25">
      <c r="A8" s="18" t="s">
        <v>477</v>
      </c>
      <c r="B8" s="16"/>
      <c r="C8" s="18" t="s">
        <v>1762</v>
      </c>
      <c r="D8" s="16"/>
      <c r="E8" s="18" t="s">
        <v>2481</v>
      </c>
      <c r="F8" s="16"/>
      <c r="G8" s="18" t="s">
        <v>1030</v>
      </c>
      <c r="H8" s="16"/>
      <c r="I8" s="18" t="s">
        <v>3200</v>
      </c>
      <c r="J8" s="16"/>
      <c r="K8" s="18" t="s">
        <v>3946</v>
      </c>
      <c r="L8" s="16"/>
      <c r="M8" s="18" t="s">
        <v>4675</v>
      </c>
      <c r="N8" s="16"/>
      <c r="O8" s="18" t="s">
        <v>5360</v>
      </c>
      <c r="P8" s="16"/>
      <c r="Q8" s="18" t="s">
        <v>6088</v>
      </c>
      <c r="R8" s="16"/>
      <c r="S8" s="18"/>
      <c r="T8" s="16"/>
    </row>
    <row r="9" spans="1:20" ht="15.95" customHeight="1" x14ac:dyDescent="0.25">
      <c r="A9" s="18" t="s">
        <v>478</v>
      </c>
      <c r="B9" s="16"/>
      <c r="C9" s="18" t="s">
        <v>1763</v>
      </c>
      <c r="D9" s="16"/>
      <c r="E9" s="18" t="s">
        <v>2482</v>
      </c>
      <c r="F9" s="16"/>
      <c r="G9" s="18" t="s">
        <v>1031</v>
      </c>
      <c r="H9" s="16"/>
      <c r="I9" s="18" t="s">
        <v>3201</v>
      </c>
      <c r="J9" s="16"/>
      <c r="K9" s="18" t="s">
        <v>3947</v>
      </c>
      <c r="L9" s="16"/>
      <c r="M9" s="18" t="s">
        <v>4676</v>
      </c>
      <c r="N9" s="16"/>
      <c r="O9" s="18" t="s">
        <v>5361</v>
      </c>
      <c r="P9" s="16"/>
      <c r="Q9" s="18" t="s">
        <v>6089</v>
      </c>
      <c r="R9" s="16"/>
      <c r="S9" s="18"/>
      <c r="T9" s="16"/>
    </row>
    <row r="10" spans="1:20" ht="15.95" customHeight="1" x14ac:dyDescent="0.25">
      <c r="A10" s="18" t="s">
        <v>473</v>
      </c>
      <c r="B10" s="16"/>
      <c r="C10" s="18" t="s">
        <v>1742</v>
      </c>
      <c r="D10" s="16"/>
      <c r="E10" s="18" t="s">
        <v>2461</v>
      </c>
      <c r="F10" s="16"/>
      <c r="G10" s="18" t="s">
        <v>1010</v>
      </c>
      <c r="H10" s="16"/>
      <c r="I10" s="18" t="s">
        <v>3179</v>
      </c>
      <c r="J10" s="16"/>
      <c r="K10" s="18" t="s">
        <v>3926</v>
      </c>
      <c r="L10" s="16"/>
      <c r="M10" s="18" t="s">
        <v>4655</v>
      </c>
      <c r="N10" s="16"/>
      <c r="O10" s="18" t="s">
        <v>5340</v>
      </c>
      <c r="P10" s="16"/>
      <c r="Q10" s="18" t="s">
        <v>6071</v>
      </c>
      <c r="R10" s="16"/>
      <c r="S10" s="18"/>
      <c r="T10" s="16"/>
    </row>
    <row r="11" spans="1:20" ht="15.95" customHeight="1" x14ac:dyDescent="0.25">
      <c r="A11" s="18" t="s">
        <v>479</v>
      </c>
      <c r="B11" s="16"/>
      <c r="C11" s="18" t="s">
        <v>1764</v>
      </c>
      <c r="D11" s="16"/>
      <c r="E11" s="18" t="s">
        <v>2483</v>
      </c>
      <c r="F11" s="16"/>
      <c r="G11" s="18" t="s">
        <v>1032</v>
      </c>
      <c r="H11" s="16"/>
      <c r="I11" s="18" t="s">
        <v>3202</v>
      </c>
      <c r="J11" s="16"/>
      <c r="K11" s="18" t="s">
        <v>3948</v>
      </c>
      <c r="L11" s="16"/>
      <c r="M11" s="18" t="s">
        <v>4677</v>
      </c>
      <c r="N11" s="16"/>
      <c r="O11" s="18" t="s">
        <v>5362</v>
      </c>
      <c r="P11" s="16"/>
      <c r="Q11" s="18" t="s">
        <v>6090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1"/>
    </row>
    <row r="14" spans="1:20" ht="15.95" customHeight="1" x14ac:dyDescent="0.25">
      <c r="A14" s="18" t="s">
        <v>480</v>
      </c>
      <c r="B14" s="16"/>
      <c r="C14" s="18" t="s">
        <v>1765</v>
      </c>
      <c r="D14" s="16"/>
      <c r="E14" s="18" t="s">
        <v>2484</v>
      </c>
      <c r="F14" s="16"/>
      <c r="G14" s="18" t="s">
        <v>1033</v>
      </c>
      <c r="H14" s="16"/>
      <c r="I14" s="18" t="s">
        <v>3203</v>
      </c>
      <c r="J14" s="16"/>
      <c r="K14" s="18" t="s">
        <v>3949</v>
      </c>
      <c r="L14" s="16"/>
      <c r="M14" s="18" t="s">
        <v>4678</v>
      </c>
      <c r="N14" s="16"/>
      <c r="O14" s="18" t="s">
        <v>5363</v>
      </c>
      <c r="P14" s="16"/>
      <c r="Q14" s="18" t="s">
        <v>6091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481</v>
      </c>
      <c r="B16" s="16"/>
      <c r="C16" s="18" t="s">
        <v>1766</v>
      </c>
      <c r="D16" s="16"/>
      <c r="E16" s="18" t="s">
        <v>2485</v>
      </c>
      <c r="F16" s="16"/>
      <c r="G16" s="18" t="s">
        <v>1034</v>
      </c>
      <c r="H16" s="16"/>
      <c r="I16" s="18" t="s">
        <v>3204</v>
      </c>
      <c r="J16" s="16"/>
      <c r="K16" s="18" t="s">
        <v>3950</v>
      </c>
      <c r="L16" s="16"/>
      <c r="M16" s="18" t="s">
        <v>4679</v>
      </c>
      <c r="N16" s="16"/>
      <c r="O16" s="18" t="s">
        <v>5364</v>
      </c>
      <c r="P16" s="16"/>
      <c r="Q16" s="18" t="s">
        <v>6092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482</v>
      </c>
      <c r="B18" s="16"/>
      <c r="C18" s="18" t="s">
        <v>1767</v>
      </c>
      <c r="D18" s="16"/>
      <c r="E18" s="18" t="s">
        <v>2486</v>
      </c>
      <c r="F18" s="16"/>
      <c r="G18" s="18" t="s">
        <v>1035</v>
      </c>
      <c r="H18" s="16"/>
      <c r="I18" s="18" t="s">
        <v>3205</v>
      </c>
      <c r="J18" s="16"/>
      <c r="K18" s="18" t="s">
        <v>3951</v>
      </c>
      <c r="L18" s="16"/>
      <c r="M18" s="18" t="s">
        <v>4680</v>
      </c>
      <c r="N18" s="16"/>
      <c r="O18" s="18" t="s">
        <v>5365</v>
      </c>
      <c r="P18" s="16"/>
      <c r="Q18" s="18" t="s">
        <v>6093</v>
      </c>
      <c r="R18" s="16"/>
      <c r="S18" s="18"/>
      <c r="T18" s="21"/>
    </row>
    <row r="19" spans="1:20" ht="15.95" customHeight="1" x14ac:dyDescent="0.25">
      <c r="A19" s="18" t="s">
        <v>483</v>
      </c>
      <c r="B19" s="16"/>
      <c r="C19" s="18" t="s">
        <v>1768</v>
      </c>
      <c r="D19" s="16"/>
      <c r="E19" s="18" t="s">
        <v>2487</v>
      </c>
      <c r="F19" s="16"/>
      <c r="G19" s="18" t="s">
        <v>1036</v>
      </c>
      <c r="H19" s="16"/>
      <c r="I19" s="18" t="s">
        <v>3206</v>
      </c>
      <c r="J19" s="16"/>
      <c r="K19" s="18" t="s">
        <v>3952</v>
      </c>
      <c r="L19" s="16"/>
      <c r="M19" s="18" t="s">
        <v>4681</v>
      </c>
      <c r="N19" s="16"/>
      <c r="O19" s="18" t="s">
        <v>5366</v>
      </c>
      <c r="P19" s="16"/>
      <c r="Q19" s="18" t="s">
        <v>6094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474</v>
      </c>
      <c r="B21" s="16"/>
      <c r="C21" s="18" t="s">
        <v>1745</v>
      </c>
      <c r="D21" s="16"/>
      <c r="E21" s="18" t="s">
        <v>2464</v>
      </c>
      <c r="F21" s="16"/>
      <c r="G21" s="18" t="s">
        <v>1013</v>
      </c>
      <c r="H21" s="16"/>
      <c r="I21" s="18" t="s">
        <v>3182</v>
      </c>
      <c r="J21" s="16"/>
      <c r="K21" s="18" t="s">
        <v>3929</v>
      </c>
      <c r="L21" s="16"/>
      <c r="M21" s="18" t="s">
        <v>4658</v>
      </c>
      <c r="N21" s="16"/>
      <c r="O21" s="18" t="s">
        <v>5343</v>
      </c>
      <c r="P21" s="16"/>
      <c r="Q21" s="18" t="s">
        <v>6074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2" stopIfTrue="1">
      <formula>NOT(ISERROR(A3))</formula>
    </cfRule>
  </conditionalFormatting>
  <conditionalFormatting sqref="A3:T6 A7 C7 E7 G7 I7 K7 M7 O7 Q7 S7 A8:T51">
    <cfRule type="notContainsBlanks" dxfId="349" priority="23">
      <formula>LEN(TRIM(A3))&gt;0</formula>
    </cfRule>
  </conditionalFormatting>
  <conditionalFormatting sqref="A3:T51">
    <cfRule type="containsErrors" dxfId="348" priority="1" stopIfTrue="1">
      <formula>ISERROR(A3)</formula>
    </cfRule>
  </conditionalFormatting>
  <conditionalFormatting sqref="B7">
    <cfRule type="notContainsBlanks" dxfId="347" priority="20">
      <formula>LEN(TRIM(B7))&gt;0</formula>
    </cfRule>
  </conditionalFormatting>
  <conditionalFormatting sqref="D7">
    <cfRule type="notContainsBlanks" dxfId="346" priority="18">
      <formula>LEN(TRIM(D7))&gt;0</formula>
    </cfRule>
  </conditionalFormatting>
  <conditionalFormatting sqref="F7">
    <cfRule type="notContainsBlanks" dxfId="345" priority="16">
      <formula>LEN(TRIM(F7))&gt;0</formula>
    </cfRule>
  </conditionalFormatting>
  <conditionalFormatting sqref="H7">
    <cfRule type="notContainsBlanks" dxfId="344" priority="14">
      <formula>LEN(TRIM(H7))&gt;0</formula>
    </cfRule>
  </conditionalFormatting>
  <conditionalFormatting sqref="J7">
    <cfRule type="notContainsBlanks" dxfId="343" priority="12">
      <formula>LEN(TRIM(J7))&gt;0</formula>
    </cfRule>
  </conditionalFormatting>
  <conditionalFormatting sqref="L7">
    <cfRule type="notContainsBlanks" dxfId="342" priority="10">
      <formula>LEN(TRIM(L7))&gt;0</formula>
    </cfRule>
  </conditionalFormatting>
  <conditionalFormatting sqref="N7">
    <cfRule type="notContainsBlanks" dxfId="341" priority="8">
      <formula>LEN(TRIM(N7))&gt;0</formula>
    </cfRule>
  </conditionalFormatting>
  <conditionalFormatting sqref="P7">
    <cfRule type="notContainsBlanks" dxfId="340" priority="6">
      <formula>LEN(TRIM(P7))&gt;0</formula>
    </cfRule>
  </conditionalFormatting>
  <conditionalFormatting sqref="R7">
    <cfRule type="notContainsBlanks" dxfId="339" priority="4">
      <formula>LEN(TRIM(R7))&gt;0</formula>
    </cfRule>
  </conditionalFormatting>
  <conditionalFormatting sqref="T7">
    <cfRule type="notContainsBlanks" dxfId="338"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621</v>
      </c>
      <c r="B3" s="16" t="str">
        <f>TRIM(_xlfn.TEXTBEFORE(A3, ":"))</f>
        <v>Item Class</v>
      </c>
      <c r="C3" s="17" t="s">
        <v>1769</v>
      </c>
      <c r="D3" s="16" t="str">
        <f>TRIM(_xlfn.TEXTBEFORE(C3, ":"))</f>
        <v>Gegenstandsklasse</v>
      </c>
      <c r="E3" s="17" t="s">
        <v>2488</v>
      </c>
      <c r="F3" s="16" t="str">
        <f>TRIM(_xlfn.TEXTBEFORE(E3, ":"))</f>
        <v>Clase de objeto</v>
      </c>
      <c r="G3" s="17" t="s">
        <v>1037</v>
      </c>
      <c r="H3" s="16" t="str">
        <f>TRIM(_xlfn.TEXTBEFORE(G3, ":"))</f>
        <v>Classe d'objet</v>
      </c>
      <c r="I3" s="17" t="s">
        <v>3207</v>
      </c>
      <c r="J3" s="16" t="str">
        <f>TRIM(_xlfn.TEXTBEFORE(I3, ":"))</f>
        <v>アイテムクラス</v>
      </c>
      <c r="K3" s="17" t="s">
        <v>3953</v>
      </c>
      <c r="L3" s="16" t="str">
        <f>TRIM(_xlfn.TEXTBEFORE(K3, ":"))</f>
        <v>아이템 종류</v>
      </c>
      <c r="M3" s="17" t="s">
        <v>4682</v>
      </c>
      <c r="N3" s="16" t="str">
        <f>TRIM(_xlfn.TEXTBEFORE(M3, ":"))</f>
        <v>Classe do Item</v>
      </c>
      <c r="O3" s="17" t="s">
        <v>5367</v>
      </c>
      <c r="P3" s="16" t="str">
        <f>TRIM(_xlfn.TEXTBEFORE(O3, ":"))</f>
        <v>Класс предмета</v>
      </c>
      <c r="Q3" s="17" t="s">
        <v>6095</v>
      </c>
      <c r="R3" s="16" t="str">
        <f>TRIM(_xlfn.TEXTBEFORE(Q3, ":"))</f>
        <v>ชนิดไอเทม</v>
      </c>
      <c r="S3" s="17"/>
      <c r="T3" s="20" t="e">
        <f>TRIM(_xlfn.TEXTBEFORE(S3, ":"))</f>
        <v>#N/A</v>
      </c>
    </row>
    <row r="4" spans="1:20" ht="15.95" customHeight="1" x14ac:dyDescent="0.25">
      <c r="A4" s="18" t="s">
        <v>81</v>
      </c>
      <c r="B4" s="16" t="str">
        <f>TRIM(_xlfn.TEXTAFTER(A3, ":"))</f>
        <v>Amulets</v>
      </c>
      <c r="C4" s="18" t="s">
        <v>1644</v>
      </c>
      <c r="D4" s="16" t="str">
        <f>TRIM(_xlfn.TEXTAFTER(C3, ":"))</f>
        <v>Amulette</v>
      </c>
      <c r="E4" s="18" t="s">
        <v>2364</v>
      </c>
      <c r="F4" s="16" t="str">
        <f>TRIM(_xlfn.TEXTAFTER(E3, ":"))</f>
        <v>Amuletos</v>
      </c>
      <c r="G4" s="18" t="s">
        <v>1</v>
      </c>
      <c r="H4" s="16" t="str">
        <f>TRIM(_xlfn.TEXTAFTER(G3, ":"))</f>
        <v>Amulettes</v>
      </c>
      <c r="I4" s="18" t="s">
        <v>3079</v>
      </c>
      <c r="J4" s="16" t="str">
        <f>TRIM(_xlfn.TEXTAFTER(I3, ":"))</f>
        <v>アミュレット</v>
      </c>
      <c r="K4" s="18" t="s">
        <v>3829</v>
      </c>
      <c r="L4" s="16" t="str">
        <f>TRIM(_xlfn.TEXTAFTER(K3, ":"))</f>
        <v>목걸이</v>
      </c>
      <c r="M4" s="18" t="s">
        <v>4558</v>
      </c>
      <c r="N4" s="16" t="str">
        <f>TRIM(_xlfn.TEXTAFTER(M3, ":"))</f>
        <v>Amuletos</v>
      </c>
      <c r="O4" s="18" t="s">
        <v>5241</v>
      </c>
      <c r="P4" s="16" t="str">
        <f>TRIM(_xlfn.TEXTAFTER(O3, ":"))</f>
        <v>Амулеты</v>
      </c>
      <c r="Q4" s="18" t="s">
        <v>5978</v>
      </c>
      <c r="R4" s="16" t="str">
        <f>TRIM(_xlfn.TEXTAFTER(Q3, ":"))</f>
        <v>สร้อย</v>
      </c>
      <c r="S4" s="18"/>
      <c r="T4" s="20" t="e">
        <f>TRIM(_xlfn.TEXTAFTER(S3, ":"))</f>
        <v>#N/A</v>
      </c>
    </row>
    <row r="5" spans="1:20" ht="15.95" customHeight="1" x14ac:dyDescent="0.25">
      <c r="A5" s="18" t="s">
        <v>622</v>
      </c>
      <c r="B5" s="16" t="str">
        <f>TRIM(_xlfn.TEXTBEFORE(A4, ":"))</f>
        <v>Rarity</v>
      </c>
      <c r="C5" s="18" t="s">
        <v>1770</v>
      </c>
      <c r="D5" s="16" t="str">
        <f>TRIM(_xlfn.TEXTBEFORE(C4, ":"))</f>
        <v>Seltenheit</v>
      </c>
      <c r="E5" s="18" t="s">
        <v>2489</v>
      </c>
      <c r="F5" s="16" t="str">
        <f>TRIM(_xlfn.TEXTBEFORE(E4, ":"))</f>
        <v>Rareza</v>
      </c>
      <c r="G5" s="18" t="s">
        <v>1038</v>
      </c>
      <c r="H5" s="16" t="str">
        <f>TRIM(_xlfn.TEXTBEFORE(G4, ":"))</f>
        <v>Rareté</v>
      </c>
      <c r="I5" s="18" t="s">
        <v>3208</v>
      </c>
      <c r="J5" s="16" t="str">
        <f>TRIM(_xlfn.TEXTBEFORE(I4, ":"))</f>
        <v>レアリティ</v>
      </c>
      <c r="K5" s="18" t="s">
        <v>3954</v>
      </c>
      <c r="L5" s="16" t="str">
        <f>TRIM(_xlfn.TEXTBEFORE(K4, ":"))</f>
        <v>아이템 희귀도</v>
      </c>
      <c r="M5" s="18" t="s">
        <v>4683</v>
      </c>
      <c r="N5" s="16" t="str">
        <f>TRIM(_xlfn.TEXTBEFORE(M4, ":"))</f>
        <v>Raridade</v>
      </c>
      <c r="O5" s="18" t="s">
        <v>5368</v>
      </c>
      <c r="P5" s="16" t="str">
        <f>TRIM(_xlfn.TEXTBEFORE(O4, ":"))</f>
        <v>Редкость</v>
      </c>
      <c r="Q5" s="18" t="s">
        <v>622</v>
      </c>
      <c r="R5" s="16" t="str">
        <f>TRIM(_xlfn.TEXTBEFORE(Q4, ":"))</f>
        <v>ความหายาก</v>
      </c>
      <c r="S5" s="18"/>
      <c r="T5" s="20" t="e">
        <f>TRIM(_xlfn.TEXTBEFORE(S4, ":"))</f>
        <v>#N/A</v>
      </c>
    </row>
    <row r="6" spans="1:20" ht="15.95" customHeight="1" x14ac:dyDescent="0.25">
      <c r="A6" s="18" t="s">
        <v>623</v>
      </c>
      <c r="B6" s="16" t="str">
        <f>TRIM(_xlfn.TEXTAFTER(A4,":"))</f>
        <v>Unique</v>
      </c>
      <c r="C6" s="18" t="s">
        <v>1771</v>
      </c>
      <c r="D6" s="16" t="str">
        <f>TRIM(_xlfn.TEXTAFTER(C4,":"))</f>
        <v>Einzigartig</v>
      </c>
      <c r="E6" s="18" t="s">
        <v>2490</v>
      </c>
      <c r="F6" s="16" t="str">
        <f>TRIM(_xlfn.TEXTAFTER(E4,":"))</f>
        <v>Único</v>
      </c>
      <c r="G6" s="18" t="s">
        <v>1039</v>
      </c>
      <c r="H6" s="16" t="str">
        <f>TRIM(_xlfn.TEXTAFTER(G4,":"))</f>
        <v>Unique</v>
      </c>
      <c r="I6" s="18" t="s">
        <v>3209</v>
      </c>
      <c r="J6" s="16" t="str">
        <f>TRIM(_xlfn.TEXTAFTER(I4,":"))</f>
        <v>ユニーク</v>
      </c>
      <c r="K6" s="18" t="s">
        <v>3955</v>
      </c>
      <c r="L6" s="16" t="str">
        <f>TRIM(_xlfn.TEXTAFTER(K4,":"))</f>
        <v>고유</v>
      </c>
      <c r="M6" s="18" t="s">
        <v>4684</v>
      </c>
      <c r="N6" s="16" t="str">
        <f>TRIM(_xlfn.TEXTAFTER(M4,":"))</f>
        <v>Único</v>
      </c>
      <c r="O6" s="18" t="s">
        <v>5369</v>
      </c>
      <c r="P6" s="16" t="str">
        <f>TRIM(_xlfn.TEXTAFTER(O4,":"))</f>
        <v>Уникальный</v>
      </c>
      <c r="Q6" s="18" t="s">
        <v>623</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624</v>
      </c>
      <c r="B9" s="16"/>
      <c r="C9" s="18" t="s">
        <v>1772</v>
      </c>
      <c r="D9" s="16"/>
      <c r="E9" s="18" t="s">
        <v>2491</v>
      </c>
      <c r="F9" s="16"/>
      <c r="G9" s="18" t="s">
        <v>1040</v>
      </c>
      <c r="H9" s="16"/>
      <c r="I9" s="18" t="s">
        <v>3210</v>
      </c>
      <c r="J9" s="16"/>
      <c r="K9" s="18" t="s">
        <v>3956</v>
      </c>
      <c r="L9" s="16"/>
      <c r="M9" s="18" t="s">
        <v>4685</v>
      </c>
      <c r="N9" s="16"/>
      <c r="O9" s="18" t="s">
        <v>5370</v>
      </c>
      <c r="P9" s="16"/>
      <c r="Q9" s="18" t="s">
        <v>6096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625</v>
      </c>
      <c r="B11" s="16"/>
      <c r="C11" s="18" t="s">
        <v>1773</v>
      </c>
      <c r="D11" s="16"/>
      <c r="E11" s="18" t="s">
        <v>2492</v>
      </c>
      <c r="F11" s="16"/>
      <c r="G11" s="18" t="s">
        <v>1041</v>
      </c>
      <c r="H11" s="16"/>
      <c r="I11" s="18" t="s">
        <v>3211</v>
      </c>
      <c r="J11" s="16"/>
      <c r="K11" s="18" t="s">
        <v>3957</v>
      </c>
      <c r="L11" s="16"/>
      <c r="M11" s="18" t="s">
        <v>4686</v>
      </c>
      <c r="N11" s="16"/>
      <c r="O11" s="18" t="s">
        <v>5371</v>
      </c>
      <c r="P11" s="16"/>
      <c r="Q11" s="18" t="s">
        <v>6097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626</v>
      </c>
      <c r="B13" s="16"/>
      <c r="C13" s="18" t="s">
        <v>1774</v>
      </c>
      <c r="D13" s="16"/>
      <c r="E13" s="18" t="s">
        <v>2493</v>
      </c>
      <c r="F13" s="16"/>
      <c r="G13" s="18" t="s">
        <v>1042</v>
      </c>
      <c r="H13" s="16"/>
      <c r="I13" s="18" t="s">
        <v>3212</v>
      </c>
      <c r="J13" s="16"/>
      <c r="K13" s="18" t="s">
        <v>3958</v>
      </c>
      <c r="L13" s="16"/>
      <c r="M13" s="18" t="s">
        <v>4687</v>
      </c>
      <c r="N13" s="16"/>
      <c r="O13" s="18" t="s">
        <v>5372</v>
      </c>
      <c r="P13" s="16"/>
      <c r="Q13" s="18" t="s">
        <v>6098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627</v>
      </c>
      <c r="B15" s="16"/>
      <c r="C15" s="18" t="s">
        <v>1775</v>
      </c>
      <c r="D15" s="16"/>
      <c r="E15" s="18" t="s">
        <v>2494</v>
      </c>
      <c r="F15" s="16"/>
      <c r="G15" s="18" t="s">
        <v>1043</v>
      </c>
      <c r="H15" s="16"/>
      <c r="I15" s="18" t="s">
        <v>3213</v>
      </c>
      <c r="J15" s="16"/>
      <c r="K15" s="18" t="s">
        <v>3959</v>
      </c>
      <c r="L15" s="16"/>
      <c r="M15" s="18" t="s">
        <v>4688</v>
      </c>
      <c r="N15" s="16"/>
      <c r="O15" s="18" t="s">
        <v>5373</v>
      </c>
      <c r="P15" s="16"/>
      <c r="Q15" s="18" t="s">
        <v>6099</v>
      </c>
      <c r="R15" s="16"/>
      <c r="S15" s="18"/>
      <c r="T15" s="20"/>
    </row>
    <row r="16" spans="1:20" ht="15.95" customHeight="1" x14ac:dyDescent="0.25">
      <c r="A16" s="18" t="s">
        <v>628</v>
      </c>
      <c r="B16" s="16"/>
      <c r="C16" s="18" t="s">
        <v>1776</v>
      </c>
      <c r="D16" s="16"/>
      <c r="E16" s="18" t="s">
        <v>2495</v>
      </c>
      <c r="F16" s="16"/>
      <c r="G16" s="18" t="s">
        <v>1044</v>
      </c>
      <c r="H16" s="16"/>
      <c r="I16" s="18" t="s">
        <v>3214</v>
      </c>
      <c r="J16" s="16"/>
      <c r="K16" s="18" t="s">
        <v>3960</v>
      </c>
      <c r="L16" s="16"/>
      <c r="M16" s="18" t="s">
        <v>4689</v>
      </c>
      <c r="N16" s="16"/>
      <c r="O16" s="18" t="s">
        <v>5374</v>
      </c>
      <c r="P16" s="16"/>
      <c r="Q16" s="18" t="s">
        <v>6100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629</v>
      </c>
      <c r="B18" s="16"/>
      <c r="C18" s="18" t="s">
        <v>1777</v>
      </c>
      <c r="D18" s="16"/>
      <c r="E18" s="18" t="s">
        <v>2496</v>
      </c>
      <c r="F18" s="16"/>
      <c r="G18" s="18" t="s">
        <v>1045</v>
      </c>
      <c r="H18" s="16"/>
      <c r="I18" s="18" t="s">
        <v>3215</v>
      </c>
      <c r="J18" s="16"/>
      <c r="K18" s="18" t="s">
        <v>3961</v>
      </c>
      <c r="L18" s="16"/>
      <c r="M18" s="18" t="s">
        <v>4690</v>
      </c>
      <c r="N18" s="16"/>
      <c r="O18" s="18" t="s">
        <v>5375</v>
      </c>
      <c r="P18" s="16"/>
      <c r="Q18" s="18" t="s">
        <v>6101</v>
      </c>
      <c r="R18" s="16"/>
      <c r="S18" s="18"/>
      <c r="T18" s="20"/>
    </row>
    <row r="19" spans="1:20" ht="15.95" customHeight="1" x14ac:dyDescent="0.25">
      <c r="A19" s="18" t="s">
        <v>630</v>
      </c>
      <c r="B19" s="16"/>
      <c r="C19" s="18" t="s">
        <v>1778</v>
      </c>
      <c r="D19" s="16"/>
      <c r="E19" s="18" t="s">
        <v>2497</v>
      </c>
      <c r="F19" s="16"/>
      <c r="G19" s="18" t="s">
        <v>1046</v>
      </c>
      <c r="H19" s="16"/>
      <c r="I19" s="18" t="s">
        <v>3216</v>
      </c>
      <c r="J19" s="16"/>
      <c r="K19" s="18" t="s">
        <v>3962</v>
      </c>
      <c r="L19" s="16"/>
      <c r="M19" s="18" t="s">
        <v>4691</v>
      </c>
      <c r="N19" s="16"/>
      <c r="O19" s="18" t="s">
        <v>5376</v>
      </c>
      <c r="P19" s="16"/>
      <c r="Q19" s="18" t="s">
        <v>6102</v>
      </c>
      <c r="R19" s="16"/>
      <c r="S19" s="18"/>
      <c r="T19" s="20"/>
    </row>
    <row r="20" spans="1:20" ht="15.95" customHeight="1" x14ac:dyDescent="0.25">
      <c r="A20" s="18" t="s">
        <v>631</v>
      </c>
      <c r="B20" s="16"/>
      <c r="C20" s="18" t="s">
        <v>1779</v>
      </c>
      <c r="D20" s="16"/>
      <c r="E20" s="18" t="s">
        <v>2498</v>
      </c>
      <c r="F20" s="16"/>
      <c r="G20" s="18" t="s">
        <v>1047</v>
      </c>
      <c r="H20" s="16"/>
      <c r="I20" s="18" t="s">
        <v>3217</v>
      </c>
      <c r="J20" s="16"/>
      <c r="K20" s="18" t="s">
        <v>3963</v>
      </c>
      <c r="L20" s="16"/>
      <c r="M20" s="18" t="s">
        <v>4692</v>
      </c>
      <c r="N20" s="16"/>
      <c r="O20" s="18" t="s">
        <v>5377</v>
      </c>
      <c r="P20" s="16"/>
      <c r="Q20" s="18" t="s">
        <v>6103</v>
      </c>
      <c r="R20" s="16"/>
      <c r="S20" s="18"/>
      <c r="T20" s="20"/>
    </row>
    <row r="21" spans="1:20" ht="15.95" customHeight="1" x14ac:dyDescent="0.25">
      <c r="A21" s="18" t="s">
        <v>632</v>
      </c>
      <c r="B21" s="16"/>
      <c r="C21" s="18" t="s">
        <v>1780</v>
      </c>
      <c r="D21" s="16"/>
      <c r="E21" s="18" t="s">
        <v>2499</v>
      </c>
      <c r="F21" s="16"/>
      <c r="G21" s="18" t="s">
        <v>1048</v>
      </c>
      <c r="H21" s="16"/>
      <c r="I21" s="18" t="s">
        <v>3218</v>
      </c>
      <c r="J21" s="16"/>
      <c r="K21" s="18" t="s">
        <v>3964</v>
      </c>
      <c r="L21" s="16"/>
      <c r="M21" s="18" t="s">
        <v>4693</v>
      </c>
      <c r="N21" s="16"/>
      <c r="O21" s="18" t="s">
        <v>5378</v>
      </c>
      <c r="P21" s="16"/>
      <c r="Q21" s="18" t="s">
        <v>6104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54</v>
      </c>
      <c r="B23" s="16"/>
      <c r="C23" s="18" t="s">
        <v>1612</v>
      </c>
      <c r="D23" s="16"/>
      <c r="E23" s="18" t="s">
        <v>2317</v>
      </c>
      <c r="F23" s="16"/>
      <c r="G23" s="18" t="s">
        <v>886</v>
      </c>
      <c r="H23" s="16"/>
      <c r="I23" s="18" t="s">
        <v>3027</v>
      </c>
      <c r="J23" s="16"/>
      <c r="K23" s="18" t="s">
        <v>3781</v>
      </c>
      <c r="L23" s="16"/>
      <c r="M23" s="18" t="s">
        <v>4511</v>
      </c>
      <c r="N23" s="16"/>
      <c r="O23" s="18" t="s">
        <v>5192</v>
      </c>
      <c r="P23" s="16"/>
      <c r="Q23" s="18" t="s">
        <v>5936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633</v>
      </c>
      <c r="B25" s="16"/>
      <c r="C25" s="18" t="s">
        <v>1781</v>
      </c>
      <c r="D25" s="16"/>
      <c r="E25" s="18" t="s">
        <v>2500</v>
      </c>
      <c r="F25" s="16"/>
      <c r="G25" s="18" t="s">
        <v>1049</v>
      </c>
      <c r="H25" s="16"/>
      <c r="I25" s="18" t="s">
        <v>3219</v>
      </c>
      <c r="J25" s="16"/>
      <c r="K25" s="18" t="s">
        <v>3965</v>
      </c>
      <c r="L25" s="16"/>
      <c r="M25" s="18" t="s">
        <v>4694</v>
      </c>
      <c r="N25" s="16"/>
      <c r="O25" s="18" t="s">
        <v>5379</v>
      </c>
      <c r="P25" s="16"/>
      <c r="Q25" s="18" t="s">
        <v>6105</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7" priority="2" stopIfTrue="1">
      <formula>NOT(ISERROR(A3))</formula>
    </cfRule>
  </conditionalFormatting>
  <conditionalFormatting sqref="A3:T51">
    <cfRule type="containsErrors" dxfId="336" priority="1" stopIfTrue="1">
      <formula>ISERROR(A3)</formula>
    </cfRule>
    <cfRule type="notContainsBlanks" dxfId="335"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514</v>
      </c>
      <c r="B3" s="16" t="str">
        <f>TRIM(_xlfn.TEXTBEFORE(A3, ":"))</f>
        <v>Item Class</v>
      </c>
      <c r="C3" s="17" t="s">
        <v>1782</v>
      </c>
      <c r="D3" s="16" t="str">
        <f>TRIM(_xlfn.TEXTBEFORE(C3, ":"))</f>
        <v>Gegenstandsklasse</v>
      </c>
      <c r="E3" s="17" t="s">
        <v>2501</v>
      </c>
      <c r="F3" s="16" t="str">
        <f>TRIM(_xlfn.TEXTBEFORE(E3, ":"))</f>
        <v>Clase de objeto</v>
      </c>
      <c r="G3" s="17" t="s">
        <v>1050</v>
      </c>
      <c r="H3" s="16" t="str">
        <f>TRIM(_xlfn.TEXTBEFORE(G3, ":"))</f>
        <v>Classe d'objet</v>
      </c>
      <c r="I3" s="17" t="s">
        <v>3220</v>
      </c>
      <c r="J3" s="16" t="str">
        <f>TRIM(_xlfn.TEXTBEFORE(I3, ":"))</f>
        <v>アイテムクラス</v>
      </c>
      <c r="K3" s="17" t="s">
        <v>3966</v>
      </c>
      <c r="L3" s="16" t="str">
        <f>TRIM(_xlfn.TEXTBEFORE(K3, ":"))</f>
        <v>아이템 종류</v>
      </c>
      <c r="M3" s="17" t="s">
        <v>4695</v>
      </c>
      <c r="N3" s="16" t="str">
        <f>TRIM(_xlfn.TEXTBEFORE(M3, ":"))</f>
        <v>Classe do Item</v>
      </c>
      <c r="O3" s="17" t="s">
        <v>5380</v>
      </c>
      <c r="P3" s="16" t="str">
        <f>TRIM(_xlfn.TEXTBEFORE(O3, ":"))</f>
        <v>Класс предмета</v>
      </c>
      <c r="Q3" s="17" t="s">
        <v>6106</v>
      </c>
      <c r="R3" s="16" t="str">
        <f>TRIM(_xlfn.TEXTBEFORE(Q3, ":"))</f>
        <v>ชนิดไอเทม</v>
      </c>
      <c r="S3" s="17"/>
      <c r="T3" s="16" t="e">
        <f>TRIM(_xlfn.TEXTBEFORE(S3, ":"))</f>
        <v>#N/A</v>
      </c>
    </row>
    <row r="4" spans="1:20" ht="15.95" customHeight="1" x14ac:dyDescent="0.25">
      <c r="A4" s="18" t="s">
        <v>81</v>
      </c>
      <c r="B4" s="16" t="str">
        <f>TRIM(_xlfn.TEXTAFTER(A3, ":"))</f>
        <v>Rings</v>
      </c>
      <c r="C4" s="18" t="s">
        <v>1644</v>
      </c>
      <c r="D4" s="16" t="str">
        <f>TRIM(_xlfn.TEXTAFTER(C3, ":"))</f>
        <v>Ringe</v>
      </c>
      <c r="E4" s="18" t="s">
        <v>2364</v>
      </c>
      <c r="F4" s="16" t="str">
        <f>TRIM(_xlfn.TEXTAFTER(E3, ":"))</f>
        <v>Anillos</v>
      </c>
      <c r="G4" s="18" t="s">
        <v>1</v>
      </c>
      <c r="H4" s="16" t="str">
        <f>TRIM(_xlfn.TEXTAFTER(G3, ":"))</f>
        <v>Bagues</v>
      </c>
      <c r="I4" s="18" t="s">
        <v>3079</v>
      </c>
      <c r="J4" s="16" t="str">
        <f>TRIM(_xlfn.TEXTAFTER(I3, ":"))</f>
        <v>指輪</v>
      </c>
      <c r="K4" s="18" t="s">
        <v>3829</v>
      </c>
      <c r="L4" s="16" t="str">
        <f>TRIM(_xlfn.TEXTAFTER(K3, ":"))</f>
        <v>반지</v>
      </c>
      <c r="M4" s="18" t="s">
        <v>4558</v>
      </c>
      <c r="N4" s="16" t="str">
        <f>TRIM(_xlfn.TEXTAFTER(M3, ":"))</f>
        <v>Anéis</v>
      </c>
      <c r="O4" s="18" t="s">
        <v>5241</v>
      </c>
      <c r="P4" s="16" t="str">
        <f>TRIM(_xlfn.TEXTAFTER(O3, ":"))</f>
        <v>Кольца</v>
      </c>
      <c r="Q4" s="18" t="s">
        <v>5978</v>
      </c>
      <c r="R4" s="16" t="str">
        <f>TRIM(_xlfn.TEXTAFTER(Q3, ":"))</f>
        <v>แหวน</v>
      </c>
      <c r="S4" s="18"/>
      <c r="T4" s="16" t="e">
        <f>TRIM(_xlfn.TEXTAFTER(S3, ":"))</f>
        <v>#N/A</v>
      </c>
    </row>
    <row r="5" spans="1:20" ht="15.95" customHeight="1" x14ac:dyDescent="0.25">
      <c r="A5" s="18" t="s">
        <v>515</v>
      </c>
      <c r="B5" s="16" t="str">
        <f>TRIM(_xlfn.TEXTBEFORE(A4, ":"))</f>
        <v>Rarity</v>
      </c>
      <c r="C5" s="18" t="s">
        <v>1783</v>
      </c>
      <c r="D5" s="16" t="str">
        <f>TRIM(_xlfn.TEXTBEFORE(C4, ":"))</f>
        <v>Seltenheit</v>
      </c>
      <c r="E5" s="18" t="s">
        <v>2502</v>
      </c>
      <c r="F5" s="16" t="str">
        <f>TRIM(_xlfn.TEXTBEFORE(E4, ":"))</f>
        <v>Rareza</v>
      </c>
      <c r="G5" s="18" t="s">
        <v>1051</v>
      </c>
      <c r="H5" s="16" t="str">
        <f>TRIM(_xlfn.TEXTBEFORE(G4, ":"))</f>
        <v>Rareté</v>
      </c>
      <c r="I5" s="18" t="s">
        <v>3221</v>
      </c>
      <c r="J5" s="16" t="str">
        <f>TRIM(_xlfn.TEXTBEFORE(I4, ":"))</f>
        <v>レアリティ</v>
      </c>
      <c r="K5" s="18" t="s">
        <v>3967</v>
      </c>
      <c r="L5" s="16" t="str">
        <f>TRIM(_xlfn.TEXTBEFORE(K4, ":"))</f>
        <v>아이템 희귀도</v>
      </c>
      <c r="M5" s="18" t="s">
        <v>4696</v>
      </c>
      <c r="N5" s="16" t="str">
        <f>TRIM(_xlfn.TEXTBEFORE(M4, ":"))</f>
        <v>Raridade</v>
      </c>
      <c r="O5" s="18" t="s">
        <v>5381</v>
      </c>
      <c r="P5" s="16" t="str">
        <f>TRIM(_xlfn.TEXTBEFORE(O4, ":"))</f>
        <v>Редкость</v>
      </c>
      <c r="Q5" s="18" t="s">
        <v>515</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255</v>
      </c>
      <c r="B7" s="16"/>
      <c r="C7" s="18" t="s">
        <v>1731</v>
      </c>
      <c r="D7" s="16"/>
      <c r="E7" s="18" t="s">
        <v>2450</v>
      </c>
      <c r="F7" s="16"/>
      <c r="G7" s="18" t="s">
        <v>999</v>
      </c>
      <c r="H7" s="16"/>
      <c r="I7" s="18" t="s">
        <v>3168</v>
      </c>
      <c r="J7" s="16"/>
      <c r="K7" s="18" t="s">
        <v>3915</v>
      </c>
      <c r="L7" s="16"/>
      <c r="M7" s="18" t="s">
        <v>4644</v>
      </c>
      <c r="N7" s="16"/>
      <c r="O7" s="18" t="s">
        <v>5329</v>
      </c>
      <c r="P7" s="16"/>
      <c r="Q7" s="18" t="s">
        <v>6061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516</v>
      </c>
      <c r="B9" s="16"/>
      <c r="C9" s="18" t="s">
        <v>1784</v>
      </c>
      <c r="D9" s="16"/>
      <c r="E9" s="18" t="s">
        <v>2503</v>
      </c>
      <c r="F9" s="16"/>
      <c r="G9" s="18" t="s">
        <v>1052</v>
      </c>
      <c r="H9" s="16"/>
      <c r="I9" s="18" t="s">
        <v>3222</v>
      </c>
      <c r="J9" s="16"/>
      <c r="K9" s="18" t="s">
        <v>3968</v>
      </c>
      <c r="L9" s="16"/>
      <c r="M9" s="18" t="s">
        <v>4697</v>
      </c>
      <c r="N9" s="16"/>
      <c r="O9" s="18" t="s">
        <v>5382</v>
      </c>
      <c r="P9" s="16"/>
      <c r="Q9" s="18" t="s">
        <v>6107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51</v>
      </c>
      <c r="B11" s="16" t="str">
        <f>A11</f>
        <v>Unidentified</v>
      </c>
      <c r="C11" s="18" t="s">
        <v>1785</v>
      </c>
      <c r="D11" s="16" t="str">
        <f>C11</f>
        <v>Nicht identifiziert</v>
      </c>
      <c r="E11" s="18" t="s">
        <v>2504</v>
      </c>
      <c r="F11" s="16" t="str">
        <f>E11</f>
        <v>Sin identificar</v>
      </c>
      <c r="G11" s="18" t="s">
        <v>1053</v>
      </c>
      <c r="H11" s="16" t="str">
        <f>G11</f>
        <v>Non identifié</v>
      </c>
      <c r="I11" s="18" t="s">
        <v>3223</v>
      </c>
      <c r="J11" s="16" t="str">
        <f>I11</f>
        <v>未鑑定</v>
      </c>
      <c r="K11" s="18" t="s">
        <v>3969</v>
      </c>
      <c r="L11" s="16" t="str">
        <f>K11</f>
        <v>미확인</v>
      </c>
      <c r="M11" s="18" t="s">
        <v>4698</v>
      </c>
      <c r="N11" s="16" t="str">
        <f>M11</f>
        <v>Não Identificado</v>
      </c>
      <c r="O11" s="18" t="s">
        <v>5383</v>
      </c>
      <c r="P11" s="16" t="str">
        <f>O11</f>
        <v>Неопознано</v>
      </c>
      <c r="Q11" s="18" t="s">
        <v>6108</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4" priority="2" stopIfTrue="1">
      <formula>NOT(ISERROR(A3))</formula>
    </cfRule>
  </conditionalFormatting>
  <conditionalFormatting sqref="A3:T51">
    <cfRule type="containsErrors" dxfId="333" priority="1" stopIfTrue="1">
      <formula>ISERROR(A3)</formula>
    </cfRule>
    <cfRule type="notContainsBlanks" dxfId="332"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443</v>
      </c>
      <c r="B3" s="16" t="str">
        <f>TRIM(_xlfn.TEXTBEFORE(A3, ":"))</f>
        <v>Item Class</v>
      </c>
      <c r="C3" s="17" t="s">
        <v>1786</v>
      </c>
      <c r="D3" s="16" t="str">
        <f>TRIM(_xlfn.TEXTBEFORE(C3, ":"))</f>
        <v>Gegenstandsklasse</v>
      </c>
      <c r="E3" s="17" t="s">
        <v>2505</v>
      </c>
      <c r="F3" s="16" t="str">
        <f>TRIM(_xlfn.TEXTBEFORE(E3, ":"))</f>
        <v>Clase de objeto</v>
      </c>
      <c r="G3" s="17" t="s">
        <v>1054</v>
      </c>
      <c r="H3" s="16" t="str">
        <f>TRIM(_xlfn.TEXTBEFORE(G3, ":"))</f>
        <v>Classe d'objet</v>
      </c>
      <c r="I3" s="17" t="s">
        <v>3224</v>
      </c>
      <c r="J3" s="16" t="str">
        <f>TRIM(_xlfn.TEXTBEFORE(I3, ":"))</f>
        <v>アイテムクラス</v>
      </c>
      <c r="K3" s="17" t="s">
        <v>3970</v>
      </c>
      <c r="L3" s="16" t="str">
        <f>TRIM(_xlfn.TEXTBEFORE(K3, ":"))</f>
        <v>아이템 종류</v>
      </c>
      <c r="M3" s="17" t="s">
        <v>4699</v>
      </c>
      <c r="N3" s="16" t="str">
        <f>TRIM(_xlfn.TEXTBEFORE(M3, ":"))</f>
        <v>Classe do Item</v>
      </c>
      <c r="O3" s="17" t="s">
        <v>5384</v>
      </c>
      <c r="P3" s="16" t="str">
        <f>TRIM(_xlfn.TEXTBEFORE(O3, ":"))</f>
        <v>Класс предмета</v>
      </c>
      <c r="Q3" s="17" t="s">
        <v>6109</v>
      </c>
      <c r="R3" s="16" t="str">
        <f>TRIM(_xlfn.TEXTBEFORE(Q3, ":"))</f>
        <v>ชนิดไอเทม</v>
      </c>
      <c r="S3" s="17"/>
      <c r="T3" s="16" t="e">
        <f>TRIM(_xlfn.TEXTBEFORE(S3, ":"))</f>
        <v>#N/A</v>
      </c>
    </row>
    <row r="4" spans="1:20" ht="15.95" customHeight="1" x14ac:dyDescent="0.25">
      <c r="A4" s="18" t="s">
        <v>81</v>
      </c>
      <c r="B4" s="16" t="str">
        <f>TRIM(_xlfn.TEXTAFTER(A3, ":"))</f>
        <v>Helmets</v>
      </c>
      <c r="C4" s="18" t="s">
        <v>1644</v>
      </c>
      <c r="D4" s="16" t="str">
        <f>TRIM(_xlfn.TEXTAFTER(C3, ":"))</f>
        <v>Helme</v>
      </c>
      <c r="E4" s="18" t="s">
        <v>2364</v>
      </c>
      <c r="F4" s="16" t="str">
        <f>TRIM(_xlfn.TEXTAFTER(E3, ":"))</f>
        <v>Cascos</v>
      </c>
      <c r="G4" s="18" t="s">
        <v>1</v>
      </c>
      <c r="H4" s="16" t="str">
        <f>TRIM(_xlfn.TEXTAFTER(G3, ":"))</f>
        <v>Casques</v>
      </c>
      <c r="I4" s="18" t="s">
        <v>3079</v>
      </c>
      <c r="J4" s="16" t="str">
        <f>TRIM(_xlfn.TEXTAFTER(I3, ":"))</f>
        <v>兜</v>
      </c>
      <c r="K4" s="18" t="s">
        <v>3829</v>
      </c>
      <c r="L4" s="16" t="str">
        <f>TRIM(_xlfn.TEXTAFTER(K3, ":"))</f>
        <v>투구</v>
      </c>
      <c r="M4" s="18" t="s">
        <v>4558</v>
      </c>
      <c r="N4" s="16" t="str">
        <f>TRIM(_xlfn.TEXTAFTER(M3, ":"))</f>
        <v>Elmos</v>
      </c>
      <c r="O4" s="18" t="s">
        <v>5241</v>
      </c>
      <c r="P4" s="16" t="str">
        <f>TRIM(_xlfn.TEXTAFTER(O3, ":"))</f>
        <v>Шлемы</v>
      </c>
      <c r="Q4" s="18" t="s">
        <v>5978</v>
      </c>
      <c r="R4" s="16" t="str">
        <f>TRIM(_xlfn.TEXTAFTER(Q3, ":"))</f>
        <v>หมวก</v>
      </c>
      <c r="S4" s="18"/>
      <c r="T4" s="16" t="e">
        <f>TRIM(_xlfn.TEXTAFTER(S3, ":"))</f>
        <v>#N/A</v>
      </c>
    </row>
    <row r="5" spans="1:20" ht="15.95" customHeight="1" x14ac:dyDescent="0.25">
      <c r="A5" s="18" t="s">
        <v>444</v>
      </c>
      <c r="B5" s="16" t="str">
        <f>TRIM(_xlfn.TEXTBEFORE(A4, ":"))</f>
        <v>Rarity</v>
      </c>
      <c r="C5" s="18" t="s">
        <v>444</v>
      </c>
      <c r="D5" s="16" t="str">
        <f>TRIM(_xlfn.TEXTBEFORE(C4, ":"))</f>
        <v>Seltenheit</v>
      </c>
      <c r="E5" s="18" t="s">
        <v>444</v>
      </c>
      <c r="F5" s="16" t="str">
        <f>TRIM(_xlfn.TEXTBEFORE(E4, ":"))</f>
        <v>Rareza</v>
      </c>
      <c r="G5" s="18" t="s">
        <v>444</v>
      </c>
      <c r="H5" s="16" t="str">
        <f>TRIM(_xlfn.TEXTBEFORE(G4, ":"))</f>
        <v>Rareté</v>
      </c>
      <c r="I5" s="18" t="s">
        <v>3225</v>
      </c>
      <c r="J5" s="16" t="str">
        <f>TRIM(_xlfn.TEXTBEFORE(I4, ":"))</f>
        <v>レアリティ</v>
      </c>
      <c r="K5" s="18" t="s">
        <v>3971</v>
      </c>
      <c r="L5" s="16" t="str">
        <f>TRIM(_xlfn.TEXTBEFORE(K4, ":"))</f>
        <v>아이템 희귀도</v>
      </c>
      <c r="M5" s="18" t="s">
        <v>444</v>
      </c>
      <c r="N5" s="16" t="str">
        <f>TRIM(_xlfn.TEXTBEFORE(M4, ":"))</f>
        <v>Raridade</v>
      </c>
      <c r="O5" s="18" t="s">
        <v>5385</v>
      </c>
      <c r="P5" s="16" t="str">
        <f>TRIM(_xlfn.TEXTBEFORE(O4, ":"))</f>
        <v>Редкость</v>
      </c>
      <c r="Q5" s="18" t="s">
        <v>444</v>
      </c>
      <c r="R5" s="16" t="str">
        <f>TRIM(_xlfn.TEXTBEFORE(Q4, ":"))</f>
        <v>ความหายาก</v>
      </c>
      <c r="S5" s="18"/>
      <c r="T5" s="16" t="e">
        <f>TRIM(_xlfn.TEXTBEFORE(S4, ":"))</f>
        <v>#N/A</v>
      </c>
    </row>
    <row r="6" spans="1:20" ht="15.95" customHeight="1" x14ac:dyDescent="0.25">
      <c r="A6" s="18" t="s">
        <v>445</v>
      </c>
      <c r="B6" s="16" t="str">
        <f>TRIM(_xlfn.TEXTAFTER(A4,":"))</f>
        <v>Unique</v>
      </c>
      <c r="C6" s="18" t="s">
        <v>1787</v>
      </c>
      <c r="D6" s="16" t="str">
        <f>TRIM(_xlfn.TEXTAFTER(C4,":"))</f>
        <v>Einzigartig</v>
      </c>
      <c r="E6" s="18" t="s">
        <v>2506</v>
      </c>
      <c r="F6" s="16" t="str">
        <f>TRIM(_xlfn.TEXTAFTER(E4,":"))</f>
        <v>Único</v>
      </c>
      <c r="G6" s="18" t="s">
        <v>1055</v>
      </c>
      <c r="H6" s="16" t="str">
        <f>TRIM(_xlfn.TEXTAFTER(G4,":"))</f>
        <v>Unique</v>
      </c>
      <c r="I6" s="18" t="s">
        <v>3226</v>
      </c>
      <c r="J6" s="16" t="str">
        <f>TRIM(_xlfn.TEXTAFTER(I4,":"))</f>
        <v>ユニーク</v>
      </c>
      <c r="K6" s="18" t="s">
        <v>3972</v>
      </c>
      <c r="L6" s="16" t="str">
        <f>TRIM(_xlfn.TEXTAFTER(K4,":"))</f>
        <v>고유</v>
      </c>
      <c r="M6" s="18" t="s">
        <v>4700</v>
      </c>
      <c r="N6" s="16" t="str">
        <f>TRIM(_xlfn.TEXTAFTER(M4,":"))</f>
        <v>Único</v>
      </c>
      <c r="O6" s="18" t="s">
        <v>5386</v>
      </c>
      <c r="P6" s="16" t="str">
        <f>TRIM(_xlfn.TEXTAFTER(O4,":"))</f>
        <v>Уникальный</v>
      </c>
      <c r="Q6" s="18" t="s">
        <v>445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446</v>
      </c>
      <c r="B8" s="16" t="str">
        <f>TRIM(_xlfn.TEXTBEFORE(A8,":"))</f>
        <v>Armour</v>
      </c>
      <c r="C8" s="18" t="s">
        <v>1788</v>
      </c>
      <c r="D8" s="16" t="str">
        <f>TRIM(_xlfn.TEXTBEFORE(C8,":"))</f>
        <v>Rüstung</v>
      </c>
      <c r="E8" s="18" t="s">
        <v>2507</v>
      </c>
      <c r="F8" s="16" t="str">
        <f>TRIM(_xlfn.TEXTBEFORE(E8,":"))</f>
        <v>Armadura</v>
      </c>
      <c r="G8" s="18" t="s">
        <v>1056</v>
      </c>
      <c r="H8" s="16" t="str">
        <f>TRIM(_xlfn.TEXTBEFORE(G8,":"))</f>
        <v>Armure</v>
      </c>
      <c r="I8" s="18" t="s">
        <v>3227</v>
      </c>
      <c r="J8" s="16" t="str">
        <f>TRIM(_xlfn.TEXTBEFORE(I8,":"))</f>
        <v>アーマー</v>
      </c>
      <c r="K8" s="18" t="s">
        <v>3973</v>
      </c>
      <c r="L8" s="16" t="str">
        <f>TRIM(_xlfn.TEXTBEFORE(K8,":"))</f>
        <v>방어도</v>
      </c>
      <c r="M8" s="18" t="s">
        <v>2507</v>
      </c>
      <c r="N8" s="16" t="str">
        <f>TRIM(_xlfn.TEXTBEFORE(M8,":"))</f>
        <v>Armadura</v>
      </c>
      <c r="O8" s="18" t="s">
        <v>5387</v>
      </c>
      <c r="P8" s="16" t="str">
        <f>TRIM(_xlfn.TEXTBEFORE(O8,":"))</f>
        <v>Броня</v>
      </c>
      <c r="Q8" s="18" t="s">
        <v>6110</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16"/>
    </row>
    <row r="11" spans="1:20" ht="15.95" customHeight="1" x14ac:dyDescent="0.25">
      <c r="A11" s="18" t="s">
        <v>447</v>
      </c>
      <c r="B11" s="16"/>
      <c r="C11" s="18" t="s">
        <v>1789</v>
      </c>
      <c r="D11" s="16"/>
      <c r="E11" s="18" t="s">
        <v>2508</v>
      </c>
      <c r="F11" s="16"/>
      <c r="G11" s="18" t="s">
        <v>1057</v>
      </c>
      <c r="H11" s="16"/>
      <c r="I11" s="18" t="s">
        <v>3228</v>
      </c>
      <c r="J11" s="16"/>
      <c r="K11" s="18" t="s">
        <v>3974</v>
      </c>
      <c r="L11" s="16"/>
      <c r="M11" s="18" t="s">
        <v>4701</v>
      </c>
      <c r="N11" s="16"/>
      <c r="O11" s="18" t="s">
        <v>5388</v>
      </c>
      <c r="P11" s="16"/>
      <c r="Q11" s="18" t="s">
        <v>6111</v>
      </c>
      <c r="R11" s="16"/>
      <c r="S11" s="18"/>
      <c r="T11" s="16"/>
    </row>
    <row r="12" spans="1:20" ht="15.95" customHeight="1" x14ac:dyDescent="0.25">
      <c r="A12" s="18" t="s">
        <v>448</v>
      </c>
      <c r="B12" s="16"/>
      <c r="C12" s="18" t="s">
        <v>448</v>
      </c>
      <c r="D12" s="16"/>
      <c r="E12" s="18" t="s">
        <v>2339</v>
      </c>
      <c r="F12" s="16"/>
      <c r="G12" s="18" t="s">
        <v>866</v>
      </c>
      <c r="H12" s="16"/>
      <c r="I12" s="18" t="s">
        <v>3053</v>
      </c>
      <c r="J12" s="16"/>
      <c r="K12" s="18" t="s">
        <v>3804</v>
      </c>
      <c r="L12" s="16"/>
      <c r="M12" s="18" t="s">
        <v>866</v>
      </c>
      <c r="N12" s="16"/>
      <c r="O12" s="18" t="s">
        <v>5215</v>
      </c>
      <c r="P12" s="16"/>
      <c r="Q12" s="18" t="s">
        <v>448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376</v>
      </c>
      <c r="B14" s="16"/>
      <c r="C14" s="18" t="s">
        <v>1790</v>
      </c>
      <c r="D14" s="16"/>
      <c r="E14" s="18" t="s">
        <v>2509</v>
      </c>
      <c r="F14" s="16"/>
      <c r="G14" s="18" t="s">
        <v>1058</v>
      </c>
      <c r="H14" s="16"/>
      <c r="I14" s="18" t="s">
        <v>3229</v>
      </c>
      <c r="J14" s="16"/>
      <c r="K14" s="18" t="s">
        <v>3975</v>
      </c>
      <c r="L14" s="16"/>
      <c r="M14" s="18" t="s">
        <v>4702</v>
      </c>
      <c r="N14" s="16"/>
      <c r="O14" s="18" t="s">
        <v>5389</v>
      </c>
      <c r="P14" s="16"/>
      <c r="Q14" s="18" t="s">
        <v>6112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421</v>
      </c>
      <c r="B16" s="16"/>
      <c r="C16" s="18" t="s">
        <v>1791</v>
      </c>
      <c r="D16" s="16"/>
      <c r="E16" s="18" t="s">
        <v>2510</v>
      </c>
      <c r="F16" s="16"/>
      <c r="G16" s="18" t="s">
        <v>7</v>
      </c>
      <c r="H16" s="16"/>
      <c r="I16" s="18" t="s">
        <v>3230</v>
      </c>
      <c r="J16" s="16"/>
      <c r="K16" s="18" t="s">
        <v>3976</v>
      </c>
      <c r="L16" s="16"/>
      <c r="M16" s="18" t="s">
        <v>4703</v>
      </c>
      <c r="N16" s="16"/>
      <c r="O16" s="18" t="s">
        <v>5390</v>
      </c>
      <c r="P16" s="16"/>
      <c r="Q16" s="18" t="s">
        <v>6113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449</v>
      </c>
      <c r="B18" s="16"/>
      <c r="C18" s="18" t="s">
        <v>1792</v>
      </c>
      <c r="D18" s="16"/>
      <c r="E18" s="18" t="s">
        <v>2511</v>
      </c>
      <c r="F18" s="16"/>
      <c r="G18" s="18" t="s">
        <v>1059</v>
      </c>
      <c r="H18" s="16"/>
      <c r="I18" s="18" t="s">
        <v>3231</v>
      </c>
      <c r="J18" s="16"/>
      <c r="K18" s="18" t="s">
        <v>3977</v>
      </c>
      <c r="L18" s="16"/>
      <c r="M18" s="18" t="s">
        <v>4704</v>
      </c>
      <c r="N18" s="16"/>
      <c r="O18" s="18" t="s">
        <v>5391</v>
      </c>
      <c r="P18" s="16"/>
      <c r="Q18" s="18" t="s">
        <v>6114</v>
      </c>
      <c r="R18" s="16"/>
      <c r="S18" s="18"/>
      <c r="T18" s="21"/>
    </row>
    <row r="19" spans="1:20" ht="15.95" customHeight="1" x14ac:dyDescent="0.25">
      <c r="A19" s="18" t="s">
        <v>450</v>
      </c>
      <c r="B19" s="16"/>
      <c r="C19" s="18" t="s">
        <v>1793</v>
      </c>
      <c r="D19" s="16"/>
      <c r="E19" s="18" t="s">
        <v>2512</v>
      </c>
      <c r="F19" s="16"/>
      <c r="G19" s="18" t="s">
        <v>1060</v>
      </c>
      <c r="H19" s="16"/>
      <c r="I19" s="18" t="s">
        <v>3232</v>
      </c>
      <c r="J19" s="16"/>
      <c r="K19" s="18" t="s">
        <v>3978</v>
      </c>
      <c r="L19" s="16"/>
      <c r="M19" s="18" t="s">
        <v>4705</v>
      </c>
      <c r="N19" s="16"/>
      <c r="O19" s="18" t="s">
        <v>5392</v>
      </c>
      <c r="P19" s="16"/>
      <c r="Q19" s="18" t="s">
        <v>6115</v>
      </c>
      <c r="R19" s="16"/>
      <c r="S19" s="18"/>
      <c r="T19" s="21"/>
    </row>
    <row r="20" spans="1:20" ht="15.95" customHeight="1" x14ac:dyDescent="0.25">
      <c r="A20" s="18" t="s">
        <v>451</v>
      </c>
      <c r="B20" s="16"/>
      <c r="C20" s="18" t="s">
        <v>1794</v>
      </c>
      <c r="D20" s="16"/>
      <c r="E20" s="18" t="s">
        <v>2513</v>
      </c>
      <c r="F20" s="16"/>
      <c r="G20" s="18" t="s">
        <v>1061</v>
      </c>
      <c r="H20" s="16"/>
      <c r="I20" s="18" t="s">
        <v>3233</v>
      </c>
      <c r="J20" s="16"/>
      <c r="K20" s="18" t="s">
        <v>3979</v>
      </c>
      <c r="L20" s="16"/>
      <c r="M20" s="18" t="s">
        <v>4706</v>
      </c>
      <c r="N20" s="16"/>
      <c r="O20" s="18" t="s">
        <v>5393</v>
      </c>
      <c r="P20" s="16"/>
      <c r="Q20" s="18" t="s">
        <v>6116</v>
      </c>
      <c r="R20" s="16"/>
      <c r="S20" s="18"/>
      <c r="T20" s="21"/>
    </row>
    <row r="21" spans="1:20" ht="15.95" customHeight="1" x14ac:dyDescent="0.25">
      <c r="A21" s="18" t="s">
        <v>452</v>
      </c>
      <c r="B21" s="16"/>
      <c r="C21" s="18" t="s">
        <v>1795</v>
      </c>
      <c r="D21" s="16"/>
      <c r="E21" s="18" t="s">
        <v>2514</v>
      </c>
      <c r="F21" s="16"/>
      <c r="G21" s="18" t="s">
        <v>1062</v>
      </c>
      <c r="H21" s="16"/>
      <c r="I21" s="18" t="s">
        <v>3234</v>
      </c>
      <c r="J21" s="16"/>
      <c r="K21" s="18" t="s">
        <v>3980</v>
      </c>
      <c r="L21" s="16"/>
      <c r="M21" s="18" t="s">
        <v>4707</v>
      </c>
      <c r="N21" s="16"/>
      <c r="O21" s="18" t="s">
        <v>5394</v>
      </c>
      <c r="P21" s="16"/>
      <c r="Q21" s="18" t="s">
        <v>6117</v>
      </c>
      <c r="R21" s="16"/>
      <c r="S21" s="18"/>
      <c r="T21" s="21"/>
    </row>
    <row r="22" spans="1:20" ht="15.95" customHeight="1" x14ac:dyDescent="0.25">
      <c r="A22" s="18" t="s">
        <v>453</v>
      </c>
      <c r="B22" s="16"/>
      <c r="C22" s="18" t="s">
        <v>1796</v>
      </c>
      <c r="D22" s="16"/>
      <c r="E22" s="18" t="s">
        <v>2515</v>
      </c>
      <c r="F22" s="16"/>
      <c r="G22" s="18" t="s">
        <v>1063</v>
      </c>
      <c r="H22" s="16"/>
      <c r="I22" s="18" t="s">
        <v>3235</v>
      </c>
      <c r="J22" s="16"/>
      <c r="K22" s="18" t="s">
        <v>3981</v>
      </c>
      <c r="L22" s="16"/>
      <c r="M22" s="18" t="s">
        <v>4708</v>
      </c>
      <c r="N22" s="16"/>
      <c r="O22" s="18" t="s">
        <v>5395</v>
      </c>
      <c r="P22" s="16"/>
      <c r="Q22" s="18" t="s">
        <v>6118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454</v>
      </c>
      <c r="B24" s="16"/>
      <c r="C24" s="18" t="s">
        <v>1797</v>
      </c>
      <c r="D24" s="16"/>
      <c r="E24" s="18" t="s">
        <v>2516</v>
      </c>
      <c r="F24" s="16"/>
      <c r="G24" s="18" t="s">
        <v>1064</v>
      </c>
      <c r="H24" s="16"/>
      <c r="I24" s="18" t="s">
        <v>3236</v>
      </c>
      <c r="J24" s="16"/>
      <c r="K24" s="18" t="s">
        <v>3982</v>
      </c>
      <c r="L24" s="16"/>
      <c r="M24" s="18" t="s">
        <v>4709</v>
      </c>
      <c r="N24" s="16"/>
      <c r="O24" s="18" t="s">
        <v>5396</v>
      </c>
      <c r="P24" s="16"/>
      <c r="Q24" s="18" t="s">
        <v>6119</v>
      </c>
      <c r="R24" s="16"/>
      <c r="S24" s="18"/>
      <c r="T24" s="21"/>
    </row>
    <row r="25" spans="1:20" ht="15.95" customHeight="1" x14ac:dyDescent="0.25">
      <c r="A25" s="18" t="s">
        <v>455</v>
      </c>
      <c r="B25" s="16"/>
      <c r="C25" s="18" t="s">
        <v>1798</v>
      </c>
      <c r="D25" s="16"/>
      <c r="E25" s="18" t="s">
        <v>2517</v>
      </c>
      <c r="F25" s="16"/>
      <c r="G25" s="18" t="s">
        <v>1065</v>
      </c>
      <c r="H25" s="16"/>
      <c r="I25" s="18" t="s">
        <v>3237</v>
      </c>
      <c r="J25" s="16"/>
      <c r="K25" s="18" t="s">
        <v>3983</v>
      </c>
      <c r="L25" s="16"/>
      <c r="M25" s="18" t="s">
        <v>4710</v>
      </c>
      <c r="N25" s="16"/>
      <c r="O25" s="18" t="s">
        <v>5397</v>
      </c>
      <c r="P25" s="16"/>
      <c r="Q25" s="18" t="s">
        <v>6120</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1" priority="22" stopIfTrue="1">
      <formula>NOT(ISERROR(A3))</formula>
    </cfRule>
  </conditionalFormatting>
  <conditionalFormatting sqref="A3:T7 A8 C8 E8 G8 I8 K8 M8 O8 Q8 S8 A9:T51">
    <cfRule type="notContainsBlanks" dxfId="330" priority="23">
      <formula>LEN(TRIM(A3))&gt;0</formula>
    </cfRule>
  </conditionalFormatting>
  <conditionalFormatting sqref="A3:T51">
    <cfRule type="containsErrors" dxfId="329" priority="1" stopIfTrue="1">
      <formula>ISERROR(A3)</formula>
    </cfRule>
  </conditionalFormatting>
  <conditionalFormatting sqref="B8">
    <cfRule type="notContainsBlanks" dxfId="328" priority="20">
      <formula>LEN(TRIM(B8))&gt;0</formula>
    </cfRule>
  </conditionalFormatting>
  <conditionalFormatting sqref="D8">
    <cfRule type="notContainsBlanks" dxfId="327" priority="18">
      <formula>LEN(TRIM(D8))&gt;0</formula>
    </cfRule>
  </conditionalFormatting>
  <conditionalFormatting sqref="F8">
    <cfRule type="notContainsBlanks" dxfId="326" priority="16">
      <formula>LEN(TRIM(F8))&gt;0</formula>
    </cfRule>
  </conditionalFormatting>
  <conditionalFormatting sqref="H8">
    <cfRule type="notContainsBlanks" dxfId="325" priority="14">
      <formula>LEN(TRIM(H8))&gt;0</formula>
    </cfRule>
  </conditionalFormatting>
  <conditionalFormatting sqref="J8">
    <cfRule type="notContainsBlanks" dxfId="324" priority="12">
      <formula>LEN(TRIM(J8))&gt;0</formula>
    </cfRule>
  </conditionalFormatting>
  <conditionalFormatting sqref="L8">
    <cfRule type="notContainsBlanks" dxfId="323" priority="10">
      <formula>LEN(TRIM(L8))&gt;0</formula>
    </cfRule>
  </conditionalFormatting>
  <conditionalFormatting sqref="N8">
    <cfRule type="notContainsBlanks" dxfId="322" priority="8">
      <formula>LEN(TRIM(N8))&gt;0</formula>
    </cfRule>
  </conditionalFormatting>
  <conditionalFormatting sqref="P8">
    <cfRule type="notContainsBlanks" dxfId="321" priority="6">
      <formula>LEN(TRIM(P8))&gt;0</formula>
    </cfRule>
  </conditionalFormatting>
  <conditionalFormatting sqref="R8">
    <cfRule type="notContainsBlanks" dxfId="320" priority="4">
      <formula>LEN(TRIM(R8))&gt;0</formula>
    </cfRule>
  </conditionalFormatting>
  <conditionalFormatting sqref="T8">
    <cfRule type="notContainsBlanks" dxfId="319"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428</v>
      </c>
      <c r="B3" s="16" t="str">
        <f>TRIM(_xlfn.TEXTBEFORE(A3, ":"))</f>
        <v>Item Class</v>
      </c>
      <c r="C3" s="17" t="s">
        <v>1799</v>
      </c>
      <c r="D3" s="16" t="str">
        <f>TRIM(_xlfn.TEXTBEFORE(C3, ":"))</f>
        <v>Gegenstandsklasse</v>
      </c>
      <c r="E3" s="17" t="s">
        <v>2518</v>
      </c>
      <c r="F3" s="16" t="str">
        <f>TRIM(_xlfn.TEXTBEFORE(E3, ":"))</f>
        <v>Clase de objeto</v>
      </c>
      <c r="G3" s="17" t="s">
        <v>1066</v>
      </c>
      <c r="H3" s="16" t="str">
        <f>TRIM(_xlfn.TEXTBEFORE(G3, ":"))</f>
        <v>Classe d'objet</v>
      </c>
      <c r="I3" s="17" t="s">
        <v>3238</v>
      </c>
      <c r="J3" s="16" t="str">
        <f>TRIM(_xlfn.TEXTBEFORE(I3, ":"))</f>
        <v>アイテムクラス</v>
      </c>
      <c r="K3" s="17" t="s">
        <v>3984</v>
      </c>
      <c r="L3" s="16" t="str">
        <f>TRIM(_xlfn.TEXTBEFORE(K3, ":"))</f>
        <v>아이템 종류</v>
      </c>
      <c r="M3" s="17" t="s">
        <v>4711</v>
      </c>
      <c r="N3" s="16" t="str">
        <f>TRIM(_xlfn.TEXTBEFORE(M3, ":"))</f>
        <v>Classe do Item</v>
      </c>
      <c r="O3" s="17" t="s">
        <v>5398</v>
      </c>
      <c r="P3" s="16" t="str">
        <f>TRIM(_xlfn.TEXTBEFORE(O3, ":"))</f>
        <v>Класс предмета</v>
      </c>
      <c r="Q3" s="17" t="s">
        <v>6121</v>
      </c>
      <c r="R3" s="16" t="str">
        <f>TRIM(_xlfn.TEXTBEFORE(Q3, ":"))</f>
        <v>ชนิดไอเทม</v>
      </c>
      <c r="S3" s="17"/>
      <c r="T3" s="16" t="e">
        <f>TRIM(_xlfn.TEXTBEFORE(S3, ":"))</f>
        <v>#N/A</v>
      </c>
    </row>
    <row r="4" spans="1:20" ht="15.95" customHeight="1" x14ac:dyDescent="0.25">
      <c r="A4" s="18" t="s">
        <v>81</v>
      </c>
      <c r="B4" s="16" t="str">
        <f>TRIM(_xlfn.TEXTAFTER(A3, ":"))</f>
        <v>Body Armours</v>
      </c>
      <c r="C4" s="18" t="s">
        <v>1644</v>
      </c>
      <c r="D4" s="16" t="str">
        <f>TRIM(_xlfn.TEXTAFTER(C3, ":"))</f>
        <v>Körperrüstungen</v>
      </c>
      <c r="E4" s="18" t="s">
        <v>2364</v>
      </c>
      <c r="F4" s="16" t="str">
        <f>TRIM(_xlfn.TEXTAFTER(E3, ":"))</f>
        <v>Armaduras corporales</v>
      </c>
      <c r="G4" s="18" t="s">
        <v>1</v>
      </c>
      <c r="H4" s="16" t="str">
        <f>TRIM(_xlfn.TEXTAFTER(G3, ":"))</f>
        <v>Armures</v>
      </c>
      <c r="I4" s="18" t="s">
        <v>3079</v>
      </c>
      <c r="J4" s="16" t="str">
        <f>TRIM(_xlfn.TEXTAFTER(I3, ":"))</f>
        <v>鎧</v>
      </c>
      <c r="K4" s="18" t="s">
        <v>3829</v>
      </c>
      <c r="L4" s="16" t="str">
        <f>TRIM(_xlfn.TEXTAFTER(K3, ":"))</f>
        <v>갑옷</v>
      </c>
      <c r="M4" s="18" t="s">
        <v>4558</v>
      </c>
      <c r="N4" s="16" t="str">
        <f>TRIM(_xlfn.TEXTAFTER(M3, ":"))</f>
        <v>Peitorais</v>
      </c>
      <c r="O4" s="18" t="s">
        <v>5241</v>
      </c>
      <c r="P4" s="16" t="str">
        <f>TRIM(_xlfn.TEXTAFTER(O3, ":"))</f>
        <v>Доспехи</v>
      </c>
      <c r="Q4" s="18" t="s">
        <v>5978</v>
      </c>
      <c r="R4" s="16" t="str">
        <f>TRIM(_xlfn.TEXTAFTER(Q3, ":"))</f>
        <v>เสื้อเกราะ</v>
      </c>
      <c r="S4" s="18"/>
      <c r="T4" s="16" t="e">
        <f>TRIM(_xlfn.TEXTAFTER(S3, ":"))</f>
        <v>#N/A</v>
      </c>
    </row>
    <row r="5" spans="1:20" ht="15.95" customHeight="1" x14ac:dyDescent="0.25">
      <c r="A5" s="18" t="s">
        <v>429</v>
      </c>
      <c r="B5" s="16" t="str">
        <f>TRIM(_xlfn.TEXTBEFORE(A4, ":"))</f>
        <v>Rarity</v>
      </c>
      <c r="C5" s="18" t="s">
        <v>1800</v>
      </c>
      <c r="D5" s="16" t="str">
        <f>TRIM(_xlfn.TEXTBEFORE(C4, ":"))</f>
        <v>Seltenheit</v>
      </c>
      <c r="E5" s="18" t="s">
        <v>2519</v>
      </c>
      <c r="F5" s="16" t="str">
        <f>TRIM(_xlfn.TEXTBEFORE(E4, ":"))</f>
        <v>Rareza</v>
      </c>
      <c r="G5" s="18" t="s">
        <v>1067</v>
      </c>
      <c r="H5" s="16" t="str">
        <f>TRIM(_xlfn.TEXTBEFORE(G4, ":"))</f>
        <v>Rareté</v>
      </c>
      <c r="I5" s="18" t="s">
        <v>3239</v>
      </c>
      <c r="J5" s="16" t="str">
        <f>TRIM(_xlfn.TEXTBEFORE(I4, ":"))</f>
        <v>レアリティ</v>
      </c>
      <c r="K5" s="18" t="s">
        <v>3985</v>
      </c>
      <c r="L5" s="16" t="str">
        <f>TRIM(_xlfn.TEXTBEFORE(K4, ":"))</f>
        <v>아이템 희귀도</v>
      </c>
      <c r="M5" s="18" t="s">
        <v>4712</v>
      </c>
      <c r="N5" s="16" t="str">
        <f>TRIM(_xlfn.TEXTBEFORE(M4, ":"))</f>
        <v>Raridade</v>
      </c>
      <c r="O5" s="18" t="s">
        <v>5399</v>
      </c>
      <c r="P5" s="16" t="str">
        <f>TRIM(_xlfn.TEXTBEFORE(O4, ":"))</f>
        <v>Редкость</v>
      </c>
      <c r="Q5" s="18" t="s">
        <v>429</v>
      </c>
      <c r="R5" s="16" t="str">
        <f>TRIM(_xlfn.TEXTBEFORE(Q4, ":"))</f>
        <v>ความหายาก</v>
      </c>
      <c r="S5" s="18"/>
      <c r="T5" s="16" t="e">
        <f>TRIM(_xlfn.TEXTBEFORE(S4, ":"))</f>
        <v>#N/A</v>
      </c>
    </row>
    <row r="6" spans="1:20" ht="15.95" customHeight="1" x14ac:dyDescent="0.25">
      <c r="A6" s="18" t="s">
        <v>430</v>
      </c>
      <c r="B6" s="16" t="str">
        <f>TRIM(_xlfn.TEXTAFTER(A4,":"))</f>
        <v>Unique</v>
      </c>
      <c r="C6" s="18" t="s">
        <v>1801</v>
      </c>
      <c r="D6" s="16" t="str">
        <f>TRIM(_xlfn.TEXTAFTER(C4,":"))</f>
        <v>Einzigartig</v>
      </c>
      <c r="E6" s="18" t="s">
        <v>2520</v>
      </c>
      <c r="F6" s="16" t="str">
        <f>TRIM(_xlfn.TEXTAFTER(E4,":"))</f>
        <v>Único</v>
      </c>
      <c r="G6" s="18" t="s">
        <v>1068</v>
      </c>
      <c r="H6" s="16" t="str">
        <f>TRIM(_xlfn.TEXTAFTER(G4,":"))</f>
        <v>Unique</v>
      </c>
      <c r="I6" s="18" t="s">
        <v>3240</v>
      </c>
      <c r="J6" s="16" t="str">
        <f>TRIM(_xlfn.TEXTAFTER(I4,":"))</f>
        <v>ユニーク</v>
      </c>
      <c r="K6" s="18" t="s">
        <v>3986</v>
      </c>
      <c r="L6" s="16" t="str">
        <f>TRIM(_xlfn.TEXTAFTER(K4,":"))</f>
        <v>고유</v>
      </c>
      <c r="M6" s="18" t="s">
        <v>4713</v>
      </c>
      <c r="N6" s="16" t="str">
        <f>TRIM(_xlfn.TEXTAFTER(M4,":"))</f>
        <v>Único</v>
      </c>
      <c r="O6" s="18" t="s">
        <v>5400</v>
      </c>
      <c r="P6" s="16" t="str">
        <f>TRIM(_xlfn.TEXTAFTER(O4,":"))</f>
        <v>Уникальный</v>
      </c>
      <c r="Q6" s="18" t="s">
        <v>430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431</v>
      </c>
      <c r="B8" s="16" t="str">
        <f>TRIM(_xlfn.TEXTBEFORE(A8,":"))</f>
        <v>Evasion Rating</v>
      </c>
      <c r="C8" s="18" t="s">
        <v>1802</v>
      </c>
      <c r="D8" s="16" t="str">
        <f>TRIM(_xlfn.TEXTBEFORE(C8,":"))</f>
        <v>Ausweichwert</v>
      </c>
      <c r="E8" s="18" t="s">
        <v>2521</v>
      </c>
      <c r="F8" s="16" t="str">
        <f>TRIM(_xlfn.TEXTBEFORE(E8,":"))</f>
        <v>Evasión</v>
      </c>
      <c r="G8" s="18" t="s">
        <v>1069</v>
      </c>
      <c r="H8" s="16" t="str">
        <f>TRIM(_xlfn.TEXTBEFORE(G8,":"))</f>
        <v>Score d'Évasion</v>
      </c>
      <c r="I8" s="18" t="s">
        <v>3241</v>
      </c>
      <c r="J8" s="16" t="str">
        <f>TRIM(_xlfn.TEXTBEFORE(I8,":"))</f>
        <v>回避力</v>
      </c>
      <c r="K8" s="18" t="s">
        <v>3987</v>
      </c>
      <c r="L8" s="16" t="str">
        <f>TRIM(_xlfn.TEXTBEFORE(K8,":"))</f>
        <v>회피</v>
      </c>
      <c r="M8" s="18" t="s">
        <v>4714</v>
      </c>
      <c r="N8" s="16" t="str">
        <f>TRIM(_xlfn.TEXTBEFORE(M8,":"))</f>
        <v>Evasão</v>
      </c>
      <c r="O8" s="18" t="s">
        <v>5401</v>
      </c>
      <c r="P8" s="16" t="str">
        <f>TRIM(_xlfn.TEXTBEFORE(O8,":"))</f>
        <v>Уклонение</v>
      </c>
      <c r="Q8" s="18" t="s">
        <v>6122</v>
      </c>
      <c r="R8" s="16" t="str">
        <f>TRIM(_xlfn.TEXTBEFORE(Q8,":"))</f>
        <v>อัตราการหลบหลีก</v>
      </c>
      <c r="S8" s="18"/>
      <c r="T8" s="16" t="e">
        <f>TRIM(_xlfn.TEXTBEFORE(S8,":"))</f>
        <v>#N/A</v>
      </c>
    </row>
    <row r="9" spans="1:20" ht="15.95" customHeight="1" x14ac:dyDescent="0.25">
      <c r="A9" s="18" t="s">
        <v>432</v>
      </c>
      <c r="B9" s="16" t="str">
        <f>TRIM(_xlfn.TEXTBEFORE(A9,":"))</f>
        <v>Energy Shield</v>
      </c>
      <c r="C9" s="18" t="s">
        <v>1803</v>
      </c>
      <c r="D9" s="16" t="str">
        <f>TRIM(_xlfn.TEXTBEFORE(C9,":"))</f>
        <v>Energieschild</v>
      </c>
      <c r="E9" s="18" t="s">
        <v>2522</v>
      </c>
      <c r="F9" s="16" t="str">
        <f>TRIM(_xlfn.TEXTBEFORE(E9,":"))</f>
        <v>Escudo de energía</v>
      </c>
      <c r="G9" s="18" t="s">
        <v>1070</v>
      </c>
      <c r="H9" s="16" t="str">
        <f>TRIM(_xlfn.TEXTBEFORE(G9,":"))</f>
        <v>Bouclier d'énergie</v>
      </c>
      <c r="I9" s="18" t="s">
        <v>3242</v>
      </c>
      <c r="J9" s="16" t="str">
        <f>TRIM(_xlfn.TEXTBEFORE(I9,":"))</f>
        <v>エナジーシールド</v>
      </c>
      <c r="K9" s="18" t="s">
        <v>3988</v>
      </c>
      <c r="L9" s="16" t="str">
        <f>TRIM(_xlfn.TEXTBEFORE(K9,":"))</f>
        <v>에너지 보호막</v>
      </c>
      <c r="M9" s="18" t="s">
        <v>4715</v>
      </c>
      <c r="N9" s="16" t="str">
        <f>TRIM(_xlfn.TEXTBEFORE(M9,":"))</f>
        <v>Escudo de Energia</v>
      </c>
      <c r="O9" s="18" t="s">
        <v>5402</v>
      </c>
      <c r="P9" s="16" t="str">
        <f>TRIM(_xlfn.TEXTBEFORE(O9,":"))</f>
        <v>Энерг. щит</v>
      </c>
      <c r="Q9" s="18" t="s">
        <v>6123</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108</v>
      </c>
      <c r="B12" s="16"/>
      <c r="C12" s="18" t="s">
        <v>1591</v>
      </c>
      <c r="D12" s="16"/>
      <c r="E12" s="18" t="s">
        <v>2338</v>
      </c>
      <c r="F12" s="16"/>
      <c r="G12" s="18" t="s">
        <v>865</v>
      </c>
      <c r="H12" s="16"/>
      <c r="I12" s="18" t="s">
        <v>3052</v>
      </c>
      <c r="J12" s="16"/>
      <c r="K12" s="18" t="s">
        <v>3803</v>
      </c>
      <c r="L12" s="16"/>
      <c r="M12" s="18" t="s">
        <v>4531</v>
      </c>
      <c r="N12" s="16"/>
      <c r="O12" s="18" t="s">
        <v>5214</v>
      </c>
      <c r="P12" s="16"/>
      <c r="Q12" s="18" t="s">
        <v>5956</v>
      </c>
      <c r="R12" s="16"/>
      <c r="S12" s="18"/>
      <c r="T12" s="21"/>
    </row>
    <row r="13" spans="1:20" ht="15.95" customHeight="1" x14ac:dyDescent="0.25">
      <c r="A13" s="18" t="s">
        <v>230</v>
      </c>
      <c r="B13" s="16"/>
      <c r="C13" s="18" t="s">
        <v>1804</v>
      </c>
      <c r="D13" s="16"/>
      <c r="E13" s="18" t="s">
        <v>2523</v>
      </c>
      <c r="F13" s="16"/>
      <c r="G13" s="18" t="s">
        <v>230</v>
      </c>
      <c r="H13" s="16"/>
      <c r="I13" s="18" t="s">
        <v>3243</v>
      </c>
      <c r="J13" s="16"/>
      <c r="K13" s="18" t="s">
        <v>3989</v>
      </c>
      <c r="L13" s="16"/>
      <c r="M13" s="18" t="s">
        <v>2523</v>
      </c>
      <c r="N13" s="16"/>
      <c r="O13" s="18" t="s">
        <v>5403</v>
      </c>
      <c r="P13" s="16"/>
      <c r="Q13" s="18" t="s">
        <v>230</v>
      </c>
      <c r="R13" s="16"/>
      <c r="S13" s="18"/>
      <c r="T13" s="21"/>
    </row>
    <row r="14" spans="1:20" ht="15.95" customHeight="1" x14ac:dyDescent="0.25">
      <c r="A14" s="18" t="s">
        <v>433</v>
      </c>
      <c r="B14" s="16"/>
      <c r="C14" s="18" t="s">
        <v>433</v>
      </c>
      <c r="D14" s="16"/>
      <c r="E14" s="18" t="s">
        <v>433</v>
      </c>
      <c r="F14" s="16"/>
      <c r="G14" s="18" t="s">
        <v>433</v>
      </c>
      <c r="H14" s="16"/>
      <c r="I14" s="18" t="s">
        <v>3244</v>
      </c>
      <c r="J14" s="16"/>
      <c r="K14" s="18" t="s">
        <v>3990</v>
      </c>
      <c r="L14" s="16"/>
      <c r="M14" s="18" t="s">
        <v>433</v>
      </c>
      <c r="N14" s="16"/>
      <c r="O14" s="18" t="s">
        <v>5404</v>
      </c>
      <c r="P14" s="16"/>
      <c r="Q14" s="18" t="s">
        <v>433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359</v>
      </c>
      <c r="B16" s="16"/>
      <c r="C16" s="18" t="s">
        <v>1805</v>
      </c>
      <c r="D16" s="16"/>
      <c r="E16" s="18" t="s">
        <v>2524</v>
      </c>
      <c r="F16" s="16"/>
      <c r="G16" s="18" t="s">
        <v>1071</v>
      </c>
      <c r="H16" s="16"/>
      <c r="I16" s="18" t="s">
        <v>3245</v>
      </c>
      <c r="J16" s="16"/>
      <c r="K16" s="18" t="s">
        <v>3991</v>
      </c>
      <c r="L16" s="16"/>
      <c r="M16" s="18" t="s">
        <v>4716</v>
      </c>
      <c r="N16" s="16"/>
      <c r="O16" s="18" t="s">
        <v>5405</v>
      </c>
      <c r="P16" s="16"/>
      <c r="Q16" s="18" t="s">
        <v>6124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434</v>
      </c>
      <c r="B18" s="16"/>
      <c r="C18" s="18" t="s">
        <v>1700</v>
      </c>
      <c r="D18" s="16"/>
      <c r="E18" s="18" t="s">
        <v>2419</v>
      </c>
      <c r="F18" s="16"/>
      <c r="G18" s="18" t="s">
        <v>968</v>
      </c>
      <c r="H18" s="16"/>
      <c r="I18" s="18" t="s">
        <v>3137</v>
      </c>
      <c r="J18" s="16"/>
      <c r="K18" s="18" t="s">
        <v>3884</v>
      </c>
      <c r="L18" s="16"/>
      <c r="M18" s="18" t="s">
        <v>4613</v>
      </c>
      <c r="N18" s="16"/>
      <c r="O18" s="18" t="s">
        <v>5298</v>
      </c>
      <c r="P18" s="16"/>
      <c r="Q18" s="18" t="s">
        <v>6031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435</v>
      </c>
      <c r="B20" s="16"/>
      <c r="C20" s="18" t="s">
        <v>1806</v>
      </c>
      <c r="D20" s="16"/>
      <c r="E20" s="18" t="s">
        <v>2525</v>
      </c>
      <c r="F20" s="16"/>
      <c r="G20" s="18" t="s">
        <v>1072</v>
      </c>
      <c r="H20" s="16"/>
      <c r="I20" s="18" t="s">
        <v>3246</v>
      </c>
      <c r="J20" s="16"/>
      <c r="K20" s="18" t="s">
        <v>3992</v>
      </c>
      <c r="L20" s="16"/>
      <c r="M20" s="18" t="s">
        <v>4717</v>
      </c>
      <c r="N20" s="16"/>
      <c r="O20" s="18" t="s">
        <v>5406</v>
      </c>
      <c r="P20" s="16"/>
      <c r="Q20" s="18" t="s">
        <v>6125</v>
      </c>
      <c r="R20" s="16"/>
      <c r="S20" s="18"/>
      <c r="T20" s="21"/>
    </row>
    <row r="21" spans="1:20" ht="15.95" customHeight="1" x14ac:dyDescent="0.25">
      <c r="A21" s="18" t="s">
        <v>436</v>
      </c>
      <c r="B21" s="16"/>
      <c r="C21" s="18" t="s">
        <v>1807</v>
      </c>
      <c r="D21" s="16"/>
      <c r="E21" s="18" t="s">
        <v>2526</v>
      </c>
      <c r="F21" s="16"/>
      <c r="G21" s="18" t="s">
        <v>1073</v>
      </c>
      <c r="H21" s="16"/>
      <c r="I21" s="18" t="s">
        <v>3247</v>
      </c>
      <c r="J21" s="16"/>
      <c r="K21" s="18" t="s">
        <v>3993</v>
      </c>
      <c r="L21" s="16"/>
      <c r="M21" s="18" t="s">
        <v>4718</v>
      </c>
      <c r="N21" s="16"/>
      <c r="O21" s="18" t="s">
        <v>5407</v>
      </c>
      <c r="P21" s="16"/>
      <c r="Q21" s="18" t="s">
        <v>6126</v>
      </c>
      <c r="R21" s="16"/>
      <c r="S21" s="18"/>
      <c r="T21" s="21"/>
    </row>
    <row r="22" spans="1:20" ht="15.95" customHeight="1" x14ac:dyDescent="0.25">
      <c r="A22" s="18" t="s">
        <v>437</v>
      </c>
      <c r="B22" s="16"/>
      <c r="C22" s="18" t="s">
        <v>1808</v>
      </c>
      <c r="D22" s="16"/>
      <c r="E22" s="18" t="s">
        <v>2527</v>
      </c>
      <c r="F22" s="16"/>
      <c r="G22" s="18" t="s">
        <v>1074</v>
      </c>
      <c r="H22" s="16"/>
      <c r="I22" s="18" t="s">
        <v>3248</v>
      </c>
      <c r="J22" s="16"/>
      <c r="K22" s="18" t="s">
        <v>3994</v>
      </c>
      <c r="L22" s="16"/>
      <c r="M22" s="18" t="s">
        <v>4719</v>
      </c>
      <c r="N22" s="16"/>
      <c r="O22" s="18" t="s">
        <v>5408</v>
      </c>
      <c r="P22" s="16"/>
      <c r="Q22" s="18" t="s">
        <v>6127</v>
      </c>
      <c r="R22" s="16"/>
      <c r="S22" s="18"/>
      <c r="T22" s="21"/>
    </row>
    <row r="23" spans="1:20" ht="15.95" customHeight="1" x14ac:dyDescent="0.25">
      <c r="A23" s="18" t="s">
        <v>438</v>
      </c>
      <c r="B23" s="16"/>
      <c r="C23" s="18" t="s">
        <v>1809</v>
      </c>
      <c r="D23" s="16"/>
      <c r="E23" s="18" t="s">
        <v>2528</v>
      </c>
      <c r="F23" s="16"/>
      <c r="G23" s="18" t="s">
        <v>1075</v>
      </c>
      <c r="H23" s="16"/>
      <c r="I23" s="18" t="s">
        <v>3249</v>
      </c>
      <c r="J23" s="16"/>
      <c r="K23" s="18" t="s">
        <v>3995</v>
      </c>
      <c r="L23" s="16"/>
      <c r="M23" s="18" t="s">
        <v>4720</v>
      </c>
      <c r="N23" s="16"/>
      <c r="O23" s="18" t="s">
        <v>5409</v>
      </c>
      <c r="P23" s="16"/>
      <c r="Q23" s="18" t="s">
        <v>6128</v>
      </c>
      <c r="R23" s="16"/>
      <c r="S23" s="18"/>
      <c r="T23" s="21"/>
    </row>
    <row r="24" spans="1:20" ht="15.95" customHeight="1" x14ac:dyDescent="0.25">
      <c r="A24" s="18" t="s">
        <v>439</v>
      </c>
      <c r="B24" s="16"/>
      <c r="C24" s="18" t="s">
        <v>1810</v>
      </c>
      <c r="D24" s="16"/>
      <c r="E24" s="18" t="s">
        <v>2529</v>
      </c>
      <c r="F24" s="16"/>
      <c r="G24" s="18" t="s">
        <v>1076</v>
      </c>
      <c r="H24" s="16"/>
      <c r="I24" s="18" t="s">
        <v>3250</v>
      </c>
      <c r="J24" s="16"/>
      <c r="K24" s="18" t="s">
        <v>3996</v>
      </c>
      <c r="L24" s="16"/>
      <c r="M24" s="18" t="s">
        <v>4721</v>
      </c>
      <c r="N24" s="16"/>
      <c r="O24" s="18" t="s">
        <v>5410</v>
      </c>
      <c r="P24" s="16"/>
      <c r="Q24" s="18" t="s">
        <v>6129</v>
      </c>
      <c r="R24" s="16"/>
      <c r="S24" s="18"/>
      <c r="T24" s="21"/>
    </row>
    <row r="25" spans="1:20" ht="15.95" customHeight="1" x14ac:dyDescent="0.25">
      <c r="A25" s="18" t="s">
        <v>440</v>
      </c>
      <c r="B25" s="16"/>
      <c r="C25" s="18" t="s">
        <v>1811</v>
      </c>
      <c r="D25" s="16"/>
      <c r="E25" s="18" t="s">
        <v>2530</v>
      </c>
      <c r="F25" s="16"/>
      <c r="G25" s="18" t="s">
        <v>440</v>
      </c>
      <c r="H25" s="16"/>
      <c r="I25" s="18" t="s">
        <v>3251</v>
      </c>
      <c r="J25" s="16"/>
      <c r="K25" s="18" t="s">
        <v>3997</v>
      </c>
      <c r="L25" s="16"/>
      <c r="M25" s="18" t="s">
        <v>4722</v>
      </c>
      <c r="N25" s="16"/>
      <c r="O25" s="18" t="s">
        <v>5411</v>
      </c>
      <c r="P25" s="16"/>
      <c r="Q25" s="18" t="s">
        <v>6130</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441</v>
      </c>
      <c r="B27" s="16"/>
      <c r="C27" s="18" t="s">
        <v>1812</v>
      </c>
      <c r="D27" s="16"/>
      <c r="E27" s="18" t="s">
        <v>2531</v>
      </c>
      <c r="F27" s="16"/>
      <c r="G27" s="18" t="s">
        <v>1077</v>
      </c>
      <c r="H27" s="16"/>
      <c r="I27" s="18" t="s">
        <v>3252</v>
      </c>
      <c r="J27" s="16"/>
      <c r="K27" s="18" t="s">
        <v>3998</v>
      </c>
      <c r="L27" s="16"/>
      <c r="M27" s="18" t="s">
        <v>4723</v>
      </c>
      <c r="N27" s="16"/>
      <c r="O27" s="18" t="s">
        <v>5412</v>
      </c>
      <c r="P27" s="16"/>
      <c r="Q27" s="18" t="s">
        <v>6131</v>
      </c>
      <c r="R27" s="16"/>
      <c r="S27" s="18"/>
      <c r="T27" s="21"/>
    </row>
    <row r="28" spans="1:20" ht="15.95" customHeight="1" x14ac:dyDescent="0.25">
      <c r="A28" s="18" t="s">
        <v>442</v>
      </c>
      <c r="B28" s="16"/>
      <c r="C28" s="18" t="s">
        <v>1813</v>
      </c>
      <c r="D28" s="16"/>
      <c r="E28" s="18" t="e" cm="1">
        <f t="array" ref="E28">- Diario de Malígaro</f>
        <v>#NAME?</v>
      </c>
      <c r="F28" s="16"/>
      <c r="G28" s="18" t="s">
        <v>1078</v>
      </c>
      <c r="H28" s="16"/>
      <c r="I28" s="18" t="s">
        <v>3253</v>
      </c>
      <c r="J28" s="16"/>
      <c r="K28" s="18" t="s">
        <v>3999</v>
      </c>
      <c r="L28" s="16"/>
      <c r="M28" s="18" t="e" cm="1">
        <f t="array" ref="M28">- Diário de Maligaro</f>
        <v>#NAME?</v>
      </c>
      <c r="N28" s="16"/>
      <c r="O28" s="18" t="s">
        <v>5413</v>
      </c>
      <c r="P28" s="16"/>
      <c r="Q28" s="18" t="e" cm="1">
        <f t="array" ref="Q28">- บันทึก​ของ​มาลิกาโร</f>
        <v>#NAME?</v>
      </c>
      <c r="R28" s="16"/>
      <c r="S28" s="18"/>
      <c r="T28" s="21"/>
    </row>
    <row r="29" spans="1:20" ht="15.95" customHeight="1" x14ac:dyDescent="0.25">
      <c r="A29" s="18"/>
      <c r="B29" s="16"/>
      <c r="C29" s="18"/>
      <c r="D29" s="16"/>
      <c r="E29" s="18"/>
      <c r="F29" s="16"/>
      <c r="G29" s="18" t="s">
        <v>1079</v>
      </c>
      <c r="H29" s="16"/>
      <c r="I29" s="18" t="s">
        <v>3254</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8" priority="42" stopIfTrue="1">
      <formula>NOT(ISERROR(A3))</formula>
    </cfRule>
  </conditionalFormatting>
  <conditionalFormatting sqref="A3:T7 A8:A9 C8:C9 E8:E9 G8:G9 I8:I9 K8:K9 M8:M9 O8:O9 Q8:Q9 S8:S9 A10:T51">
    <cfRule type="notContainsBlanks" dxfId="317" priority="43">
      <formula>LEN(TRIM(A3))&gt;0</formula>
    </cfRule>
  </conditionalFormatting>
  <conditionalFormatting sqref="A3:T51">
    <cfRule type="containsErrors" dxfId="316" priority="1" stopIfTrue="1">
      <formula>ISERROR(A3)</formula>
    </cfRule>
  </conditionalFormatting>
  <conditionalFormatting sqref="B8:B9">
    <cfRule type="notContainsBlanks" dxfId="315" priority="38">
      <formula>LEN(TRIM(B8))&gt;0</formula>
    </cfRule>
  </conditionalFormatting>
  <conditionalFormatting sqref="D8:D9">
    <cfRule type="notContainsBlanks" dxfId="314" priority="34">
      <formula>LEN(TRIM(D8))&gt;0</formula>
    </cfRule>
  </conditionalFormatting>
  <conditionalFormatting sqref="F8:F9">
    <cfRule type="notContainsBlanks" dxfId="313" priority="30">
      <formula>LEN(TRIM(F8))&gt;0</formula>
    </cfRule>
  </conditionalFormatting>
  <conditionalFormatting sqref="H8:H9">
    <cfRule type="notContainsBlanks" dxfId="312" priority="26">
      <formula>LEN(TRIM(H8))&gt;0</formula>
    </cfRule>
  </conditionalFormatting>
  <conditionalFormatting sqref="J8:J9">
    <cfRule type="notContainsBlanks" dxfId="311" priority="22">
      <formula>LEN(TRIM(J8))&gt;0</formula>
    </cfRule>
  </conditionalFormatting>
  <conditionalFormatting sqref="L8:L9">
    <cfRule type="notContainsBlanks" dxfId="310" priority="18">
      <formula>LEN(TRIM(L8))&gt;0</formula>
    </cfRule>
  </conditionalFormatting>
  <conditionalFormatting sqref="N8:N9">
    <cfRule type="notContainsBlanks" dxfId="309" priority="14">
      <formula>LEN(TRIM(N8))&gt;0</formula>
    </cfRule>
  </conditionalFormatting>
  <conditionalFormatting sqref="P8:P9">
    <cfRule type="notContainsBlanks" dxfId="308" priority="10">
      <formula>LEN(TRIM(P8))&gt;0</formula>
    </cfRule>
  </conditionalFormatting>
  <conditionalFormatting sqref="R8:R9">
    <cfRule type="notContainsBlanks" dxfId="307" priority="6">
      <formula>LEN(TRIM(R8))&gt;0</formula>
    </cfRule>
  </conditionalFormatting>
  <conditionalFormatting sqref="T8:T9">
    <cfRule type="notContainsBlanks" dxfId="306"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c r="T3" s="16" t="e">
        <f>TRIM(_xlfn.TEXTBEFORE(S3, ":"))</f>
        <v>#N/A</v>
      </c>
    </row>
    <row r="4" spans="1:20" ht="15.95" customHeight="1" x14ac:dyDescent="0.25">
      <c r="A4" s="18" t="s">
        <v>81</v>
      </c>
      <c r="B4" s="16" t="str">
        <f>TRIM(_xlfn.TEXTAFTER(A3, ":"))</f>
        <v>Shields</v>
      </c>
      <c r="C4" s="18" t="s">
        <v>1644</v>
      </c>
      <c r="D4" s="16" t="str">
        <f>TRIM(_xlfn.TEXTAFTER(C3, ":"))</f>
        <v>Schilde</v>
      </c>
      <c r="E4" s="18" t="s">
        <v>2364</v>
      </c>
      <c r="F4" s="16" t="str">
        <f>TRIM(_xlfn.TEXTAFTER(E3, ":"))</f>
        <v>Escudos</v>
      </c>
      <c r="G4" s="18" t="s">
        <v>1</v>
      </c>
      <c r="H4" s="16" t="str">
        <f>TRIM(_xlfn.TEXTAFTER(G3, ":"))</f>
        <v>Boucliers</v>
      </c>
      <c r="I4" s="18" t="s">
        <v>3079</v>
      </c>
      <c r="J4" s="16" t="str">
        <f>TRIM(_xlfn.TEXTAFTER(I3, ":"))</f>
        <v>盾</v>
      </c>
      <c r="K4" s="18" t="s">
        <v>3829</v>
      </c>
      <c r="L4" s="16" t="str">
        <f>TRIM(_xlfn.TEXTAFTER(K3, ":"))</f>
        <v>방패</v>
      </c>
      <c r="M4" s="18" t="s">
        <v>4558</v>
      </c>
      <c r="N4" s="16" t="str">
        <f>TRIM(_xlfn.TEXTAFTER(M3, ":"))</f>
        <v>Escudos</v>
      </c>
      <c r="O4" s="18" t="s">
        <v>5241</v>
      </c>
      <c r="P4" s="16" t="str">
        <f>TRIM(_xlfn.TEXTAFTER(O3, ":"))</f>
        <v>Щиты</v>
      </c>
      <c r="Q4" s="18" t="s">
        <v>5978</v>
      </c>
      <c r="R4" s="16" t="str">
        <f>TRIM(_xlfn.TEXTAFTER(Q3, ":"))</f>
        <v>โล่</v>
      </c>
      <c r="S4" s="18"/>
      <c r="T4" s="16" t="e">
        <f>TRIM(_xlfn.TEXTAFTER(S3, ":"))</f>
        <v>#N/A</v>
      </c>
    </row>
    <row r="5" spans="1:20" ht="15.95" customHeight="1" x14ac:dyDescent="0.25">
      <c r="A5" s="18" t="s">
        <v>457</v>
      </c>
      <c r="B5" s="16" t="str">
        <f>TRIM(_xlfn.TEXTBEFORE(A4, ":"))</f>
        <v>Rarity</v>
      </c>
      <c r="C5" s="18" t="s">
        <v>1815</v>
      </c>
      <c r="D5" s="16" t="str">
        <f>TRIM(_xlfn.TEXTBEFORE(C4, ":"))</f>
        <v>Seltenheit</v>
      </c>
      <c r="E5" s="18" t="s">
        <v>2533</v>
      </c>
      <c r="F5" s="16" t="str">
        <f>TRIM(_xlfn.TEXTBEFORE(E4, ":"))</f>
        <v>Rareza</v>
      </c>
      <c r="G5" s="18" t="s">
        <v>1081</v>
      </c>
      <c r="H5" s="16" t="str">
        <f>TRIM(_xlfn.TEXTBEFORE(G4, ":"))</f>
        <v>Rareté</v>
      </c>
      <c r="I5" s="18" t="s">
        <v>3256</v>
      </c>
      <c r="J5" s="16" t="str">
        <f>TRIM(_xlfn.TEXTBEFORE(I4, ":"))</f>
        <v>レアリティ</v>
      </c>
      <c r="K5" s="18" t="s">
        <v>4001</v>
      </c>
      <c r="L5" s="16" t="str">
        <f>TRIM(_xlfn.TEXTBEFORE(K4, ":"))</f>
        <v>아이템 희귀도</v>
      </c>
      <c r="M5" s="18" t="s">
        <v>4725</v>
      </c>
      <c r="N5" s="16" t="str">
        <f>TRIM(_xlfn.TEXTBEFORE(M4, ":"))</f>
        <v>Raridade</v>
      </c>
      <c r="O5" s="18" t="s">
        <v>5415</v>
      </c>
      <c r="P5" s="16" t="str">
        <f>TRIM(_xlfn.TEXTBEFORE(O4, ":"))</f>
        <v>Редкость</v>
      </c>
      <c r="Q5" s="18" t="s">
        <v>457</v>
      </c>
      <c r="R5" s="16" t="str">
        <f>TRIM(_xlfn.TEXTBEFORE(Q4, ":"))</f>
        <v>ความหายาก</v>
      </c>
      <c r="S5" s="18"/>
      <c r="T5" s="16" t="e">
        <f>TRIM(_xlfn.TEXTBEFORE(S4, ":"))</f>
        <v>#N/A</v>
      </c>
    </row>
    <row r="6" spans="1:20" ht="15.95" customHeight="1" x14ac:dyDescent="0.25">
      <c r="A6" s="18" t="s">
        <v>458</v>
      </c>
      <c r="B6" s="16" t="str">
        <f>TRIM(_xlfn.TEXTAFTER(A4,":"))</f>
        <v>Unique</v>
      </c>
      <c r="C6" s="18" t="s">
        <v>1816</v>
      </c>
      <c r="D6" s="16" t="str">
        <f>TRIM(_xlfn.TEXTAFTER(C4,":"))</f>
        <v>Einzigartig</v>
      </c>
      <c r="E6" s="18" t="s">
        <v>2534</v>
      </c>
      <c r="F6" s="16" t="str">
        <f>TRIM(_xlfn.TEXTAFTER(E4,":"))</f>
        <v>Único</v>
      </c>
      <c r="G6" s="18" t="s">
        <v>1082</v>
      </c>
      <c r="H6" s="16" t="str">
        <f>TRIM(_xlfn.TEXTAFTER(G4,":"))</f>
        <v>Unique</v>
      </c>
      <c r="I6" s="18" t="s">
        <v>3257</v>
      </c>
      <c r="J6" s="16" t="str">
        <f>TRIM(_xlfn.TEXTAFTER(I4,":"))</f>
        <v>ユニーク</v>
      </c>
      <c r="K6" s="18" t="s">
        <v>4002</v>
      </c>
      <c r="L6" s="16" t="str">
        <f>TRIM(_xlfn.TEXTAFTER(K4,":"))</f>
        <v>고유</v>
      </c>
      <c r="M6" s="18" t="s">
        <v>4726</v>
      </c>
      <c r="N6" s="16" t="str">
        <f>TRIM(_xlfn.TEXTAFTER(M4,":"))</f>
        <v>Único</v>
      </c>
      <c r="O6" s="18" t="s">
        <v>5416</v>
      </c>
      <c r="P6" s="16" t="str">
        <f>TRIM(_xlfn.TEXTAFTER(O4,":"))</f>
        <v>Уникальный</v>
      </c>
      <c r="Q6" s="18" t="s">
        <v>458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459</v>
      </c>
      <c r="B8" s="16" t="str">
        <f>TRIM(_xlfn.TEXTBEFORE(A8,":"))</f>
        <v>Chance to Block</v>
      </c>
      <c r="C8" s="18" t="s">
        <v>1817</v>
      </c>
      <c r="D8" s="16" t="str">
        <f>TRIM(_xlfn.TEXTBEFORE(C8,":"))</f>
        <v>Chance auf Blocken</v>
      </c>
      <c r="E8" s="18" t="s">
        <v>2535</v>
      </c>
      <c r="F8" s="16" t="str">
        <f>TRIM(_xlfn.TEXTBEFORE(E8,":"))</f>
        <v>Probabilidad de bloqueo</v>
      </c>
      <c r="G8" s="18" t="s">
        <v>1083</v>
      </c>
      <c r="H8" s="16" t="str">
        <f>TRIM(_xlfn.TEXTBEFORE(G8,":"))</f>
        <v>Chances de blocage</v>
      </c>
      <c r="I8" s="18" t="s">
        <v>3258</v>
      </c>
      <c r="J8" s="16" t="str">
        <f>TRIM(_xlfn.TEXTBEFORE(I8,":"))</f>
        <v>ブロック率</v>
      </c>
      <c r="K8" s="18" t="s">
        <v>4003</v>
      </c>
      <c r="L8" s="16" t="str">
        <f>TRIM(_xlfn.TEXTBEFORE(K8,":"))</f>
        <v>막기 확률</v>
      </c>
      <c r="M8" s="18" t="s">
        <v>4727</v>
      </c>
      <c r="N8" s="16" t="str">
        <f>TRIM(_xlfn.TEXTBEFORE(M8,":"))</f>
        <v>Chance de Bloquear</v>
      </c>
      <c r="O8" s="18" t="s">
        <v>5417</v>
      </c>
      <c r="P8" s="16" t="str">
        <f>TRIM(_xlfn.TEXTBEFORE(O8,":"))</f>
        <v>Шанс заблокировать удар</v>
      </c>
      <c r="Q8" s="18" t="s">
        <v>6133</v>
      </c>
      <c r="R8" s="16" t="str">
        <f>TRIM(_xlfn.TEXTBEFORE(Q8,":"))</f>
        <v>โอกาสบล็อค</v>
      </c>
      <c r="S8" s="18"/>
      <c r="T8" s="16" t="e">
        <f>TRIM(_xlfn.TEXTBEFORE(S8,":"))</f>
        <v>#N/A</v>
      </c>
    </row>
    <row r="9" spans="1:20" ht="15.95" customHeight="1" x14ac:dyDescent="0.25">
      <c r="A9" s="18" t="s">
        <v>460</v>
      </c>
      <c r="B9" s="16"/>
      <c r="C9" s="18" t="s">
        <v>1818</v>
      </c>
      <c r="D9" s="16"/>
      <c r="E9" s="18" t="s">
        <v>2536</v>
      </c>
      <c r="F9" s="16"/>
      <c r="G9" s="18" t="s">
        <v>1084</v>
      </c>
      <c r="H9" s="16"/>
      <c r="I9" s="18" t="s">
        <v>3259</v>
      </c>
      <c r="J9" s="16"/>
      <c r="K9" s="18" t="s">
        <v>4004</v>
      </c>
      <c r="L9" s="16"/>
      <c r="M9" s="18" t="s">
        <v>4728</v>
      </c>
      <c r="N9" s="16"/>
      <c r="O9" s="18" t="s">
        <v>5418</v>
      </c>
      <c r="P9" s="16"/>
      <c r="Q9" s="18" t="s">
        <v>6134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447</v>
      </c>
      <c r="B12" s="16"/>
      <c r="C12" s="18" t="s">
        <v>1789</v>
      </c>
      <c r="D12" s="16"/>
      <c r="E12" s="18" t="s">
        <v>2508</v>
      </c>
      <c r="F12" s="16"/>
      <c r="G12" s="18" t="s">
        <v>1057</v>
      </c>
      <c r="H12" s="16"/>
      <c r="I12" s="18" t="s">
        <v>3228</v>
      </c>
      <c r="J12" s="16"/>
      <c r="K12" s="18" t="s">
        <v>3974</v>
      </c>
      <c r="L12" s="16"/>
      <c r="M12" s="18" t="s">
        <v>4701</v>
      </c>
      <c r="N12" s="16"/>
      <c r="O12" s="18" t="s">
        <v>5388</v>
      </c>
      <c r="P12" s="16"/>
      <c r="Q12" s="18" t="s">
        <v>6111</v>
      </c>
      <c r="R12" s="16"/>
      <c r="S12" s="18"/>
      <c r="T12" s="21"/>
    </row>
    <row r="13" spans="1:20" ht="15.95" customHeight="1" x14ac:dyDescent="0.25">
      <c r="A13" s="18" t="s">
        <v>461</v>
      </c>
      <c r="B13" s="16"/>
      <c r="C13" s="18" t="s">
        <v>1819</v>
      </c>
      <c r="D13" s="16"/>
      <c r="E13" s="18" t="s">
        <v>2537</v>
      </c>
      <c r="F13" s="16"/>
      <c r="G13" s="18" t="s">
        <v>461</v>
      </c>
      <c r="H13" s="16"/>
      <c r="I13" s="18" t="s">
        <v>3260</v>
      </c>
      <c r="J13" s="16"/>
      <c r="K13" s="18" t="s">
        <v>4005</v>
      </c>
      <c r="L13" s="16"/>
      <c r="M13" s="18" t="s">
        <v>2537</v>
      </c>
      <c r="N13" s="16"/>
      <c r="O13" s="18" t="s">
        <v>5419</v>
      </c>
      <c r="P13" s="16"/>
      <c r="Q13" s="18" t="s">
        <v>461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292</v>
      </c>
      <c r="B15" s="16"/>
      <c r="C15" s="18" t="s">
        <v>1820</v>
      </c>
      <c r="D15" s="16"/>
      <c r="E15" s="18" t="s">
        <v>2538</v>
      </c>
      <c r="F15" s="16"/>
      <c r="G15" s="18" t="s">
        <v>1085</v>
      </c>
      <c r="H15" s="16"/>
      <c r="I15" s="18" t="s">
        <v>3261</v>
      </c>
      <c r="J15" s="16"/>
      <c r="K15" s="18" t="s">
        <v>4006</v>
      </c>
      <c r="L15" s="16"/>
      <c r="M15" s="18" t="s">
        <v>4729</v>
      </c>
      <c r="N15" s="16"/>
      <c r="O15" s="18" t="s">
        <v>5420</v>
      </c>
      <c r="P15" s="16"/>
      <c r="Q15" s="18" t="s">
        <v>6135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255</v>
      </c>
      <c r="B17" s="16"/>
      <c r="C17" s="18" t="s">
        <v>1731</v>
      </c>
      <c r="D17" s="16"/>
      <c r="E17" s="18" t="s">
        <v>2450</v>
      </c>
      <c r="F17" s="16"/>
      <c r="G17" s="18" t="s">
        <v>999</v>
      </c>
      <c r="H17" s="16"/>
      <c r="I17" s="18" t="s">
        <v>3168</v>
      </c>
      <c r="J17" s="16"/>
      <c r="K17" s="18" t="s">
        <v>3915</v>
      </c>
      <c r="L17" s="16"/>
      <c r="M17" s="18" t="s">
        <v>4644</v>
      </c>
      <c r="N17" s="16"/>
      <c r="O17" s="18" t="s">
        <v>5329</v>
      </c>
      <c r="P17" s="16"/>
      <c r="Q17" s="18" t="s">
        <v>6061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462</v>
      </c>
      <c r="B19" s="16"/>
      <c r="C19" s="18" t="s">
        <v>1821</v>
      </c>
      <c r="D19" s="16"/>
      <c r="E19" s="18" t="s">
        <v>2539</v>
      </c>
      <c r="F19" s="16"/>
      <c r="G19" s="18" t="s">
        <v>1086</v>
      </c>
      <c r="H19" s="16"/>
      <c r="I19" s="18" t="s">
        <v>3262</v>
      </c>
      <c r="J19" s="16"/>
      <c r="K19" s="18" t="s">
        <v>4007</v>
      </c>
      <c r="L19" s="16"/>
      <c r="M19" s="18" t="s">
        <v>4730</v>
      </c>
      <c r="N19" s="16"/>
      <c r="O19" s="18" t="s">
        <v>5421</v>
      </c>
      <c r="P19" s="16"/>
      <c r="Q19" s="18" t="s">
        <v>6136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463</v>
      </c>
      <c r="B21" s="16"/>
      <c r="C21" s="18" t="s">
        <v>1822</v>
      </c>
      <c r="D21" s="16"/>
      <c r="E21" s="18" t="s">
        <v>2540</v>
      </c>
      <c r="F21" s="16"/>
      <c r="G21" s="18" t="s">
        <v>1087</v>
      </c>
      <c r="H21" s="16"/>
      <c r="I21" s="18" t="s">
        <v>3263</v>
      </c>
      <c r="J21" s="16"/>
      <c r="K21" s="18" t="s">
        <v>4008</v>
      </c>
      <c r="L21" s="16"/>
      <c r="M21" s="18" t="s">
        <v>4731</v>
      </c>
      <c r="N21" s="16"/>
      <c r="O21" s="18" t="s">
        <v>5422</v>
      </c>
      <c r="P21" s="16"/>
      <c r="Q21" s="18" t="s">
        <v>6137</v>
      </c>
      <c r="R21" s="16"/>
      <c r="S21" s="18"/>
      <c r="T21" s="21"/>
    </row>
    <row r="22" spans="1:20" ht="15.95" customHeight="1" x14ac:dyDescent="0.25">
      <c r="A22" s="18" t="s">
        <v>238</v>
      </c>
      <c r="B22" s="16"/>
      <c r="C22" s="18" t="s">
        <v>1823</v>
      </c>
      <c r="D22" s="16"/>
      <c r="E22" s="18" t="s">
        <v>2541</v>
      </c>
      <c r="F22" s="16"/>
      <c r="G22" s="18" t="s">
        <v>1088</v>
      </c>
      <c r="H22" s="16"/>
      <c r="I22" s="18" t="s">
        <v>3264</v>
      </c>
      <c r="J22" s="16"/>
      <c r="K22" s="18" t="s">
        <v>4009</v>
      </c>
      <c r="L22" s="16"/>
      <c r="M22" s="18" t="s">
        <v>4732</v>
      </c>
      <c r="N22" s="16"/>
      <c r="O22" s="18" t="s">
        <v>5423</v>
      </c>
      <c r="P22" s="16"/>
      <c r="Q22" s="18" t="s">
        <v>6138</v>
      </c>
      <c r="R22" s="16"/>
      <c r="S22" s="18"/>
      <c r="T22" s="21"/>
    </row>
    <row r="23" spans="1:20" ht="15.95" customHeight="1" x14ac:dyDescent="0.25">
      <c r="A23" s="18" t="s">
        <v>464</v>
      </c>
      <c r="B23" s="16"/>
      <c r="C23" s="18" t="s">
        <v>1824</v>
      </c>
      <c r="D23" s="16"/>
      <c r="E23" s="18" t="s">
        <v>2542</v>
      </c>
      <c r="F23" s="16"/>
      <c r="G23" s="18" t="s">
        <v>1089</v>
      </c>
      <c r="H23" s="16"/>
      <c r="I23" s="18" t="s">
        <v>3265</v>
      </c>
      <c r="J23" s="16"/>
      <c r="K23" s="18" t="s">
        <v>4010</v>
      </c>
      <c r="L23" s="16"/>
      <c r="M23" s="18" t="s">
        <v>4733</v>
      </c>
      <c r="N23" s="16"/>
      <c r="O23" s="18" t="s">
        <v>5424</v>
      </c>
      <c r="P23" s="16"/>
      <c r="Q23" s="18" t="s">
        <v>6139</v>
      </c>
      <c r="R23" s="16"/>
      <c r="S23" s="18"/>
      <c r="T23" s="21"/>
    </row>
    <row r="24" spans="1:20" ht="15.95" customHeight="1" x14ac:dyDescent="0.25">
      <c r="A24" s="18" t="s">
        <v>465</v>
      </c>
      <c r="B24" s="16"/>
      <c r="C24" s="18" t="s">
        <v>1825</v>
      </c>
      <c r="D24" s="16"/>
      <c r="E24" s="18" t="s">
        <v>2543</v>
      </c>
      <c r="F24" s="16"/>
      <c r="G24" s="18" t="s">
        <v>1090</v>
      </c>
      <c r="H24" s="16"/>
      <c r="I24" s="18" t="s">
        <v>3266</v>
      </c>
      <c r="J24" s="16"/>
      <c r="K24" s="18" t="s">
        <v>4011</v>
      </c>
      <c r="L24" s="16"/>
      <c r="M24" s="18" t="s">
        <v>4734</v>
      </c>
      <c r="N24" s="16"/>
      <c r="O24" s="18" t="s">
        <v>5425</v>
      </c>
      <c r="P24" s="16"/>
      <c r="Q24" s="18" t="s">
        <v>6140</v>
      </c>
      <c r="R24" s="16"/>
      <c r="S24" s="18"/>
      <c r="T24" s="21"/>
    </row>
    <row r="25" spans="1:20" ht="15.95" customHeight="1" x14ac:dyDescent="0.25">
      <c r="A25" s="18" t="s">
        <v>466</v>
      </c>
      <c r="B25" s="16"/>
      <c r="C25" s="18" t="s">
        <v>1826</v>
      </c>
      <c r="D25" s="16"/>
      <c r="E25" s="18" t="s">
        <v>2544</v>
      </c>
      <c r="F25" s="16"/>
      <c r="G25" s="18" t="s">
        <v>1091</v>
      </c>
      <c r="H25" s="16"/>
      <c r="I25" s="18" t="s">
        <v>3267</v>
      </c>
      <c r="J25" s="16"/>
      <c r="K25" s="18" t="s">
        <v>4012</v>
      </c>
      <c r="L25" s="16"/>
      <c r="M25" s="18" t="s">
        <v>4735</v>
      </c>
      <c r="N25" s="16"/>
      <c r="O25" s="18" t="s">
        <v>5426</v>
      </c>
      <c r="P25" s="16"/>
      <c r="Q25" s="18" t="s">
        <v>6141</v>
      </c>
      <c r="R25" s="16"/>
      <c r="S25" s="18"/>
      <c r="T25" s="21"/>
    </row>
    <row r="26" spans="1:20" ht="15.95" customHeight="1" x14ac:dyDescent="0.25">
      <c r="A26" s="18" t="s">
        <v>467</v>
      </c>
      <c r="B26" s="16"/>
      <c r="C26" s="18" t="s">
        <v>1827</v>
      </c>
      <c r="D26" s="16"/>
      <c r="E26" s="18" t="s">
        <v>2545</v>
      </c>
      <c r="F26" s="16"/>
      <c r="G26" s="18" t="s">
        <v>1092</v>
      </c>
      <c r="H26" s="16"/>
      <c r="I26" s="18" t="s">
        <v>3268</v>
      </c>
      <c r="J26" s="16"/>
      <c r="K26" s="18" t="s">
        <v>4013</v>
      </c>
      <c r="L26" s="16"/>
      <c r="M26" s="18" t="s">
        <v>4736</v>
      </c>
      <c r="N26" s="16"/>
      <c r="O26" s="18" t="s">
        <v>5427</v>
      </c>
      <c r="P26" s="16"/>
      <c r="Q26" s="18" t="s">
        <v>6142</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468</v>
      </c>
      <c r="B28" s="16"/>
      <c r="C28" s="18" t="s">
        <v>1828</v>
      </c>
      <c r="D28" s="16"/>
      <c r="E28" s="18" t="s">
        <v>2546</v>
      </c>
      <c r="F28" s="16"/>
      <c r="G28" s="18" t="s">
        <v>1093</v>
      </c>
      <c r="H28" s="16"/>
      <c r="I28" s="18" t="s">
        <v>3269</v>
      </c>
      <c r="J28" s="16"/>
      <c r="K28" s="18" t="s">
        <v>4014</v>
      </c>
      <c r="L28" s="16"/>
      <c r="M28" s="18" t="s">
        <v>4737</v>
      </c>
      <c r="N28" s="16"/>
      <c r="O28" s="18" t="s">
        <v>5428</v>
      </c>
      <c r="P28" s="16"/>
      <c r="Q28" s="18" t="s">
        <v>6143</v>
      </c>
      <c r="R28" s="16"/>
      <c r="S28" s="18"/>
      <c r="T28" s="21"/>
    </row>
    <row r="29" spans="1:20" ht="15.95" customHeight="1" x14ac:dyDescent="0.25">
      <c r="A29" s="18" t="s">
        <v>469</v>
      </c>
      <c r="B29" s="16"/>
      <c r="C29" s="18" t="s">
        <v>1829</v>
      </c>
      <c r="D29" s="16"/>
      <c r="E29" s="18" t="s">
        <v>2547</v>
      </c>
      <c r="F29" s="16"/>
      <c r="G29" s="18" t="s">
        <v>1094</v>
      </c>
      <c r="H29" s="16"/>
      <c r="I29" s="18" t="s">
        <v>3270</v>
      </c>
      <c r="J29" s="16"/>
      <c r="K29" s="18" t="s">
        <v>4015</v>
      </c>
      <c r="L29" s="16"/>
      <c r="M29" s="18" t="s">
        <v>4738</v>
      </c>
      <c r="N29" s="16"/>
      <c r="O29" s="18" t="s">
        <v>5429</v>
      </c>
      <c r="P29" s="16"/>
      <c r="Q29" s="18" t="s">
        <v>6144</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2" stopIfTrue="1">
      <formula>NOT(ISERROR(A3))</formula>
    </cfRule>
  </conditionalFormatting>
  <conditionalFormatting sqref="A3:T7 A8 C8 E8 G8 I8 K8 M8 O8 Q8 S8 A9:T51">
    <cfRule type="notContainsBlanks" dxfId="304" priority="23">
      <formula>LEN(TRIM(A3))&gt;0</formula>
    </cfRule>
  </conditionalFormatting>
  <conditionalFormatting sqref="A3:T51">
    <cfRule type="containsErrors" dxfId="303" priority="1" stopIfTrue="1">
      <formula>ISERROR(A3)</formula>
    </cfRule>
  </conditionalFormatting>
  <conditionalFormatting sqref="B8">
    <cfRule type="notContainsBlanks" dxfId="302" priority="20">
      <formula>LEN(TRIM(B8))&gt;0</formula>
    </cfRule>
  </conditionalFormatting>
  <conditionalFormatting sqref="D8">
    <cfRule type="notContainsBlanks" dxfId="301" priority="18">
      <formula>LEN(TRIM(D8))&gt;0</formula>
    </cfRule>
  </conditionalFormatting>
  <conditionalFormatting sqref="F8">
    <cfRule type="notContainsBlanks" dxfId="300" priority="16">
      <formula>LEN(TRIM(F8))&gt;0</formula>
    </cfRule>
  </conditionalFormatting>
  <conditionalFormatting sqref="H8">
    <cfRule type="notContainsBlanks" dxfId="299" priority="14">
      <formula>LEN(TRIM(H8))&gt;0</formula>
    </cfRule>
  </conditionalFormatting>
  <conditionalFormatting sqref="J8">
    <cfRule type="notContainsBlanks" dxfId="298" priority="12">
      <formula>LEN(TRIM(J8))&gt;0</formula>
    </cfRule>
  </conditionalFormatting>
  <conditionalFormatting sqref="L8">
    <cfRule type="notContainsBlanks" dxfId="297" priority="10">
      <formula>LEN(TRIM(L8))&gt;0</formula>
    </cfRule>
  </conditionalFormatting>
  <conditionalFormatting sqref="N8">
    <cfRule type="notContainsBlanks" dxfId="296" priority="8">
      <formula>LEN(TRIM(N8))&gt;0</formula>
    </cfRule>
  </conditionalFormatting>
  <conditionalFormatting sqref="P8">
    <cfRule type="notContainsBlanks" dxfId="295" priority="6">
      <formula>LEN(TRIM(P8))&gt;0</formula>
    </cfRule>
  </conditionalFormatting>
  <conditionalFormatting sqref="R8">
    <cfRule type="notContainsBlanks" dxfId="294" priority="4">
      <formula>LEN(TRIM(R8))&gt;0</formula>
    </cfRule>
  </conditionalFormatting>
  <conditionalFormatting sqref="T8">
    <cfRule type="notContainsBlanks" dxfId="293"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121</v>
      </c>
      <c r="B3" s="16" t="str">
        <f>TRIM(_xlfn.TEXTBEFORE(A3, ":"))</f>
        <v>Item Class</v>
      </c>
      <c r="C3" s="17" t="s">
        <v>1830</v>
      </c>
      <c r="D3" s="16" t="str">
        <f>TRIM(_xlfn.TEXTBEFORE(C3, ":"))</f>
        <v>Gegenstandsklasse</v>
      </c>
      <c r="E3" s="17" t="s">
        <v>2548</v>
      </c>
      <c r="F3" s="16" t="str">
        <f>TRIM(_xlfn.TEXTBEFORE(E3, ":"))</f>
        <v>Clase de objeto</v>
      </c>
      <c r="G3" s="17" t="s">
        <v>1095</v>
      </c>
      <c r="H3" s="16" t="str">
        <f>TRIM(_xlfn.TEXTBEFORE(G3, ":"))</f>
        <v>Classe d'objet</v>
      </c>
      <c r="I3" s="17" t="s">
        <v>3271</v>
      </c>
      <c r="J3" s="16" t="str">
        <f>TRIM(_xlfn.TEXTBEFORE(I3, ":"))</f>
        <v>アイテムクラス</v>
      </c>
      <c r="K3" s="17" t="s">
        <v>4016</v>
      </c>
      <c r="L3" s="16" t="str">
        <f>TRIM(_xlfn.TEXTBEFORE(K3, ":"))</f>
        <v>아이템 종류</v>
      </c>
      <c r="M3" s="17" t="s">
        <v>4739</v>
      </c>
      <c r="N3" s="16" t="str">
        <f>TRIM(_xlfn.TEXTBEFORE(M3, ":"))</f>
        <v>Classe do Item</v>
      </c>
      <c r="O3" s="17" t="s">
        <v>5430</v>
      </c>
      <c r="P3" s="16" t="str">
        <f>TRIM(_xlfn.TEXTBEFORE(O3, ":"))</f>
        <v>Класс предмета</v>
      </c>
      <c r="Q3" s="17" t="s">
        <v>6145</v>
      </c>
      <c r="R3" s="16" t="str">
        <f>TRIM(_xlfn.TEXTBEFORE(Q3, ":"))</f>
        <v>ชนิดไอเทม</v>
      </c>
      <c r="S3" s="17"/>
      <c r="T3" s="16" t="e">
        <f>TRIM(_xlfn.TEXTBEFORE(S3, ":"))</f>
        <v>#N/A</v>
      </c>
    </row>
    <row r="4" spans="1:20" ht="15.95" customHeight="1" x14ac:dyDescent="0.25">
      <c r="A4" s="18" t="s">
        <v>81</v>
      </c>
      <c r="B4" s="16" t="str">
        <f>TRIM(_xlfn.TEXTAFTER(A3, ":"))</f>
        <v>Rune Daggers</v>
      </c>
      <c r="C4" s="18" t="s">
        <v>1644</v>
      </c>
      <c r="D4" s="16" t="str">
        <f>TRIM(_xlfn.TEXTAFTER(C3, ":"))</f>
        <v>Runendolche</v>
      </c>
      <c r="E4" s="18" t="s">
        <v>2364</v>
      </c>
      <c r="F4" s="16" t="str">
        <f>TRIM(_xlfn.TEXTAFTER(E3, ":"))</f>
        <v>Dagas rúnicas</v>
      </c>
      <c r="G4" s="18" t="s">
        <v>1</v>
      </c>
      <c r="H4" s="16" t="str">
        <f>TRIM(_xlfn.TEXTAFTER(G3, ":"))</f>
        <v>Dagues runiques</v>
      </c>
      <c r="I4" s="18" t="s">
        <v>3079</v>
      </c>
      <c r="J4" s="16" t="str">
        <f>TRIM(_xlfn.TEXTAFTER(I3, ":"))</f>
        <v>ルーンの短剣</v>
      </c>
      <c r="K4" s="18" t="s">
        <v>3829</v>
      </c>
      <c r="L4" s="16" t="str">
        <f>TRIM(_xlfn.TEXTAFTER(K3, ":"))</f>
        <v>룬 단검</v>
      </c>
      <c r="M4" s="18" t="s">
        <v>4558</v>
      </c>
      <c r="N4" s="16" t="str">
        <f>TRIM(_xlfn.TEXTAFTER(M3, ":"))</f>
        <v>Adagas Rúnicas</v>
      </c>
      <c r="O4" s="18" t="s">
        <v>5241</v>
      </c>
      <c r="P4" s="16" t="str">
        <f>TRIM(_xlfn.TEXTAFTER(O3, ":"))</f>
        <v>Рунические кинжалы</v>
      </c>
      <c r="Q4" s="18" t="s">
        <v>5978</v>
      </c>
      <c r="R4" s="16" t="str">
        <f>TRIM(_xlfn.TEXTAFTER(Q3, ":"))</f>
        <v>มีดอาคม</v>
      </c>
      <c r="S4" s="18"/>
      <c r="T4" s="16" t="e">
        <f>TRIM(_xlfn.TEXTAFTER(S3, ":"))</f>
        <v>#N/A</v>
      </c>
    </row>
    <row r="5" spans="1:20" ht="15.95" customHeight="1" x14ac:dyDescent="0.25">
      <c r="A5" s="18" t="s">
        <v>122</v>
      </c>
      <c r="B5" s="16" t="str">
        <f>TRIM(_xlfn.TEXTBEFORE(A4, ":"))</f>
        <v>Rarity</v>
      </c>
      <c r="C5" s="18" t="s">
        <v>1831</v>
      </c>
      <c r="D5" s="16" t="str">
        <f>TRIM(_xlfn.TEXTBEFORE(C4, ":"))</f>
        <v>Seltenheit</v>
      </c>
      <c r="E5" s="18" t="s">
        <v>2549</v>
      </c>
      <c r="F5" s="16" t="str">
        <f>TRIM(_xlfn.TEXTBEFORE(E4, ":"))</f>
        <v>Rareza</v>
      </c>
      <c r="G5" s="18" t="s">
        <v>1096</v>
      </c>
      <c r="H5" s="16" t="str">
        <f>TRIM(_xlfn.TEXTBEFORE(G4, ":"))</f>
        <v>Rareté</v>
      </c>
      <c r="I5" s="18" t="s">
        <v>3272</v>
      </c>
      <c r="J5" s="16" t="str">
        <f>TRIM(_xlfn.TEXTBEFORE(I4, ":"))</f>
        <v>レアリティ</v>
      </c>
      <c r="K5" s="18" t="s">
        <v>4017</v>
      </c>
      <c r="L5" s="16" t="str">
        <f>TRIM(_xlfn.TEXTBEFORE(K4, ":"))</f>
        <v>아이템 희귀도</v>
      </c>
      <c r="M5" s="18" t="s">
        <v>4740</v>
      </c>
      <c r="N5" s="16" t="str">
        <f>TRIM(_xlfn.TEXTBEFORE(M4, ":"))</f>
        <v>Raridade</v>
      </c>
      <c r="O5" s="18" t="s">
        <v>5431</v>
      </c>
      <c r="P5" s="16" t="str">
        <f>TRIM(_xlfn.TEXTBEFORE(O4, ":"))</f>
        <v>Редкость</v>
      </c>
      <c r="Q5" s="18" t="s">
        <v>122</v>
      </c>
      <c r="R5" s="16" t="str">
        <f>TRIM(_xlfn.TEXTBEFORE(Q4, ":"))</f>
        <v>ความหายาก</v>
      </c>
      <c r="S5" s="18"/>
      <c r="T5" s="16" t="e">
        <f>TRIM(_xlfn.TEXTBEFORE(S4, ":"))</f>
        <v>#N/A</v>
      </c>
    </row>
    <row r="6" spans="1:20" ht="15.95" customHeight="1" x14ac:dyDescent="0.25">
      <c r="A6" s="18" t="s">
        <v>123</v>
      </c>
      <c r="B6" s="16" t="str">
        <f>TRIM(_xlfn.TEXTAFTER(A4,":"))</f>
        <v>Unique</v>
      </c>
      <c r="C6" s="18" t="s">
        <v>1832</v>
      </c>
      <c r="D6" s="16" t="str">
        <f>TRIM(_xlfn.TEXTAFTER(C4,":"))</f>
        <v>Einzigartig</v>
      </c>
      <c r="E6" s="18" t="s">
        <v>2550</v>
      </c>
      <c r="F6" s="16" t="str">
        <f>TRIM(_xlfn.TEXTAFTER(E4,":"))</f>
        <v>Único</v>
      </c>
      <c r="G6" s="18" t="s">
        <v>1097</v>
      </c>
      <c r="H6" s="16" t="str">
        <f>TRIM(_xlfn.TEXTAFTER(G4,":"))</f>
        <v>Unique</v>
      </c>
      <c r="I6" s="18" t="s">
        <v>3273</v>
      </c>
      <c r="J6" s="16" t="str">
        <f>TRIM(_xlfn.TEXTAFTER(I4,":"))</f>
        <v>ユニーク</v>
      </c>
      <c r="K6" s="18" t="s">
        <v>4018</v>
      </c>
      <c r="L6" s="16" t="str">
        <f>TRIM(_xlfn.TEXTAFTER(K4,":"))</f>
        <v>고유</v>
      </c>
      <c r="M6" s="18" t="s">
        <v>4741</v>
      </c>
      <c r="N6" s="16" t="str">
        <f>TRIM(_xlfn.TEXTAFTER(M4,":"))</f>
        <v>Único</v>
      </c>
      <c r="O6" s="18" t="s">
        <v>5432</v>
      </c>
      <c r="P6" s="16" t="str">
        <f>TRIM(_xlfn.TEXTAFTER(O4,":"))</f>
        <v>Уникальный</v>
      </c>
      <c r="Q6" s="18" t="s">
        <v>123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124</v>
      </c>
      <c r="B8" s="16"/>
      <c r="C8" s="18" t="s">
        <v>1833</v>
      </c>
      <c r="D8" s="16"/>
      <c r="E8" s="18" t="s">
        <v>2551</v>
      </c>
      <c r="F8" s="16"/>
      <c r="G8" s="18" t="s">
        <v>1098</v>
      </c>
      <c r="H8" s="16"/>
      <c r="I8" s="18" t="s">
        <v>3274</v>
      </c>
      <c r="J8" s="16"/>
      <c r="K8" s="18" t="s">
        <v>4019</v>
      </c>
      <c r="L8" s="16"/>
      <c r="M8" s="18" t="s">
        <v>4742</v>
      </c>
      <c r="N8" s="16"/>
      <c r="O8" s="18" t="s">
        <v>5433</v>
      </c>
      <c r="P8" s="16"/>
      <c r="Q8" s="18" t="s">
        <v>6146</v>
      </c>
      <c r="R8" s="16"/>
      <c r="S8" s="18"/>
      <c r="T8" s="16"/>
    </row>
    <row r="9" spans="1:20" ht="15.95" customHeight="1" x14ac:dyDescent="0.25">
      <c r="A9" s="18" t="s">
        <v>125</v>
      </c>
      <c r="B9" s="16" t="str">
        <f>TRIM(_xlfn.TEXTBEFORE(A9,":"))</f>
        <v>Physical Damage</v>
      </c>
      <c r="C9" s="18" t="s">
        <v>1834</v>
      </c>
      <c r="D9" s="16" t="str">
        <f>TRIM(_xlfn.TEXTBEFORE(C9,":"))</f>
        <v>Physischer Schaden</v>
      </c>
      <c r="E9" s="18" t="s">
        <v>2552</v>
      </c>
      <c r="F9" s="16" t="str">
        <f>TRIM(_xlfn.TEXTBEFORE(E9,":"))</f>
        <v>Daño físico</v>
      </c>
      <c r="G9" s="18" t="s">
        <v>1099</v>
      </c>
      <c r="H9" s="16" t="str">
        <f>TRIM(_xlfn.TEXTBEFORE(G9,":"))</f>
        <v>Dégâts physiques</v>
      </c>
      <c r="I9" s="18" t="s">
        <v>3275</v>
      </c>
      <c r="J9" s="16" t="str">
        <f>TRIM(_xlfn.TEXTBEFORE(I9,":"))</f>
        <v>物理ダメージ</v>
      </c>
      <c r="K9" s="18" t="s">
        <v>4020</v>
      </c>
      <c r="L9" s="16" t="str">
        <f>TRIM(_xlfn.TEXTBEFORE(K9,":"))</f>
        <v>물리 피해</v>
      </c>
      <c r="M9" s="18" t="s">
        <v>4743</v>
      </c>
      <c r="N9" s="16" t="str">
        <f>TRIM(_xlfn.TEXTBEFORE(M9,":"))</f>
        <v>Dano Físico</v>
      </c>
      <c r="O9" s="18" t="s">
        <v>5434</v>
      </c>
      <c r="P9" s="16" t="str">
        <f>TRIM(_xlfn.TEXTBEFORE(O9,":"))</f>
        <v>Физический урон</v>
      </c>
      <c r="Q9" s="18" t="s">
        <v>6147</v>
      </c>
      <c r="R9" s="16" t="str">
        <f>TRIM(_xlfn.TEXTBEFORE(Q9,":"))</f>
        <v>ความเสียหายกายภาพ</v>
      </c>
      <c r="S9" s="18"/>
      <c r="T9" s="16" t="e">
        <f>TRIM(_xlfn.TEXTBEFORE(S9,":"))</f>
        <v>#N/A</v>
      </c>
    </row>
    <row r="10" spans="1:20" ht="15.95" customHeight="1" x14ac:dyDescent="0.25">
      <c r="A10" s="18" t="s">
        <v>126</v>
      </c>
      <c r="B10" s="16" t="str">
        <f>TRIM(_xlfn.TEXTBEFORE(A10,":"))</f>
        <v>Elemental Damage</v>
      </c>
      <c r="C10" s="18" t="s">
        <v>1835</v>
      </c>
      <c r="D10" s="16" t="str">
        <f>TRIM(_xlfn.TEXTBEFORE(C10,":"))</f>
        <v>Elementarschaden</v>
      </c>
      <c r="E10" s="18" t="s">
        <v>2553</v>
      </c>
      <c r="F10" s="16" t="str">
        <f>TRIM(_xlfn.TEXTBEFORE(E10,":"))</f>
        <v>Daño elemental</v>
      </c>
      <c r="G10" s="18" t="s">
        <v>1100</v>
      </c>
      <c r="H10" s="16" t="str">
        <f>TRIM(_xlfn.TEXTBEFORE(G10,":"))</f>
        <v>Dégâts élémentaires</v>
      </c>
      <c r="I10" s="18" t="s">
        <v>3276</v>
      </c>
      <c r="J10" s="16" t="str">
        <f>TRIM(_xlfn.TEXTBEFORE(I10,":"))</f>
        <v>元素ダメージ</v>
      </c>
      <c r="K10" s="18" t="s">
        <v>4021</v>
      </c>
      <c r="L10" s="16" t="str">
        <f>TRIM(_xlfn.TEXTBEFORE(K10,":"))</f>
        <v>원소 피해</v>
      </c>
      <c r="M10" s="18" t="s">
        <v>4744</v>
      </c>
      <c r="N10" s="16" t="str">
        <f>TRIM(_xlfn.TEXTBEFORE(M10,":"))</f>
        <v>Dano Elemental</v>
      </c>
      <c r="O10" s="18" t="s">
        <v>5435</v>
      </c>
      <c r="P10" s="16" t="str">
        <f>TRIM(_xlfn.TEXTBEFORE(O10,":"))</f>
        <v>Урон от стихий</v>
      </c>
      <c r="Q10" s="18" t="s">
        <v>6148</v>
      </c>
      <c r="R10" s="16" t="str">
        <f>TRIM(_xlfn.TEXTBEFORE(Q10,":"))</f>
        <v>ความเสียหายธาตุ</v>
      </c>
      <c r="S10" s="18"/>
      <c r="T10" s="16" t="e">
        <f>TRIM(_xlfn.TEXTBEFORE(S10,":"))</f>
        <v>#N/A</v>
      </c>
    </row>
    <row r="11" spans="1:20" ht="15.95" customHeight="1" x14ac:dyDescent="0.25">
      <c r="A11" s="18" t="s">
        <v>127</v>
      </c>
      <c r="B11" s="16" t="str">
        <f>TRIM(_xlfn.TEXTBEFORE(A11,":"))</f>
        <v>Critical Strike Chance</v>
      </c>
      <c r="C11" s="18" t="s">
        <v>1836</v>
      </c>
      <c r="D11" s="16" t="str">
        <f>TRIM(_xlfn.TEXTBEFORE(C11,":"))</f>
        <v>Kritische Trefferchance</v>
      </c>
      <c r="E11" s="18" t="s">
        <v>2554</v>
      </c>
      <c r="F11" s="16" t="str">
        <f>TRIM(_xlfn.TEXTBEFORE(E11,":"))</f>
        <v>Daño de golpe crítico</v>
      </c>
      <c r="G11" s="18" t="s">
        <v>1101</v>
      </c>
      <c r="H11" s="16" t="str">
        <f>TRIM(_xlfn.TEXTBEFORE(G11,":"))</f>
        <v>Chances de coup critique</v>
      </c>
      <c r="I11" s="18" t="s">
        <v>3277</v>
      </c>
      <c r="J11" s="16" t="str">
        <f>TRIM(_xlfn.TEXTBEFORE(I11,":"))</f>
        <v>クリティカル率</v>
      </c>
      <c r="K11" s="18" t="s">
        <v>4022</v>
      </c>
      <c r="L11" s="16" t="str">
        <f>TRIM(_xlfn.TEXTBEFORE(K11,":"))</f>
        <v>치명타 확률</v>
      </c>
      <c r="M11" s="18" t="s">
        <v>4745</v>
      </c>
      <c r="N11" s="16" t="str">
        <f>TRIM(_xlfn.TEXTBEFORE(M11,":"))</f>
        <v>Chance de Crítico</v>
      </c>
      <c r="O11" s="18" t="s">
        <v>5436</v>
      </c>
      <c r="P11" s="16" t="str">
        <f>TRIM(_xlfn.TEXTBEFORE(O11,":"))</f>
        <v>Шанс критического удара</v>
      </c>
      <c r="Q11" s="18" t="s">
        <v>6149</v>
      </c>
      <c r="R11" s="16" t="str">
        <f>TRIM(_xlfn.TEXTBEFORE(Q11,":"))</f>
        <v>โอกาสคริติคอล</v>
      </c>
      <c r="S11" s="18"/>
      <c r="T11" s="16" t="e">
        <f>TRIM(_xlfn.TEXTBEFORE(S11,":"))</f>
        <v>#N/A</v>
      </c>
    </row>
    <row r="12" spans="1:20" ht="15.95" customHeight="1" x14ac:dyDescent="0.25">
      <c r="A12" s="18" t="s">
        <v>106</v>
      </c>
      <c r="B12" s="16" t="str">
        <f>TRIM(_xlfn.TEXTBEFORE(A12,":"))</f>
        <v>Attacks per Second</v>
      </c>
      <c r="C12" s="18" t="s">
        <v>1837</v>
      </c>
      <c r="D12" s="16" t="str">
        <f>TRIM(_xlfn.TEXTBEFORE(C12,":"))</f>
        <v>Angriffe pro Sekunde</v>
      </c>
      <c r="E12" s="18" t="s">
        <v>2555</v>
      </c>
      <c r="F12" s="16" t="str">
        <f>TRIM(_xlfn.TEXTBEFORE(E12,":"))</f>
        <v>Ataques por segundo</v>
      </c>
      <c r="G12" s="18" t="s">
        <v>1102</v>
      </c>
      <c r="H12" s="16" t="str">
        <f>TRIM(_xlfn.TEXTBEFORE(G12,":"))</f>
        <v>Attaques par seconde</v>
      </c>
      <c r="I12" s="18" t="s">
        <v>3278</v>
      </c>
      <c r="J12" s="16" t="str">
        <f>TRIM(_xlfn.TEXTBEFORE(I12,":"))</f>
        <v>秒間アタック回数</v>
      </c>
      <c r="K12" s="18" t="s">
        <v>4023</v>
      </c>
      <c r="L12" s="16" t="str">
        <f>TRIM(_xlfn.TEXTBEFORE(K12,":"))</f>
        <v>초당 공격 횟수</v>
      </c>
      <c r="M12" s="18" t="s">
        <v>4746</v>
      </c>
      <c r="N12" s="16" t="str">
        <f>TRIM(_xlfn.TEXTBEFORE(M12,":"))</f>
        <v>Ataques por Segundo</v>
      </c>
      <c r="O12" s="18" t="s">
        <v>5437</v>
      </c>
      <c r="P12" s="16" t="str">
        <f>TRIM(_xlfn.TEXTBEFORE(O12,":"))</f>
        <v>Атак в секунду</v>
      </c>
      <c r="Q12" s="18" t="s">
        <v>6150</v>
      </c>
      <c r="R12" s="16" t="str">
        <f>TRIM(_xlfn.TEXTBEFORE(Q12,":"))</f>
        <v>จำนวนครั้งการโจมตีต่อวินาที</v>
      </c>
      <c r="S12" s="18"/>
      <c r="T12" s="16" t="e">
        <f>TRIM(_xlfn.TEXTBEFORE(S12,":"))</f>
        <v>#N/A</v>
      </c>
    </row>
    <row r="13" spans="1:20" ht="15.95" customHeight="1" x14ac:dyDescent="0.25">
      <c r="A13" s="18" t="s">
        <v>128</v>
      </c>
      <c r="B13" s="16"/>
      <c r="C13" s="18" t="s">
        <v>1838</v>
      </c>
      <c r="D13" s="16"/>
      <c r="E13" s="18" t="s">
        <v>2556</v>
      </c>
      <c r="F13" s="16"/>
      <c r="G13" s="18" t="s">
        <v>1103</v>
      </c>
      <c r="H13" s="16"/>
      <c r="I13" s="18" t="s">
        <v>3279</v>
      </c>
      <c r="J13" s="16"/>
      <c r="K13" s="18" t="s">
        <v>4024</v>
      </c>
      <c r="L13" s="16"/>
      <c r="M13" s="18" t="s">
        <v>4747</v>
      </c>
      <c r="N13" s="16"/>
      <c r="O13" s="18" t="s">
        <v>5438</v>
      </c>
      <c r="P13" s="16"/>
      <c r="Q13" s="18" t="s">
        <v>6151</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82</v>
      </c>
      <c r="B15" s="16" t="str">
        <f>TRIM(_xlfn.TEXTBEFORE(A15,":"))</f>
        <v>Requirements</v>
      </c>
      <c r="C15" s="18" t="s">
        <v>1590</v>
      </c>
      <c r="D15" s="16" t="str">
        <f>TRIM(_xlfn.TEXTBEFORE(C15,":"))</f>
        <v>Anforderungen</v>
      </c>
      <c r="E15" s="18" t="s">
        <v>2309</v>
      </c>
      <c r="F15" s="16" t="str">
        <f>TRIM(_xlfn.TEXTBEFORE(E15,":"))</f>
        <v>Requisitos</v>
      </c>
      <c r="G15" s="18" t="s">
        <v>5</v>
      </c>
      <c r="H15" s="16" t="str">
        <f>TRIM(_xlfn.TEXTBEFORE(G15,":"))</f>
        <v>Prérequis</v>
      </c>
      <c r="I15" s="18" t="s">
        <v>3019</v>
      </c>
      <c r="J15" s="16" t="str">
        <f>TRIM(_xlfn.TEXTBEFORE(I15,":"))</f>
        <v>装備要求</v>
      </c>
      <c r="K15" s="18" t="s">
        <v>3773</v>
      </c>
      <c r="L15" s="16" t="str">
        <f>TRIM(_xlfn.TEXTBEFORE(K15,":"))</f>
        <v>요구사항</v>
      </c>
      <c r="M15" s="18" t="s">
        <v>2309</v>
      </c>
      <c r="N15" s="16" t="str">
        <f>TRIM(_xlfn.TEXTBEFORE(M15,":"))</f>
        <v>Requisitos</v>
      </c>
      <c r="O15" s="18" t="s">
        <v>5184</v>
      </c>
      <c r="P15" s="16" t="str">
        <f>TRIM(_xlfn.TEXTBEFORE(O15,":"))</f>
        <v>Требования</v>
      </c>
      <c r="Q15" s="18" t="s">
        <v>5929</v>
      </c>
      <c r="R15" s="16" t="str">
        <f>TRIM(_xlfn.TEXTBEFORE(Q15,":"))</f>
        <v>เงื่อนไข</v>
      </c>
      <c r="S15" s="18"/>
      <c r="T15" s="16" t="e">
        <f>TRIM(_xlfn.TEXTBEFORE(S15,":"))</f>
        <v>#N/A</v>
      </c>
    </row>
    <row r="16" spans="1:20" ht="15.95" customHeight="1" x14ac:dyDescent="0.25">
      <c r="A16" s="18" t="s">
        <v>129</v>
      </c>
      <c r="B16" s="16"/>
      <c r="C16" s="18" t="s">
        <v>1839</v>
      </c>
      <c r="D16" s="16"/>
      <c r="E16" s="18" t="s">
        <v>2557</v>
      </c>
      <c r="F16" s="16"/>
      <c r="G16" s="18" t="s">
        <v>6</v>
      </c>
      <c r="H16" s="16"/>
      <c r="I16" s="18" t="s">
        <v>3280</v>
      </c>
      <c r="J16" s="16"/>
      <c r="K16" s="18" t="s">
        <v>4025</v>
      </c>
      <c r="L16" s="16"/>
      <c r="M16" s="18" t="s">
        <v>4748</v>
      </c>
      <c r="N16" s="16"/>
      <c r="O16" s="18" t="s">
        <v>5439</v>
      </c>
      <c r="P16" s="16"/>
      <c r="Q16" s="18" t="s">
        <v>6152</v>
      </c>
      <c r="R16" s="16"/>
      <c r="S16" s="18"/>
      <c r="T16" s="16"/>
    </row>
    <row r="17" spans="1:20" ht="15.95" customHeight="1" x14ac:dyDescent="0.25">
      <c r="A17" s="18" t="s">
        <v>130</v>
      </c>
      <c r="B17" s="16"/>
      <c r="C17" s="18" t="s">
        <v>1840</v>
      </c>
      <c r="D17" s="16"/>
      <c r="E17" s="18" t="s">
        <v>2558</v>
      </c>
      <c r="F17" s="16"/>
      <c r="G17" s="18" t="s">
        <v>130</v>
      </c>
      <c r="H17" s="16"/>
      <c r="I17" s="18" t="s">
        <v>3281</v>
      </c>
      <c r="J17" s="16"/>
      <c r="K17" s="18" t="s">
        <v>4026</v>
      </c>
      <c r="L17" s="16"/>
      <c r="M17" s="18" t="s">
        <v>2558</v>
      </c>
      <c r="N17" s="16"/>
      <c r="O17" s="18" t="s">
        <v>5440</v>
      </c>
      <c r="P17" s="16"/>
      <c r="Q17" s="18" t="s">
        <v>130</v>
      </c>
      <c r="R17" s="16"/>
      <c r="S17" s="18"/>
      <c r="T17" s="16"/>
    </row>
    <row r="18" spans="1:20" ht="15.95" customHeight="1" x14ac:dyDescent="0.25">
      <c r="A18" s="18" t="s">
        <v>131</v>
      </c>
      <c r="B18" s="16"/>
      <c r="C18" s="18" t="s">
        <v>131</v>
      </c>
      <c r="D18" s="16"/>
      <c r="E18" s="18" t="s">
        <v>131</v>
      </c>
      <c r="F18" s="16"/>
      <c r="G18" s="18" t="s">
        <v>131</v>
      </c>
      <c r="H18" s="16"/>
      <c r="I18" s="18" t="s">
        <v>3282</v>
      </c>
      <c r="J18" s="16"/>
      <c r="K18" s="18" t="s">
        <v>4027</v>
      </c>
      <c r="L18" s="16"/>
      <c r="M18" s="18" t="s">
        <v>131</v>
      </c>
      <c r="N18" s="16"/>
      <c r="O18" s="18" t="s">
        <v>5441</v>
      </c>
      <c r="P18" s="16"/>
      <c r="Q18" s="18" t="s">
        <v>131</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132</v>
      </c>
      <c r="B20" s="16" t="str">
        <f>TRIM(_xlfn.TEXTBEFORE(A20,":"))</f>
        <v>Sockets</v>
      </c>
      <c r="C20" s="18" t="s">
        <v>1841</v>
      </c>
      <c r="D20" s="16" t="str">
        <f>TRIM(_xlfn.TEXTBEFORE(C20,":"))</f>
        <v>Fassungen</v>
      </c>
      <c r="E20" s="18" t="s">
        <v>2559</v>
      </c>
      <c r="F20" s="16" t="str">
        <f>TRIM(_xlfn.TEXTBEFORE(E20,":"))</f>
        <v>Engarces</v>
      </c>
      <c r="G20" s="18" t="s">
        <v>1104</v>
      </c>
      <c r="H20" s="16" t="str">
        <f>TRIM(_xlfn.TEXTBEFORE(G20,":"))</f>
        <v>Châsses</v>
      </c>
      <c r="I20" s="18" t="s">
        <v>3283</v>
      </c>
      <c r="J20" s="16" t="str">
        <f>TRIM(_xlfn.TEXTBEFORE(I20,":"))</f>
        <v>ソケット</v>
      </c>
      <c r="K20" s="18" t="s">
        <v>4028</v>
      </c>
      <c r="L20" s="16" t="str">
        <f>TRIM(_xlfn.TEXTBEFORE(K20,":"))</f>
        <v>홈</v>
      </c>
      <c r="M20" s="18" t="s">
        <v>4749</v>
      </c>
      <c r="N20" s="16" t="str">
        <f>TRIM(_xlfn.TEXTBEFORE(M20,":"))</f>
        <v>Encaixes</v>
      </c>
      <c r="O20" s="18" t="s">
        <v>5442</v>
      </c>
      <c r="P20" s="16" t="str">
        <f>TRIM(_xlfn.TEXTBEFORE(O20,":"))</f>
        <v>Гнезда</v>
      </c>
      <c r="Q20" s="18" t="s">
        <v>6153</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89</v>
      </c>
      <c r="B22" s="16" t="str">
        <f>TRIM(_xlfn.TEXTBEFORE(A22,":"))</f>
        <v>Item Level</v>
      </c>
      <c r="C22" s="18" t="s">
        <v>1714</v>
      </c>
      <c r="D22" s="16" t="str">
        <f>TRIM(_xlfn.TEXTBEFORE(C22,":"))</f>
        <v>Gegenstandsstufe</v>
      </c>
      <c r="E22" s="18" t="s">
        <v>2433</v>
      </c>
      <c r="F22" s="16" t="str">
        <f>TRIM(_xlfn.TEXTBEFORE(E22,":"))</f>
        <v>Nivel de objeto</v>
      </c>
      <c r="G22" s="18" t="s">
        <v>982</v>
      </c>
      <c r="H22" s="16" t="str">
        <f>TRIM(_xlfn.TEXTBEFORE(G22,":"))</f>
        <v>Niveau de l'objet</v>
      </c>
      <c r="I22" s="18" t="s">
        <v>3151</v>
      </c>
      <c r="J22" s="16" t="str">
        <f>TRIM(_xlfn.TEXTBEFORE(I22,":"))</f>
        <v>アイテムレベル</v>
      </c>
      <c r="K22" s="18" t="s">
        <v>3898</v>
      </c>
      <c r="L22" s="16" t="str">
        <f>TRIM(_xlfn.TEXTBEFORE(K22,":"))</f>
        <v>아이템 레벨</v>
      </c>
      <c r="M22" s="18" t="s">
        <v>4627</v>
      </c>
      <c r="N22" s="16" t="str">
        <f>TRIM(_xlfn.TEXTBEFORE(M22,":"))</f>
        <v>Nível do Item</v>
      </c>
      <c r="O22" s="18" t="s">
        <v>5312</v>
      </c>
      <c r="P22" s="16" t="str">
        <f>TRIM(_xlfn.TEXTBEFORE(O22,":"))</f>
        <v>Уровень предмета</v>
      </c>
      <c r="Q22" s="18" t="s">
        <v>6044</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133</v>
      </c>
      <c r="B24" s="16"/>
      <c r="C24" s="18" t="s">
        <v>1842</v>
      </c>
      <c r="D24" s="16"/>
      <c r="E24" s="18" t="s">
        <v>2560</v>
      </c>
      <c r="F24" s="16"/>
      <c r="G24" s="18" t="s">
        <v>1105</v>
      </c>
      <c r="H24" s="16"/>
      <c r="I24" s="18" t="s">
        <v>3284</v>
      </c>
      <c r="J24" s="16"/>
      <c r="K24" s="18" t="s">
        <v>4029</v>
      </c>
      <c r="L24" s="16"/>
      <c r="M24" s="18" t="s">
        <v>4750</v>
      </c>
      <c r="N24" s="16"/>
      <c r="O24" s="18" t="s">
        <v>5443</v>
      </c>
      <c r="P24" s="16"/>
      <c r="Q24" s="18" t="s">
        <v>6154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134</v>
      </c>
      <c r="B26" s="16"/>
      <c r="C26" s="18" t="s">
        <v>1843</v>
      </c>
      <c r="D26" s="16"/>
      <c r="E26" s="18" t="s">
        <v>2561</v>
      </c>
      <c r="F26" s="16"/>
      <c r="G26" s="18" t="s">
        <v>1106</v>
      </c>
      <c r="H26" s="16"/>
      <c r="I26" s="18" t="s">
        <v>3285</v>
      </c>
      <c r="J26" s="16"/>
      <c r="K26" s="18" t="s">
        <v>4030</v>
      </c>
      <c r="L26" s="16"/>
      <c r="M26" s="18" t="s">
        <v>4751</v>
      </c>
      <c r="N26" s="16"/>
      <c r="O26" s="18" t="s">
        <v>5444</v>
      </c>
      <c r="P26" s="16"/>
      <c r="Q26" s="18" t="s">
        <v>6155</v>
      </c>
      <c r="R26" s="16"/>
      <c r="S26" s="18"/>
      <c r="T26" s="21"/>
    </row>
    <row r="27" spans="1:20" ht="15.95" customHeight="1" x14ac:dyDescent="0.25">
      <c r="A27" s="18" t="s">
        <v>135</v>
      </c>
      <c r="B27" s="16"/>
      <c r="C27" s="18" t="s">
        <v>1844</v>
      </c>
      <c r="D27" s="16"/>
      <c r="E27" s="18" t="s">
        <v>2562</v>
      </c>
      <c r="F27" s="16"/>
      <c r="G27" s="18" t="s">
        <v>1107</v>
      </c>
      <c r="H27" s="16"/>
      <c r="I27" s="18" t="s">
        <v>3286</v>
      </c>
      <c r="J27" s="16"/>
      <c r="K27" s="18" t="s">
        <v>4031</v>
      </c>
      <c r="L27" s="16"/>
      <c r="M27" s="18" t="s">
        <v>4752</v>
      </c>
      <c r="N27" s="16"/>
      <c r="O27" s="18" t="s">
        <v>5445</v>
      </c>
      <c r="P27" s="16"/>
      <c r="Q27" s="18" t="s">
        <v>6156</v>
      </c>
      <c r="R27" s="16"/>
      <c r="S27" s="18"/>
      <c r="T27" s="21"/>
    </row>
    <row r="28" spans="1:20" ht="15.95" customHeight="1" x14ac:dyDescent="0.25">
      <c r="A28" s="18" t="s">
        <v>136</v>
      </c>
      <c r="B28" s="16"/>
      <c r="C28" s="18" t="s">
        <v>1845</v>
      </c>
      <c r="D28" s="16"/>
      <c r="E28" s="18" t="s">
        <v>2563</v>
      </c>
      <c r="F28" s="16"/>
      <c r="G28" s="18" t="s">
        <v>1108</v>
      </c>
      <c r="H28" s="16"/>
      <c r="I28" s="18" t="s">
        <v>3287</v>
      </c>
      <c r="J28" s="16"/>
      <c r="K28" s="18" t="s">
        <v>4032</v>
      </c>
      <c r="L28" s="16"/>
      <c r="M28" s="18" t="s">
        <v>4753</v>
      </c>
      <c r="N28" s="16"/>
      <c r="O28" s="18" t="s">
        <v>5446</v>
      </c>
      <c r="P28" s="16"/>
      <c r="Q28" s="18" t="s">
        <v>6157</v>
      </c>
      <c r="R28" s="16"/>
      <c r="S28" s="18"/>
      <c r="T28" s="21"/>
    </row>
    <row r="29" spans="1:20" ht="15.95" customHeight="1" x14ac:dyDescent="0.25">
      <c r="A29" s="18" t="s">
        <v>137</v>
      </c>
      <c r="B29" s="16"/>
      <c r="C29" s="18" t="s">
        <v>1846</v>
      </c>
      <c r="D29" s="16"/>
      <c r="E29" s="18" t="s">
        <v>2564</v>
      </c>
      <c r="F29" s="16"/>
      <c r="G29" s="18" t="s">
        <v>1109</v>
      </c>
      <c r="H29" s="16"/>
      <c r="I29" s="18" t="s">
        <v>3288</v>
      </c>
      <c r="J29" s="16"/>
      <c r="K29" s="18" t="s">
        <v>4033</v>
      </c>
      <c r="L29" s="16"/>
      <c r="M29" s="18" t="s">
        <v>4754</v>
      </c>
      <c r="N29" s="16"/>
      <c r="O29" s="18" t="s">
        <v>5447</v>
      </c>
      <c r="P29" s="16"/>
      <c r="Q29" s="18" t="s">
        <v>6158</v>
      </c>
      <c r="R29" s="16"/>
      <c r="S29" s="18"/>
      <c r="T29" s="21"/>
    </row>
    <row r="30" spans="1:20" ht="15.95" customHeight="1" x14ac:dyDescent="0.25">
      <c r="A30" s="18" t="s">
        <v>138</v>
      </c>
      <c r="B30" s="16"/>
      <c r="C30" s="18" t="s">
        <v>1847</v>
      </c>
      <c r="D30" s="16"/>
      <c r="E30" s="18" t="s">
        <v>2565</v>
      </c>
      <c r="F30" s="16"/>
      <c r="G30" s="18" t="s">
        <v>1110</v>
      </c>
      <c r="H30" s="16"/>
      <c r="I30" s="18" t="s">
        <v>3289</v>
      </c>
      <c r="J30" s="16"/>
      <c r="K30" s="18" t="s">
        <v>4034</v>
      </c>
      <c r="L30" s="16"/>
      <c r="M30" s="18" t="s">
        <v>4755</v>
      </c>
      <c r="N30" s="16"/>
      <c r="O30" s="18" t="s">
        <v>5448</v>
      </c>
      <c r="P30" s="16"/>
      <c r="Q30" s="18" t="s">
        <v>6159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139</v>
      </c>
      <c r="B32" s="16"/>
      <c r="C32" s="18" t="s">
        <v>1848</v>
      </c>
      <c r="D32" s="16"/>
      <c r="E32" s="18" t="s">
        <v>2566</v>
      </c>
      <c r="F32" s="16"/>
      <c r="G32" s="18" t="s">
        <v>1111</v>
      </c>
      <c r="H32" s="16"/>
      <c r="I32" s="18" t="s">
        <v>3290</v>
      </c>
      <c r="J32" s="16"/>
      <c r="K32" s="18" t="s">
        <v>4035</v>
      </c>
      <c r="L32" s="16"/>
      <c r="M32" s="18" t="s">
        <v>4756</v>
      </c>
      <c r="N32" s="16"/>
      <c r="O32" s="18" t="s">
        <v>5449</v>
      </c>
      <c r="P32" s="16"/>
      <c r="Q32" s="18" t="s">
        <v>6160</v>
      </c>
      <c r="R32" s="16"/>
      <c r="S32" s="18"/>
      <c r="T32" s="21"/>
    </row>
    <row r="33" spans="1:20" ht="15.95" customHeight="1" x14ac:dyDescent="0.25">
      <c r="A33" s="22" t="s">
        <v>140</v>
      </c>
      <c r="B33" s="16"/>
      <c r="C33" s="18" t="s">
        <v>1849</v>
      </c>
      <c r="D33" s="16"/>
      <c r="E33" s="18" t="s">
        <v>2567</v>
      </c>
      <c r="F33" s="16"/>
      <c r="G33" s="18" t="s">
        <v>1112</v>
      </c>
      <c r="H33" s="16"/>
      <c r="I33" s="18" t="s">
        <v>3291</v>
      </c>
      <c r="J33" s="16"/>
      <c r="K33" s="18" t="s">
        <v>4036</v>
      </c>
      <c r="L33" s="16"/>
      <c r="M33" s="18" t="s">
        <v>4757</v>
      </c>
      <c r="N33" s="16"/>
      <c r="O33" s="18" t="s">
        <v>5450</v>
      </c>
      <c r="P33" s="16"/>
      <c r="Q33" s="18" t="s">
        <v>6161</v>
      </c>
      <c r="R33" s="16"/>
      <c r="S33" s="18"/>
      <c r="T33" s="21"/>
    </row>
    <row r="34" spans="1:20" ht="15.95" customHeight="1" x14ac:dyDescent="0.25">
      <c r="A34" s="18" t="s">
        <v>141</v>
      </c>
      <c r="B34" s="16"/>
      <c r="C34" s="18" t="s">
        <v>1850</v>
      </c>
      <c r="D34" s="16"/>
      <c r="E34" s="18" t="s">
        <v>2568</v>
      </c>
      <c r="F34" s="16"/>
      <c r="G34" s="18" t="s">
        <v>1113</v>
      </c>
      <c r="H34" s="16"/>
      <c r="I34" s="18" t="s">
        <v>3292</v>
      </c>
      <c r="J34" s="16"/>
      <c r="K34" s="18" t="s">
        <v>4037</v>
      </c>
      <c r="L34" s="16"/>
      <c r="M34" s="18" t="s">
        <v>4758</v>
      </c>
      <c r="N34" s="16"/>
      <c r="O34" s="18" t="s">
        <v>5451</v>
      </c>
      <c r="P34" s="16"/>
      <c r="Q34" s="18" t="s">
        <v>6162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2" priority="62" stopIfTrue="1">
      <formula>NOT(ISERROR(A3))</formula>
    </cfRule>
  </conditionalFormatting>
  <conditionalFormatting sqref="A3:T12 A13:D14 E13:E23 G13:G23 I13:I23 K13:K23 M13:M23 O13:O23 Q13:Q23 S13:S23 A15 C15 A16:D19 A20 C20 A21:D21 A22 C22 A23:D23 A24:T51">
    <cfRule type="notContainsBlanks" dxfId="291" priority="63">
      <formula>LEN(TRIM(A3))&gt;0</formula>
    </cfRule>
  </conditionalFormatting>
  <conditionalFormatting sqref="A3:T51">
    <cfRule type="containsErrors" dxfId="290" priority="1" stopIfTrue="1">
      <formula>ISERROR(A3)</formula>
    </cfRule>
  </conditionalFormatting>
  <conditionalFormatting sqref="B15">
    <cfRule type="notContainsBlanks" dxfId="289" priority="58">
      <formula>LEN(TRIM(B15))&gt;0</formula>
    </cfRule>
  </conditionalFormatting>
  <conditionalFormatting sqref="B20">
    <cfRule type="notContainsBlanks" dxfId="288" priority="56">
      <formula>LEN(TRIM(B20))&gt;0</formula>
    </cfRule>
  </conditionalFormatting>
  <conditionalFormatting sqref="B22">
    <cfRule type="notContainsBlanks" dxfId="287" priority="60">
      <formula>LEN(TRIM(B22))&gt;0</formula>
    </cfRule>
  </conditionalFormatting>
  <conditionalFormatting sqref="D15">
    <cfRule type="notContainsBlanks" dxfId="286" priority="52">
      <formula>LEN(TRIM(D15))&gt;0</formula>
    </cfRule>
  </conditionalFormatting>
  <conditionalFormatting sqref="D20">
    <cfRule type="notContainsBlanks" dxfId="285" priority="50">
      <formula>LEN(TRIM(D20))&gt;0</formula>
    </cfRule>
  </conditionalFormatting>
  <conditionalFormatting sqref="D22">
    <cfRule type="notContainsBlanks" dxfId="284" priority="54">
      <formula>LEN(TRIM(D22))&gt;0</formula>
    </cfRule>
  </conditionalFormatting>
  <conditionalFormatting sqref="F13:F23">
    <cfRule type="notContainsBlanks" dxfId="283" priority="44">
      <formula>LEN(TRIM(F13))&gt;0</formula>
    </cfRule>
  </conditionalFormatting>
  <conditionalFormatting sqref="H13:H23">
    <cfRule type="notContainsBlanks" dxfId="282" priority="38">
      <formula>LEN(TRIM(H13))&gt;0</formula>
    </cfRule>
  </conditionalFormatting>
  <conditionalFormatting sqref="J13:J23">
    <cfRule type="notContainsBlanks" dxfId="281" priority="32">
      <formula>LEN(TRIM(J13))&gt;0</formula>
    </cfRule>
  </conditionalFormatting>
  <conditionalFormatting sqref="L13:L23">
    <cfRule type="notContainsBlanks" dxfId="280" priority="26">
      <formula>LEN(TRIM(L13))&gt;0</formula>
    </cfRule>
  </conditionalFormatting>
  <conditionalFormatting sqref="N13:N23">
    <cfRule type="notContainsBlanks" dxfId="279" priority="20">
      <formula>LEN(TRIM(N13))&gt;0</formula>
    </cfRule>
  </conditionalFormatting>
  <conditionalFormatting sqref="P13:P23">
    <cfRule type="notContainsBlanks" dxfId="278" priority="14">
      <formula>LEN(TRIM(P13))&gt;0</formula>
    </cfRule>
  </conditionalFormatting>
  <conditionalFormatting sqref="R13:R23">
    <cfRule type="notContainsBlanks" dxfId="277" priority="8">
      <formula>LEN(TRIM(R13))&gt;0</formula>
    </cfRule>
  </conditionalFormatting>
  <conditionalFormatting sqref="T13:T23">
    <cfRule type="notContainsBlanks" dxfId="276"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621</v>
      </c>
      <c r="B3" s="16" t="str">
        <f>TRIM(_xlfn.TEXTBEFORE(A3, ":"))</f>
        <v>Item Class</v>
      </c>
      <c r="C3" s="17" t="s">
        <v>1769</v>
      </c>
      <c r="D3" s="16" t="str">
        <f>TRIM(_xlfn.TEXTBEFORE(C3, ":"))</f>
        <v>Gegenstandsklasse</v>
      </c>
      <c r="E3" s="17" t="s">
        <v>2488</v>
      </c>
      <c r="F3" s="16" t="str">
        <f>TRIM(_xlfn.TEXTBEFORE(E3, ":"))</f>
        <v>Clase de objeto</v>
      </c>
      <c r="G3" s="17" t="s">
        <v>1037</v>
      </c>
      <c r="H3" s="16" t="str">
        <f>TRIM(_xlfn.TEXTBEFORE(G3, ":"))</f>
        <v>Classe d'objet</v>
      </c>
      <c r="I3" s="17" t="s">
        <v>3207</v>
      </c>
      <c r="J3" s="16" t="str">
        <f>TRIM(_xlfn.TEXTBEFORE(I3, ":"))</f>
        <v>アイテムクラス</v>
      </c>
      <c r="K3" s="17" t="s">
        <v>3953</v>
      </c>
      <c r="L3" s="16" t="str">
        <f>TRIM(_xlfn.TEXTBEFORE(K3, ":"))</f>
        <v>아이템 종류</v>
      </c>
      <c r="M3" s="17" t="s">
        <v>4682</v>
      </c>
      <c r="N3" s="16" t="str">
        <f>TRIM(_xlfn.TEXTBEFORE(M3, ":"))</f>
        <v>Classe do Item</v>
      </c>
      <c r="O3" s="17" t="s">
        <v>5367</v>
      </c>
      <c r="P3" s="16" t="str">
        <f>TRIM(_xlfn.TEXTBEFORE(O3, ":"))</f>
        <v>Класс предмета</v>
      </c>
      <c r="Q3" s="17" t="s">
        <v>6095</v>
      </c>
      <c r="R3" s="16" t="str">
        <f>TRIM(_xlfn.TEXTBEFORE(Q3, ":"))</f>
        <v>ชนิดไอเทม</v>
      </c>
      <c r="S3" s="17"/>
      <c r="T3" s="20" t="e">
        <f>TRIM(_xlfn.TEXTBEFORE(S3, ":"))</f>
        <v>#N/A</v>
      </c>
    </row>
    <row r="4" spans="1:20" ht="15.95" customHeight="1" x14ac:dyDescent="0.25">
      <c r="A4" s="18" t="s">
        <v>485</v>
      </c>
      <c r="B4" s="16" t="str">
        <f>TRIM(_xlfn.TEXTAFTER(A3, ":"))</f>
        <v>Amulets</v>
      </c>
      <c r="C4" s="18" t="s">
        <v>1851</v>
      </c>
      <c r="D4" s="16" t="str">
        <f>TRIM(_xlfn.TEXTAFTER(C3, ":"))</f>
        <v>Amulette</v>
      </c>
      <c r="E4" s="18" t="s">
        <v>2569</v>
      </c>
      <c r="F4" s="16" t="str">
        <f>TRIM(_xlfn.TEXTAFTER(E3, ":"))</f>
        <v>Amuletos</v>
      </c>
      <c r="G4" s="18" t="s">
        <v>1114</v>
      </c>
      <c r="H4" s="16" t="str">
        <f>TRIM(_xlfn.TEXTAFTER(G3, ":"))</f>
        <v>Amulettes</v>
      </c>
      <c r="I4" s="18" t="s">
        <v>3293</v>
      </c>
      <c r="J4" s="16" t="str">
        <f>TRIM(_xlfn.TEXTAFTER(I3, ":"))</f>
        <v>アミュレット</v>
      </c>
      <c r="K4" s="18" t="s">
        <v>4038</v>
      </c>
      <c r="L4" s="16" t="str">
        <f>TRIM(_xlfn.TEXTAFTER(K3, ":"))</f>
        <v>목걸이</v>
      </c>
      <c r="M4" s="18" t="s">
        <v>4759</v>
      </c>
      <c r="N4" s="16" t="str">
        <f>TRIM(_xlfn.TEXTAFTER(M3, ":"))</f>
        <v>Amuletos</v>
      </c>
      <c r="O4" s="18" t="s">
        <v>5452</v>
      </c>
      <c r="P4" s="16" t="str">
        <f>TRIM(_xlfn.TEXTAFTER(O3, ":"))</f>
        <v>Амулеты</v>
      </c>
      <c r="Q4" s="18" t="s">
        <v>6163</v>
      </c>
      <c r="R4" s="16" t="str">
        <f>TRIM(_xlfn.TEXTAFTER(Q3, ":"))</f>
        <v>สร้อย</v>
      </c>
      <c r="S4" s="18"/>
      <c r="T4" s="20" t="e">
        <f>TRIM(_xlfn.TEXTAFTER(S3, ":"))</f>
        <v>#N/A</v>
      </c>
    </row>
    <row r="5" spans="1:20" ht="15.95" customHeight="1" x14ac:dyDescent="0.25">
      <c r="A5" s="18" t="s">
        <v>822</v>
      </c>
      <c r="B5" s="16" t="str">
        <f>TRIM(_xlfn.TEXTBEFORE(A4, ":"))</f>
        <v>Rarity</v>
      </c>
      <c r="C5" s="18" t="s">
        <v>1852</v>
      </c>
      <c r="D5" s="16" t="str">
        <f>TRIM(_xlfn.TEXTBEFORE(C4, ":"))</f>
        <v>Seltenheit</v>
      </c>
      <c r="E5" s="18" t="s">
        <v>2570</v>
      </c>
      <c r="F5" s="16" t="str">
        <f>TRIM(_xlfn.TEXTBEFORE(E4, ":"))</f>
        <v>Rareza</v>
      </c>
      <c r="G5" s="18" t="s">
        <v>1115</v>
      </c>
      <c r="H5" s="16" t="str">
        <f>TRIM(_xlfn.TEXTBEFORE(G4, ":"))</f>
        <v>Rareté</v>
      </c>
      <c r="I5" s="18" t="s">
        <v>3294</v>
      </c>
      <c r="J5" s="16" t="str">
        <f>TRIM(_xlfn.TEXTBEFORE(I4, ":"))</f>
        <v>レアリティ</v>
      </c>
      <c r="K5" s="18" t="s">
        <v>4039</v>
      </c>
      <c r="L5" s="16" t="str">
        <f>TRIM(_xlfn.TEXTBEFORE(K4, ":"))</f>
        <v>아이템 희귀도</v>
      </c>
      <c r="M5" s="18" t="s">
        <v>4760</v>
      </c>
      <c r="N5" s="16" t="str">
        <f>TRIM(_xlfn.TEXTBEFORE(M4, ":"))</f>
        <v>Raridade</v>
      </c>
      <c r="O5" s="18" t="s">
        <v>5453</v>
      </c>
      <c r="P5" s="16" t="str">
        <f>TRIM(_xlfn.TEXTBEFORE(O4, ":"))</f>
        <v>Редкость</v>
      </c>
      <c r="Q5" s="18" t="s">
        <v>822</v>
      </c>
      <c r="R5" s="16" t="str">
        <f>TRIM(_xlfn.TEXTBEFORE(Q4, ":"))</f>
        <v>ความหายาก</v>
      </c>
      <c r="S5" s="18"/>
      <c r="T5" s="20" t="e">
        <f>TRIM(_xlfn.TEXTBEFORE(S4, ":"))</f>
        <v>#N/A</v>
      </c>
    </row>
    <row r="6" spans="1:20" ht="15.95" customHeight="1" x14ac:dyDescent="0.25">
      <c r="A6" s="18" t="s">
        <v>823</v>
      </c>
      <c r="B6" s="16" t="str">
        <f>TRIM(_xlfn.TEXTAFTER(A4,":"))</f>
        <v>Rare</v>
      </c>
      <c r="C6" s="18" t="s">
        <v>1853</v>
      </c>
      <c r="D6" s="16" t="str">
        <f>TRIM(_xlfn.TEXTAFTER(C4,":"))</f>
        <v>Selten</v>
      </c>
      <c r="E6" s="18" t="s">
        <v>2571</v>
      </c>
      <c r="F6" s="16" t="str">
        <f>TRIM(_xlfn.TEXTAFTER(E4,":"))</f>
        <v>Raro</v>
      </c>
      <c r="G6" s="18" t="s">
        <v>1116</v>
      </c>
      <c r="H6" s="16" t="str">
        <f>TRIM(_xlfn.TEXTAFTER(G4,":"))</f>
        <v>Rare</v>
      </c>
      <c r="I6" s="18" t="s">
        <v>3295</v>
      </c>
      <c r="J6" s="16" t="str">
        <f>TRIM(_xlfn.TEXTAFTER(I4,":"))</f>
        <v>レア</v>
      </c>
      <c r="K6" s="18" t="s">
        <v>4040</v>
      </c>
      <c r="L6" s="16" t="str">
        <f>TRIM(_xlfn.TEXTAFTER(K4,":"))</f>
        <v>희귀</v>
      </c>
      <c r="M6" s="18" t="s">
        <v>4761</v>
      </c>
      <c r="N6" s="16" t="str">
        <f>TRIM(_xlfn.TEXTAFTER(M4,":"))</f>
        <v>Raro</v>
      </c>
      <c r="O6" s="18" t="s">
        <v>5454</v>
      </c>
      <c r="P6" s="16" t="str">
        <f>TRIM(_xlfn.TEXTAFTER(O4,":"))</f>
        <v>Редкий</v>
      </c>
      <c r="Q6" s="18" t="s">
        <v>823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309</v>
      </c>
      <c r="B9" s="16"/>
      <c r="C9" s="18" t="s">
        <v>1854</v>
      </c>
      <c r="D9" s="16"/>
      <c r="E9" s="18" t="s">
        <v>2572</v>
      </c>
      <c r="F9" s="16"/>
      <c r="G9" s="18" t="s">
        <v>1117</v>
      </c>
      <c r="H9" s="16"/>
      <c r="I9" s="18" t="s">
        <v>3296</v>
      </c>
      <c r="J9" s="16"/>
      <c r="K9" s="18" t="s">
        <v>4041</v>
      </c>
      <c r="L9" s="16"/>
      <c r="M9" s="18" t="s">
        <v>4762</v>
      </c>
      <c r="N9" s="16"/>
      <c r="O9" s="18" t="s">
        <v>5455</v>
      </c>
      <c r="P9" s="16"/>
      <c r="Q9" s="18" t="s">
        <v>6164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83</v>
      </c>
      <c r="B11" s="16"/>
      <c r="C11" s="18" t="s">
        <v>1663</v>
      </c>
      <c r="D11" s="16"/>
      <c r="E11" s="18" t="s">
        <v>2297</v>
      </c>
      <c r="F11" s="16"/>
      <c r="G11" s="18" t="s">
        <v>930</v>
      </c>
      <c r="H11" s="16"/>
      <c r="I11" s="18" t="s">
        <v>3099</v>
      </c>
      <c r="J11" s="16"/>
      <c r="K11" s="18" t="s">
        <v>3759</v>
      </c>
      <c r="L11" s="16"/>
      <c r="M11" s="18" t="s">
        <v>4577</v>
      </c>
      <c r="N11" s="16"/>
      <c r="O11" s="18" t="s">
        <v>5260</v>
      </c>
      <c r="P11" s="16"/>
      <c r="Q11" s="18" t="s">
        <v>5915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824</v>
      </c>
      <c r="B13" s="16"/>
      <c r="C13" s="18" t="s">
        <v>1855</v>
      </c>
      <c r="D13" s="16"/>
      <c r="E13" s="18" t="s">
        <v>2573</v>
      </c>
      <c r="F13" s="16"/>
      <c r="G13" s="18" t="s">
        <v>1118</v>
      </c>
      <c r="H13" s="16"/>
      <c r="I13" s="18" t="s">
        <v>3297</v>
      </c>
      <c r="J13" s="16"/>
      <c r="K13" s="18" t="s">
        <v>4042</v>
      </c>
      <c r="L13" s="16"/>
      <c r="M13" s="18" t="s">
        <v>4763</v>
      </c>
      <c r="N13" s="16"/>
      <c r="O13" s="18" t="s">
        <v>5456</v>
      </c>
      <c r="P13" s="16"/>
      <c r="Q13" s="18" t="s">
        <v>6165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825</v>
      </c>
      <c r="B15" s="16"/>
      <c r="C15" s="18" t="s">
        <v>1856</v>
      </c>
      <c r="D15" s="16"/>
      <c r="E15" s="18" t="s">
        <v>2574</v>
      </c>
      <c r="F15" s="16"/>
      <c r="G15" s="18" t="s">
        <v>1119</v>
      </c>
      <c r="H15" s="16"/>
      <c r="I15" s="18" t="s">
        <v>3298</v>
      </c>
      <c r="J15" s="16"/>
      <c r="K15" s="18" t="s">
        <v>4043</v>
      </c>
      <c r="L15" s="16"/>
      <c r="M15" s="18" t="s">
        <v>4764</v>
      </c>
      <c r="N15" s="16"/>
      <c r="O15" s="18" t="s">
        <v>5457</v>
      </c>
      <c r="P15" s="16"/>
      <c r="Q15" s="18" t="s">
        <v>6166</v>
      </c>
      <c r="R15" s="16"/>
      <c r="S15" s="18"/>
      <c r="T15" s="20"/>
    </row>
    <row r="16" spans="1:20" ht="15.95" customHeight="1" x14ac:dyDescent="0.25">
      <c r="A16" s="18" t="s">
        <v>826</v>
      </c>
      <c r="B16" s="16"/>
      <c r="C16" s="18" t="s">
        <v>1857</v>
      </c>
      <c r="D16" s="16"/>
      <c r="E16" s="18" t="s">
        <v>2575</v>
      </c>
      <c r="F16" s="16"/>
      <c r="G16" s="18" t="s">
        <v>1120</v>
      </c>
      <c r="H16" s="16"/>
      <c r="I16" s="18" t="s">
        <v>3299</v>
      </c>
      <c r="J16" s="16"/>
      <c r="K16" s="18" t="s">
        <v>4044</v>
      </c>
      <c r="L16" s="16"/>
      <c r="M16" s="18" t="s">
        <v>4765</v>
      </c>
      <c r="N16" s="16"/>
      <c r="O16" s="18" t="s">
        <v>5458</v>
      </c>
      <c r="P16" s="16"/>
      <c r="Q16" s="18" t="s">
        <v>6167</v>
      </c>
      <c r="R16" s="16"/>
      <c r="S16" s="18"/>
      <c r="T16" s="20"/>
    </row>
    <row r="17" spans="1:20" ht="15.95" customHeight="1" x14ac:dyDescent="0.25">
      <c r="A17" s="18" t="s">
        <v>827</v>
      </c>
      <c r="B17" s="16"/>
      <c r="C17" s="18" t="s">
        <v>1858</v>
      </c>
      <c r="D17" s="16"/>
      <c r="E17" s="18" t="s">
        <v>2576</v>
      </c>
      <c r="F17" s="16"/>
      <c r="G17" s="18" t="s">
        <v>1121</v>
      </c>
      <c r="H17" s="16"/>
      <c r="I17" s="18" t="s">
        <v>3300</v>
      </c>
      <c r="J17" s="16"/>
      <c r="K17" s="18" t="s">
        <v>4045</v>
      </c>
      <c r="L17" s="16"/>
      <c r="M17" s="18" t="s">
        <v>4766</v>
      </c>
      <c r="N17" s="16"/>
      <c r="O17" s="18" t="s">
        <v>5459</v>
      </c>
      <c r="P17" s="16"/>
      <c r="Q17" s="18" t="s">
        <v>6168</v>
      </c>
      <c r="R17" s="16"/>
      <c r="S17" s="18"/>
      <c r="T17" s="20"/>
    </row>
    <row r="18" spans="1:20" ht="15.95" customHeight="1" x14ac:dyDescent="0.25">
      <c r="A18" s="18" t="s">
        <v>828</v>
      </c>
      <c r="B18" s="16"/>
      <c r="C18" s="18" t="s">
        <v>1859</v>
      </c>
      <c r="D18" s="16"/>
      <c r="E18" s="18" t="s">
        <v>2577</v>
      </c>
      <c r="F18" s="16"/>
      <c r="G18" s="18" t="s">
        <v>1122</v>
      </c>
      <c r="H18" s="16"/>
      <c r="I18" s="18" t="s">
        <v>3301</v>
      </c>
      <c r="J18" s="16"/>
      <c r="K18" s="18" t="s">
        <v>4046</v>
      </c>
      <c r="L18" s="16"/>
      <c r="M18" s="18" t="s">
        <v>4767</v>
      </c>
      <c r="N18" s="16"/>
      <c r="O18" s="18" t="s">
        <v>5460</v>
      </c>
      <c r="P18" s="16"/>
      <c r="Q18" s="18" t="s">
        <v>6169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829</v>
      </c>
      <c r="B20" s="16" t="str">
        <f>A20</f>
        <v>Crusader Item</v>
      </c>
      <c r="C20" s="18" t="s">
        <v>1860</v>
      </c>
      <c r="D20" s="16" t="str">
        <f>C20</f>
        <v>Kreuzritter-Gegenstand</v>
      </c>
      <c r="E20" s="18" t="s">
        <v>2578</v>
      </c>
      <c r="F20" s="16" t="str">
        <f>E20</f>
        <v>Objeto del Cruzado</v>
      </c>
      <c r="G20" s="18" t="s">
        <v>1123</v>
      </c>
      <c r="H20" s="16" t="str">
        <f>G20</f>
        <v>Objet du Croisé</v>
      </c>
      <c r="I20" s="18" t="s">
        <v>3302</v>
      </c>
      <c r="J20" s="16" t="str">
        <f>I20</f>
        <v>クルセイダーアイテム</v>
      </c>
      <c r="K20" s="18" t="s">
        <v>4047</v>
      </c>
      <c r="L20" s="16" t="str">
        <f>K20</f>
        <v>십자군 아이템</v>
      </c>
      <c r="M20" s="18" t="s">
        <v>4768</v>
      </c>
      <c r="N20" s="16" t="str">
        <f>M20</f>
        <v>Item do Cruzado</v>
      </c>
      <c r="O20" s="18" t="s">
        <v>5461</v>
      </c>
      <c r="P20" s="16" t="str">
        <f>O20</f>
        <v>Предмет Крестоносца</v>
      </c>
      <c r="Q20" s="18" t="s">
        <v>6170</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20" t="e">
        <f>TRIM(_xlfn.TEXTBEFORE(S3, ":"))</f>
        <v>#N/A</v>
      </c>
    </row>
    <row r="4" spans="1:20" ht="15.95" customHeight="1" x14ac:dyDescent="0.25">
      <c r="A4" s="18" t="s">
        <v>485</v>
      </c>
      <c r="B4" s="16" t="str">
        <f>TRIM(_xlfn.TEXTAFTER(A3, ":"))</f>
        <v>Boots</v>
      </c>
      <c r="C4" s="18" t="s">
        <v>1851</v>
      </c>
      <c r="D4" s="16" t="str">
        <f>TRIM(_xlfn.TEXTAFTER(C3, ":"))</f>
        <v>Stiefel</v>
      </c>
      <c r="E4" s="18" t="s">
        <v>2569</v>
      </c>
      <c r="F4" s="16" t="str">
        <f>TRIM(_xlfn.TEXTAFTER(E3, ":"))</f>
        <v>Botas</v>
      </c>
      <c r="G4" s="18" t="s">
        <v>1114</v>
      </c>
      <c r="H4" s="16" t="str">
        <f>TRIM(_xlfn.TEXTAFTER(G3, ":"))</f>
        <v>Bottes</v>
      </c>
      <c r="I4" s="18" t="s">
        <v>3293</v>
      </c>
      <c r="J4" s="16" t="str">
        <f>TRIM(_xlfn.TEXTAFTER(I3, ":"))</f>
        <v>靴</v>
      </c>
      <c r="K4" s="18" t="s">
        <v>4038</v>
      </c>
      <c r="L4" s="16" t="str">
        <f>TRIM(_xlfn.TEXTAFTER(K3, ":"))</f>
        <v>장화</v>
      </c>
      <c r="M4" s="18" t="s">
        <v>4759</v>
      </c>
      <c r="N4" s="16" t="str">
        <f>TRIM(_xlfn.TEXTAFTER(M3, ":"))</f>
        <v>Botas</v>
      </c>
      <c r="O4" s="18" t="s">
        <v>5452</v>
      </c>
      <c r="P4" s="16" t="str">
        <f>TRIM(_xlfn.TEXTAFTER(O3, ":"))</f>
        <v>Обувь</v>
      </c>
      <c r="Q4" s="18" t="s">
        <v>6163</v>
      </c>
      <c r="R4" s="16" t="str">
        <f>TRIM(_xlfn.TEXTAFTER(Q3, ":"))</f>
        <v>รองเท้า</v>
      </c>
      <c r="S4" s="18"/>
      <c r="T4" s="20" t="e">
        <f>TRIM(_xlfn.TEXTAFTER(S3, ":"))</f>
        <v>#N/A</v>
      </c>
    </row>
    <row r="5" spans="1:20" ht="15.95" customHeight="1" x14ac:dyDescent="0.25">
      <c r="A5" s="18" t="s">
        <v>798</v>
      </c>
      <c r="B5" s="16" t="str">
        <f>TRIM(_xlfn.TEXTBEFORE(A4, ":"))</f>
        <v>Rarity</v>
      </c>
      <c r="C5" s="18" t="s">
        <v>1862</v>
      </c>
      <c r="D5" s="16" t="str">
        <f>TRIM(_xlfn.TEXTBEFORE(C4, ":"))</f>
        <v>Seltenheit</v>
      </c>
      <c r="E5" s="18" t="s">
        <v>2580</v>
      </c>
      <c r="F5" s="16" t="str">
        <f>TRIM(_xlfn.TEXTBEFORE(E4, ":"))</f>
        <v>Rareza</v>
      </c>
      <c r="G5" s="18" t="s">
        <v>1125</v>
      </c>
      <c r="H5" s="16" t="str">
        <f>TRIM(_xlfn.TEXTBEFORE(G4, ":"))</f>
        <v>Rareté</v>
      </c>
      <c r="I5" s="18" t="s">
        <v>3304</v>
      </c>
      <c r="J5" s="16" t="str">
        <f>TRIM(_xlfn.TEXTBEFORE(I4, ":"))</f>
        <v>レアリティ</v>
      </c>
      <c r="K5" s="18" t="s">
        <v>4049</v>
      </c>
      <c r="L5" s="16" t="str">
        <f>TRIM(_xlfn.TEXTBEFORE(K4, ":"))</f>
        <v>아이템 희귀도</v>
      </c>
      <c r="M5" s="18" t="s">
        <v>4770</v>
      </c>
      <c r="N5" s="16" t="str">
        <f>TRIM(_xlfn.TEXTBEFORE(M4, ":"))</f>
        <v>Raridade</v>
      </c>
      <c r="O5" s="18" t="s">
        <v>5463</v>
      </c>
      <c r="P5" s="16" t="str">
        <f>TRIM(_xlfn.TEXTBEFORE(O4, ":"))</f>
        <v>Редкость</v>
      </c>
      <c r="Q5" s="18" t="s">
        <v>798</v>
      </c>
      <c r="R5" s="16" t="str">
        <f>TRIM(_xlfn.TEXTBEFORE(Q4, ":"))</f>
        <v>ความหายาก</v>
      </c>
      <c r="S5" s="18"/>
      <c r="T5" s="20" t="e">
        <f>TRIM(_xlfn.TEXTBEFORE(S4, ":"))</f>
        <v>#N/A</v>
      </c>
    </row>
    <row r="6" spans="1:20" ht="15.95" customHeight="1" x14ac:dyDescent="0.25">
      <c r="A6" s="18" t="s">
        <v>799</v>
      </c>
      <c r="B6" s="16" t="str">
        <f>TRIM(_xlfn.TEXTAFTER(A4,":"))</f>
        <v>Rare</v>
      </c>
      <c r="C6" s="18" t="s">
        <v>1863</v>
      </c>
      <c r="D6" s="16" t="str">
        <f>TRIM(_xlfn.TEXTAFTER(C4,":"))</f>
        <v>Selten</v>
      </c>
      <c r="E6" s="18" t="s">
        <v>2581</v>
      </c>
      <c r="F6" s="16" t="str">
        <f>TRIM(_xlfn.TEXTAFTER(E4,":"))</f>
        <v>Raro</v>
      </c>
      <c r="G6" s="18" t="s">
        <v>1126</v>
      </c>
      <c r="H6" s="16" t="str">
        <f>TRIM(_xlfn.TEXTAFTER(G4,":"))</f>
        <v>Rare</v>
      </c>
      <c r="I6" s="18" t="s">
        <v>3305</v>
      </c>
      <c r="J6" s="16" t="str">
        <f>TRIM(_xlfn.TEXTAFTER(I4,":"))</f>
        <v>レア</v>
      </c>
      <c r="K6" s="18" t="s">
        <v>4050</v>
      </c>
      <c r="L6" s="16" t="str">
        <f>TRIM(_xlfn.TEXTAFTER(K4,":"))</f>
        <v>희귀</v>
      </c>
      <c r="M6" s="18" t="s">
        <v>4771</v>
      </c>
      <c r="N6" s="16" t="str">
        <f>TRIM(_xlfn.TEXTAFTER(M4,":"))</f>
        <v>Raro</v>
      </c>
      <c r="O6" s="18" t="s">
        <v>5464</v>
      </c>
      <c r="P6" s="16" t="str">
        <f>TRIM(_xlfn.TEXTAFTER(O4,":"))</f>
        <v>Редкий</v>
      </c>
      <c r="Q6" s="18" t="s">
        <v>799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v>
      </c>
      <c r="B8" s="16"/>
      <c r="C8" s="18" t="s">
        <v>1864</v>
      </c>
      <c r="D8" s="16"/>
      <c r="E8" s="18" t="s">
        <v>2582</v>
      </c>
      <c r="F8" s="16"/>
      <c r="G8" s="18" t="s">
        <v>1127</v>
      </c>
      <c r="H8" s="16"/>
      <c r="I8" s="18" t="s">
        <v>3306</v>
      </c>
      <c r="J8" s="16"/>
      <c r="K8" s="18" t="s">
        <v>4051</v>
      </c>
      <c r="L8" s="16"/>
      <c r="M8" s="18" t="s">
        <v>4772</v>
      </c>
      <c r="N8" s="16"/>
      <c r="O8" s="18" t="s">
        <v>5465</v>
      </c>
      <c r="P8" s="16"/>
      <c r="Q8" s="18" t="s">
        <v>6172</v>
      </c>
      <c r="R8" s="16"/>
      <c r="S8" s="18"/>
      <c r="T8" s="20"/>
    </row>
    <row r="9" spans="1:20" ht="15.95" customHeight="1" x14ac:dyDescent="0.25">
      <c r="A9" s="18" t="s">
        <v>801</v>
      </c>
      <c r="B9" s="16"/>
      <c r="C9" s="18" t="s">
        <v>1865</v>
      </c>
      <c r="D9" s="16"/>
      <c r="E9" s="18" t="s">
        <v>2583</v>
      </c>
      <c r="F9" s="16"/>
      <c r="G9" s="18" t="s">
        <v>1128</v>
      </c>
      <c r="H9" s="16"/>
      <c r="I9" s="18" t="s">
        <v>3307</v>
      </c>
      <c r="J9" s="16"/>
      <c r="K9" s="18" t="s">
        <v>4052</v>
      </c>
      <c r="L9" s="16"/>
      <c r="M9" s="18" t="s">
        <v>4773</v>
      </c>
      <c r="N9" s="16"/>
      <c r="O9" s="18" t="s">
        <v>5466</v>
      </c>
      <c r="P9" s="16"/>
      <c r="Q9" s="18" t="s">
        <v>6173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20"/>
    </row>
    <row r="12" spans="1:20" ht="15.95" customHeight="1" x14ac:dyDescent="0.25">
      <c r="A12" s="18" t="s">
        <v>790</v>
      </c>
      <c r="B12" s="16"/>
      <c r="C12" s="18" t="s">
        <v>1866</v>
      </c>
      <c r="D12" s="16"/>
      <c r="E12" s="18" t="s">
        <v>2584</v>
      </c>
      <c r="F12" s="16"/>
      <c r="G12" s="18" t="s">
        <v>1129</v>
      </c>
      <c r="H12" s="16"/>
      <c r="I12" s="18" t="s">
        <v>3308</v>
      </c>
      <c r="J12" s="16"/>
      <c r="K12" s="18" t="s">
        <v>4053</v>
      </c>
      <c r="L12" s="16"/>
      <c r="M12" s="18" t="s">
        <v>4774</v>
      </c>
      <c r="N12" s="16"/>
      <c r="O12" s="18" t="s">
        <v>5467</v>
      </c>
      <c r="P12" s="16"/>
      <c r="Q12" s="18" t="s">
        <v>6174</v>
      </c>
      <c r="R12" s="16"/>
      <c r="S12" s="18"/>
      <c r="T12" s="20"/>
    </row>
    <row r="13" spans="1:20" ht="15.95" customHeight="1" x14ac:dyDescent="0.25">
      <c r="A13" s="18" t="s">
        <v>802</v>
      </c>
      <c r="B13" s="16"/>
      <c r="C13" s="18" t="s">
        <v>1867</v>
      </c>
      <c r="D13" s="16"/>
      <c r="E13" s="18" t="s">
        <v>2585</v>
      </c>
      <c r="F13" s="16"/>
      <c r="G13" s="18" t="s">
        <v>802</v>
      </c>
      <c r="H13" s="16"/>
      <c r="I13" s="18" t="s">
        <v>3309</v>
      </c>
      <c r="J13" s="16"/>
      <c r="K13" s="18" t="s">
        <v>4054</v>
      </c>
      <c r="L13" s="16"/>
      <c r="M13" s="18" t="s">
        <v>2585</v>
      </c>
      <c r="N13" s="16"/>
      <c r="O13" s="18" t="s">
        <v>5468</v>
      </c>
      <c r="P13" s="16"/>
      <c r="Q13" s="18" t="s">
        <v>802</v>
      </c>
      <c r="R13" s="16"/>
      <c r="S13" s="18"/>
      <c r="T13" s="20"/>
    </row>
    <row r="14" spans="1:20" ht="15.95" customHeight="1" x14ac:dyDescent="0.25">
      <c r="A14" s="18" t="s">
        <v>803</v>
      </c>
      <c r="B14" s="16"/>
      <c r="C14" s="18" t="s">
        <v>803</v>
      </c>
      <c r="D14" s="16"/>
      <c r="E14" s="18" t="s">
        <v>803</v>
      </c>
      <c r="F14" s="16"/>
      <c r="G14" s="18" t="s">
        <v>803</v>
      </c>
      <c r="H14" s="16"/>
      <c r="I14" s="18" t="s">
        <v>3310</v>
      </c>
      <c r="J14" s="16"/>
      <c r="K14" s="18" t="s">
        <v>4055</v>
      </c>
      <c r="L14" s="16"/>
      <c r="M14" s="18" t="s">
        <v>803</v>
      </c>
      <c r="N14" s="16"/>
      <c r="O14" s="18" t="s">
        <v>5469</v>
      </c>
      <c r="P14" s="16"/>
      <c r="Q14" s="18" t="s">
        <v>803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804</v>
      </c>
      <c r="B16" s="16"/>
      <c r="C16" s="18" t="s">
        <v>1868</v>
      </c>
      <c r="D16" s="16"/>
      <c r="E16" s="18" t="s">
        <v>2586</v>
      </c>
      <c r="F16" s="16"/>
      <c r="G16" s="18" t="s">
        <v>1130</v>
      </c>
      <c r="H16" s="16"/>
      <c r="I16" s="18" t="s">
        <v>3311</v>
      </c>
      <c r="J16" s="16"/>
      <c r="K16" s="18" t="s">
        <v>4056</v>
      </c>
      <c r="L16" s="16"/>
      <c r="M16" s="18" t="s">
        <v>4775</v>
      </c>
      <c r="N16" s="16"/>
      <c r="O16" s="18" t="s">
        <v>5470</v>
      </c>
      <c r="P16" s="16"/>
      <c r="Q16" s="18" t="s">
        <v>6175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255</v>
      </c>
      <c r="B18" s="16"/>
      <c r="C18" s="18" t="s">
        <v>1731</v>
      </c>
      <c r="D18" s="16"/>
      <c r="E18" s="18" t="s">
        <v>2450</v>
      </c>
      <c r="F18" s="16"/>
      <c r="G18" s="18" t="s">
        <v>999</v>
      </c>
      <c r="H18" s="16"/>
      <c r="I18" s="18" t="s">
        <v>3168</v>
      </c>
      <c r="J18" s="16"/>
      <c r="K18" s="18" t="s">
        <v>3915</v>
      </c>
      <c r="L18" s="16"/>
      <c r="M18" s="18" t="s">
        <v>4644</v>
      </c>
      <c r="N18" s="16"/>
      <c r="O18" s="18" t="s">
        <v>5329</v>
      </c>
      <c r="P18" s="16"/>
      <c r="Q18" s="18" t="s">
        <v>6061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805</v>
      </c>
      <c r="B20" s="16"/>
      <c r="C20" s="18" t="s">
        <v>1869</v>
      </c>
      <c r="D20" s="16"/>
      <c r="E20" s="18" t="s">
        <v>2587</v>
      </c>
      <c r="F20" s="16"/>
      <c r="G20" s="18" t="s">
        <v>1131</v>
      </c>
      <c r="H20" s="16"/>
      <c r="I20" s="18" t="s">
        <v>3312</v>
      </c>
      <c r="J20" s="16"/>
      <c r="K20" s="18" t="s">
        <v>4057</v>
      </c>
      <c r="L20" s="16"/>
      <c r="M20" s="18" t="s">
        <v>4776</v>
      </c>
      <c r="N20" s="16"/>
      <c r="O20" s="18" t="s">
        <v>5471</v>
      </c>
      <c r="P20" s="16"/>
      <c r="Q20" s="18" t="s">
        <v>6176</v>
      </c>
      <c r="R20" s="16"/>
      <c r="S20" s="18"/>
      <c r="T20" s="20"/>
    </row>
    <row r="21" spans="1:20" ht="15.95" customHeight="1" x14ac:dyDescent="0.25">
      <c r="A21" s="18" t="s">
        <v>806</v>
      </c>
      <c r="B21" s="16"/>
      <c r="C21" s="18" t="s">
        <v>1870</v>
      </c>
      <c r="D21" s="16"/>
      <c r="E21" s="18" t="s">
        <v>2588</v>
      </c>
      <c r="F21" s="16"/>
      <c r="G21" s="18" t="s">
        <v>1132</v>
      </c>
      <c r="H21" s="16"/>
      <c r="I21" s="18" t="s">
        <v>3313</v>
      </c>
      <c r="J21" s="16"/>
      <c r="K21" s="18" t="s">
        <v>4058</v>
      </c>
      <c r="L21" s="16"/>
      <c r="M21" s="18" t="s">
        <v>4777</v>
      </c>
      <c r="N21" s="16"/>
      <c r="O21" s="18" t="s">
        <v>5472</v>
      </c>
      <c r="P21" s="16"/>
      <c r="Q21" s="18" t="s">
        <v>6177</v>
      </c>
      <c r="R21" s="16"/>
      <c r="S21" s="18"/>
      <c r="T21" s="20"/>
    </row>
    <row r="22" spans="1:20" ht="15.95" customHeight="1" x14ac:dyDescent="0.25">
      <c r="A22" s="18" t="s">
        <v>807</v>
      </c>
      <c r="B22" s="16"/>
      <c r="C22" s="18" t="s">
        <v>1871</v>
      </c>
      <c r="D22" s="16"/>
      <c r="E22" s="18" t="s">
        <v>2589</v>
      </c>
      <c r="F22" s="16"/>
      <c r="G22" s="18" t="s">
        <v>1133</v>
      </c>
      <c r="H22" s="16"/>
      <c r="I22" s="18" t="s">
        <v>3314</v>
      </c>
      <c r="J22" s="16"/>
      <c r="K22" s="18" t="s">
        <v>4059</v>
      </c>
      <c r="L22" s="16"/>
      <c r="M22" s="18" t="s">
        <v>4778</v>
      </c>
      <c r="N22" s="16"/>
      <c r="O22" s="18" t="s">
        <v>5473</v>
      </c>
      <c r="P22" s="16"/>
      <c r="Q22" s="18" t="s">
        <v>6178</v>
      </c>
      <c r="R22" s="16"/>
      <c r="S22" s="18"/>
      <c r="T22" s="20"/>
    </row>
    <row r="23" spans="1:20" ht="15.95" customHeight="1" x14ac:dyDescent="0.25">
      <c r="A23" s="18" t="s">
        <v>808</v>
      </c>
      <c r="B23" s="16"/>
      <c r="C23" s="18" t="s">
        <v>1872</v>
      </c>
      <c r="D23" s="16"/>
      <c r="E23" s="18" t="s">
        <v>2590</v>
      </c>
      <c r="F23" s="16"/>
      <c r="G23" s="18" t="s">
        <v>1134</v>
      </c>
      <c r="H23" s="16"/>
      <c r="I23" s="18" t="s">
        <v>3315</v>
      </c>
      <c r="J23" s="16"/>
      <c r="K23" s="18" t="s">
        <v>4060</v>
      </c>
      <c r="L23" s="16"/>
      <c r="M23" s="18" t="s">
        <v>4779</v>
      </c>
      <c r="N23" s="16"/>
      <c r="O23" s="18" t="s">
        <v>5474</v>
      </c>
      <c r="P23" s="16"/>
      <c r="Q23" s="18" t="s">
        <v>6179</v>
      </c>
      <c r="R23" s="16"/>
      <c r="S23" s="18"/>
      <c r="T23" s="20"/>
    </row>
    <row r="24" spans="1:20" ht="15.95" customHeight="1" x14ac:dyDescent="0.25">
      <c r="A24" s="18" t="s">
        <v>809</v>
      </c>
      <c r="B24" s="16"/>
      <c r="C24" s="18" t="s">
        <v>1873</v>
      </c>
      <c r="D24" s="16"/>
      <c r="E24" s="18" t="s">
        <v>2591</v>
      </c>
      <c r="F24" s="16"/>
      <c r="G24" s="18" t="s">
        <v>1135</v>
      </c>
      <c r="H24" s="16"/>
      <c r="I24" s="18" t="s">
        <v>3316</v>
      </c>
      <c r="J24" s="16"/>
      <c r="K24" s="18" t="s">
        <v>4061</v>
      </c>
      <c r="L24" s="16"/>
      <c r="M24" s="18" t="s">
        <v>4780</v>
      </c>
      <c r="N24" s="16"/>
      <c r="O24" s="18" t="s">
        <v>5475</v>
      </c>
      <c r="P24" s="16"/>
      <c r="Q24" s="18" t="s">
        <v>6180</v>
      </c>
      <c r="R24" s="16"/>
      <c r="S24" s="18"/>
      <c r="T24" s="20"/>
    </row>
    <row r="25" spans="1:20" ht="15.95" customHeight="1" x14ac:dyDescent="0.25">
      <c r="A25" s="18" t="s">
        <v>810</v>
      </c>
      <c r="B25" s="16"/>
      <c r="C25" s="18" t="s">
        <v>1874</v>
      </c>
      <c r="D25" s="16"/>
      <c r="E25" s="18" t="s">
        <v>2592</v>
      </c>
      <c r="F25" s="16"/>
      <c r="G25" s="18" t="s">
        <v>1136</v>
      </c>
      <c r="H25" s="16"/>
      <c r="I25" s="18" t="s">
        <v>3317</v>
      </c>
      <c r="J25" s="16"/>
      <c r="K25" s="18" t="s">
        <v>4062</v>
      </c>
      <c r="L25" s="16"/>
      <c r="M25" s="18" t="s">
        <v>4781</v>
      </c>
      <c r="N25" s="16"/>
      <c r="O25" s="18" t="s">
        <v>5476</v>
      </c>
      <c r="P25" s="16"/>
      <c r="Q25" s="18" t="s">
        <v>6181</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811</v>
      </c>
      <c r="B27" s="16" t="str">
        <f>A27</f>
        <v>Elder Item</v>
      </c>
      <c r="C27" s="18" t="s">
        <v>1875</v>
      </c>
      <c r="D27" s="16" t="str">
        <f>C27</f>
        <v>Ältesten-Gegenstand</v>
      </c>
      <c r="E27" s="18" t="s">
        <v>2593</v>
      </c>
      <c r="F27" s="16" t="str">
        <f>E27</f>
        <v>Objeto del Antiguo</v>
      </c>
      <c r="G27" s="18" t="s">
        <v>1137</v>
      </c>
      <c r="H27" s="16" t="str">
        <f>G27</f>
        <v>Objet de l'Ancien</v>
      </c>
      <c r="I27" s="18" t="s">
        <v>3318</v>
      </c>
      <c r="J27" s="16" t="str">
        <f>I27</f>
        <v>エルダーアイテム</v>
      </c>
      <c r="K27" s="18" t="s">
        <v>4063</v>
      </c>
      <c r="L27" s="16" t="str">
        <f>K27</f>
        <v>엘더 아이템</v>
      </c>
      <c r="M27" s="18" t="s">
        <v>4782</v>
      </c>
      <c r="N27" s="16" t="str">
        <f>M27</f>
        <v>Item do Ancião</v>
      </c>
      <c r="O27" s="18" t="s">
        <v>5477</v>
      </c>
      <c r="P27" s="16" t="str">
        <f>O27</f>
        <v>Древний предмет</v>
      </c>
      <c r="Q27" s="18" t="s">
        <v>6182</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20" t="e">
        <f>TRIM(_xlfn.TEXTBEFORE(S3, ":"))</f>
        <v>#N/A</v>
      </c>
    </row>
    <row r="4" spans="1:20" ht="15.95" customHeight="1" x14ac:dyDescent="0.25">
      <c r="A4" s="18" t="s">
        <v>485</v>
      </c>
      <c r="B4" s="16" t="str">
        <f>TRIM(_xlfn.TEXTAFTER(A3, ":"))</f>
        <v>Boots</v>
      </c>
      <c r="C4" s="18" t="s">
        <v>1851</v>
      </c>
      <c r="D4" s="16" t="str">
        <f>TRIM(_xlfn.TEXTAFTER(C3, ":"))</f>
        <v>Stiefel</v>
      </c>
      <c r="E4" s="18" t="s">
        <v>2569</v>
      </c>
      <c r="F4" s="16" t="str">
        <f>TRIM(_xlfn.TEXTAFTER(E3, ":"))</f>
        <v>Botas</v>
      </c>
      <c r="G4" s="18" t="s">
        <v>1114</v>
      </c>
      <c r="H4" s="16" t="str">
        <f>TRIM(_xlfn.TEXTAFTER(G3, ":"))</f>
        <v>Bottes</v>
      </c>
      <c r="I4" s="18" t="s">
        <v>3293</v>
      </c>
      <c r="J4" s="16" t="str">
        <f>TRIM(_xlfn.TEXTAFTER(I3, ":"))</f>
        <v>靴</v>
      </c>
      <c r="K4" s="18" t="s">
        <v>4038</v>
      </c>
      <c r="L4" s="16" t="str">
        <f>TRIM(_xlfn.TEXTAFTER(K3, ":"))</f>
        <v>장화</v>
      </c>
      <c r="M4" s="18" t="s">
        <v>4759</v>
      </c>
      <c r="N4" s="16" t="str">
        <f>TRIM(_xlfn.TEXTAFTER(M3, ":"))</f>
        <v>Botas</v>
      </c>
      <c r="O4" s="18" t="s">
        <v>5452</v>
      </c>
      <c r="P4" s="16" t="str">
        <f>TRIM(_xlfn.TEXTAFTER(O3, ":"))</f>
        <v>Обувь</v>
      </c>
      <c r="Q4" s="18" t="s">
        <v>6163</v>
      </c>
      <c r="R4" s="16" t="str">
        <f>TRIM(_xlfn.TEXTAFTER(Q3, ":"))</f>
        <v>รองเท้า</v>
      </c>
      <c r="S4" s="18"/>
      <c r="T4" s="20" t="e">
        <f>TRIM(_xlfn.TEXTAFTER(S3, ":"))</f>
        <v>#N/A</v>
      </c>
    </row>
    <row r="5" spans="1:20" ht="15.95" customHeight="1" x14ac:dyDescent="0.25">
      <c r="A5" s="18" t="s">
        <v>787</v>
      </c>
      <c r="B5" s="16" t="str">
        <f>TRIM(_xlfn.TEXTBEFORE(A4, ":"))</f>
        <v>Rarity</v>
      </c>
      <c r="C5" s="18" t="s">
        <v>1876</v>
      </c>
      <c r="D5" s="16" t="str">
        <f>TRIM(_xlfn.TEXTBEFORE(C4, ":"))</f>
        <v>Seltenheit</v>
      </c>
      <c r="E5" s="18" t="s">
        <v>2594</v>
      </c>
      <c r="F5" s="16" t="str">
        <f>TRIM(_xlfn.TEXTBEFORE(E4, ":"))</f>
        <v>Rareza</v>
      </c>
      <c r="G5" s="18" t="s">
        <v>1138</v>
      </c>
      <c r="H5" s="16" t="str">
        <f>TRIM(_xlfn.TEXTBEFORE(G4, ":"))</f>
        <v>Rareté</v>
      </c>
      <c r="I5" s="18" t="s">
        <v>3319</v>
      </c>
      <c r="J5" s="16" t="str">
        <f>TRIM(_xlfn.TEXTBEFORE(I4, ":"))</f>
        <v>レアリティ</v>
      </c>
      <c r="K5" s="18" t="s">
        <v>4064</v>
      </c>
      <c r="L5" s="16" t="str">
        <f>TRIM(_xlfn.TEXTBEFORE(K4, ":"))</f>
        <v>아이템 희귀도</v>
      </c>
      <c r="M5" s="18" t="s">
        <v>4783</v>
      </c>
      <c r="N5" s="16" t="str">
        <f>TRIM(_xlfn.TEXTBEFORE(M4, ":"))</f>
        <v>Raridade</v>
      </c>
      <c r="O5" s="18" t="s">
        <v>5478</v>
      </c>
      <c r="P5" s="16" t="str">
        <f>TRIM(_xlfn.TEXTBEFORE(O4, ":"))</f>
        <v>Редкость</v>
      </c>
      <c r="Q5" s="18" t="s">
        <v>787</v>
      </c>
      <c r="R5" s="16" t="str">
        <f>TRIM(_xlfn.TEXTBEFORE(Q4, ":"))</f>
        <v>ความหายาก</v>
      </c>
      <c r="S5" s="18"/>
      <c r="T5" s="20" t="e">
        <f>TRIM(_xlfn.TEXTBEFORE(S4, ":"))</f>
        <v>#N/A</v>
      </c>
    </row>
    <row r="6" spans="1:20" ht="15.95" customHeight="1" x14ac:dyDescent="0.25">
      <c r="A6" s="18" t="s">
        <v>788</v>
      </c>
      <c r="B6" s="16" t="str">
        <f>TRIM(_xlfn.TEXTAFTER(A4,":"))</f>
        <v>Rare</v>
      </c>
      <c r="C6" s="18" t="s">
        <v>1877</v>
      </c>
      <c r="D6" s="16" t="str">
        <f>TRIM(_xlfn.TEXTAFTER(C4,":"))</f>
        <v>Selten</v>
      </c>
      <c r="E6" s="18" t="s">
        <v>2595</v>
      </c>
      <c r="F6" s="16" t="str">
        <f>TRIM(_xlfn.TEXTAFTER(E4,":"))</f>
        <v>Raro</v>
      </c>
      <c r="G6" s="18" t="s">
        <v>1139</v>
      </c>
      <c r="H6" s="16" t="str">
        <f>TRIM(_xlfn.TEXTAFTER(G4,":"))</f>
        <v>Rare</v>
      </c>
      <c r="I6" s="18" t="s">
        <v>3320</v>
      </c>
      <c r="J6" s="16" t="str">
        <f>TRIM(_xlfn.TEXTAFTER(I4,":"))</f>
        <v>レア</v>
      </c>
      <c r="K6" s="18" t="s">
        <v>4065</v>
      </c>
      <c r="L6" s="16" t="str">
        <f>TRIM(_xlfn.TEXTAFTER(K4,":"))</f>
        <v>희귀</v>
      </c>
      <c r="M6" s="18" t="s">
        <v>4784</v>
      </c>
      <c r="N6" s="16" t="str">
        <f>TRIM(_xlfn.TEXTAFTER(M4,":"))</f>
        <v>Raro</v>
      </c>
      <c r="O6" s="18" t="s">
        <v>5479</v>
      </c>
      <c r="P6" s="16" t="str">
        <f>TRIM(_xlfn.TEXTAFTER(O4,":"))</f>
        <v>Редкий</v>
      </c>
      <c r="Q6" s="18" t="s">
        <v>788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789</v>
      </c>
      <c r="B8" s="16"/>
      <c r="C8" s="18" t="s">
        <v>1878</v>
      </c>
      <c r="D8" s="16"/>
      <c r="E8" s="18" t="s">
        <v>2596</v>
      </c>
      <c r="F8" s="16"/>
      <c r="G8" s="18" t="s">
        <v>1140</v>
      </c>
      <c r="H8" s="16"/>
      <c r="I8" s="18" t="s">
        <v>3321</v>
      </c>
      <c r="J8" s="16"/>
      <c r="K8" s="18" t="s">
        <v>4066</v>
      </c>
      <c r="L8" s="16"/>
      <c r="M8" s="18" t="s">
        <v>4785</v>
      </c>
      <c r="N8" s="16"/>
      <c r="O8" s="18" t="s">
        <v>5480</v>
      </c>
      <c r="P8" s="16"/>
      <c r="Q8" s="18" t="s">
        <v>6183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790</v>
      </c>
      <c r="B11" s="16"/>
      <c r="C11" s="18" t="s">
        <v>1866</v>
      </c>
      <c r="D11" s="16"/>
      <c r="E11" s="18" t="s">
        <v>2584</v>
      </c>
      <c r="F11" s="16"/>
      <c r="G11" s="18" t="s">
        <v>1129</v>
      </c>
      <c r="H11" s="16"/>
      <c r="I11" s="18" t="s">
        <v>3308</v>
      </c>
      <c r="J11" s="16"/>
      <c r="K11" s="18" t="s">
        <v>4053</v>
      </c>
      <c r="L11" s="16"/>
      <c r="M11" s="18" t="s">
        <v>4774</v>
      </c>
      <c r="N11" s="16"/>
      <c r="O11" s="18" t="s">
        <v>5467</v>
      </c>
      <c r="P11" s="16"/>
      <c r="Q11" s="18" t="s">
        <v>6174</v>
      </c>
      <c r="R11" s="16"/>
      <c r="S11" s="18"/>
      <c r="T11" s="20"/>
    </row>
    <row r="12" spans="1:20" ht="15.95" customHeight="1" x14ac:dyDescent="0.25">
      <c r="A12" s="18" t="s">
        <v>791</v>
      </c>
      <c r="B12" s="16"/>
      <c r="C12" s="18" t="s">
        <v>1879</v>
      </c>
      <c r="D12" s="16"/>
      <c r="E12" s="18" t="s">
        <v>2597</v>
      </c>
      <c r="F12" s="16"/>
      <c r="G12" s="18" t="s">
        <v>791</v>
      </c>
      <c r="H12" s="16"/>
      <c r="I12" s="18" t="s">
        <v>3322</v>
      </c>
      <c r="J12" s="16"/>
      <c r="K12" s="18" t="s">
        <v>4067</v>
      </c>
      <c r="L12" s="16"/>
      <c r="M12" s="18" t="s">
        <v>2597</v>
      </c>
      <c r="N12" s="16"/>
      <c r="O12" s="18" t="s">
        <v>5481</v>
      </c>
      <c r="P12" s="16"/>
      <c r="Q12" s="18" t="s">
        <v>791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792</v>
      </c>
      <c r="B14" s="16"/>
      <c r="C14" s="18" t="s">
        <v>1880</v>
      </c>
      <c r="D14" s="16"/>
      <c r="E14" s="18" t="s">
        <v>2598</v>
      </c>
      <c r="F14" s="16"/>
      <c r="G14" s="18" t="s">
        <v>1141</v>
      </c>
      <c r="H14" s="16"/>
      <c r="I14" s="18" t="s">
        <v>3323</v>
      </c>
      <c r="J14" s="16"/>
      <c r="K14" s="18" t="s">
        <v>4068</v>
      </c>
      <c r="L14" s="16"/>
      <c r="M14" s="18" t="s">
        <v>4786</v>
      </c>
      <c r="N14" s="16"/>
      <c r="O14" s="18" t="s">
        <v>5482</v>
      </c>
      <c r="P14" s="16"/>
      <c r="Q14" s="18" t="s">
        <v>6184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312</v>
      </c>
      <c r="B16" s="16"/>
      <c r="C16" s="18" t="s">
        <v>1881</v>
      </c>
      <c r="D16" s="16"/>
      <c r="E16" s="18" t="s">
        <v>2599</v>
      </c>
      <c r="F16" s="16"/>
      <c r="G16" s="18" t="s">
        <v>1142</v>
      </c>
      <c r="H16" s="16"/>
      <c r="I16" s="18" t="s">
        <v>3324</v>
      </c>
      <c r="J16" s="16"/>
      <c r="K16" s="18" t="s">
        <v>4069</v>
      </c>
      <c r="L16" s="16"/>
      <c r="M16" s="18" t="s">
        <v>4787</v>
      </c>
      <c r="N16" s="16"/>
      <c r="O16" s="18" t="s">
        <v>5483</v>
      </c>
      <c r="P16" s="16"/>
      <c r="Q16" s="18" t="s">
        <v>6185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793</v>
      </c>
      <c r="B18" s="16"/>
      <c r="C18" s="18" t="s">
        <v>1882</v>
      </c>
      <c r="D18" s="16"/>
      <c r="E18" s="18" t="s">
        <v>2600</v>
      </c>
      <c r="F18" s="16"/>
      <c r="G18" s="18" t="s">
        <v>1143</v>
      </c>
      <c r="H18" s="16"/>
      <c r="I18" s="18" t="s">
        <v>3325</v>
      </c>
      <c r="J18" s="16"/>
      <c r="K18" s="18" t="s">
        <v>4070</v>
      </c>
      <c r="L18" s="16"/>
      <c r="M18" s="18" t="s">
        <v>4788</v>
      </c>
      <c r="N18" s="16"/>
      <c r="O18" s="18" t="s">
        <v>5484</v>
      </c>
      <c r="P18" s="16"/>
      <c r="Q18" s="18" t="s">
        <v>6186</v>
      </c>
      <c r="R18" s="16"/>
      <c r="S18" s="18"/>
      <c r="T18" s="20"/>
    </row>
    <row r="19" spans="1:20" ht="15.95" customHeight="1" x14ac:dyDescent="0.25">
      <c r="A19" s="18" t="s">
        <v>794</v>
      </c>
      <c r="B19" s="16"/>
      <c r="C19" s="18" t="s">
        <v>1883</v>
      </c>
      <c r="D19" s="16"/>
      <c r="E19" s="18" t="s">
        <v>2601</v>
      </c>
      <c r="F19" s="16"/>
      <c r="G19" s="18" t="s">
        <v>1144</v>
      </c>
      <c r="H19" s="16"/>
      <c r="I19" s="18" t="s">
        <v>3326</v>
      </c>
      <c r="J19" s="16"/>
      <c r="K19" s="18" t="s">
        <v>4071</v>
      </c>
      <c r="L19" s="16"/>
      <c r="M19" s="18" t="s">
        <v>4789</v>
      </c>
      <c r="N19" s="16"/>
      <c r="O19" s="18" t="s">
        <v>5485</v>
      </c>
      <c r="P19" s="16"/>
      <c r="Q19" s="18" t="s">
        <v>6187</v>
      </c>
      <c r="R19" s="16"/>
      <c r="S19" s="18"/>
      <c r="T19" s="20"/>
    </row>
    <row r="20" spans="1:20" ht="15.95" customHeight="1" x14ac:dyDescent="0.25">
      <c r="A20" s="18" t="s">
        <v>795</v>
      </c>
      <c r="B20" s="16"/>
      <c r="C20" s="18" t="s">
        <v>1884</v>
      </c>
      <c r="D20" s="16"/>
      <c r="E20" s="18" t="s">
        <v>2602</v>
      </c>
      <c r="F20" s="16"/>
      <c r="G20" s="18" t="s">
        <v>1145</v>
      </c>
      <c r="H20" s="16"/>
      <c r="I20" s="18" t="s">
        <v>3327</v>
      </c>
      <c r="J20" s="16"/>
      <c r="K20" s="18" t="s">
        <v>4072</v>
      </c>
      <c r="L20" s="16"/>
      <c r="M20" s="18" t="s">
        <v>4790</v>
      </c>
      <c r="N20" s="16"/>
      <c r="O20" s="18" t="s">
        <v>5486</v>
      </c>
      <c r="P20" s="16"/>
      <c r="Q20" s="18" t="s">
        <v>6188</v>
      </c>
      <c r="R20" s="16"/>
      <c r="S20" s="18"/>
      <c r="T20" s="20"/>
    </row>
    <row r="21" spans="1:20" ht="15.95" customHeight="1" x14ac:dyDescent="0.25">
      <c r="A21" s="18" t="s">
        <v>796</v>
      </c>
      <c r="B21" s="16"/>
      <c r="C21" s="18" t="s">
        <v>1885</v>
      </c>
      <c r="D21" s="16"/>
      <c r="E21" s="18" t="s">
        <v>2603</v>
      </c>
      <c r="F21" s="16"/>
      <c r="G21" s="18" t="s">
        <v>1146</v>
      </c>
      <c r="H21" s="16"/>
      <c r="I21" s="18" t="s">
        <v>3328</v>
      </c>
      <c r="J21" s="16"/>
      <c r="K21" s="18" t="s">
        <v>4073</v>
      </c>
      <c r="L21" s="16"/>
      <c r="M21" s="18" t="s">
        <v>4791</v>
      </c>
      <c r="N21" s="16"/>
      <c r="O21" s="18" t="s">
        <v>5487</v>
      </c>
      <c r="P21" s="16"/>
      <c r="Q21" s="18" t="s">
        <v>6189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797</v>
      </c>
      <c r="B23" s="16" t="str">
        <f>A23</f>
        <v>Hunter Item</v>
      </c>
      <c r="C23" s="18" t="s">
        <v>1886</v>
      </c>
      <c r="D23" s="16" t="str">
        <f>C23</f>
        <v>Jäger-Gegenstand</v>
      </c>
      <c r="E23" s="18" t="s">
        <v>2604</v>
      </c>
      <c r="F23" s="16" t="str">
        <f>E23</f>
        <v>Objeto del Cazador</v>
      </c>
      <c r="G23" s="18" t="s">
        <v>1147</v>
      </c>
      <c r="H23" s="16" t="str">
        <f>G23</f>
        <v>Objet du Chasseur</v>
      </c>
      <c r="I23" s="18" t="s">
        <v>3329</v>
      </c>
      <c r="J23" s="16" t="str">
        <f>I23</f>
        <v>ハンターアイテム</v>
      </c>
      <c r="K23" s="18" t="s">
        <v>4074</v>
      </c>
      <c r="L23" s="16" t="str">
        <f>K23</f>
        <v>사냥꾼 아이템</v>
      </c>
      <c r="M23" s="18" t="s">
        <v>4792</v>
      </c>
      <c r="N23" s="16" t="str">
        <f>M23</f>
        <v>Item do Caçador</v>
      </c>
      <c r="O23" s="18" t="s">
        <v>5488</v>
      </c>
      <c r="P23" s="16" t="str">
        <f>O23</f>
        <v>Предмет Охотника</v>
      </c>
      <c r="Q23" s="18" t="s">
        <v>6190</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514</v>
      </c>
      <c r="B3" s="16" t="str">
        <f>TRIM(_xlfn.TEXTBEFORE(A3, ":"))</f>
        <v>Item Class</v>
      </c>
      <c r="C3" s="17" t="s">
        <v>1782</v>
      </c>
      <c r="D3" s="16" t="str">
        <f>TRIM(_xlfn.TEXTBEFORE(C3, ":"))</f>
        <v>Gegenstandsklasse</v>
      </c>
      <c r="E3" s="17" t="s">
        <v>2501</v>
      </c>
      <c r="F3" s="16" t="str">
        <f>TRIM(_xlfn.TEXTBEFORE(E3, ":"))</f>
        <v>Clase de objeto</v>
      </c>
      <c r="G3" s="17" t="s">
        <v>1050</v>
      </c>
      <c r="H3" s="16" t="str">
        <f>TRIM(_xlfn.TEXTBEFORE(G3, ":"))</f>
        <v>Classe d'objet</v>
      </c>
      <c r="I3" s="17" t="s">
        <v>3220</v>
      </c>
      <c r="J3" s="16" t="str">
        <f>TRIM(_xlfn.TEXTBEFORE(I3, ":"))</f>
        <v>アイテムクラス</v>
      </c>
      <c r="K3" s="17" t="s">
        <v>3966</v>
      </c>
      <c r="L3" s="16" t="str">
        <f>TRIM(_xlfn.TEXTBEFORE(K3, ":"))</f>
        <v>아이템 종류</v>
      </c>
      <c r="M3" s="17" t="s">
        <v>4695</v>
      </c>
      <c r="N3" s="16" t="str">
        <f>TRIM(_xlfn.TEXTBEFORE(M3, ":"))</f>
        <v>Classe do Item</v>
      </c>
      <c r="O3" s="17" t="s">
        <v>5380</v>
      </c>
      <c r="P3" s="16" t="str">
        <f>TRIM(_xlfn.TEXTBEFORE(O3, ":"))</f>
        <v>Класс предмета</v>
      </c>
      <c r="Q3" s="17" t="s">
        <v>6106</v>
      </c>
      <c r="R3" s="16" t="str">
        <f>TRIM(_xlfn.TEXTBEFORE(Q3, ":"))</f>
        <v>ชนิดไอเทม</v>
      </c>
      <c r="S3" s="17"/>
      <c r="T3" s="20" t="e">
        <f>TRIM(_xlfn.TEXTBEFORE(S3, ":"))</f>
        <v>#N/A</v>
      </c>
    </row>
    <row r="4" spans="1:20" ht="15.95" customHeight="1" x14ac:dyDescent="0.25">
      <c r="A4" s="18" t="s">
        <v>485</v>
      </c>
      <c r="B4" s="16" t="str">
        <f>TRIM(_xlfn.TEXTAFTER(A3, ":"))</f>
        <v>Rings</v>
      </c>
      <c r="C4" s="18" t="s">
        <v>1851</v>
      </c>
      <c r="D4" s="16" t="str">
        <f>TRIM(_xlfn.TEXTAFTER(C3, ":"))</f>
        <v>Ringe</v>
      </c>
      <c r="E4" s="18" t="s">
        <v>2569</v>
      </c>
      <c r="F4" s="16" t="str">
        <f>TRIM(_xlfn.TEXTAFTER(E3, ":"))</f>
        <v>Anillos</v>
      </c>
      <c r="G4" s="18" t="s">
        <v>1114</v>
      </c>
      <c r="H4" s="16" t="str">
        <f>TRIM(_xlfn.TEXTAFTER(G3, ":"))</f>
        <v>Bagues</v>
      </c>
      <c r="I4" s="18" t="s">
        <v>3293</v>
      </c>
      <c r="J4" s="16" t="str">
        <f>TRIM(_xlfn.TEXTAFTER(I3, ":"))</f>
        <v>指輪</v>
      </c>
      <c r="K4" s="18" t="s">
        <v>4038</v>
      </c>
      <c r="L4" s="16" t="str">
        <f>TRIM(_xlfn.TEXTAFTER(K3, ":"))</f>
        <v>반지</v>
      </c>
      <c r="M4" s="18" t="s">
        <v>4759</v>
      </c>
      <c r="N4" s="16" t="str">
        <f>TRIM(_xlfn.TEXTAFTER(M3, ":"))</f>
        <v>Anéis</v>
      </c>
      <c r="O4" s="18" t="s">
        <v>5452</v>
      </c>
      <c r="P4" s="16" t="str">
        <f>TRIM(_xlfn.TEXTAFTER(O3, ":"))</f>
        <v>Кольца</v>
      </c>
      <c r="Q4" s="18" t="s">
        <v>6163</v>
      </c>
      <c r="R4" s="16" t="str">
        <f>TRIM(_xlfn.TEXTAFTER(Q3, ":"))</f>
        <v>แหวน</v>
      </c>
      <c r="S4" s="18"/>
      <c r="T4" s="20" t="e">
        <f>TRIM(_xlfn.TEXTAFTER(S3, ":"))</f>
        <v>#N/A</v>
      </c>
    </row>
    <row r="5" spans="1:20" ht="15.95" customHeight="1" x14ac:dyDescent="0.25">
      <c r="A5" s="18" t="s">
        <v>812</v>
      </c>
      <c r="B5" s="16" t="str">
        <f>TRIM(_xlfn.TEXTBEFORE(A4, ":"))</f>
        <v>Rarity</v>
      </c>
      <c r="C5" s="18" t="s">
        <v>1887</v>
      </c>
      <c r="D5" s="16" t="str">
        <f>TRIM(_xlfn.TEXTBEFORE(C4, ":"))</f>
        <v>Seltenheit</v>
      </c>
      <c r="E5" s="18" t="s">
        <v>2605</v>
      </c>
      <c r="F5" s="16" t="str">
        <f>TRIM(_xlfn.TEXTBEFORE(E4, ":"))</f>
        <v>Rareza</v>
      </c>
      <c r="G5" s="18" t="s">
        <v>1148</v>
      </c>
      <c r="H5" s="16" t="str">
        <f>TRIM(_xlfn.TEXTBEFORE(G4, ":"))</f>
        <v>Rareté</v>
      </c>
      <c r="I5" s="18" t="s">
        <v>3330</v>
      </c>
      <c r="J5" s="16" t="str">
        <f>TRIM(_xlfn.TEXTBEFORE(I4, ":"))</f>
        <v>レアリティ</v>
      </c>
      <c r="K5" s="18" t="s">
        <v>4075</v>
      </c>
      <c r="L5" s="16" t="str">
        <f>TRIM(_xlfn.TEXTBEFORE(K4, ":"))</f>
        <v>아이템 희귀도</v>
      </c>
      <c r="M5" s="18" t="s">
        <v>4793</v>
      </c>
      <c r="N5" s="16" t="str">
        <f>TRIM(_xlfn.TEXTBEFORE(M4, ":"))</f>
        <v>Raridade</v>
      </c>
      <c r="O5" s="18" t="s">
        <v>5489</v>
      </c>
      <c r="P5" s="16" t="str">
        <f>TRIM(_xlfn.TEXTBEFORE(O4, ":"))</f>
        <v>Редкость</v>
      </c>
      <c r="Q5" s="18" t="s">
        <v>812</v>
      </c>
      <c r="R5" s="16" t="str">
        <f>TRIM(_xlfn.TEXTBEFORE(Q4, ":"))</f>
        <v>ความหายาก</v>
      </c>
      <c r="S5" s="18"/>
      <c r="T5" s="20" t="e">
        <f>TRIM(_xlfn.TEXTBEFORE(S4, ":"))</f>
        <v>#N/A</v>
      </c>
    </row>
    <row r="6" spans="1:20" ht="15.95" customHeight="1" x14ac:dyDescent="0.25">
      <c r="A6" s="18" t="s">
        <v>813</v>
      </c>
      <c r="B6" s="16" t="str">
        <f>TRIM(_xlfn.TEXTAFTER(A4,":"))</f>
        <v>Rare</v>
      </c>
      <c r="C6" s="18" t="s">
        <v>1888</v>
      </c>
      <c r="D6" s="16" t="str">
        <f>TRIM(_xlfn.TEXTAFTER(C4,":"))</f>
        <v>Selten</v>
      </c>
      <c r="E6" s="18" t="s">
        <v>2606</v>
      </c>
      <c r="F6" s="16" t="str">
        <f>TRIM(_xlfn.TEXTAFTER(E4,":"))</f>
        <v>Raro</v>
      </c>
      <c r="G6" s="18" t="s">
        <v>1149</v>
      </c>
      <c r="H6" s="16" t="str">
        <f>TRIM(_xlfn.TEXTAFTER(G4,":"))</f>
        <v>Rare</v>
      </c>
      <c r="I6" s="18" t="s">
        <v>3331</v>
      </c>
      <c r="J6" s="16" t="str">
        <f>TRIM(_xlfn.TEXTAFTER(I4,":"))</f>
        <v>レア</v>
      </c>
      <c r="K6" s="18" t="s">
        <v>4076</v>
      </c>
      <c r="L6" s="16" t="str">
        <f>TRIM(_xlfn.TEXTAFTER(K4,":"))</f>
        <v>희귀</v>
      </c>
      <c r="M6" s="18" t="s">
        <v>4794</v>
      </c>
      <c r="N6" s="16" t="str">
        <f>TRIM(_xlfn.TEXTAFTER(M4,":"))</f>
        <v>Raro</v>
      </c>
      <c r="O6" s="18" t="s">
        <v>5490</v>
      </c>
      <c r="P6" s="16" t="str">
        <f>TRIM(_xlfn.TEXTAFTER(O4,":"))</f>
        <v>Редкий</v>
      </c>
      <c r="Q6" s="18" t="s">
        <v>813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814</v>
      </c>
      <c r="B9" s="16"/>
      <c r="C9" s="18" t="s">
        <v>1889</v>
      </c>
      <c r="D9" s="16"/>
      <c r="E9" s="18" t="s">
        <v>2607</v>
      </c>
      <c r="F9" s="16"/>
      <c r="G9" s="18" t="s">
        <v>1150</v>
      </c>
      <c r="H9" s="16"/>
      <c r="I9" s="18" t="s">
        <v>3332</v>
      </c>
      <c r="J9" s="16"/>
      <c r="K9" s="18" t="s">
        <v>4077</v>
      </c>
      <c r="L9" s="16"/>
      <c r="M9" s="18" t="s">
        <v>4795</v>
      </c>
      <c r="N9" s="16"/>
      <c r="O9" s="18" t="s">
        <v>5491</v>
      </c>
      <c r="P9" s="16"/>
      <c r="Q9" s="18" t="s">
        <v>6191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815</v>
      </c>
      <c r="B13" s="16"/>
      <c r="C13" s="18" t="s">
        <v>1890</v>
      </c>
      <c r="D13" s="16"/>
      <c r="E13" s="18" t="s">
        <v>2608</v>
      </c>
      <c r="F13" s="16"/>
      <c r="G13" s="18" t="s">
        <v>1151</v>
      </c>
      <c r="H13" s="16"/>
      <c r="I13" s="18" t="s">
        <v>3333</v>
      </c>
      <c r="J13" s="16"/>
      <c r="K13" s="18" t="s">
        <v>4078</v>
      </c>
      <c r="L13" s="16"/>
      <c r="M13" s="18" t="s">
        <v>4796</v>
      </c>
      <c r="N13" s="16"/>
      <c r="O13" s="18" t="s">
        <v>5492</v>
      </c>
      <c r="P13" s="16"/>
      <c r="Q13" s="18" t="s">
        <v>6192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816</v>
      </c>
      <c r="B15" s="16"/>
      <c r="C15" s="18" t="s">
        <v>1891</v>
      </c>
      <c r="D15" s="16"/>
      <c r="E15" s="18" t="s">
        <v>2609</v>
      </c>
      <c r="F15" s="16"/>
      <c r="G15" s="18" t="s">
        <v>1152</v>
      </c>
      <c r="H15" s="16"/>
      <c r="I15" s="18" t="s">
        <v>3334</v>
      </c>
      <c r="J15" s="16"/>
      <c r="K15" s="18" t="s">
        <v>4079</v>
      </c>
      <c r="L15" s="16"/>
      <c r="M15" s="18" t="s">
        <v>4797</v>
      </c>
      <c r="N15" s="16"/>
      <c r="O15" s="18" t="s">
        <v>5493</v>
      </c>
      <c r="P15" s="16"/>
      <c r="Q15" s="18" t="s">
        <v>6193</v>
      </c>
      <c r="R15" s="16"/>
      <c r="S15" s="18"/>
      <c r="T15" s="20"/>
    </row>
    <row r="16" spans="1:20" ht="15.95" customHeight="1" x14ac:dyDescent="0.25">
      <c r="A16" s="18" t="s">
        <v>817</v>
      </c>
      <c r="B16" s="16"/>
      <c r="C16" s="18" t="s">
        <v>1892</v>
      </c>
      <c r="D16" s="16"/>
      <c r="E16" s="18" t="s">
        <v>2610</v>
      </c>
      <c r="F16" s="16"/>
      <c r="G16" s="18" t="s">
        <v>1153</v>
      </c>
      <c r="H16" s="16"/>
      <c r="I16" s="18" t="s">
        <v>3335</v>
      </c>
      <c r="J16" s="16"/>
      <c r="K16" s="18" t="s">
        <v>4080</v>
      </c>
      <c r="L16" s="16"/>
      <c r="M16" s="18" t="s">
        <v>4798</v>
      </c>
      <c r="N16" s="16"/>
      <c r="O16" s="18" t="s">
        <v>5494</v>
      </c>
      <c r="P16" s="16"/>
      <c r="Q16" s="18" t="s">
        <v>6194</v>
      </c>
      <c r="R16" s="16"/>
      <c r="S16" s="18"/>
      <c r="T16" s="20"/>
    </row>
    <row r="17" spans="1:20" ht="15.95" customHeight="1" x14ac:dyDescent="0.25">
      <c r="A17" s="18" t="s">
        <v>818</v>
      </c>
      <c r="B17" s="16"/>
      <c r="C17" s="18" t="s">
        <v>1893</v>
      </c>
      <c r="D17" s="16"/>
      <c r="E17" s="18" t="s">
        <v>2611</v>
      </c>
      <c r="F17" s="16"/>
      <c r="G17" s="18" t="s">
        <v>1154</v>
      </c>
      <c r="H17" s="16"/>
      <c r="I17" s="18" t="s">
        <v>3336</v>
      </c>
      <c r="J17" s="16"/>
      <c r="K17" s="18" t="s">
        <v>4081</v>
      </c>
      <c r="L17" s="16"/>
      <c r="M17" s="18" t="s">
        <v>4799</v>
      </c>
      <c r="N17" s="16"/>
      <c r="O17" s="18" t="s">
        <v>5495</v>
      </c>
      <c r="P17" s="16"/>
      <c r="Q17" s="18" t="s">
        <v>6195</v>
      </c>
      <c r="R17" s="16"/>
      <c r="S17" s="18"/>
      <c r="T17" s="20"/>
    </row>
    <row r="18" spans="1:20" ht="15.95" customHeight="1" x14ac:dyDescent="0.25">
      <c r="A18" s="18" t="s">
        <v>819</v>
      </c>
      <c r="B18" s="16"/>
      <c r="C18" s="18" t="s">
        <v>1894</v>
      </c>
      <c r="D18" s="16"/>
      <c r="E18" s="18" t="s">
        <v>2612</v>
      </c>
      <c r="F18" s="16"/>
      <c r="G18" s="18" t="s">
        <v>1155</v>
      </c>
      <c r="H18" s="16"/>
      <c r="I18" s="18" t="s">
        <v>3337</v>
      </c>
      <c r="J18" s="16"/>
      <c r="K18" s="18" t="s">
        <v>4082</v>
      </c>
      <c r="L18" s="16"/>
      <c r="M18" s="18" t="s">
        <v>4800</v>
      </c>
      <c r="N18" s="16"/>
      <c r="O18" s="18" t="s">
        <v>5496</v>
      </c>
      <c r="P18" s="16"/>
      <c r="Q18" s="18" t="s">
        <v>6196</v>
      </c>
      <c r="R18" s="16"/>
      <c r="S18" s="18"/>
      <c r="T18" s="20"/>
    </row>
    <row r="19" spans="1:20" ht="15.95" customHeight="1" x14ac:dyDescent="0.25">
      <c r="A19" s="18" t="s">
        <v>820</v>
      </c>
      <c r="B19" s="16"/>
      <c r="C19" s="18" t="s">
        <v>1895</v>
      </c>
      <c r="D19" s="16"/>
      <c r="E19" s="18" t="s">
        <v>2613</v>
      </c>
      <c r="F19" s="16"/>
      <c r="G19" s="18" t="s">
        <v>1156</v>
      </c>
      <c r="H19" s="16"/>
      <c r="I19" s="18" t="s">
        <v>3338</v>
      </c>
      <c r="J19" s="16"/>
      <c r="K19" s="18" t="s">
        <v>4083</v>
      </c>
      <c r="L19" s="16"/>
      <c r="M19" s="18" t="s">
        <v>4801</v>
      </c>
      <c r="N19" s="16"/>
      <c r="O19" s="18" t="s">
        <v>5497</v>
      </c>
      <c r="P19" s="16"/>
      <c r="Q19" s="18" t="s">
        <v>6197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821</v>
      </c>
      <c r="B21" s="16" t="str">
        <f>A21</f>
        <v>Redeemer Item</v>
      </c>
      <c r="C21" s="18" t="s">
        <v>1896</v>
      </c>
      <c r="D21" s="16" t="str">
        <f>C21</f>
        <v>Erlöserin-Gegenstand</v>
      </c>
      <c r="E21" s="18" t="s">
        <v>2614</v>
      </c>
      <c r="F21" s="16" t="str">
        <f>E21</f>
        <v>Objeto de la Redentora</v>
      </c>
      <c r="G21" s="18" t="s">
        <v>1157</v>
      </c>
      <c r="H21" s="16" t="str">
        <f>G21</f>
        <v>Objet de la Rédemptrice</v>
      </c>
      <c r="I21" s="18" t="s">
        <v>3339</v>
      </c>
      <c r="J21" s="16" t="str">
        <f>I21</f>
        <v>レディーマーアイテム</v>
      </c>
      <c r="K21" s="18" t="s">
        <v>4084</v>
      </c>
      <c r="L21" s="16" t="str">
        <f>K21</f>
        <v>대속자 아이템</v>
      </c>
      <c r="M21" s="18" t="s">
        <v>4802</v>
      </c>
      <c r="N21" s="16" t="str">
        <f>M21</f>
        <v>Item do Redentor</v>
      </c>
      <c r="O21" s="18" t="s">
        <v>5498</v>
      </c>
      <c r="P21" s="16" t="str">
        <f>O21</f>
        <v>Предмет Избавительницы</v>
      </c>
      <c r="Q21" s="18" t="s">
        <v>6198</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2" stopIfTrue="1">
      <formula>NOT(ISERROR(A3))</formula>
    </cfRule>
  </conditionalFormatting>
  <conditionalFormatting sqref="A3:T51">
    <cfRule type="containsErrors" dxfId="265" priority="1" stopIfTrue="1">
      <formula>ISERROR(A3)</formula>
    </cfRule>
    <cfRule type="notContainsBlanks" dxfId="264"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c r="T3" s="20" t="e">
        <f>TRIM(_xlfn.TEXTBEFORE(S3, ":"))</f>
        <v>#N/A</v>
      </c>
    </row>
    <row r="4" spans="1:20" ht="15.95" customHeight="1" x14ac:dyDescent="0.25">
      <c r="A4" s="18" t="s">
        <v>485</v>
      </c>
      <c r="B4" s="16" t="str">
        <f>TRIM(_xlfn.TEXTAFTER(A3, ":"))</f>
        <v>Shields</v>
      </c>
      <c r="C4" s="18" t="s">
        <v>1851</v>
      </c>
      <c r="D4" s="16" t="str">
        <f>TRIM(_xlfn.TEXTAFTER(C3, ":"))</f>
        <v>Schilde</v>
      </c>
      <c r="E4" s="18" t="s">
        <v>2569</v>
      </c>
      <c r="F4" s="16" t="str">
        <f>TRIM(_xlfn.TEXTAFTER(E3, ":"))</f>
        <v>Escudos</v>
      </c>
      <c r="G4" s="18" t="s">
        <v>1114</v>
      </c>
      <c r="H4" s="16" t="str">
        <f>TRIM(_xlfn.TEXTAFTER(G3, ":"))</f>
        <v>Boucliers</v>
      </c>
      <c r="I4" s="18" t="s">
        <v>3293</v>
      </c>
      <c r="J4" s="16" t="str">
        <f>TRIM(_xlfn.TEXTAFTER(I3, ":"))</f>
        <v>盾</v>
      </c>
      <c r="K4" s="18" t="s">
        <v>4038</v>
      </c>
      <c r="L4" s="16" t="str">
        <f>TRIM(_xlfn.TEXTAFTER(K3, ":"))</f>
        <v>방패</v>
      </c>
      <c r="M4" s="18" t="s">
        <v>4759</v>
      </c>
      <c r="N4" s="16" t="str">
        <f>TRIM(_xlfn.TEXTAFTER(M3, ":"))</f>
        <v>Escudos</v>
      </c>
      <c r="O4" s="18" t="s">
        <v>5452</v>
      </c>
      <c r="P4" s="16" t="str">
        <f>TRIM(_xlfn.TEXTAFTER(O3, ":"))</f>
        <v>Щиты</v>
      </c>
      <c r="Q4" s="18" t="s">
        <v>6163</v>
      </c>
      <c r="R4" s="16" t="str">
        <f>TRIM(_xlfn.TEXTAFTER(Q3, ":"))</f>
        <v>โล่</v>
      </c>
      <c r="S4" s="18"/>
      <c r="T4" s="20" t="e">
        <f>TRIM(_xlfn.TEXTAFTER(S3, ":"))</f>
        <v>#N/A</v>
      </c>
    </row>
    <row r="5" spans="1:20" ht="15.95" customHeight="1" x14ac:dyDescent="0.25">
      <c r="A5" s="18" t="s">
        <v>779</v>
      </c>
      <c r="B5" s="16" t="str">
        <f>TRIM(_xlfn.TEXTBEFORE(A4, ":"))</f>
        <v>Rarity</v>
      </c>
      <c r="C5" s="18" t="s">
        <v>1897</v>
      </c>
      <c r="D5" s="16" t="str">
        <f>TRIM(_xlfn.TEXTBEFORE(C4, ":"))</f>
        <v>Seltenheit</v>
      </c>
      <c r="E5" s="18" t="s">
        <v>2615</v>
      </c>
      <c r="F5" s="16" t="str">
        <f>TRIM(_xlfn.TEXTBEFORE(E4, ":"))</f>
        <v>Rareza</v>
      </c>
      <c r="G5" s="18" t="s">
        <v>1158</v>
      </c>
      <c r="H5" s="16" t="str">
        <f>TRIM(_xlfn.TEXTBEFORE(G4, ":"))</f>
        <v>Rareté</v>
      </c>
      <c r="I5" s="18" t="s">
        <v>3340</v>
      </c>
      <c r="J5" s="16" t="str">
        <f>TRIM(_xlfn.TEXTBEFORE(I4, ":"))</f>
        <v>レアリティ</v>
      </c>
      <c r="K5" s="18" t="s">
        <v>4085</v>
      </c>
      <c r="L5" s="16" t="str">
        <f>TRIM(_xlfn.TEXTBEFORE(K4, ":"))</f>
        <v>아이템 희귀도</v>
      </c>
      <c r="M5" s="18" t="s">
        <v>4803</v>
      </c>
      <c r="N5" s="16" t="str">
        <f>TRIM(_xlfn.TEXTBEFORE(M4, ":"))</f>
        <v>Raridade</v>
      </c>
      <c r="O5" s="18" t="s">
        <v>5499</v>
      </c>
      <c r="P5" s="16" t="str">
        <f>TRIM(_xlfn.TEXTBEFORE(O4, ":"))</f>
        <v>Редкость</v>
      </c>
      <c r="Q5" s="18" t="s">
        <v>779</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780</v>
      </c>
      <c r="B7" s="16"/>
      <c r="C7" s="18" t="s">
        <v>1898</v>
      </c>
      <c r="D7" s="16"/>
      <c r="E7" s="18" t="s">
        <v>2616</v>
      </c>
      <c r="F7" s="16"/>
      <c r="G7" s="18" t="s">
        <v>1159</v>
      </c>
      <c r="H7" s="16"/>
      <c r="I7" s="18" t="s">
        <v>3341</v>
      </c>
      <c r="J7" s="16"/>
      <c r="K7" s="18" t="s">
        <v>4086</v>
      </c>
      <c r="L7" s="16"/>
      <c r="M7" s="18" t="s">
        <v>4804</v>
      </c>
      <c r="N7" s="16"/>
      <c r="O7" s="18" t="s">
        <v>5500</v>
      </c>
      <c r="P7" s="16"/>
      <c r="Q7" s="18" t="s">
        <v>6199</v>
      </c>
      <c r="R7" s="16"/>
      <c r="S7" s="18"/>
      <c r="T7" s="20"/>
    </row>
    <row r="8" spans="1:20" ht="15.95" customHeight="1" x14ac:dyDescent="0.25">
      <c r="A8" s="18" t="s">
        <v>781</v>
      </c>
      <c r="B8" s="16"/>
      <c r="C8" s="18" t="s">
        <v>1899</v>
      </c>
      <c r="D8" s="16"/>
      <c r="E8" s="18" t="s">
        <v>2617</v>
      </c>
      <c r="F8" s="16"/>
      <c r="G8" s="18" t="s">
        <v>1160</v>
      </c>
      <c r="H8" s="16"/>
      <c r="I8" s="18" t="s">
        <v>3342</v>
      </c>
      <c r="J8" s="16"/>
      <c r="K8" s="18" t="s">
        <v>4087</v>
      </c>
      <c r="L8" s="16"/>
      <c r="M8" s="18" t="s">
        <v>2617</v>
      </c>
      <c r="N8" s="16"/>
      <c r="O8" s="18" t="s">
        <v>5501</v>
      </c>
      <c r="P8" s="16"/>
      <c r="Q8" s="18" t="s">
        <v>6200</v>
      </c>
      <c r="R8" s="16"/>
      <c r="S8" s="18"/>
      <c r="T8" s="20"/>
    </row>
    <row r="9" spans="1:20" ht="15.95" customHeight="1" x14ac:dyDescent="0.25">
      <c r="A9" s="18" t="s">
        <v>782</v>
      </c>
      <c r="B9" s="16"/>
      <c r="C9" s="18" t="s">
        <v>1900</v>
      </c>
      <c r="D9" s="16"/>
      <c r="E9" s="18" t="s">
        <v>2618</v>
      </c>
      <c r="F9" s="16"/>
      <c r="G9" s="18" t="s">
        <v>1161</v>
      </c>
      <c r="H9" s="16"/>
      <c r="I9" s="18" t="s">
        <v>3343</v>
      </c>
      <c r="J9" s="16"/>
      <c r="K9" s="18" t="s">
        <v>4088</v>
      </c>
      <c r="L9" s="16"/>
      <c r="M9" s="18" t="s">
        <v>4805</v>
      </c>
      <c r="N9" s="16"/>
      <c r="O9" s="18" t="s">
        <v>5502</v>
      </c>
      <c r="P9" s="16"/>
      <c r="Q9" s="18" t="s">
        <v>6201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20"/>
    </row>
    <row r="12" spans="1:20" ht="15.95" customHeight="1" x14ac:dyDescent="0.25">
      <c r="A12" s="18" t="s">
        <v>783</v>
      </c>
      <c r="B12" s="16"/>
      <c r="C12" s="18" t="s">
        <v>783</v>
      </c>
      <c r="D12" s="16"/>
      <c r="E12" s="18" t="s">
        <v>2619</v>
      </c>
      <c r="F12" s="16"/>
      <c r="G12" s="18" t="s">
        <v>1162</v>
      </c>
      <c r="H12" s="16"/>
      <c r="I12" s="18" t="s">
        <v>3344</v>
      </c>
      <c r="J12" s="16"/>
      <c r="K12" s="18" t="s">
        <v>4089</v>
      </c>
      <c r="L12" s="16"/>
      <c r="M12" s="18" t="s">
        <v>1162</v>
      </c>
      <c r="N12" s="16"/>
      <c r="O12" s="18" t="s">
        <v>5503</v>
      </c>
      <c r="P12" s="16"/>
      <c r="Q12" s="18" t="s">
        <v>783</v>
      </c>
      <c r="R12" s="16"/>
      <c r="S12" s="18"/>
      <c r="T12" s="20"/>
    </row>
    <row r="13" spans="1:20" ht="15.95" customHeight="1" x14ac:dyDescent="0.25">
      <c r="A13" s="18" t="s">
        <v>784</v>
      </c>
      <c r="B13" s="16"/>
      <c r="C13" s="18" t="s">
        <v>784</v>
      </c>
      <c r="D13" s="16"/>
      <c r="E13" s="18" t="s">
        <v>784</v>
      </c>
      <c r="F13" s="16"/>
      <c r="G13" s="18" t="s">
        <v>784</v>
      </c>
      <c r="H13" s="16"/>
      <c r="I13" s="18" t="s">
        <v>3345</v>
      </c>
      <c r="J13" s="16"/>
      <c r="K13" s="18" t="s">
        <v>4090</v>
      </c>
      <c r="L13" s="16"/>
      <c r="M13" s="18" t="s">
        <v>784</v>
      </c>
      <c r="N13" s="16"/>
      <c r="O13" s="18" t="s">
        <v>5504</v>
      </c>
      <c r="P13" s="16"/>
      <c r="Q13" s="18" t="s">
        <v>784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785</v>
      </c>
      <c r="B15" s="16"/>
      <c r="C15" s="18" t="s">
        <v>1901</v>
      </c>
      <c r="D15" s="16"/>
      <c r="E15" s="18" t="s">
        <v>2620</v>
      </c>
      <c r="F15" s="16"/>
      <c r="G15" s="18" t="s">
        <v>1163</v>
      </c>
      <c r="H15" s="16"/>
      <c r="I15" s="18" t="s">
        <v>3346</v>
      </c>
      <c r="J15" s="16"/>
      <c r="K15" s="18" t="s">
        <v>4091</v>
      </c>
      <c r="L15" s="16"/>
      <c r="M15" s="18" t="s">
        <v>4806</v>
      </c>
      <c r="N15" s="16"/>
      <c r="O15" s="18" t="s">
        <v>5505</v>
      </c>
      <c r="P15" s="16"/>
      <c r="Q15" s="18" t="s">
        <v>6202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89</v>
      </c>
      <c r="B17" s="16"/>
      <c r="C17" s="18" t="s">
        <v>1714</v>
      </c>
      <c r="D17" s="16"/>
      <c r="E17" s="18" t="s">
        <v>2433</v>
      </c>
      <c r="F17" s="16"/>
      <c r="G17" s="18" t="s">
        <v>982</v>
      </c>
      <c r="H17" s="16"/>
      <c r="I17" s="18" t="s">
        <v>3151</v>
      </c>
      <c r="J17" s="16"/>
      <c r="K17" s="18" t="s">
        <v>3898</v>
      </c>
      <c r="L17" s="16"/>
      <c r="M17" s="18" t="s">
        <v>4627</v>
      </c>
      <c r="N17" s="16"/>
      <c r="O17" s="18" t="s">
        <v>5312</v>
      </c>
      <c r="P17" s="16"/>
      <c r="Q17" s="18" t="s">
        <v>6044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774</v>
      </c>
      <c r="B19" s="16"/>
      <c r="C19" s="18" t="s">
        <v>1902</v>
      </c>
      <c r="D19" s="16"/>
      <c r="E19" s="18" t="s">
        <v>2621</v>
      </c>
      <c r="F19" s="16"/>
      <c r="G19" s="18" t="s">
        <v>1164</v>
      </c>
      <c r="H19" s="16"/>
      <c r="I19" s="18" t="s">
        <v>3347</v>
      </c>
      <c r="J19" s="16"/>
      <c r="K19" s="18" t="s">
        <v>4092</v>
      </c>
      <c r="L19" s="16"/>
      <c r="M19" s="18" t="s">
        <v>4807</v>
      </c>
      <c r="N19" s="16"/>
      <c r="O19" s="18" t="s">
        <v>5506</v>
      </c>
      <c r="P19" s="16"/>
      <c r="Q19" s="18" t="s">
        <v>6203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51</v>
      </c>
      <c r="B21" s="16"/>
      <c r="C21" s="18" t="s">
        <v>1785</v>
      </c>
      <c r="D21" s="16"/>
      <c r="E21" s="18" t="s">
        <v>2504</v>
      </c>
      <c r="F21" s="16"/>
      <c r="G21" s="18" t="s">
        <v>1053</v>
      </c>
      <c r="H21" s="16"/>
      <c r="I21" s="18" t="s">
        <v>3223</v>
      </c>
      <c r="J21" s="16"/>
      <c r="K21" s="18" t="s">
        <v>3969</v>
      </c>
      <c r="L21" s="16"/>
      <c r="M21" s="18" t="s">
        <v>4698</v>
      </c>
      <c r="N21" s="16"/>
      <c r="O21" s="18" t="s">
        <v>5383</v>
      </c>
      <c r="P21" s="16"/>
      <c r="Q21" s="18" t="s">
        <v>6108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786</v>
      </c>
      <c r="B23" s="16" t="str">
        <f>A23</f>
        <v>Shaper Item</v>
      </c>
      <c r="C23" s="18" t="s">
        <v>1903</v>
      </c>
      <c r="D23" s="16" t="str">
        <f>C23</f>
        <v>Schöpfer-Gegenstand</v>
      </c>
      <c r="E23" s="18" t="s">
        <v>2622</v>
      </c>
      <c r="F23" s="16" t="str">
        <f>E23</f>
        <v>Objeto del Creador</v>
      </c>
      <c r="G23" s="18" t="s">
        <v>1165</v>
      </c>
      <c r="H23" s="16" t="str">
        <f>G23</f>
        <v>Objet du Façonneur</v>
      </c>
      <c r="I23" s="18" t="s">
        <v>3348</v>
      </c>
      <c r="J23" s="16" t="str">
        <f>I23</f>
        <v>シェイパーアイテム</v>
      </c>
      <c r="K23" s="18" t="s">
        <v>4093</v>
      </c>
      <c r="L23" s="16" t="str">
        <f>K23</f>
        <v>쉐이퍼 아이템</v>
      </c>
      <c r="M23" s="18" t="s">
        <v>4808</v>
      </c>
      <c r="N23" s="16" t="str">
        <f>M23</f>
        <v>Item do Criador</v>
      </c>
      <c r="O23" s="18" t="s">
        <v>5507</v>
      </c>
      <c r="P23" s="16" t="str">
        <f>O23</f>
        <v>Предмет Создателя</v>
      </c>
      <c r="Q23" s="18" t="s">
        <v>6204</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3" priority="2" stopIfTrue="1">
      <formula>NOT(ISERROR(A3))</formula>
    </cfRule>
  </conditionalFormatting>
  <conditionalFormatting sqref="A3:T51">
    <cfRule type="containsErrors" dxfId="262" priority="1" stopIfTrue="1">
      <formula>ISERROR(A3)</formula>
    </cfRule>
    <cfRule type="notContainsBlanks" dxfId="261"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6" t="s">
        <v>428</v>
      </c>
      <c r="B3" s="16" t="str">
        <f>TRIM(_xlfn.TEXTBEFORE(A3, ":"))</f>
        <v>Item Class</v>
      </c>
      <c r="C3" s="17" t="s">
        <v>1799</v>
      </c>
      <c r="D3" s="16" t="str">
        <f>TRIM(_xlfn.TEXTBEFORE(C3, ":"))</f>
        <v>Gegenstandsklasse</v>
      </c>
      <c r="E3" s="17" t="s">
        <v>2518</v>
      </c>
      <c r="F3" s="16" t="str">
        <f>TRIM(_xlfn.TEXTBEFORE(E3, ":"))</f>
        <v>Clase de objeto</v>
      </c>
      <c r="G3" s="17" t="s">
        <v>1066</v>
      </c>
      <c r="H3" s="16" t="str">
        <f>TRIM(_xlfn.TEXTBEFORE(G3, ":"))</f>
        <v>Classe d'objet</v>
      </c>
      <c r="I3" s="17" t="s">
        <v>3238</v>
      </c>
      <c r="J3" s="16" t="str">
        <f>TRIM(_xlfn.TEXTBEFORE(I3, ":"))</f>
        <v>アイテムクラス</v>
      </c>
      <c r="K3" s="17" t="s">
        <v>3984</v>
      </c>
      <c r="L3" s="16" t="str">
        <f>TRIM(_xlfn.TEXTBEFORE(K3, ":"))</f>
        <v>아이템 종류</v>
      </c>
      <c r="M3" s="17" t="s">
        <v>4711</v>
      </c>
      <c r="N3" s="16" t="str">
        <f>TRIM(_xlfn.TEXTBEFORE(M3, ":"))</f>
        <v>Classe do Item</v>
      </c>
      <c r="O3" s="17" t="s">
        <v>5398</v>
      </c>
      <c r="P3" s="16" t="str">
        <f>TRIM(_xlfn.TEXTBEFORE(O3, ":"))</f>
        <v>Класс предмета</v>
      </c>
      <c r="Q3" s="17" t="s">
        <v>6121</v>
      </c>
      <c r="R3" s="16" t="str">
        <f>TRIM(_xlfn.TEXTBEFORE(Q3, ":"))</f>
        <v>ชนิดไอเทม</v>
      </c>
      <c r="S3" s="17"/>
      <c r="T3" s="20" t="e">
        <f>TRIM(_xlfn.TEXTBEFORE(S3, ":"))</f>
        <v>#N/A</v>
      </c>
    </row>
    <row r="4" spans="1:20" ht="15.95" customHeight="1" x14ac:dyDescent="0.25">
      <c r="A4" s="18" t="s">
        <v>471</v>
      </c>
      <c r="B4" s="16" t="str">
        <f>TRIM(_xlfn.TEXTAFTER(A3, ":"))</f>
        <v>Body Armours</v>
      </c>
      <c r="C4" s="18" t="s">
        <v>1682</v>
      </c>
      <c r="D4" s="16" t="str">
        <f>TRIM(_xlfn.TEXTAFTER(C3, ":"))</f>
        <v>Körperrüstungen</v>
      </c>
      <c r="E4" s="18" t="s">
        <v>2401</v>
      </c>
      <c r="F4" s="16" t="str">
        <f>TRIM(_xlfn.TEXTAFTER(E3, ":"))</f>
        <v>Armaduras corporales</v>
      </c>
      <c r="G4" s="18" t="s">
        <v>949</v>
      </c>
      <c r="H4" s="16" t="str">
        <f>TRIM(_xlfn.TEXTAFTER(G3, ":"))</f>
        <v>Armures</v>
      </c>
      <c r="I4" s="18" t="s">
        <v>3119</v>
      </c>
      <c r="J4" s="16" t="str">
        <f>TRIM(_xlfn.TEXTAFTER(I3, ":"))</f>
        <v>鎧</v>
      </c>
      <c r="K4" s="18" t="s">
        <v>3866</v>
      </c>
      <c r="L4" s="16" t="str">
        <f>TRIM(_xlfn.TEXTAFTER(K3, ":"))</f>
        <v>갑옷</v>
      </c>
      <c r="M4" s="18" t="s">
        <v>4596</v>
      </c>
      <c r="N4" s="16" t="str">
        <f>TRIM(_xlfn.TEXTAFTER(M3, ":"))</f>
        <v>Peitorais</v>
      </c>
      <c r="O4" s="18" t="s">
        <v>5279</v>
      </c>
      <c r="P4" s="16" t="str">
        <f>TRIM(_xlfn.TEXTAFTER(O3, ":"))</f>
        <v>Доспехи</v>
      </c>
      <c r="Q4" s="18" t="s">
        <v>6013</v>
      </c>
      <c r="R4" s="16" t="str">
        <f>TRIM(_xlfn.TEXTAFTER(Q3, ":"))</f>
        <v>เสื้อเกราะ</v>
      </c>
      <c r="S4" s="18"/>
      <c r="T4" s="20" t="e">
        <f>TRIM(_xlfn.TEXTAFTER(S3, ":"))</f>
        <v>#N/A</v>
      </c>
    </row>
    <row r="5" spans="1:20" ht="15.95" customHeight="1" x14ac:dyDescent="0.25">
      <c r="A5" s="18" t="s">
        <v>768</v>
      </c>
      <c r="B5" s="16" t="str">
        <f>TRIM(_xlfn.TEXTBEFORE(A4, ":"))</f>
        <v>Rarity</v>
      </c>
      <c r="C5" s="18" t="s">
        <v>1904</v>
      </c>
      <c r="D5" s="16" t="str">
        <f>TRIM(_xlfn.TEXTBEFORE(C4, ":"))</f>
        <v>Seltenheit</v>
      </c>
      <c r="E5" s="18" t="s">
        <v>2623</v>
      </c>
      <c r="F5" s="16" t="str">
        <f>TRIM(_xlfn.TEXTBEFORE(E4, ":"))</f>
        <v>Rareza</v>
      </c>
      <c r="G5" s="18" t="s">
        <v>1166</v>
      </c>
      <c r="H5" s="16" t="str">
        <f>TRIM(_xlfn.TEXTBEFORE(G4, ":"))</f>
        <v>Rareté</v>
      </c>
      <c r="I5" s="18" t="s">
        <v>3349</v>
      </c>
      <c r="J5" s="16" t="str">
        <f>TRIM(_xlfn.TEXTBEFORE(I4, ":"))</f>
        <v>レアリティ</v>
      </c>
      <c r="K5" s="18" t="s">
        <v>4094</v>
      </c>
      <c r="L5" s="16" t="str">
        <f>TRIM(_xlfn.TEXTBEFORE(K4, ":"))</f>
        <v>아이템 희귀도</v>
      </c>
      <c r="M5" s="18" t="s">
        <v>4809</v>
      </c>
      <c r="N5" s="16" t="str">
        <f>TRIM(_xlfn.TEXTBEFORE(M4, ":"))</f>
        <v>Raridade</v>
      </c>
      <c r="O5" s="18" t="s">
        <v>5508</v>
      </c>
      <c r="P5" s="16" t="str">
        <f>TRIM(_xlfn.TEXTBEFORE(O4, ":"))</f>
        <v>Редкость</v>
      </c>
      <c r="Q5" s="18" t="s">
        <v>768</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769</v>
      </c>
      <c r="B7" s="16"/>
      <c r="C7" s="18" t="s">
        <v>1905</v>
      </c>
      <c r="D7" s="16"/>
      <c r="E7" s="18" t="s">
        <v>2624</v>
      </c>
      <c r="F7" s="16"/>
      <c r="G7" s="18" t="s">
        <v>1167</v>
      </c>
      <c r="H7" s="16"/>
      <c r="I7" s="18" t="s">
        <v>3350</v>
      </c>
      <c r="J7" s="16"/>
      <c r="K7" s="18" t="s">
        <v>4095</v>
      </c>
      <c r="L7" s="16"/>
      <c r="M7" s="18" t="s">
        <v>4810</v>
      </c>
      <c r="N7" s="16"/>
      <c r="O7" s="18" t="s">
        <v>5509</v>
      </c>
      <c r="P7" s="16"/>
      <c r="Q7" s="18" t="s">
        <v>6205</v>
      </c>
      <c r="R7" s="16"/>
      <c r="S7" s="18"/>
      <c r="T7" s="20"/>
    </row>
    <row r="8" spans="1:20" ht="15.95" customHeight="1" x14ac:dyDescent="0.25">
      <c r="A8" s="18" t="s">
        <v>770</v>
      </c>
      <c r="B8" s="16"/>
      <c r="C8" s="18" t="s">
        <v>1906</v>
      </c>
      <c r="D8" s="16"/>
      <c r="E8" s="18" t="s">
        <v>2625</v>
      </c>
      <c r="F8" s="16"/>
      <c r="G8" s="18" t="s">
        <v>1168</v>
      </c>
      <c r="H8" s="16"/>
      <c r="I8" s="18" t="s">
        <v>3351</v>
      </c>
      <c r="J8" s="16"/>
      <c r="K8" s="18" t="s">
        <v>4096</v>
      </c>
      <c r="L8" s="16"/>
      <c r="M8" s="18" t="s">
        <v>2625</v>
      </c>
      <c r="N8" s="16"/>
      <c r="O8" s="18" t="s">
        <v>5510</v>
      </c>
      <c r="P8" s="16"/>
      <c r="Q8" s="18" t="s">
        <v>6206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108</v>
      </c>
      <c r="B11" s="16"/>
      <c r="C11" s="18" t="s">
        <v>1591</v>
      </c>
      <c r="D11" s="16"/>
      <c r="E11" s="18" t="s">
        <v>2338</v>
      </c>
      <c r="F11" s="16"/>
      <c r="G11" s="18" t="s">
        <v>865</v>
      </c>
      <c r="H11" s="16"/>
      <c r="I11" s="18" t="s">
        <v>3052</v>
      </c>
      <c r="J11" s="16"/>
      <c r="K11" s="18" t="s">
        <v>3803</v>
      </c>
      <c r="L11" s="16"/>
      <c r="M11" s="18" t="s">
        <v>4531</v>
      </c>
      <c r="N11" s="16"/>
      <c r="O11" s="18" t="s">
        <v>5214</v>
      </c>
      <c r="P11" s="16"/>
      <c r="Q11" s="18" t="s">
        <v>5956</v>
      </c>
      <c r="R11" s="16"/>
      <c r="S11" s="18"/>
      <c r="T11" s="20"/>
    </row>
    <row r="12" spans="1:20" ht="15.95" customHeight="1" x14ac:dyDescent="0.25">
      <c r="A12" s="18" t="s">
        <v>771</v>
      </c>
      <c r="B12" s="16"/>
      <c r="C12" s="18" t="s">
        <v>771</v>
      </c>
      <c r="D12" s="16"/>
      <c r="E12" s="18" t="s">
        <v>2626</v>
      </c>
      <c r="F12" s="16"/>
      <c r="G12" s="18" t="s">
        <v>1169</v>
      </c>
      <c r="H12" s="16"/>
      <c r="I12" s="18" t="s">
        <v>3352</v>
      </c>
      <c r="J12" s="16"/>
      <c r="K12" s="18" t="s">
        <v>4097</v>
      </c>
      <c r="L12" s="16"/>
      <c r="M12" s="18" t="s">
        <v>1169</v>
      </c>
      <c r="N12" s="16"/>
      <c r="O12" s="18" t="s">
        <v>5511</v>
      </c>
      <c r="P12" s="16"/>
      <c r="Q12" s="18" t="s">
        <v>771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772</v>
      </c>
      <c r="B14" s="16"/>
      <c r="C14" s="18" t="s">
        <v>1907</v>
      </c>
      <c r="D14" s="16"/>
      <c r="E14" s="18" t="s">
        <v>2627</v>
      </c>
      <c r="F14" s="16"/>
      <c r="G14" s="18" t="s">
        <v>1170</v>
      </c>
      <c r="H14" s="16"/>
      <c r="I14" s="18" t="s">
        <v>3353</v>
      </c>
      <c r="J14" s="16"/>
      <c r="K14" s="18" t="s">
        <v>4098</v>
      </c>
      <c r="L14" s="16"/>
      <c r="M14" s="18" t="s">
        <v>4811</v>
      </c>
      <c r="N14" s="16"/>
      <c r="O14" s="18" t="s">
        <v>5512</v>
      </c>
      <c r="P14" s="16"/>
      <c r="Q14" s="18" t="s">
        <v>6207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773</v>
      </c>
      <c r="B16" s="16"/>
      <c r="C16" s="18" t="s">
        <v>1908</v>
      </c>
      <c r="D16" s="16"/>
      <c r="E16" s="18" t="s">
        <v>2628</v>
      </c>
      <c r="F16" s="16"/>
      <c r="G16" s="18" t="s">
        <v>1171</v>
      </c>
      <c r="H16" s="16"/>
      <c r="I16" s="18" t="s">
        <v>3354</v>
      </c>
      <c r="J16" s="16"/>
      <c r="K16" s="18" t="s">
        <v>4099</v>
      </c>
      <c r="L16" s="16"/>
      <c r="M16" s="18" t="s">
        <v>4812</v>
      </c>
      <c r="N16" s="16"/>
      <c r="O16" s="18" t="s">
        <v>5513</v>
      </c>
      <c r="P16" s="16"/>
      <c r="Q16" s="18" t="s">
        <v>6208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774</v>
      </c>
      <c r="B18" s="16"/>
      <c r="C18" s="18" t="s">
        <v>1902</v>
      </c>
      <c r="D18" s="16"/>
      <c r="E18" s="18" t="s">
        <v>2621</v>
      </c>
      <c r="F18" s="16"/>
      <c r="G18" s="18" t="s">
        <v>1164</v>
      </c>
      <c r="H18" s="16"/>
      <c r="I18" s="18" t="s">
        <v>3347</v>
      </c>
      <c r="J18" s="16"/>
      <c r="K18" s="18" t="s">
        <v>4092</v>
      </c>
      <c r="L18" s="16"/>
      <c r="M18" s="18" t="s">
        <v>4807</v>
      </c>
      <c r="N18" s="16"/>
      <c r="O18" s="18" t="s">
        <v>5506</v>
      </c>
      <c r="P18" s="16"/>
      <c r="Q18" s="18" t="s">
        <v>6203</v>
      </c>
      <c r="R18" s="16"/>
      <c r="S18" s="18"/>
      <c r="T18" s="20"/>
    </row>
    <row r="19" spans="1:20" ht="15.95" customHeight="1" x14ac:dyDescent="0.25">
      <c r="A19" s="18" t="s">
        <v>775</v>
      </c>
      <c r="B19" s="16"/>
      <c r="C19" s="18" t="s">
        <v>1909</v>
      </c>
      <c r="D19" s="16"/>
      <c r="E19" s="18" t="s">
        <v>2629</v>
      </c>
      <c r="F19" s="16"/>
      <c r="G19" s="18" t="s">
        <v>1172</v>
      </c>
      <c r="H19" s="16"/>
      <c r="I19" s="18" t="s">
        <v>3355</v>
      </c>
      <c r="J19" s="16"/>
      <c r="K19" s="18" t="s">
        <v>4100</v>
      </c>
      <c r="L19" s="16"/>
      <c r="M19" s="18" t="s">
        <v>4813</v>
      </c>
      <c r="N19" s="16"/>
      <c r="O19" s="18" t="s">
        <v>5514</v>
      </c>
      <c r="P19" s="16"/>
      <c r="Q19" s="18" t="s">
        <v>6209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776</v>
      </c>
      <c r="B21" s="16"/>
      <c r="C21" s="18" t="s">
        <v>1910</v>
      </c>
      <c r="D21" s="16"/>
      <c r="E21" s="18" t="s">
        <v>2630</v>
      </c>
      <c r="F21" s="16"/>
      <c r="G21" s="18" t="s">
        <v>1173</v>
      </c>
      <c r="H21" s="16"/>
      <c r="I21" s="18" t="s">
        <v>3356</v>
      </c>
      <c r="J21" s="16"/>
      <c r="K21" s="18" t="s">
        <v>4101</v>
      </c>
      <c r="L21" s="16"/>
      <c r="M21" s="18" t="s">
        <v>4814</v>
      </c>
      <c r="N21" s="16"/>
      <c r="O21" s="18" t="s">
        <v>5515</v>
      </c>
      <c r="P21" s="16"/>
      <c r="Q21" s="18" t="s">
        <v>6210</v>
      </c>
      <c r="R21" s="16"/>
      <c r="S21" s="18"/>
      <c r="T21" s="20"/>
    </row>
    <row r="22" spans="1:20" ht="15.95" customHeight="1" x14ac:dyDescent="0.25">
      <c r="A22" s="18" t="s">
        <v>777</v>
      </c>
      <c r="B22" s="16"/>
      <c r="C22" s="18" t="s">
        <v>1911</v>
      </c>
      <c r="D22" s="16"/>
      <c r="E22" s="18" t="s">
        <v>2631</v>
      </c>
      <c r="F22" s="16"/>
      <c r="G22" s="18" t="s">
        <v>1174</v>
      </c>
      <c r="H22" s="16"/>
      <c r="I22" s="18" t="s">
        <v>3357</v>
      </c>
      <c r="J22" s="16"/>
      <c r="K22" s="18" t="s">
        <v>4102</v>
      </c>
      <c r="L22" s="16"/>
      <c r="M22" s="18" t="s">
        <v>4815</v>
      </c>
      <c r="N22" s="16"/>
      <c r="O22" s="18" t="s">
        <v>5516</v>
      </c>
      <c r="P22" s="16"/>
      <c r="Q22" s="18" t="s">
        <v>6211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778</v>
      </c>
      <c r="B24" s="16" t="str">
        <f>A24</f>
        <v>Warlord Item</v>
      </c>
      <c r="C24" s="18" t="s">
        <v>1912</v>
      </c>
      <c r="D24" s="16" t="str">
        <f>C24</f>
        <v>Kriegsfürst-Gegenstand</v>
      </c>
      <c r="E24" s="18" t="s">
        <v>2632</v>
      </c>
      <c r="F24" s="16" t="str">
        <f>E24</f>
        <v>Objeto del Jefe de guerra</v>
      </c>
      <c r="G24" s="18" t="s">
        <v>1175</v>
      </c>
      <c r="H24" s="16" t="str">
        <f>G24</f>
        <v>Objet du Seigneur de guerre</v>
      </c>
      <c r="I24" s="18" t="s">
        <v>3358</v>
      </c>
      <c r="J24" s="16" t="str">
        <f>I24</f>
        <v>ウォーロードアイテム</v>
      </c>
      <c r="K24" s="18" t="s">
        <v>4103</v>
      </c>
      <c r="L24" s="16" t="str">
        <f>K24</f>
        <v>전쟁군주 아이템</v>
      </c>
      <c r="M24" s="18" t="s">
        <v>4816</v>
      </c>
      <c r="N24" s="16" t="str">
        <f>M24</f>
        <v>Item do Senhor da Guerra</v>
      </c>
      <c r="O24" s="18" t="s">
        <v>5517</v>
      </c>
      <c r="P24" s="16" t="str">
        <f>O24</f>
        <v>Предмет Вождя</v>
      </c>
      <c r="Q24" s="18" t="s">
        <v>6212</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0" priority="2" stopIfTrue="1">
      <formula>NOT(ISERROR(A3))</formula>
    </cfRule>
  </conditionalFormatting>
  <conditionalFormatting sqref="A3:T51">
    <cfRule type="containsErrors" dxfId="259" priority="1" stopIfTrue="1">
      <formula>ISERROR(A3)</formula>
    </cfRule>
    <cfRule type="notContainsBlanks" dxfId="258"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830</v>
      </c>
      <c r="B3" s="16" t="str">
        <f>TRIM(_xlfn.TEXTBEFORE(A3, ":"))</f>
        <v>Item Class</v>
      </c>
      <c r="C3" s="17" t="s">
        <v>1913</v>
      </c>
      <c r="D3" s="16" t="str">
        <f>TRIM(_xlfn.TEXTBEFORE(C3, ":"))</f>
        <v>Gegenstandsklasse</v>
      </c>
      <c r="E3" s="17" t="s">
        <v>2633</v>
      </c>
      <c r="F3" s="16" t="str">
        <f>TRIM(_xlfn.TEXTBEFORE(E3, ":"))</f>
        <v>Clase de objeto</v>
      </c>
      <c r="G3" s="17" t="s">
        <v>1176</v>
      </c>
      <c r="H3" s="16" t="str">
        <f>TRIM(_xlfn.TEXTBEFORE(G3, ":"))</f>
        <v>Classe d'objet</v>
      </c>
      <c r="I3" s="17" t="s">
        <v>3359</v>
      </c>
      <c r="J3" s="16" t="str">
        <f>TRIM(_xlfn.TEXTBEFORE(I3, ":"))</f>
        <v>アイテムクラス</v>
      </c>
      <c r="K3" s="17" t="s">
        <v>4104</v>
      </c>
      <c r="L3" s="16" t="str">
        <f>TRIM(_xlfn.TEXTBEFORE(K3, ":"))</f>
        <v>아이템 종류</v>
      </c>
      <c r="M3" s="17" t="s">
        <v>4817</v>
      </c>
      <c r="N3" s="16" t="str">
        <f>TRIM(_xlfn.TEXTBEFORE(M3, ":"))</f>
        <v>Classe do Item</v>
      </c>
      <c r="O3" s="17" t="s">
        <v>5518</v>
      </c>
      <c r="P3" s="16" t="str">
        <f>TRIM(_xlfn.TEXTBEFORE(O3, ":"))</f>
        <v>Класс предмета</v>
      </c>
      <c r="Q3" s="17" t="s">
        <v>6213</v>
      </c>
      <c r="R3" s="16" t="str">
        <f>TRIM(_xlfn.TEXTBEFORE(Q3, ":"))</f>
        <v>ชนิดไอเทม</v>
      </c>
      <c r="S3" s="17"/>
      <c r="T3" s="20" t="e">
        <f>TRIM(_xlfn.TEXTBEFORE(S3, ":"))</f>
        <v>#N/A</v>
      </c>
    </row>
    <row r="4" spans="1:20" ht="15.95" customHeight="1" x14ac:dyDescent="0.25">
      <c r="A4" s="18" t="s">
        <v>485</v>
      </c>
      <c r="B4" s="16" t="str">
        <f>TRIM(_xlfn.TEXTAFTER(A3, ":"))</f>
        <v>Abyss Jewels</v>
      </c>
      <c r="C4" s="18" t="s">
        <v>1851</v>
      </c>
      <c r="D4" s="16" t="str">
        <f>TRIM(_xlfn.TEXTAFTER(C3, ":"))</f>
        <v>Abgrund-Juwelen</v>
      </c>
      <c r="E4" s="18" t="s">
        <v>2569</v>
      </c>
      <c r="F4" s="16" t="str">
        <f>TRIM(_xlfn.TEXTAFTER(E3, ":"))</f>
        <v>Joyas de abismo</v>
      </c>
      <c r="G4" s="18" t="s">
        <v>1114</v>
      </c>
      <c r="H4" s="16" t="str">
        <f>TRIM(_xlfn.TEXTAFTER(G3, ":"))</f>
        <v>Joyaux abyssaux</v>
      </c>
      <c r="I4" s="18" t="s">
        <v>3293</v>
      </c>
      <c r="J4" s="16" t="str">
        <f>TRIM(_xlfn.TEXTAFTER(I3, ":"))</f>
        <v>アビスジュエル</v>
      </c>
      <c r="K4" s="18" t="s">
        <v>4038</v>
      </c>
      <c r="L4" s="16" t="str">
        <f>TRIM(_xlfn.TEXTAFTER(K3, ":"))</f>
        <v>심연 주얼</v>
      </c>
      <c r="M4" s="18" t="s">
        <v>4759</v>
      </c>
      <c r="N4" s="16" t="str">
        <f>TRIM(_xlfn.TEXTAFTER(M3, ":"))</f>
        <v>Joias Abissais</v>
      </c>
      <c r="O4" s="18" t="s">
        <v>5452</v>
      </c>
      <c r="P4" s="16" t="str">
        <f>TRIM(_xlfn.TEXTAFTER(O3, ":"))</f>
        <v>Самоцветы Бездны</v>
      </c>
      <c r="Q4" s="18" t="s">
        <v>6163</v>
      </c>
      <c r="R4" s="16" t="str">
        <f>TRIM(_xlfn.TEXTAFTER(Q3, ":"))</f>
        <v>จิวเวลอะบิส</v>
      </c>
      <c r="S4" s="18"/>
      <c r="T4" s="20" t="e">
        <f>TRIM(_xlfn.TEXTAFTER(S3, ":"))</f>
        <v>#N/A</v>
      </c>
    </row>
    <row r="5" spans="1:20" ht="15.95" customHeight="1" x14ac:dyDescent="0.25">
      <c r="A5" s="18" t="s">
        <v>831</v>
      </c>
      <c r="B5" s="16" t="str">
        <f>TRIM(_xlfn.TEXTBEFORE(A4, ":"))</f>
        <v>Rarity</v>
      </c>
      <c r="C5" s="18" t="s">
        <v>1914</v>
      </c>
      <c r="D5" s="16" t="str">
        <f>TRIM(_xlfn.TEXTBEFORE(C4, ":"))</f>
        <v>Seltenheit</v>
      </c>
      <c r="E5" s="18" t="s">
        <v>2634</v>
      </c>
      <c r="F5" s="16" t="str">
        <f>TRIM(_xlfn.TEXTBEFORE(E4, ":"))</f>
        <v>Rareza</v>
      </c>
      <c r="G5" s="18" t="s">
        <v>1177</v>
      </c>
      <c r="H5" s="16" t="str">
        <f>TRIM(_xlfn.TEXTBEFORE(G4, ":"))</f>
        <v>Rareté</v>
      </c>
      <c r="I5" s="18" t="s">
        <v>3360</v>
      </c>
      <c r="J5" s="16" t="str">
        <f>TRIM(_xlfn.TEXTBEFORE(I4, ":"))</f>
        <v>レアリティ</v>
      </c>
      <c r="K5" s="18" t="s">
        <v>4105</v>
      </c>
      <c r="L5" s="16" t="str">
        <f>TRIM(_xlfn.TEXTBEFORE(K4, ":"))</f>
        <v>아이템 희귀도</v>
      </c>
      <c r="M5" s="18" t="s">
        <v>4818</v>
      </c>
      <c r="N5" s="16" t="str">
        <f>TRIM(_xlfn.TEXTBEFORE(M4, ":"))</f>
        <v>Raridade</v>
      </c>
      <c r="O5" s="18" t="s">
        <v>5519</v>
      </c>
      <c r="P5" s="16" t="str">
        <f>TRIM(_xlfn.TEXTBEFORE(O4, ":"))</f>
        <v>Редкость</v>
      </c>
      <c r="Q5" s="18" t="s">
        <v>831</v>
      </c>
      <c r="R5" s="16" t="str">
        <f>TRIM(_xlfn.TEXTBEFORE(Q4, ":"))</f>
        <v>ความหายาก</v>
      </c>
      <c r="S5" s="18"/>
      <c r="T5" s="20" t="e">
        <f>TRIM(_xlfn.TEXTBEFORE(S4, ":"))</f>
        <v>#N/A</v>
      </c>
    </row>
    <row r="6" spans="1:20" ht="15.95" customHeight="1" x14ac:dyDescent="0.25">
      <c r="A6" s="18" t="s">
        <v>832</v>
      </c>
      <c r="B6" s="16" t="str">
        <f>TRIM(_xlfn.TEXTAFTER(A4,":"))</f>
        <v>Rare</v>
      </c>
      <c r="C6" s="18" t="s">
        <v>1915</v>
      </c>
      <c r="D6" s="16" t="str">
        <f>TRIM(_xlfn.TEXTAFTER(C4,":"))</f>
        <v>Selten</v>
      </c>
      <c r="E6" s="18" t="s">
        <v>2635</v>
      </c>
      <c r="F6" s="16" t="str">
        <f>TRIM(_xlfn.TEXTAFTER(E4,":"))</f>
        <v>Raro</v>
      </c>
      <c r="G6" s="18" t="s">
        <v>1178</v>
      </c>
      <c r="H6" s="16" t="str">
        <f>TRIM(_xlfn.TEXTAFTER(G4,":"))</f>
        <v>Rare</v>
      </c>
      <c r="I6" s="18" t="s">
        <v>3361</v>
      </c>
      <c r="J6" s="16" t="str">
        <f>TRIM(_xlfn.TEXTAFTER(I4,":"))</f>
        <v>レア</v>
      </c>
      <c r="K6" s="18" t="s">
        <v>4106</v>
      </c>
      <c r="L6" s="16" t="str">
        <f>TRIM(_xlfn.TEXTAFTER(K4,":"))</f>
        <v>희귀</v>
      </c>
      <c r="M6" s="18" t="s">
        <v>4819</v>
      </c>
      <c r="N6" s="16" t="str">
        <f>TRIM(_xlfn.TEXTAFTER(M4,":"))</f>
        <v>Raro</v>
      </c>
      <c r="O6" s="18" t="s">
        <v>5520</v>
      </c>
      <c r="P6" s="16" t="str">
        <f>TRIM(_xlfn.TEXTAFTER(O4,":"))</f>
        <v>Редкий</v>
      </c>
      <c r="Q6" s="18" t="s">
        <v>832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833</v>
      </c>
      <c r="B8" s="16"/>
      <c r="C8" s="18" t="s">
        <v>1916</v>
      </c>
      <c r="D8" s="16"/>
      <c r="E8" s="18" t="s">
        <v>2636</v>
      </c>
      <c r="F8" s="16"/>
      <c r="G8" s="18" t="s">
        <v>1179</v>
      </c>
      <c r="H8" s="16"/>
      <c r="I8" s="18" t="s">
        <v>3362</v>
      </c>
      <c r="J8" s="16"/>
      <c r="K8" s="18" t="s">
        <v>4107</v>
      </c>
      <c r="L8" s="16"/>
      <c r="M8" s="18" t="s">
        <v>4820</v>
      </c>
      <c r="N8" s="16"/>
      <c r="O8" s="18" t="s">
        <v>5385</v>
      </c>
      <c r="P8" s="16"/>
      <c r="Q8" s="18" t="s">
        <v>6214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447</v>
      </c>
      <c r="B11" s="16"/>
      <c r="C11" s="18" t="s">
        <v>1789</v>
      </c>
      <c r="D11" s="16"/>
      <c r="E11" s="18" t="s">
        <v>2508</v>
      </c>
      <c r="F11" s="16"/>
      <c r="G11" s="18" t="s">
        <v>1057</v>
      </c>
      <c r="H11" s="16"/>
      <c r="I11" s="18" t="s">
        <v>3228</v>
      </c>
      <c r="J11" s="16"/>
      <c r="K11" s="18" t="s">
        <v>3974</v>
      </c>
      <c r="L11" s="16"/>
      <c r="M11" s="18" t="s">
        <v>4701</v>
      </c>
      <c r="N11" s="16"/>
      <c r="O11" s="18" t="s">
        <v>5388</v>
      </c>
      <c r="P11" s="16"/>
      <c r="Q11" s="18" t="s">
        <v>6111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255</v>
      </c>
      <c r="B13" s="16"/>
      <c r="C13" s="18" t="s">
        <v>1731</v>
      </c>
      <c r="D13" s="16"/>
      <c r="E13" s="18" t="s">
        <v>2450</v>
      </c>
      <c r="F13" s="16"/>
      <c r="G13" s="18" t="s">
        <v>999</v>
      </c>
      <c r="H13" s="16"/>
      <c r="I13" s="18" t="s">
        <v>3168</v>
      </c>
      <c r="J13" s="16"/>
      <c r="K13" s="18" t="s">
        <v>3915</v>
      </c>
      <c r="L13" s="16"/>
      <c r="M13" s="18" t="s">
        <v>4644</v>
      </c>
      <c r="N13" s="16"/>
      <c r="O13" s="18" t="s">
        <v>5329</v>
      </c>
      <c r="P13" s="16"/>
      <c r="Q13" s="18" t="s">
        <v>6061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834</v>
      </c>
      <c r="B15" s="16"/>
      <c r="C15" s="18" t="s">
        <v>1917</v>
      </c>
      <c r="D15" s="16"/>
      <c r="E15" s="18" t="s">
        <v>2637</v>
      </c>
      <c r="F15" s="16"/>
      <c r="G15" s="18" t="s">
        <v>1180</v>
      </c>
      <c r="H15" s="16"/>
      <c r="I15" s="18" t="s">
        <v>3363</v>
      </c>
      <c r="J15" s="16"/>
      <c r="K15" s="18" t="s">
        <v>4108</v>
      </c>
      <c r="L15" s="16"/>
      <c r="M15" s="18" t="s">
        <v>4821</v>
      </c>
      <c r="N15" s="16"/>
      <c r="O15" s="18" t="s">
        <v>5521</v>
      </c>
      <c r="P15" s="16"/>
      <c r="Q15" s="18" t="s">
        <v>6215</v>
      </c>
      <c r="R15" s="16"/>
      <c r="S15" s="18"/>
      <c r="T15" s="20"/>
    </row>
    <row r="16" spans="1:20" ht="15.95" customHeight="1" x14ac:dyDescent="0.25">
      <c r="A16" s="18" t="s">
        <v>835</v>
      </c>
      <c r="B16" s="16"/>
      <c r="C16" s="18" t="s">
        <v>1918</v>
      </c>
      <c r="D16" s="16"/>
      <c r="E16" s="18" t="s">
        <v>2638</v>
      </c>
      <c r="F16" s="16"/>
      <c r="G16" s="18" t="s">
        <v>1181</v>
      </c>
      <c r="H16" s="16"/>
      <c r="I16" s="18" t="s">
        <v>3364</v>
      </c>
      <c r="J16" s="16"/>
      <c r="K16" s="18" t="s">
        <v>4109</v>
      </c>
      <c r="L16" s="16"/>
      <c r="M16" s="18" t="s">
        <v>4822</v>
      </c>
      <c r="N16" s="16"/>
      <c r="O16" s="18" t="s">
        <v>5522</v>
      </c>
      <c r="P16" s="16"/>
      <c r="Q16" s="18" t="s">
        <v>6216</v>
      </c>
      <c r="R16" s="16"/>
      <c r="S16" s="18"/>
      <c r="T16" s="20"/>
    </row>
    <row r="17" spans="1:20" ht="15.95" customHeight="1" x14ac:dyDescent="0.25">
      <c r="A17" s="18" t="s">
        <v>836</v>
      </c>
      <c r="B17" s="16"/>
      <c r="C17" s="18" t="s">
        <v>1919</v>
      </c>
      <c r="D17" s="16"/>
      <c r="E17" s="18" t="s">
        <v>2639</v>
      </c>
      <c r="F17" s="16"/>
      <c r="G17" s="18" t="s">
        <v>1182</v>
      </c>
      <c r="H17" s="16"/>
      <c r="I17" s="18" t="s">
        <v>3365</v>
      </c>
      <c r="J17" s="16"/>
      <c r="K17" s="18" t="s">
        <v>4110</v>
      </c>
      <c r="L17" s="16"/>
      <c r="M17" s="18" t="s">
        <v>4823</v>
      </c>
      <c r="N17" s="16"/>
      <c r="O17" s="18" t="s">
        <v>5523</v>
      </c>
      <c r="P17" s="16"/>
      <c r="Q17" s="18" t="s">
        <v>6217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837</v>
      </c>
      <c r="B19" s="16"/>
      <c r="C19" s="18" t="s">
        <v>1920</v>
      </c>
      <c r="D19" s="16"/>
      <c r="E19" s="18" t="s">
        <v>2640</v>
      </c>
      <c r="F19" s="16"/>
      <c r="G19" s="18" t="s">
        <v>1183</v>
      </c>
      <c r="H19" s="16"/>
      <c r="I19" s="18" t="s">
        <v>3366</v>
      </c>
      <c r="J19" s="16"/>
      <c r="K19" s="18" t="s">
        <v>4111</v>
      </c>
      <c r="L19" s="16"/>
      <c r="M19" s="18" t="s">
        <v>4824</v>
      </c>
      <c r="N19" s="16"/>
      <c r="O19" s="18" t="s">
        <v>5524</v>
      </c>
      <c r="P19" s="16"/>
      <c r="Q19" s="18" t="s">
        <v>6218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838</v>
      </c>
      <c r="B21" s="16"/>
      <c r="C21" s="18" t="s">
        <v>1921</v>
      </c>
      <c r="D21" s="16"/>
      <c r="E21" s="18" t="s">
        <v>2641</v>
      </c>
      <c r="F21" s="16"/>
      <c r="G21" s="18" t="s">
        <v>1184</v>
      </c>
      <c r="H21" s="16"/>
      <c r="I21" s="18" t="s">
        <v>3367</v>
      </c>
      <c r="J21" s="16"/>
      <c r="K21" s="18" t="s">
        <v>4112</v>
      </c>
      <c r="L21" s="16"/>
      <c r="M21" s="18" t="s">
        <v>4825</v>
      </c>
      <c r="N21" s="16"/>
      <c r="O21" s="18" t="s">
        <v>5525</v>
      </c>
      <c r="P21" s="16"/>
      <c r="Q21" s="18" t="s">
        <v>6219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7" priority="2" stopIfTrue="1">
      <formula>NOT(ISERROR(A3))</formula>
    </cfRule>
  </conditionalFormatting>
  <conditionalFormatting sqref="A3:T51">
    <cfRule type="containsErrors" dxfId="256" priority="1" stopIfTrue="1">
      <formula>ISERROR(A3)</formula>
    </cfRule>
    <cfRule type="notContainsBlanks" dxfId="255"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80</v>
      </c>
      <c r="B3" s="16" t="str">
        <f>TRIM(_xlfn.TEXTBEFORE(A3, ":"))</f>
        <v>Item Class</v>
      </c>
      <c r="C3" s="17" t="s">
        <v>1922</v>
      </c>
      <c r="D3" s="16" t="str">
        <f>TRIM(_xlfn.TEXTBEFORE(C3, ":"))</f>
        <v>Gegenstandsklasse</v>
      </c>
      <c r="E3" s="17" t="s">
        <v>2642</v>
      </c>
      <c r="F3" s="16" t="str">
        <f>TRIM(_xlfn.TEXTBEFORE(E3, ":"))</f>
        <v>Clase de objeto</v>
      </c>
      <c r="G3" s="17" t="s">
        <v>0</v>
      </c>
      <c r="H3" s="16" t="str">
        <f>TRIM(_xlfn.TEXTBEFORE(G3, ":"))</f>
        <v>Classe d'objet</v>
      </c>
      <c r="I3" s="17" t="s">
        <v>3368</v>
      </c>
      <c r="J3" s="16" t="str">
        <f>TRIM(_xlfn.TEXTBEFORE(I3, ":"))</f>
        <v>アイテムクラス</v>
      </c>
      <c r="K3" s="17" t="s">
        <v>4113</v>
      </c>
      <c r="L3" s="16" t="str">
        <f>TRIM(_xlfn.TEXTBEFORE(K3, ":"))</f>
        <v>아이템 종류</v>
      </c>
      <c r="M3" s="17" t="s">
        <v>4826</v>
      </c>
      <c r="N3" s="16" t="str">
        <f>TRIM(_xlfn.TEXTBEFORE(M3, ":"))</f>
        <v>Classe do Item</v>
      </c>
      <c r="O3" s="17" t="s">
        <v>5526</v>
      </c>
      <c r="P3" s="16" t="str">
        <f>TRIM(_xlfn.TEXTBEFORE(O3, ":"))</f>
        <v>Класс предмета</v>
      </c>
      <c r="Q3" s="17" t="s">
        <v>6220</v>
      </c>
      <c r="R3" s="16" t="str">
        <f>TRIM(_xlfn.TEXTBEFORE(Q3, ":"))</f>
        <v>ชนิดไอเทม</v>
      </c>
      <c r="S3" s="17"/>
      <c r="T3" s="16" t="e">
        <f>TRIM(_xlfn.TEXTBEFORE(S3, ":"))</f>
        <v>#N/A</v>
      </c>
    </row>
    <row r="4" spans="1:20" ht="15.95" customHeight="1" x14ac:dyDescent="0.25">
      <c r="A4" s="18" t="s">
        <v>81</v>
      </c>
      <c r="B4" s="16" t="str">
        <f>TRIM(_xlfn.TEXTAFTER(A3, ":"))</f>
        <v>Belts</v>
      </c>
      <c r="C4" s="18" t="s">
        <v>1644</v>
      </c>
      <c r="D4" s="16" t="str">
        <f>TRIM(_xlfn.TEXTAFTER(C3, ":"))</f>
        <v>Gürtel</v>
      </c>
      <c r="E4" s="18" t="s">
        <v>2364</v>
      </c>
      <c r="F4" s="16" t="str">
        <f>TRIM(_xlfn.TEXTAFTER(E3, ":"))</f>
        <v>Cinturones</v>
      </c>
      <c r="G4" s="18" t="s">
        <v>1</v>
      </c>
      <c r="H4" s="16" t="str">
        <f>TRIM(_xlfn.TEXTAFTER(G3, ":"))</f>
        <v>Ceintures</v>
      </c>
      <c r="I4" s="18" t="s">
        <v>3079</v>
      </c>
      <c r="J4" s="16" t="str">
        <f>TRIM(_xlfn.TEXTAFTER(I3, ":"))</f>
        <v>ベルト</v>
      </c>
      <c r="K4" s="18" t="s">
        <v>3829</v>
      </c>
      <c r="L4" s="16" t="str">
        <f>TRIM(_xlfn.TEXTAFTER(K3, ":"))</f>
        <v>허리띠</v>
      </c>
      <c r="M4" s="18" t="s">
        <v>4558</v>
      </c>
      <c r="N4" s="16" t="str">
        <f>TRIM(_xlfn.TEXTAFTER(M3, ":"))</f>
        <v>Cintos</v>
      </c>
      <c r="O4" s="18" t="s">
        <v>5241</v>
      </c>
      <c r="P4" s="16" t="str">
        <f>TRIM(_xlfn.TEXTAFTER(O3, ":"))</f>
        <v>Пояса</v>
      </c>
      <c r="Q4" s="18" t="s">
        <v>5978</v>
      </c>
      <c r="R4" s="16" t="str">
        <f>TRIM(_xlfn.TEXTAFTER(Q3, ":"))</f>
        <v>เข็มขัด</v>
      </c>
      <c r="S4" s="18"/>
      <c r="T4" s="16" t="e">
        <f>TRIM(_xlfn.TEXTAFTER(S3, ":"))</f>
        <v>#N/A</v>
      </c>
    </row>
    <row r="5" spans="1:20" ht="15.95" customHeight="1" x14ac:dyDescent="0.25">
      <c r="A5" s="18" t="s">
        <v>86</v>
      </c>
      <c r="B5" s="16" t="str">
        <f>TRIM(_xlfn.TEXTBEFORE(A4, ":"))</f>
        <v>Rarity</v>
      </c>
      <c r="C5" s="18" t="s">
        <v>1923</v>
      </c>
      <c r="D5" s="16" t="str">
        <f>TRIM(_xlfn.TEXTBEFORE(C4, ":"))</f>
        <v>Seltenheit</v>
      </c>
      <c r="E5" s="18" t="s">
        <v>2643</v>
      </c>
      <c r="F5" s="16" t="str">
        <f>TRIM(_xlfn.TEXTBEFORE(E4, ":"))</f>
        <v>Rareza</v>
      </c>
      <c r="G5" s="18" t="s">
        <v>2</v>
      </c>
      <c r="H5" s="16" t="str">
        <f>TRIM(_xlfn.TEXTBEFORE(G4, ":"))</f>
        <v>Rareté</v>
      </c>
      <c r="I5" s="18" t="s">
        <v>3369</v>
      </c>
      <c r="J5" s="16" t="str">
        <f>TRIM(_xlfn.TEXTBEFORE(I4, ":"))</f>
        <v>レアリティ</v>
      </c>
      <c r="K5" s="18" t="s">
        <v>4114</v>
      </c>
      <c r="L5" s="16" t="str">
        <f>TRIM(_xlfn.TEXTBEFORE(K4, ":"))</f>
        <v>아이템 희귀도</v>
      </c>
      <c r="M5" s="18" t="s">
        <v>4827</v>
      </c>
      <c r="N5" s="16" t="str">
        <f>TRIM(_xlfn.TEXTBEFORE(M4, ":"))</f>
        <v>Raridade</v>
      </c>
      <c r="O5" s="18" t="s">
        <v>5527</v>
      </c>
      <c r="P5" s="16" t="str">
        <f>TRIM(_xlfn.TEXTBEFORE(O4, ":"))</f>
        <v>Редкость</v>
      </c>
      <c r="Q5" s="18" t="s">
        <v>86</v>
      </c>
      <c r="R5" s="16" t="str">
        <f>TRIM(_xlfn.TEXTBEFORE(Q4, ":"))</f>
        <v>ความหายาก</v>
      </c>
      <c r="S5" s="18"/>
      <c r="T5" s="16" t="e">
        <f>TRIM(_xlfn.TEXTBEFORE(S4, ":"))</f>
        <v>#N/A</v>
      </c>
    </row>
    <row r="6" spans="1:20" ht="15.95" customHeight="1" x14ac:dyDescent="0.25">
      <c r="A6" s="18" t="s">
        <v>87</v>
      </c>
      <c r="B6" s="16" t="str">
        <f>TRIM(_xlfn.TEXTAFTER(A4,":"))</f>
        <v>Unique</v>
      </c>
      <c r="C6" s="18" t="s">
        <v>1924</v>
      </c>
      <c r="D6" s="16" t="str">
        <f>TRIM(_xlfn.TEXTAFTER(C4,":"))</f>
        <v>Einzigartig</v>
      </c>
      <c r="E6" s="18" t="s">
        <v>2644</v>
      </c>
      <c r="F6" s="16" t="str">
        <f>TRIM(_xlfn.TEXTAFTER(E4,":"))</f>
        <v>Único</v>
      </c>
      <c r="G6" s="18" t="s">
        <v>3</v>
      </c>
      <c r="H6" s="16" t="str">
        <f>TRIM(_xlfn.TEXTAFTER(G4,":"))</f>
        <v>Unique</v>
      </c>
      <c r="I6" s="18" t="s">
        <v>3370</v>
      </c>
      <c r="J6" s="16" t="str">
        <f>TRIM(_xlfn.TEXTAFTER(I4,":"))</f>
        <v>ユニーク</v>
      </c>
      <c r="K6" s="18" t="s">
        <v>4115</v>
      </c>
      <c r="L6" s="16" t="str">
        <f>TRIM(_xlfn.TEXTAFTER(K4,":"))</f>
        <v>고유</v>
      </c>
      <c r="M6" s="18" t="s">
        <v>4828</v>
      </c>
      <c r="N6" s="16" t="str">
        <f>TRIM(_xlfn.TEXTAFTER(M4,":"))</f>
        <v>Único</v>
      </c>
      <c r="O6" s="18" t="s">
        <v>5528</v>
      </c>
      <c r="P6" s="16" t="str">
        <f>TRIM(_xlfn.TEXTAFTER(O4,":"))</f>
        <v>Уникальный</v>
      </c>
      <c r="Q6" s="18" t="s">
        <v>87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16"/>
    </row>
    <row r="9" spans="1:20" ht="15.95" customHeight="1" x14ac:dyDescent="0.25">
      <c r="A9" s="18" t="s">
        <v>88</v>
      </c>
      <c r="B9" s="16"/>
      <c r="C9" s="18" t="s">
        <v>1925</v>
      </c>
      <c r="D9" s="16"/>
      <c r="E9" s="18" t="s">
        <v>2645</v>
      </c>
      <c r="F9" s="16"/>
      <c r="G9" s="18" t="s">
        <v>1185</v>
      </c>
      <c r="H9" s="16"/>
      <c r="I9" s="18" t="s">
        <v>3371</v>
      </c>
      <c r="J9" s="16"/>
      <c r="K9" s="18" t="s">
        <v>4116</v>
      </c>
      <c r="L9" s="16"/>
      <c r="M9" s="18" t="s">
        <v>4829</v>
      </c>
      <c r="N9" s="16"/>
      <c r="O9" s="18" t="s">
        <v>5529</v>
      </c>
      <c r="P9" s="16"/>
      <c r="Q9" s="18" t="s">
        <v>6221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90</v>
      </c>
      <c r="B13" s="16"/>
      <c r="C13" s="18" t="s">
        <v>1926</v>
      </c>
      <c r="D13" s="16"/>
      <c r="E13" s="18" t="s">
        <v>2646</v>
      </c>
      <c r="F13" s="16"/>
      <c r="G13" s="18" t="s">
        <v>1186</v>
      </c>
      <c r="H13" s="16"/>
      <c r="I13" s="18" t="s">
        <v>3372</v>
      </c>
      <c r="J13" s="16"/>
      <c r="K13" s="18" t="s">
        <v>4117</v>
      </c>
      <c r="L13" s="16"/>
      <c r="M13" s="18" t="s">
        <v>4830</v>
      </c>
      <c r="N13" s="16"/>
      <c r="O13" s="18" t="s">
        <v>5530</v>
      </c>
      <c r="P13" s="16"/>
      <c r="Q13" s="18" t="s">
        <v>6222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91</v>
      </c>
      <c r="B15" s="16"/>
      <c r="C15" s="18" t="s">
        <v>1927</v>
      </c>
      <c r="D15" s="16"/>
      <c r="E15" s="18" t="s">
        <v>2647</v>
      </c>
      <c r="F15" s="16"/>
      <c r="G15" s="18" t="s">
        <v>1187</v>
      </c>
      <c r="H15" s="16"/>
      <c r="I15" s="18" t="s">
        <v>3373</v>
      </c>
      <c r="J15" s="16"/>
      <c r="K15" s="18" t="s">
        <v>4118</v>
      </c>
      <c r="L15" s="16"/>
      <c r="M15" s="18" t="s">
        <v>4831</v>
      </c>
      <c r="N15" s="16"/>
      <c r="O15" s="18" t="s">
        <v>5531</v>
      </c>
      <c r="P15" s="16"/>
      <c r="Q15" s="18" t="s">
        <v>6223</v>
      </c>
      <c r="R15" s="16"/>
      <c r="S15" s="18"/>
      <c r="T15" s="21"/>
    </row>
    <row r="16" spans="1:20" ht="15.95" customHeight="1" x14ac:dyDescent="0.25">
      <c r="A16" s="18" t="s">
        <v>92</v>
      </c>
      <c r="B16" s="16"/>
      <c r="C16" s="18" t="s">
        <v>1928</v>
      </c>
      <c r="D16" s="16"/>
      <c r="E16" s="18" t="s">
        <v>2648</v>
      </c>
      <c r="F16" s="16"/>
      <c r="G16" s="18" t="s">
        <v>1188</v>
      </c>
      <c r="H16" s="16"/>
      <c r="I16" s="18" t="s">
        <v>3374</v>
      </c>
      <c r="J16" s="16"/>
      <c r="K16" s="18" t="s">
        <v>4119</v>
      </c>
      <c r="L16" s="16"/>
      <c r="M16" s="18" t="s">
        <v>4832</v>
      </c>
      <c r="N16" s="16"/>
      <c r="O16" s="18" t="s">
        <v>5532</v>
      </c>
      <c r="P16" s="16"/>
      <c r="Q16" s="18" t="s">
        <v>6224</v>
      </c>
      <c r="R16" s="16"/>
      <c r="S16" s="18"/>
      <c r="T16" s="21"/>
    </row>
    <row r="17" spans="1:20" ht="15.95" customHeight="1" x14ac:dyDescent="0.25">
      <c r="A17" s="18" t="s">
        <v>93</v>
      </c>
      <c r="B17" s="16"/>
      <c r="C17" s="18" t="s">
        <v>1929</v>
      </c>
      <c r="D17" s="16"/>
      <c r="E17" s="18" t="s">
        <v>2649</v>
      </c>
      <c r="F17" s="16"/>
      <c r="G17" s="18" t="s">
        <v>1189</v>
      </c>
      <c r="H17" s="16"/>
      <c r="I17" s="18" t="s">
        <v>3375</v>
      </c>
      <c r="J17" s="16"/>
      <c r="K17" s="18" t="s">
        <v>4120</v>
      </c>
      <c r="L17" s="16"/>
      <c r="M17" s="18" t="s">
        <v>4833</v>
      </c>
      <c r="N17" s="16"/>
      <c r="O17" s="18" t="s">
        <v>5533</v>
      </c>
      <c r="P17" s="16"/>
      <c r="Q17" s="18" t="s">
        <v>6225</v>
      </c>
      <c r="R17" s="16"/>
      <c r="S17" s="18"/>
      <c r="T17" s="21"/>
    </row>
    <row r="18" spans="1:20" ht="15.95" customHeight="1" x14ac:dyDescent="0.25">
      <c r="A18" s="18" t="s">
        <v>94</v>
      </c>
      <c r="B18" s="16"/>
      <c r="C18" s="18" t="s">
        <v>1930</v>
      </c>
      <c r="D18" s="16"/>
      <c r="E18" s="18" t="s">
        <v>2650</v>
      </c>
      <c r="F18" s="16"/>
      <c r="G18" s="18" t="s">
        <v>8</v>
      </c>
      <c r="H18" s="16"/>
      <c r="I18" s="18" t="s">
        <v>3376</v>
      </c>
      <c r="J18" s="16"/>
      <c r="K18" s="18" t="s">
        <v>4121</v>
      </c>
      <c r="L18" s="16"/>
      <c r="M18" s="18" t="s">
        <v>4834</v>
      </c>
      <c r="N18" s="16"/>
      <c r="O18" s="18" t="s">
        <v>5534</v>
      </c>
      <c r="P18" s="16"/>
      <c r="Q18" s="18" t="s">
        <v>6226</v>
      </c>
      <c r="R18" s="16"/>
      <c r="S18" s="18"/>
      <c r="T18" s="21"/>
    </row>
    <row r="19" spans="1:20" ht="15.95" customHeight="1" x14ac:dyDescent="0.25">
      <c r="A19" s="18" t="s">
        <v>95</v>
      </c>
      <c r="B19" s="16"/>
      <c r="C19" s="18" t="s">
        <v>1931</v>
      </c>
      <c r="D19" s="16"/>
      <c r="E19" s="18" t="s">
        <v>2651</v>
      </c>
      <c r="F19" s="16"/>
      <c r="G19" s="18" t="s">
        <v>1190</v>
      </c>
      <c r="H19" s="16"/>
      <c r="I19" s="18" t="s">
        <v>3377</v>
      </c>
      <c r="J19" s="16"/>
      <c r="K19" s="18" t="s">
        <v>4122</v>
      </c>
      <c r="L19" s="16"/>
      <c r="M19" s="18" t="s">
        <v>4835</v>
      </c>
      <c r="N19" s="16"/>
      <c r="O19" s="18" t="s">
        <v>5535</v>
      </c>
      <c r="P19" s="16"/>
      <c r="Q19" s="18" t="s">
        <v>6227</v>
      </c>
      <c r="R19" s="16"/>
      <c r="S19" s="18"/>
      <c r="T19" s="21"/>
    </row>
    <row r="20" spans="1:20" ht="15.95" customHeight="1" x14ac:dyDescent="0.25">
      <c r="A20" s="18" t="s">
        <v>96</v>
      </c>
      <c r="B20" s="16"/>
      <c r="C20" s="18" t="s">
        <v>1932</v>
      </c>
      <c r="D20" s="16"/>
      <c r="E20" s="18" t="s">
        <v>2652</v>
      </c>
      <c r="F20" s="16"/>
      <c r="G20" s="18" t="s">
        <v>9</v>
      </c>
      <c r="H20" s="16"/>
      <c r="I20" s="18" t="s">
        <v>3378</v>
      </c>
      <c r="J20" s="16"/>
      <c r="K20" s="18" t="s">
        <v>4123</v>
      </c>
      <c r="L20" s="16"/>
      <c r="M20" s="18" t="s">
        <v>4836</v>
      </c>
      <c r="N20" s="16"/>
      <c r="O20" s="18" t="s">
        <v>5536</v>
      </c>
      <c r="P20" s="16"/>
      <c r="Q20" s="18" t="s">
        <v>6228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97</v>
      </c>
      <c r="B22" s="16"/>
      <c r="C22" s="18" t="s">
        <v>1933</v>
      </c>
      <c r="D22" s="16"/>
      <c r="E22" s="18" t="s">
        <v>2653</v>
      </c>
      <c r="F22" s="16"/>
      <c r="G22" s="18" t="s">
        <v>10</v>
      </c>
      <c r="H22" s="16"/>
      <c r="I22" s="18" t="s">
        <v>3379</v>
      </c>
      <c r="J22" s="16"/>
      <c r="K22" s="18" t="s">
        <v>4124</v>
      </c>
      <c r="L22" s="16"/>
      <c r="M22" s="18" t="s">
        <v>4837</v>
      </c>
      <c r="N22" s="16"/>
      <c r="O22" s="18" t="s">
        <v>5537</v>
      </c>
      <c r="P22" s="16"/>
      <c r="Q22" s="18" t="s">
        <v>6229</v>
      </c>
      <c r="R22" s="16"/>
      <c r="S22" s="18"/>
      <c r="T22" s="21"/>
    </row>
    <row r="23" spans="1:20" ht="15.95" customHeight="1" x14ac:dyDescent="0.25">
      <c r="A23" s="18" t="s">
        <v>98</v>
      </c>
      <c r="B23" s="16"/>
      <c r="C23" s="18" t="s">
        <v>1934</v>
      </c>
      <c r="D23" s="16"/>
      <c r="E23" s="18" t="s">
        <v>2654</v>
      </c>
      <c r="F23" s="16"/>
      <c r="G23" s="18" t="s">
        <v>11</v>
      </c>
      <c r="H23" s="16"/>
      <c r="I23" s="18" t="s">
        <v>3380</v>
      </c>
      <c r="J23" s="16"/>
      <c r="K23" s="18" t="s">
        <v>4125</v>
      </c>
      <c r="L23" s="16"/>
      <c r="M23" s="18" t="s">
        <v>4838</v>
      </c>
      <c r="N23" s="16"/>
      <c r="O23" s="18" t="s">
        <v>5538</v>
      </c>
      <c r="P23" s="16"/>
      <c r="Q23" s="18" t="s">
        <v>6230</v>
      </c>
      <c r="R23" s="16"/>
      <c r="S23" s="18"/>
      <c r="T23" s="21"/>
    </row>
    <row r="24" spans="1:20" ht="15.95" customHeight="1" x14ac:dyDescent="0.25">
      <c r="A24" s="18" t="s">
        <v>99</v>
      </c>
      <c r="B24" s="16"/>
      <c r="C24" s="18" t="s">
        <v>1935</v>
      </c>
      <c r="D24" s="16"/>
      <c r="E24" s="18" t="s">
        <v>2655</v>
      </c>
      <c r="F24" s="16"/>
      <c r="G24" s="18" t="s">
        <v>12</v>
      </c>
      <c r="H24" s="16"/>
      <c r="I24" s="18" t="s">
        <v>3381</v>
      </c>
      <c r="J24" s="16"/>
      <c r="K24" s="18" t="s">
        <v>4126</v>
      </c>
      <c r="L24" s="16"/>
      <c r="M24" s="18" t="s">
        <v>4839</v>
      </c>
      <c r="N24" s="16"/>
      <c r="O24" s="18" t="s">
        <v>5539</v>
      </c>
      <c r="P24" s="16"/>
      <c r="Q24" s="18" t="s">
        <v>6231</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4" priority="1" stopIfTrue="1">
      <formula>NOT(ISERROR(A3))</formula>
    </cfRule>
  </conditionalFormatting>
  <conditionalFormatting sqref="A3:T51">
    <cfRule type="containsErrors" dxfId="253" priority="4" stopIfTrue="1">
      <formula>ISERROR(A3)</formula>
    </cfRule>
    <cfRule type="notContainsBlanks" dxfId="252"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416</v>
      </c>
      <c r="B3" s="16" t="str">
        <f>TRIM(_xlfn.TEXTBEFORE(A3, ":"))</f>
        <v>Item Class</v>
      </c>
      <c r="C3" s="17" t="s">
        <v>1861</v>
      </c>
      <c r="D3" s="16" t="str">
        <f>TRIM(_xlfn.TEXTBEFORE(C3, ":"))</f>
        <v>Gegenstandsklasse</v>
      </c>
      <c r="E3" s="17" t="s">
        <v>2579</v>
      </c>
      <c r="F3" s="16" t="str">
        <f>TRIM(_xlfn.TEXTBEFORE(E3, ":"))</f>
        <v>Clase de objeto</v>
      </c>
      <c r="G3" s="17" t="s">
        <v>1124</v>
      </c>
      <c r="H3" s="16" t="str">
        <f>TRIM(_xlfn.TEXTBEFORE(G3, ":"))</f>
        <v>Classe d'objet</v>
      </c>
      <c r="I3" s="17" t="s">
        <v>3303</v>
      </c>
      <c r="J3" s="16" t="str">
        <f>TRIM(_xlfn.TEXTBEFORE(I3, ":"))</f>
        <v>アイテムクラス</v>
      </c>
      <c r="K3" s="17" t="s">
        <v>4048</v>
      </c>
      <c r="L3" s="16" t="str">
        <f>TRIM(_xlfn.TEXTBEFORE(K3, ":"))</f>
        <v>아이템 종류</v>
      </c>
      <c r="M3" s="17" t="s">
        <v>4769</v>
      </c>
      <c r="N3" s="16" t="str">
        <f>TRIM(_xlfn.TEXTBEFORE(M3, ":"))</f>
        <v>Classe do Item</v>
      </c>
      <c r="O3" s="17" t="s">
        <v>5462</v>
      </c>
      <c r="P3" s="16" t="str">
        <f>TRIM(_xlfn.TEXTBEFORE(O3, ":"))</f>
        <v>Класс предмета</v>
      </c>
      <c r="Q3" s="17" t="s">
        <v>6171</v>
      </c>
      <c r="R3" s="16" t="str">
        <f>TRIM(_xlfn.TEXTBEFORE(Q3, ":"))</f>
        <v>ชนิดไอเทม</v>
      </c>
      <c r="S3" s="17"/>
      <c r="T3" s="16" t="e">
        <f>TRIM(_xlfn.TEXTBEFORE(S3, ":"))</f>
        <v>#N/A</v>
      </c>
    </row>
    <row r="4" spans="1:20" ht="15.95" customHeight="1" x14ac:dyDescent="0.25">
      <c r="A4" s="18" t="s">
        <v>81</v>
      </c>
      <c r="B4" s="16" t="str">
        <f>TRIM(_xlfn.TEXTAFTER(A3, ":"))</f>
        <v>Boots</v>
      </c>
      <c r="C4" s="18" t="s">
        <v>1644</v>
      </c>
      <c r="D4" s="16" t="str">
        <f>TRIM(_xlfn.TEXTAFTER(C3, ":"))</f>
        <v>Stiefel</v>
      </c>
      <c r="E4" s="18" t="s">
        <v>2364</v>
      </c>
      <c r="F4" s="16" t="str">
        <f>TRIM(_xlfn.TEXTAFTER(E3, ":"))</f>
        <v>Botas</v>
      </c>
      <c r="G4" s="18" t="s">
        <v>1</v>
      </c>
      <c r="H4" s="16" t="str">
        <f>TRIM(_xlfn.TEXTAFTER(G3, ":"))</f>
        <v>Bottes</v>
      </c>
      <c r="I4" s="18" t="s">
        <v>3079</v>
      </c>
      <c r="J4" s="16" t="str">
        <f>TRIM(_xlfn.TEXTAFTER(I3, ":"))</f>
        <v>靴</v>
      </c>
      <c r="K4" s="18" t="s">
        <v>3829</v>
      </c>
      <c r="L4" s="16" t="str">
        <f>TRIM(_xlfn.TEXTAFTER(K3, ":"))</f>
        <v>장화</v>
      </c>
      <c r="M4" s="18" t="s">
        <v>4558</v>
      </c>
      <c r="N4" s="16" t="str">
        <f>TRIM(_xlfn.TEXTAFTER(M3, ":"))</f>
        <v>Botas</v>
      </c>
      <c r="O4" s="18" t="s">
        <v>5241</v>
      </c>
      <c r="P4" s="16" t="str">
        <f>TRIM(_xlfn.TEXTAFTER(O3, ":"))</f>
        <v>Обувь</v>
      </c>
      <c r="Q4" s="18" t="s">
        <v>5978</v>
      </c>
      <c r="R4" s="16" t="str">
        <f>TRIM(_xlfn.TEXTAFTER(Q3, ":"))</f>
        <v>รองเท้า</v>
      </c>
      <c r="S4" s="18"/>
      <c r="T4" s="16" t="e">
        <f>TRIM(_xlfn.TEXTAFTER(S3, ":"))</f>
        <v>#N/A</v>
      </c>
    </row>
    <row r="5" spans="1:20" ht="15.95" customHeight="1" x14ac:dyDescent="0.25">
      <c r="A5" s="18" t="s">
        <v>417</v>
      </c>
      <c r="B5" s="16" t="str">
        <f>TRIM(_xlfn.TEXTBEFORE(A4, ":"))</f>
        <v>Rarity</v>
      </c>
      <c r="C5" s="18" t="s">
        <v>417</v>
      </c>
      <c r="D5" s="16" t="str">
        <f>TRIM(_xlfn.TEXTBEFORE(C4, ":"))</f>
        <v>Seltenheit</v>
      </c>
      <c r="E5" s="18" t="s">
        <v>2656</v>
      </c>
      <c r="F5" s="16" t="str">
        <f>TRIM(_xlfn.TEXTBEFORE(E4, ":"))</f>
        <v>Rareza</v>
      </c>
      <c r="G5" s="18" t="s">
        <v>1191</v>
      </c>
      <c r="H5" s="16" t="str">
        <f>TRIM(_xlfn.TEXTBEFORE(G4, ":"))</f>
        <v>Rareté</v>
      </c>
      <c r="I5" s="18" t="s">
        <v>3382</v>
      </c>
      <c r="J5" s="16" t="str">
        <f>TRIM(_xlfn.TEXTBEFORE(I4, ":"))</f>
        <v>レアリティ</v>
      </c>
      <c r="K5" s="18" t="s">
        <v>4127</v>
      </c>
      <c r="L5" s="16" t="str">
        <f>TRIM(_xlfn.TEXTBEFORE(K4, ":"))</f>
        <v>아이템 희귀도</v>
      </c>
      <c r="M5" s="18" t="s">
        <v>4840</v>
      </c>
      <c r="N5" s="16" t="str">
        <f>TRIM(_xlfn.TEXTBEFORE(M4, ":"))</f>
        <v>Raridade</v>
      </c>
      <c r="O5" s="18" t="s">
        <v>5540</v>
      </c>
      <c r="P5" s="16" t="str">
        <f>TRIM(_xlfn.TEXTBEFORE(O4, ":"))</f>
        <v>Редкость</v>
      </c>
      <c r="Q5" s="18" t="s">
        <v>417</v>
      </c>
      <c r="R5" s="16" t="str">
        <f>TRIM(_xlfn.TEXTBEFORE(Q4, ":"))</f>
        <v>ความหายาก</v>
      </c>
      <c r="S5" s="18"/>
      <c r="T5" s="16" t="e">
        <f>TRIM(_xlfn.TEXTBEFORE(S4, ":"))</f>
        <v>#N/A</v>
      </c>
    </row>
    <row r="6" spans="1:20" ht="15.95" customHeight="1" x14ac:dyDescent="0.25">
      <c r="A6" s="18" t="s">
        <v>418</v>
      </c>
      <c r="B6" s="16" t="str">
        <f>TRIM(_xlfn.TEXTAFTER(A4,":"))</f>
        <v>Unique</v>
      </c>
      <c r="C6" s="18" t="s">
        <v>1936</v>
      </c>
      <c r="D6" s="16" t="str">
        <f>TRIM(_xlfn.TEXTAFTER(C4,":"))</f>
        <v>Einzigartig</v>
      </c>
      <c r="E6" s="18" t="s">
        <v>2657</v>
      </c>
      <c r="F6" s="16" t="str">
        <f>TRIM(_xlfn.TEXTAFTER(E4,":"))</f>
        <v>Único</v>
      </c>
      <c r="G6" s="18" t="s">
        <v>1192</v>
      </c>
      <c r="H6" s="16" t="str">
        <f>TRIM(_xlfn.TEXTAFTER(G4,":"))</f>
        <v>Unique</v>
      </c>
      <c r="I6" s="18" t="s">
        <v>3383</v>
      </c>
      <c r="J6" s="16" t="str">
        <f>TRIM(_xlfn.TEXTAFTER(I4,":"))</f>
        <v>ユニーク</v>
      </c>
      <c r="K6" s="18" t="s">
        <v>4128</v>
      </c>
      <c r="L6" s="16" t="str">
        <f>TRIM(_xlfn.TEXTAFTER(K4,":"))</f>
        <v>고유</v>
      </c>
      <c r="M6" s="18" t="s">
        <v>4841</v>
      </c>
      <c r="N6" s="16" t="str">
        <f>TRIM(_xlfn.TEXTAFTER(M4,":"))</f>
        <v>Único</v>
      </c>
      <c r="O6" s="18" t="s">
        <v>5541</v>
      </c>
      <c r="P6" s="16" t="str">
        <f>TRIM(_xlfn.TEXTAFTER(O4,":"))</f>
        <v>Уникальный</v>
      </c>
      <c r="Q6" s="18" t="s">
        <v>418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419</v>
      </c>
      <c r="B8" s="16"/>
      <c r="C8" s="18" t="s">
        <v>1937</v>
      </c>
      <c r="D8" s="16"/>
      <c r="E8" s="18" t="s">
        <v>2658</v>
      </c>
      <c r="F8" s="16"/>
      <c r="G8" s="18" t="s">
        <v>1193</v>
      </c>
      <c r="H8" s="16"/>
      <c r="I8" s="18" t="s">
        <v>3384</v>
      </c>
      <c r="J8" s="16"/>
      <c r="K8" s="18" t="s">
        <v>4129</v>
      </c>
      <c r="L8" s="16"/>
      <c r="M8" s="18" t="s">
        <v>4842</v>
      </c>
      <c r="N8" s="16"/>
      <c r="O8" s="18" t="s">
        <v>5542</v>
      </c>
      <c r="P8" s="16"/>
      <c r="Q8" s="18" t="s">
        <v>6232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420</v>
      </c>
      <c r="B10" s="16"/>
      <c r="C10" s="18" t="s">
        <v>1938</v>
      </c>
      <c r="D10" s="16"/>
      <c r="E10" s="18" t="s">
        <v>2659</v>
      </c>
      <c r="F10" s="16"/>
      <c r="G10" s="18" t="s">
        <v>1194</v>
      </c>
      <c r="H10" s="16"/>
      <c r="I10" s="18" t="s">
        <v>3385</v>
      </c>
      <c r="J10" s="16"/>
      <c r="K10" s="18" t="s">
        <v>4130</v>
      </c>
      <c r="L10" s="16"/>
      <c r="M10" s="18" t="s">
        <v>4843</v>
      </c>
      <c r="N10" s="16"/>
      <c r="O10" s="18" t="s">
        <v>5543</v>
      </c>
      <c r="P10" s="16"/>
      <c r="Q10" s="18" t="s">
        <v>6233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421</v>
      </c>
      <c r="B12" s="16"/>
      <c r="C12" s="18" t="s">
        <v>1791</v>
      </c>
      <c r="D12" s="16"/>
      <c r="E12" s="18" t="s">
        <v>2510</v>
      </c>
      <c r="F12" s="16"/>
      <c r="G12" s="18" t="s">
        <v>7</v>
      </c>
      <c r="H12" s="16"/>
      <c r="I12" s="18" t="s">
        <v>3230</v>
      </c>
      <c r="J12" s="16"/>
      <c r="K12" s="18" t="s">
        <v>3976</v>
      </c>
      <c r="L12" s="16"/>
      <c r="M12" s="18" t="s">
        <v>4703</v>
      </c>
      <c r="N12" s="16"/>
      <c r="O12" s="18" t="s">
        <v>5390</v>
      </c>
      <c r="P12" s="16"/>
      <c r="Q12" s="18" t="s">
        <v>6113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422</v>
      </c>
      <c r="B14" s="16"/>
      <c r="C14" s="18" t="s">
        <v>1939</v>
      </c>
      <c r="D14" s="16"/>
      <c r="E14" s="18" t="s">
        <v>2660</v>
      </c>
      <c r="F14" s="16"/>
      <c r="G14" s="18" t="s">
        <v>1195</v>
      </c>
      <c r="H14" s="16"/>
      <c r="I14" s="18" t="s">
        <v>3386</v>
      </c>
      <c r="J14" s="16"/>
      <c r="K14" s="18" t="s">
        <v>4131</v>
      </c>
      <c r="L14" s="16"/>
      <c r="M14" s="18" t="s">
        <v>4844</v>
      </c>
      <c r="N14" s="16"/>
      <c r="O14" s="18" t="s">
        <v>5544</v>
      </c>
      <c r="P14" s="16"/>
      <c r="Q14" s="18" t="s">
        <v>6234</v>
      </c>
      <c r="R14" s="16"/>
      <c r="S14" s="18"/>
      <c r="T14" s="21"/>
    </row>
    <row r="15" spans="1:20" ht="15.95" customHeight="1" x14ac:dyDescent="0.25">
      <c r="A15" s="18" t="s">
        <v>423</v>
      </c>
      <c r="B15" s="16"/>
      <c r="C15" s="18" t="s">
        <v>1940</v>
      </c>
      <c r="D15" s="16"/>
      <c r="E15" s="18" t="s">
        <v>2661</v>
      </c>
      <c r="F15" s="16"/>
      <c r="G15" s="18" t="s">
        <v>1196</v>
      </c>
      <c r="H15" s="16"/>
      <c r="I15" s="18" t="s">
        <v>3387</v>
      </c>
      <c r="J15" s="16"/>
      <c r="K15" s="18" t="s">
        <v>4132</v>
      </c>
      <c r="L15" s="16"/>
      <c r="M15" s="18" t="s">
        <v>4845</v>
      </c>
      <c r="N15" s="16"/>
      <c r="O15" s="18" t="s">
        <v>5545</v>
      </c>
      <c r="P15" s="16"/>
      <c r="Q15" s="18" t="s">
        <v>6235</v>
      </c>
      <c r="R15" s="16"/>
      <c r="S15" s="18"/>
      <c r="T15" s="21"/>
    </row>
    <row r="16" spans="1:20" ht="15.95" customHeight="1" x14ac:dyDescent="0.25">
      <c r="A16" s="18" t="s">
        <v>424</v>
      </c>
      <c r="B16" s="16"/>
      <c r="C16" s="18" t="s">
        <v>1941</v>
      </c>
      <c r="D16" s="16"/>
      <c r="E16" s="18" t="s">
        <v>2662</v>
      </c>
      <c r="F16" s="16"/>
      <c r="G16" s="18" t="s">
        <v>1197</v>
      </c>
      <c r="H16" s="16"/>
      <c r="I16" s="18" t="s">
        <v>3388</v>
      </c>
      <c r="J16" s="16"/>
      <c r="K16" s="18" t="s">
        <v>4133</v>
      </c>
      <c r="L16" s="16"/>
      <c r="M16" s="18" t="s">
        <v>4846</v>
      </c>
      <c r="N16" s="16"/>
      <c r="O16" s="18" t="s">
        <v>5546</v>
      </c>
      <c r="P16" s="16"/>
      <c r="Q16" s="18" t="s">
        <v>6236</v>
      </c>
      <c r="R16" s="16"/>
      <c r="S16" s="18"/>
      <c r="T16" s="21"/>
    </row>
    <row r="17" spans="1:20" ht="15.95" customHeight="1" x14ac:dyDescent="0.25">
      <c r="A17" s="18" t="s">
        <v>425</v>
      </c>
      <c r="B17" s="16"/>
      <c r="C17" s="18" t="s">
        <v>1942</v>
      </c>
      <c r="D17" s="16"/>
      <c r="E17" s="18" t="s">
        <v>2663</v>
      </c>
      <c r="F17" s="16"/>
      <c r="G17" s="18" t="s">
        <v>1198</v>
      </c>
      <c r="H17" s="16"/>
      <c r="I17" s="18" t="s">
        <v>3389</v>
      </c>
      <c r="J17" s="16"/>
      <c r="K17" s="18" t="s">
        <v>4134</v>
      </c>
      <c r="L17" s="16"/>
      <c r="M17" s="18" t="s">
        <v>4847</v>
      </c>
      <c r="N17" s="16"/>
      <c r="O17" s="18" t="s">
        <v>5547</v>
      </c>
      <c r="P17" s="16"/>
      <c r="Q17" s="18" t="s">
        <v>6237</v>
      </c>
      <c r="R17" s="16"/>
      <c r="S17" s="18"/>
      <c r="T17" s="21"/>
    </row>
    <row r="18" spans="1:20" ht="15.95" customHeight="1" x14ac:dyDescent="0.25">
      <c r="A18" s="18" t="s">
        <v>426</v>
      </c>
      <c r="B18" s="16"/>
      <c r="C18" s="18" t="s">
        <v>1943</v>
      </c>
      <c r="D18" s="16"/>
      <c r="E18" s="18" t="s">
        <v>2664</v>
      </c>
      <c r="F18" s="16"/>
      <c r="G18" s="18" t="s">
        <v>1199</v>
      </c>
      <c r="H18" s="16"/>
      <c r="I18" s="18" t="s">
        <v>3390</v>
      </c>
      <c r="J18" s="16"/>
      <c r="K18" s="18" t="s">
        <v>4135</v>
      </c>
      <c r="L18" s="16"/>
      <c r="M18" s="18" t="s">
        <v>4848</v>
      </c>
      <c r="N18" s="16"/>
      <c r="O18" s="18" t="s">
        <v>5548</v>
      </c>
      <c r="P18" s="16"/>
      <c r="Q18" s="18" t="s">
        <v>6238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427</v>
      </c>
      <c r="B20" s="16"/>
      <c r="C20" s="18" t="s">
        <v>1944</v>
      </c>
      <c r="D20" s="16"/>
      <c r="E20" s="18" t="s">
        <v>2665</v>
      </c>
      <c r="F20" s="16"/>
      <c r="G20" s="18" t="s">
        <v>1200</v>
      </c>
      <c r="H20" s="16"/>
      <c r="I20" s="18" t="s">
        <v>3391</v>
      </c>
      <c r="J20" s="16"/>
      <c r="K20" s="18" t="s">
        <v>4136</v>
      </c>
      <c r="L20" s="16"/>
      <c r="M20" s="18" t="s">
        <v>4849</v>
      </c>
      <c r="N20" s="16"/>
      <c r="O20" s="18" t="s">
        <v>5549</v>
      </c>
      <c r="P20" s="16"/>
      <c r="Q20" s="18" t="s">
        <v>6239</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1" priority="2" stopIfTrue="1">
      <formula>NOT(ISERROR(A3))</formula>
    </cfRule>
  </conditionalFormatting>
  <conditionalFormatting sqref="A3:T51">
    <cfRule type="containsErrors" dxfId="250" priority="1" stopIfTrue="1">
      <formula>ISERROR(A3)</formula>
    </cfRule>
    <cfRule type="notContainsBlanks" dxfId="249"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399</v>
      </c>
      <c r="B3" s="16" t="str">
        <f>TRIM(_xlfn.TEXTBEFORE(A3, ":"))</f>
        <v>Item Class</v>
      </c>
      <c r="C3" s="17" t="s">
        <v>1945</v>
      </c>
      <c r="D3" s="16" t="str">
        <f>TRIM(_xlfn.TEXTBEFORE(C3, ":"))</f>
        <v>Gegenstandsklasse</v>
      </c>
      <c r="E3" s="17" t="s">
        <v>2666</v>
      </c>
      <c r="F3" s="16" t="str">
        <f>TRIM(_xlfn.TEXTBEFORE(E3, ":"))</f>
        <v>Clase de objeto</v>
      </c>
      <c r="G3" s="17" t="s">
        <v>1201</v>
      </c>
      <c r="H3" s="16" t="str">
        <f>TRIM(_xlfn.TEXTBEFORE(G3, ":"))</f>
        <v>Classe d'objet</v>
      </c>
      <c r="I3" s="17" t="s">
        <v>3392</v>
      </c>
      <c r="J3" s="16" t="str">
        <f>TRIM(_xlfn.TEXTBEFORE(I3, ":"))</f>
        <v>アイテムクラス</v>
      </c>
      <c r="K3" s="17" t="s">
        <v>4137</v>
      </c>
      <c r="L3" s="16" t="str">
        <f>TRIM(_xlfn.TEXTBEFORE(K3, ":"))</f>
        <v>아이템 종류</v>
      </c>
      <c r="M3" s="17" t="s">
        <v>4850</v>
      </c>
      <c r="N3" s="16" t="str">
        <f>TRIM(_xlfn.TEXTBEFORE(M3, ":"))</f>
        <v>Classe do Item</v>
      </c>
      <c r="O3" s="17" t="s">
        <v>5550</v>
      </c>
      <c r="P3" s="16" t="str">
        <f>TRIM(_xlfn.TEXTBEFORE(O3, ":"))</f>
        <v>Класс предмета</v>
      </c>
      <c r="Q3" s="17" t="s">
        <v>6240</v>
      </c>
      <c r="R3" s="16" t="str">
        <f>TRIM(_xlfn.TEXTBEFORE(Q3, ":"))</f>
        <v>ชนิดไอเทม</v>
      </c>
      <c r="S3" s="17"/>
      <c r="T3" s="16" t="e">
        <f>TRIM(_xlfn.TEXTBEFORE(S3, ":"))</f>
        <v>#N/A</v>
      </c>
    </row>
    <row r="4" spans="1:20" ht="15.95" customHeight="1" x14ac:dyDescent="0.25">
      <c r="A4" s="18" t="s">
        <v>81</v>
      </c>
      <c r="B4" s="16" t="str">
        <f>TRIM(_xlfn.TEXTAFTER(A3, ":"))</f>
        <v>Gloves</v>
      </c>
      <c r="C4" s="18" t="s">
        <v>1644</v>
      </c>
      <c r="D4" s="16" t="str">
        <f>TRIM(_xlfn.TEXTAFTER(C3, ":"))</f>
        <v>Handschuhe</v>
      </c>
      <c r="E4" s="18" t="s">
        <v>2364</v>
      </c>
      <c r="F4" s="16" t="str">
        <f>TRIM(_xlfn.TEXTAFTER(E3, ":"))</f>
        <v>Guantes</v>
      </c>
      <c r="G4" s="18" t="s">
        <v>1</v>
      </c>
      <c r="H4" s="16" t="str">
        <f>TRIM(_xlfn.TEXTAFTER(G3, ":"))</f>
        <v>Gants</v>
      </c>
      <c r="I4" s="18" t="s">
        <v>3079</v>
      </c>
      <c r="J4" s="16" t="str">
        <f>TRIM(_xlfn.TEXTAFTER(I3, ":"))</f>
        <v>手袋</v>
      </c>
      <c r="K4" s="18" t="s">
        <v>3829</v>
      </c>
      <c r="L4" s="16" t="str">
        <f>TRIM(_xlfn.TEXTAFTER(K3, ":"))</f>
        <v>장갑</v>
      </c>
      <c r="M4" s="18" t="s">
        <v>4558</v>
      </c>
      <c r="N4" s="16" t="str">
        <f>TRIM(_xlfn.TEXTAFTER(M3, ":"))</f>
        <v>Luvas</v>
      </c>
      <c r="O4" s="18" t="s">
        <v>5241</v>
      </c>
      <c r="P4" s="16" t="str">
        <f>TRIM(_xlfn.TEXTAFTER(O3, ":"))</f>
        <v>Перчатки</v>
      </c>
      <c r="Q4" s="18" t="s">
        <v>5978</v>
      </c>
      <c r="R4" s="16" t="str">
        <f>TRIM(_xlfn.TEXTAFTER(Q3, ":"))</f>
        <v>ถุงมือ</v>
      </c>
      <c r="S4" s="18"/>
      <c r="T4" s="16" t="e">
        <f>TRIM(_xlfn.TEXTAFTER(S3, ":"))</f>
        <v>#N/A</v>
      </c>
    </row>
    <row r="5" spans="1:20" ht="15.95" customHeight="1" x14ac:dyDescent="0.25">
      <c r="A5" s="18" t="s">
        <v>400</v>
      </c>
      <c r="B5" s="16" t="str">
        <f>TRIM(_xlfn.TEXTBEFORE(A4, ":"))</f>
        <v>Rarity</v>
      </c>
      <c r="C5" s="18" t="s">
        <v>1946</v>
      </c>
      <c r="D5" s="16" t="str">
        <f>TRIM(_xlfn.TEXTBEFORE(C4, ":"))</f>
        <v>Seltenheit</v>
      </c>
      <c r="E5" s="18" t="s">
        <v>2667</v>
      </c>
      <c r="F5" s="16" t="str">
        <f>TRIM(_xlfn.TEXTBEFORE(E4, ":"))</f>
        <v>Rareza</v>
      </c>
      <c r="G5" s="18" t="s">
        <v>1202</v>
      </c>
      <c r="H5" s="16" t="str">
        <f>TRIM(_xlfn.TEXTBEFORE(G4, ":"))</f>
        <v>Rareté</v>
      </c>
      <c r="I5" s="18" t="s">
        <v>3393</v>
      </c>
      <c r="J5" s="16" t="str">
        <f>TRIM(_xlfn.TEXTBEFORE(I4, ":"))</f>
        <v>レアリティ</v>
      </c>
      <c r="K5" s="18" t="s">
        <v>4138</v>
      </c>
      <c r="L5" s="16" t="str">
        <f>TRIM(_xlfn.TEXTBEFORE(K4, ":"))</f>
        <v>아이템 희귀도</v>
      </c>
      <c r="M5" s="18" t="s">
        <v>2667</v>
      </c>
      <c r="N5" s="16" t="str">
        <f>TRIM(_xlfn.TEXTBEFORE(M4, ":"))</f>
        <v>Raridade</v>
      </c>
      <c r="O5" s="18" t="s">
        <v>5551</v>
      </c>
      <c r="P5" s="16" t="str">
        <f>TRIM(_xlfn.TEXTBEFORE(O4, ":"))</f>
        <v>Редкость</v>
      </c>
      <c r="Q5" s="18" t="s">
        <v>400</v>
      </c>
      <c r="R5" s="16" t="str">
        <f>TRIM(_xlfn.TEXTBEFORE(Q4, ":"))</f>
        <v>ความหายาก</v>
      </c>
      <c r="S5" s="18"/>
      <c r="T5" s="16" t="e">
        <f>TRIM(_xlfn.TEXTBEFORE(S4, ":"))</f>
        <v>#N/A</v>
      </c>
    </row>
    <row r="6" spans="1:20" ht="15.95" customHeight="1" x14ac:dyDescent="0.25">
      <c r="A6" s="18" t="s">
        <v>401</v>
      </c>
      <c r="B6" s="16" t="str">
        <f>TRIM(_xlfn.TEXTAFTER(A4,":"))</f>
        <v>Unique</v>
      </c>
      <c r="C6" s="18" t="s">
        <v>1947</v>
      </c>
      <c r="D6" s="16" t="str">
        <f>TRIM(_xlfn.TEXTAFTER(C4,":"))</f>
        <v>Einzigartig</v>
      </c>
      <c r="E6" s="18" t="s">
        <v>2668</v>
      </c>
      <c r="F6" s="16" t="str">
        <f>TRIM(_xlfn.TEXTAFTER(E4,":"))</f>
        <v>Único</v>
      </c>
      <c r="G6" s="18" t="s">
        <v>1203</v>
      </c>
      <c r="H6" s="16" t="str">
        <f>TRIM(_xlfn.TEXTAFTER(G4,":"))</f>
        <v>Unique</v>
      </c>
      <c r="I6" s="18" t="s">
        <v>3394</v>
      </c>
      <c r="J6" s="16" t="str">
        <f>TRIM(_xlfn.TEXTAFTER(I4,":"))</f>
        <v>ユニーク</v>
      </c>
      <c r="K6" s="18" t="s">
        <v>4139</v>
      </c>
      <c r="L6" s="16" t="str">
        <f>TRIM(_xlfn.TEXTAFTER(K4,":"))</f>
        <v>고유</v>
      </c>
      <c r="M6" s="18" t="s">
        <v>4851</v>
      </c>
      <c r="N6" s="16" t="str">
        <f>TRIM(_xlfn.TEXTAFTER(M4,":"))</f>
        <v>Único</v>
      </c>
      <c r="O6" s="18" t="s">
        <v>5552</v>
      </c>
      <c r="P6" s="16" t="str">
        <f>TRIM(_xlfn.TEXTAFTER(O4,":"))</f>
        <v>Уникальный</v>
      </c>
      <c r="Q6" s="18" t="s">
        <v>401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402</v>
      </c>
      <c r="B8" s="16"/>
      <c r="C8" s="18" t="s">
        <v>1948</v>
      </c>
      <c r="D8" s="16"/>
      <c r="E8" s="18" t="s">
        <v>2669</v>
      </c>
      <c r="F8" s="16"/>
      <c r="G8" s="18" t="s">
        <v>1204</v>
      </c>
      <c r="H8" s="16"/>
      <c r="I8" s="18" t="s">
        <v>3395</v>
      </c>
      <c r="J8" s="16"/>
      <c r="K8" s="18" t="s">
        <v>4140</v>
      </c>
      <c r="L8" s="16"/>
      <c r="M8" s="18" t="s">
        <v>2669</v>
      </c>
      <c r="N8" s="16"/>
      <c r="O8" s="18" t="s">
        <v>5553</v>
      </c>
      <c r="P8" s="16"/>
      <c r="Q8" s="18" t="s">
        <v>6241</v>
      </c>
      <c r="R8" s="16"/>
      <c r="S8" s="18"/>
      <c r="T8" s="16"/>
    </row>
    <row r="9" spans="1:20" ht="15.95" customHeight="1" x14ac:dyDescent="0.25">
      <c r="A9" s="18" t="s">
        <v>403</v>
      </c>
      <c r="B9" s="16"/>
      <c r="C9" s="18" t="s">
        <v>1949</v>
      </c>
      <c r="D9" s="16"/>
      <c r="E9" s="18" t="s">
        <v>2670</v>
      </c>
      <c r="F9" s="16"/>
      <c r="G9" s="18" t="s">
        <v>1205</v>
      </c>
      <c r="H9" s="16"/>
      <c r="I9" s="18" t="s">
        <v>3396</v>
      </c>
      <c r="J9" s="16"/>
      <c r="K9" s="18" t="s">
        <v>4141</v>
      </c>
      <c r="L9" s="16"/>
      <c r="M9" s="18" t="s">
        <v>4852</v>
      </c>
      <c r="N9" s="16"/>
      <c r="O9" s="18" t="s">
        <v>5554</v>
      </c>
      <c r="P9" s="16"/>
      <c r="Q9" s="18" t="s">
        <v>6242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c r="T11" s="16"/>
    </row>
    <row r="12" spans="1:20" ht="15.95" customHeight="1" x14ac:dyDescent="0.25">
      <c r="A12" s="18" t="s">
        <v>404</v>
      </c>
      <c r="B12" s="16"/>
      <c r="C12" s="18" t="s">
        <v>1950</v>
      </c>
      <c r="D12" s="16"/>
      <c r="E12" s="18" t="s">
        <v>2671</v>
      </c>
      <c r="F12" s="16"/>
      <c r="G12" s="18" t="s">
        <v>1206</v>
      </c>
      <c r="H12" s="16"/>
      <c r="I12" s="18" t="s">
        <v>3397</v>
      </c>
      <c r="J12" s="16"/>
      <c r="K12" s="18" t="s">
        <v>4142</v>
      </c>
      <c r="L12" s="16"/>
      <c r="M12" s="18" t="s">
        <v>4853</v>
      </c>
      <c r="N12" s="16"/>
      <c r="O12" s="18" t="s">
        <v>5555</v>
      </c>
      <c r="P12" s="16"/>
      <c r="Q12" s="18" t="s">
        <v>6243</v>
      </c>
      <c r="R12" s="16"/>
      <c r="S12" s="18"/>
      <c r="T12" s="21"/>
    </row>
    <row r="13" spans="1:20" ht="15.95" customHeight="1" x14ac:dyDescent="0.25">
      <c r="A13" s="18" t="s">
        <v>405</v>
      </c>
      <c r="B13" s="16"/>
      <c r="C13" s="18" t="s">
        <v>405</v>
      </c>
      <c r="D13" s="16"/>
      <c r="E13" s="18" t="s">
        <v>2672</v>
      </c>
      <c r="F13" s="16"/>
      <c r="G13" s="18" t="s">
        <v>1207</v>
      </c>
      <c r="H13" s="16"/>
      <c r="I13" s="18" t="s">
        <v>3398</v>
      </c>
      <c r="J13" s="16"/>
      <c r="K13" s="18" t="s">
        <v>4143</v>
      </c>
      <c r="L13" s="16"/>
      <c r="M13" s="18" t="s">
        <v>1207</v>
      </c>
      <c r="N13" s="16"/>
      <c r="O13" s="18" t="s">
        <v>5556</v>
      </c>
      <c r="P13" s="16"/>
      <c r="Q13" s="18" t="s">
        <v>405</v>
      </c>
      <c r="R13" s="16"/>
      <c r="S13" s="18"/>
      <c r="T13" s="21"/>
    </row>
    <row r="14" spans="1:20" ht="15.95" customHeight="1" x14ac:dyDescent="0.25">
      <c r="A14" s="18" t="s">
        <v>406</v>
      </c>
      <c r="B14" s="16"/>
      <c r="C14" s="18" t="s">
        <v>1951</v>
      </c>
      <c r="D14" s="16"/>
      <c r="E14" s="18" t="s">
        <v>2673</v>
      </c>
      <c r="F14" s="16"/>
      <c r="G14" s="18" t="s">
        <v>406</v>
      </c>
      <c r="H14" s="16"/>
      <c r="I14" s="18" t="s">
        <v>3399</v>
      </c>
      <c r="J14" s="16"/>
      <c r="K14" s="18" t="s">
        <v>4144</v>
      </c>
      <c r="L14" s="16"/>
      <c r="M14" s="18" t="s">
        <v>2673</v>
      </c>
      <c r="N14" s="16"/>
      <c r="O14" s="18" t="s">
        <v>5557</v>
      </c>
      <c r="P14" s="16"/>
      <c r="Q14" s="18" t="s">
        <v>406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407</v>
      </c>
      <c r="B16" s="16"/>
      <c r="C16" s="18" t="s">
        <v>1952</v>
      </c>
      <c r="D16" s="16"/>
      <c r="E16" s="18" t="s">
        <v>2674</v>
      </c>
      <c r="F16" s="16"/>
      <c r="G16" s="18" t="s">
        <v>1208</v>
      </c>
      <c r="H16" s="16"/>
      <c r="I16" s="18" t="s">
        <v>3400</v>
      </c>
      <c r="J16" s="16"/>
      <c r="K16" s="18" t="s">
        <v>4145</v>
      </c>
      <c r="L16" s="16"/>
      <c r="M16" s="18" t="s">
        <v>4854</v>
      </c>
      <c r="N16" s="16"/>
      <c r="O16" s="18" t="s">
        <v>5558</v>
      </c>
      <c r="P16" s="16"/>
      <c r="Q16" s="18" t="s">
        <v>6244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255</v>
      </c>
      <c r="B18" s="16"/>
      <c r="C18" s="18" t="s">
        <v>1731</v>
      </c>
      <c r="D18" s="16"/>
      <c r="E18" s="18" t="s">
        <v>2450</v>
      </c>
      <c r="F18" s="16"/>
      <c r="G18" s="18" t="s">
        <v>999</v>
      </c>
      <c r="H18" s="16"/>
      <c r="I18" s="18" t="s">
        <v>3168</v>
      </c>
      <c r="J18" s="16"/>
      <c r="K18" s="18" t="s">
        <v>3915</v>
      </c>
      <c r="L18" s="16"/>
      <c r="M18" s="18" t="s">
        <v>4644</v>
      </c>
      <c r="N18" s="16"/>
      <c r="O18" s="18" t="s">
        <v>5329</v>
      </c>
      <c r="P18" s="16"/>
      <c r="Q18" s="18" t="s">
        <v>6061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408</v>
      </c>
      <c r="B20" s="16"/>
      <c r="C20" s="18" t="s">
        <v>1953</v>
      </c>
      <c r="D20" s="16"/>
      <c r="E20" s="18" t="s">
        <v>2675</v>
      </c>
      <c r="F20" s="16"/>
      <c r="G20" s="18" t="s">
        <v>1209</v>
      </c>
      <c r="H20" s="16"/>
      <c r="I20" s="18" t="s">
        <v>3401</v>
      </c>
      <c r="J20" s="16"/>
      <c r="K20" s="18" t="s">
        <v>4146</v>
      </c>
      <c r="L20" s="16"/>
      <c r="M20" s="18" t="s">
        <v>4855</v>
      </c>
      <c r="N20" s="16"/>
      <c r="O20" s="18" t="s">
        <v>5559</v>
      </c>
      <c r="P20" s="16"/>
      <c r="Q20" s="18" t="s">
        <v>6245</v>
      </c>
      <c r="R20" s="16"/>
      <c r="S20" s="18"/>
      <c r="T20" s="21"/>
    </row>
    <row r="21" spans="1:20" ht="15.95" customHeight="1" x14ac:dyDescent="0.25">
      <c r="A21" s="18" t="s">
        <v>409</v>
      </c>
      <c r="B21" s="16"/>
      <c r="C21" s="18" t="s">
        <v>1954</v>
      </c>
      <c r="D21" s="16"/>
      <c r="E21" s="18" t="s">
        <v>2676</v>
      </c>
      <c r="F21" s="16"/>
      <c r="G21" s="18" t="s">
        <v>1210</v>
      </c>
      <c r="H21" s="16"/>
      <c r="I21" s="18" t="s">
        <v>3402</v>
      </c>
      <c r="J21" s="16"/>
      <c r="K21" s="18" t="s">
        <v>4147</v>
      </c>
      <c r="L21" s="16"/>
      <c r="M21" s="18" t="s">
        <v>4856</v>
      </c>
      <c r="N21" s="16"/>
      <c r="O21" s="18" t="s">
        <v>5560</v>
      </c>
      <c r="P21" s="16"/>
      <c r="Q21" s="18" t="s">
        <v>6246</v>
      </c>
      <c r="R21" s="16"/>
      <c r="S21" s="18"/>
      <c r="T21" s="21"/>
    </row>
    <row r="22" spans="1:20" ht="15.95" customHeight="1" x14ac:dyDescent="0.25">
      <c r="A22" s="18" t="s">
        <v>410</v>
      </c>
      <c r="B22" s="16"/>
      <c r="C22" s="18" t="s">
        <v>1955</v>
      </c>
      <c r="D22" s="16"/>
      <c r="E22" s="18" t="s">
        <v>2677</v>
      </c>
      <c r="F22" s="16"/>
      <c r="G22" s="18" t="s">
        <v>1211</v>
      </c>
      <c r="H22" s="16"/>
      <c r="I22" s="18" t="s">
        <v>3403</v>
      </c>
      <c r="J22" s="16"/>
      <c r="K22" s="18" t="s">
        <v>4148</v>
      </c>
      <c r="L22" s="16"/>
      <c r="M22" s="18" t="s">
        <v>4857</v>
      </c>
      <c r="N22" s="16"/>
      <c r="O22" s="18" t="s">
        <v>5561</v>
      </c>
      <c r="P22" s="16"/>
      <c r="Q22" s="18" t="s">
        <v>6247</v>
      </c>
      <c r="R22" s="16"/>
      <c r="S22" s="18"/>
      <c r="T22" s="21"/>
    </row>
    <row r="23" spans="1:20" ht="15.95" customHeight="1" x14ac:dyDescent="0.25">
      <c r="A23" s="18" t="s">
        <v>411</v>
      </c>
      <c r="B23" s="16"/>
      <c r="C23" s="18" t="s">
        <v>1956</v>
      </c>
      <c r="D23" s="16"/>
      <c r="E23" s="18" t="s">
        <v>2678</v>
      </c>
      <c r="F23" s="16"/>
      <c r="G23" s="18" t="s">
        <v>1212</v>
      </c>
      <c r="H23" s="16"/>
      <c r="I23" s="18" t="s">
        <v>3404</v>
      </c>
      <c r="J23" s="16"/>
      <c r="K23" s="18" t="s">
        <v>4149</v>
      </c>
      <c r="L23" s="16"/>
      <c r="M23" s="18" t="s">
        <v>4858</v>
      </c>
      <c r="N23" s="16"/>
      <c r="O23" s="18" t="s">
        <v>5562</v>
      </c>
      <c r="P23" s="16"/>
      <c r="Q23" s="18" t="s">
        <v>6248</v>
      </c>
      <c r="R23" s="16"/>
      <c r="S23" s="18"/>
      <c r="T23" s="21"/>
    </row>
    <row r="24" spans="1:20" ht="15.95" customHeight="1" x14ac:dyDescent="0.25">
      <c r="A24" s="18" t="s">
        <v>412</v>
      </c>
      <c r="B24" s="16"/>
      <c r="C24" s="18" t="s">
        <v>1957</v>
      </c>
      <c r="D24" s="16"/>
      <c r="E24" s="18" t="s">
        <v>2679</v>
      </c>
      <c r="F24" s="16"/>
      <c r="G24" s="18" t="s">
        <v>1213</v>
      </c>
      <c r="H24" s="16"/>
      <c r="I24" s="18" t="s">
        <v>3405</v>
      </c>
      <c r="J24" s="16"/>
      <c r="K24" s="18" t="s">
        <v>4150</v>
      </c>
      <c r="L24" s="16"/>
      <c r="M24" s="18" t="s">
        <v>4859</v>
      </c>
      <c r="N24" s="16"/>
      <c r="O24" s="18" t="s">
        <v>5563</v>
      </c>
      <c r="P24" s="16"/>
      <c r="Q24" s="18" t="s">
        <v>6249</v>
      </c>
      <c r="R24" s="16"/>
      <c r="S24" s="18"/>
      <c r="T24" s="21"/>
    </row>
    <row r="25" spans="1:20" ht="15.95" customHeight="1" x14ac:dyDescent="0.25">
      <c r="A25" s="18" t="s">
        <v>413</v>
      </c>
      <c r="B25" s="16"/>
      <c r="C25" s="18" t="s">
        <v>1958</v>
      </c>
      <c r="D25" s="16"/>
      <c r="E25" s="18" t="s">
        <v>2680</v>
      </c>
      <c r="F25" s="16"/>
      <c r="G25" s="18" t="s">
        <v>1214</v>
      </c>
      <c r="H25" s="16"/>
      <c r="I25" s="18" t="s">
        <v>3406</v>
      </c>
      <c r="J25" s="16"/>
      <c r="K25" s="18" t="s">
        <v>4151</v>
      </c>
      <c r="L25" s="16"/>
      <c r="M25" s="18" t="s">
        <v>4860</v>
      </c>
      <c r="N25" s="16"/>
      <c r="O25" s="18" t="s">
        <v>5564</v>
      </c>
      <c r="P25" s="16"/>
      <c r="Q25" s="18" t="s">
        <v>6250</v>
      </c>
      <c r="R25" s="16"/>
      <c r="S25" s="18"/>
      <c r="T25" s="21"/>
    </row>
    <row r="26" spans="1:20" ht="15.95" customHeight="1" x14ac:dyDescent="0.25">
      <c r="A26" s="18" t="s">
        <v>414</v>
      </c>
      <c r="B26" s="16"/>
      <c r="C26" s="18" t="s">
        <v>1959</v>
      </c>
      <c r="D26" s="16"/>
      <c r="E26" s="18" t="s">
        <v>2681</v>
      </c>
      <c r="F26" s="16"/>
      <c r="G26" s="18" t="s">
        <v>1215</v>
      </c>
      <c r="H26" s="16"/>
      <c r="I26" s="18" t="s">
        <v>4</v>
      </c>
      <c r="J26" s="16"/>
      <c r="K26" s="18" t="s">
        <v>4152</v>
      </c>
      <c r="L26" s="16"/>
      <c r="M26" s="18" t="s">
        <v>4861</v>
      </c>
      <c r="N26" s="16"/>
      <c r="O26" s="18" t="s">
        <v>5565</v>
      </c>
      <c r="P26" s="16"/>
      <c r="Q26" s="18" t="s">
        <v>6251</v>
      </c>
      <c r="R26" s="16"/>
      <c r="S26" s="18"/>
      <c r="T26" s="21"/>
    </row>
    <row r="27" spans="1:20" ht="15.95" customHeight="1" x14ac:dyDescent="0.25">
      <c r="A27" s="18" t="s">
        <v>4</v>
      </c>
      <c r="B27" s="16"/>
      <c r="C27" s="18" t="s">
        <v>4</v>
      </c>
      <c r="D27" s="16"/>
      <c r="E27" s="18" t="s">
        <v>4</v>
      </c>
      <c r="F27" s="16"/>
      <c r="G27" s="18" t="s">
        <v>4</v>
      </c>
      <c r="H27" s="16"/>
      <c r="I27" s="18" t="s">
        <v>3407</v>
      </c>
      <c r="J27" s="16"/>
      <c r="K27" s="18" t="s">
        <v>4</v>
      </c>
      <c r="L27" s="16"/>
      <c r="M27" s="18" t="s">
        <v>4</v>
      </c>
      <c r="N27" s="16"/>
      <c r="O27" s="18" t="s">
        <v>4</v>
      </c>
      <c r="P27" s="16"/>
      <c r="Q27" s="18" t="s">
        <v>4</v>
      </c>
      <c r="R27" s="16"/>
      <c r="S27" s="18"/>
      <c r="T27" s="21"/>
    </row>
    <row r="28" spans="1:20" ht="15.95" customHeight="1" x14ac:dyDescent="0.25">
      <c r="A28" s="18" t="s">
        <v>415</v>
      </c>
      <c r="B28" s="16"/>
      <c r="C28" s="18" t="s">
        <v>1960</v>
      </c>
      <c r="D28" s="16"/>
      <c r="E28" s="18" t="s">
        <v>2682</v>
      </c>
      <c r="F28" s="16"/>
      <c r="G28" s="18" t="s">
        <v>1216</v>
      </c>
      <c r="H28" s="16"/>
      <c r="I28" s="18" t="s">
        <v>3408</v>
      </c>
      <c r="J28" s="16"/>
      <c r="K28" s="18" t="s">
        <v>4153</v>
      </c>
      <c r="L28" s="16"/>
      <c r="M28" s="18" t="s">
        <v>4862</v>
      </c>
      <c r="N28" s="16"/>
      <c r="O28" s="18" t="s">
        <v>5566</v>
      </c>
      <c r="P28" s="16"/>
      <c r="Q28" s="18" t="s">
        <v>6252</v>
      </c>
      <c r="R28" s="16"/>
      <c r="S28" s="18"/>
      <c r="T28" s="21"/>
    </row>
    <row r="29" spans="1:20" ht="15.95" customHeight="1" x14ac:dyDescent="0.25">
      <c r="A29" s="18" t="e">
        <f>- Coralito, Brotherhood of Silence</f>
        <v>#NAME?</v>
      </c>
      <c r="B29" s="16"/>
      <c r="C29" s="18" t="s">
        <v>1961</v>
      </c>
      <c r="D29" s="16"/>
      <c r="E29" s="18" t="e">
        <f>- Coralito, Hermandad del Silencio</f>
        <v>#NAME?</v>
      </c>
      <c r="F29" s="16"/>
      <c r="G29" s="18" t="s">
        <v>1217</v>
      </c>
      <c r="H29" s="16"/>
      <c r="I29" s="18" t="s">
        <v>3409</v>
      </c>
      <c r="J29" s="16"/>
      <c r="K29" s="18" t="e" cm="1">
        <f t="array" ref="K29">- 침묵의 형제단 코랄리토</f>
        <v>#NAME?</v>
      </c>
      <c r="L29" s="16"/>
      <c r="M29" s="18" t="e">
        <f>- Coralito, Irmandade do Silêncio</f>
        <v>#NAME?</v>
      </c>
      <c r="N29" s="16"/>
      <c r="O29" s="18" t="s">
        <v>5567</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1218</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8" priority="2" stopIfTrue="1">
      <formula>NOT(ISERROR(A3))</formula>
    </cfRule>
  </conditionalFormatting>
  <conditionalFormatting sqref="A3:T51">
    <cfRule type="containsErrors" dxfId="247" priority="1" stopIfTrue="1">
      <formula>ISERROR(A3)</formula>
    </cfRule>
    <cfRule type="notContainsBlanks" dxfId="246"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7"/>
      <c r="T3" s="16" t="e">
        <f>TRIM(_xlfn.TEXTBEFORE(S3, ":"))</f>
        <v>#N/A</v>
      </c>
    </row>
    <row r="4" spans="1:20" ht="15.95" customHeight="1" x14ac:dyDescent="0.25">
      <c r="A4" s="18" t="s">
        <v>81</v>
      </c>
      <c r="B4" s="16" t="str">
        <f>TRIM(_xlfn.TEXTAFTER(A3, ":"))</f>
        <v>Bows</v>
      </c>
      <c r="C4" s="18" t="s">
        <v>1644</v>
      </c>
      <c r="D4" s="16" t="str">
        <f>TRIM(_xlfn.TEXTAFTER(C3, ":"))</f>
        <v>Bögen</v>
      </c>
      <c r="E4" s="18" t="s">
        <v>2364</v>
      </c>
      <c r="F4" s="16" t="str">
        <f>TRIM(_xlfn.TEXTAFTER(E3, ":"))</f>
        <v>Arcos</v>
      </c>
      <c r="G4" s="18" t="s">
        <v>1</v>
      </c>
      <c r="H4" s="16" t="str">
        <f>TRIM(_xlfn.TEXTAFTER(G3, ":"))</f>
        <v>Arcs</v>
      </c>
      <c r="I4" s="18" t="s">
        <v>3079</v>
      </c>
      <c r="J4" s="16" t="str">
        <f>TRIM(_xlfn.TEXTAFTER(I3, ":"))</f>
        <v>弓</v>
      </c>
      <c r="K4" s="18" t="s">
        <v>3829</v>
      </c>
      <c r="L4" s="16" t="str">
        <f>TRIM(_xlfn.TEXTAFTER(K3, ":"))</f>
        <v>활</v>
      </c>
      <c r="M4" s="18" t="s">
        <v>4558</v>
      </c>
      <c r="N4" s="16" t="str">
        <f>TRIM(_xlfn.TEXTAFTER(M3, ":"))</f>
        <v>Arcos</v>
      </c>
      <c r="O4" s="18" t="s">
        <v>5241</v>
      </c>
      <c r="P4" s="16" t="str">
        <f>TRIM(_xlfn.TEXTAFTER(O3, ":"))</f>
        <v>Луки</v>
      </c>
      <c r="Q4" s="18" t="s">
        <v>5978</v>
      </c>
      <c r="R4" s="16" t="str">
        <f>TRIM(_xlfn.TEXTAFTER(Q3, ":"))</f>
        <v>ธนู</v>
      </c>
      <c r="S4" s="18"/>
      <c r="T4" s="16" t="e">
        <f>TRIM(_xlfn.TEXTAFTER(S3, ":"))</f>
        <v>#N/A</v>
      </c>
    </row>
    <row r="5" spans="1:20" ht="15.95" customHeight="1" x14ac:dyDescent="0.25">
      <c r="A5" s="18" t="s">
        <v>341</v>
      </c>
      <c r="B5" s="16" t="str">
        <f>TRIM(_xlfn.TEXTBEFORE(A4, ":"))</f>
        <v>Rarity</v>
      </c>
      <c r="C5" s="18" t="s">
        <v>1963</v>
      </c>
      <c r="D5" s="16" t="str">
        <f>TRIM(_xlfn.TEXTBEFORE(C4, ":"))</f>
        <v>Seltenheit</v>
      </c>
      <c r="E5" s="18" t="s">
        <v>2684</v>
      </c>
      <c r="F5" s="16" t="str">
        <f>TRIM(_xlfn.TEXTBEFORE(E4, ":"))</f>
        <v>Rareza</v>
      </c>
      <c r="G5" s="18" t="s">
        <v>1220</v>
      </c>
      <c r="H5" s="16" t="str">
        <f>TRIM(_xlfn.TEXTBEFORE(G4, ":"))</f>
        <v>Rareté</v>
      </c>
      <c r="I5" s="18" t="s">
        <v>3411</v>
      </c>
      <c r="J5" s="16" t="str">
        <f>TRIM(_xlfn.TEXTBEFORE(I4, ":"))</f>
        <v>レアリティ</v>
      </c>
      <c r="K5" s="18" t="s">
        <v>4155</v>
      </c>
      <c r="L5" s="16" t="str">
        <f>TRIM(_xlfn.TEXTBEFORE(K4, ":"))</f>
        <v>아이템 희귀도</v>
      </c>
      <c r="M5" s="18" t="s">
        <v>4864</v>
      </c>
      <c r="N5" s="16" t="str">
        <f>TRIM(_xlfn.TEXTBEFORE(M4, ":"))</f>
        <v>Raridade</v>
      </c>
      <c r="O5" s="18" t="s">
        <v>5569</v>
      </c>
      <c r="P5" s="16" t="str">
        <f>TRIM(_xlfn.TEXTBEFORE(O4, ":"))</f>
        <v>Редкость</v>
      </c>
      <c r="Q5" s="18" t="s">
        <v>341</v>
      </c>
      <c r="R5" s="16" t="str">
        <f>TRIM(_xlfn.TEXTBEFORE(Q4, ":"))</f>
        <v>ความหายาก</v>
      </c>
      <c r="S5" s="18"/>
      <c r="T5" s="16" t="e">
        <f>TRIM(_xlfn.TEXTBEFORE(S4, ":"))</f>
        <v>#N/A</v>
      </c>
    </row>
    <row r="6" spans="1:20" ht="15.95" customHeight="1" x14ac:dyDescent="0.25">
      <c r="A6" s="18" t="s">
        <v>342</v>
      </c>
      <c r="B6" s="16" t="str">
        <f>TRIM(_xlfn.TEXTAFTER(A4,":"))</f>
        <v>Unique</v>
      </c>
      <c r="C6" s="18" t="s">
        <v>1964</v>
      </c>
      <c r="D6" s="16" t="str">
        <f>TRIM(_xlfn.TEXTAFTER(C4,":"))</f>
        <v>Einzigartig</v>
      </c>
      <c r="E6" s="18" t="s">
        <v>2685</v>
      </c>
      <c r="F6" s="16" t="str">
        <f>TRIM(_xlfn.TEXTAFTER(E4,":"))</f>
        <v>Único</v>
      </c>
      <c r="G6" s="18" t="s">
        <v>1221</v>
      </c>
      <c r="H6" s="16" t="str">
        <f>TRIM(_xlfn.TEXTAFTER(G4,":"))</f>
        <v>Unique</v>
      </c>
      <c r="I6" s="18" t="s">
        <v>3412</v>
      </c>
      <c r="J6" s="16" t="str">
        <f>TRIM(_xlfn.TEXTAFTER(I4,":"))</f>
        <v>ユニーク</v>
      </c>
      <c r="K6" s="18" t="s">
        <v>4156</v>
      </c>
      <c r="L6" s="16" t="str">
        <f>TRIM(_xlfn.TEXTAFTER(K4,":"))</f>
        <v>고유</v>
      </c>
      <c r="M6" s="18" t="s">
        <v>4865</v>
      </c>
      <c r="N6" s="16" t="str">
        <f>TRIM(_xlfn.TEXTAFTER(M4,":"))</f>
        <v>Único</v>
      </c>
      <c r="O6" s="18" t="s">
        <v>5570</v>
      </c>
      <c r="P6" s="16" t="str">
        <f>TRIM(_xlfn.TEXTAFTER(O4,":"))</f>
        <v>Уникальный</v>
      </c>
      <c r="Q6" s="18" t="s">
        <v>342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343</v>
      </c>
      <c r="B8" s="16"/>
      <c r="C8" s="18" t="s">
        <v>1965</v>
      </c>
      <c r="D8" s="16"/>
      <c r="E8" s="18" t="s">
        <v>2686</v>
      </c>
      <c r="F8" s="16"/>
      <c r="G8" s="18" t="s">
        <v>1222</v>
      </c>
      <c r="H8" s="16"/>
      <c r="I8" s="18" t="s">
        <v>3413</v>
      </c>
      <c r="J8" s="16"/>
      <c r="K8" s="18" t="s">
        <v>4157</v>
      </c>
      <c r="L8" s="16"/>
      <c r="M8" s="18" t="s">
        <v>2686</v>
      </c>
      <c r="N8" s="16"/>
      <c r="O8" s="18" t="s">
        <v>5571</v>
      </c>
      <c r="P8" s="16"/>
      <c r="Q8" s="18" t="s">
        <v>6254</v>
      </c>
      <c r="R8" s="16"/>
      <c r="S8" s="18"/>
      <c r="T8" s="16"/>
    </row>
    <row r="9" spans="1:20" ht="15.95" customHeight="1" x14ac:dyDescent="0.25">
      <c r="A9" s="18" t="s">
        <v>344</v>
      </c>
      <c r="B9" s="16"/>
      <c r="C9" s="18" t="s">
        <v>1966</v>
      </c>
      <c r="D9" s="16"/>
      <c r="E9" s="18" t="s">
        <v>2687</v>
      </c>
      <c r="F9" s="16"/>
      <c r="G9" s="18" t="s">
        <v>1223</v>
      </c>
      <c r="H9" s="16"/>
      <c r="I9" s="18" t="s">
        <v>3414</v>
      </c>
      <c r="J9" s="16"/>
      <c r="K9" s="18" t="s">
        <v>4158</v>
      </c>
      <c r="L9" s="16"/>
      <c r="M9" s="18" t="s">
        <v>4866</v>
      </c>
      <c r="N9" s="16"/>
      <c r="O9" s="18" t="s">
        <v>5572</v>
      </c>
      <c r="P9" s="16"/>
      <c r="Q9" s="18" t="s">
        <v>6255</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345</v>
      </c>
      <c r="B11" s="16"/>
      <c r="C11" s="18" t="s">
        <v>1968</v>
      </c>
      <c r="D11" s="16"/>
      <c r="E11" s="18" t="s">
        <v>2689</v>
      </c>
      <c r="F11" s="16"/>
      <c r="G11" s="18" t="s">
        <v>1225</v>
      </c>
      <c r="H11" s="16"/>
      <c r="I11" s="18" t="s">
        <v>3416</v>
      </c>
      <c r="J11" s="16"/>
      <c r="K11" s="18" t="s">
        <v>4160</v>
      </c>
      <c r="L11" s="16"/>
      <c r="M11" s="18" t="s">
        <v>4868</v>
      </c>
      <c r="N11" s="16"/>
      <c r="O11" s="18" t="s">
        <v>5574</v>
      </c>
      <c r="P11" s="16"/>
      <c r="Q11" s="18" t="s">
        <v>6257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1"/>
    </row>
    <row r="14" spans="1:20" ht="15.95" customHeight="1" x14ac:dyDescent="0.25">
      <c r="A14" s="18" t="s">
        <v>346</v>
      </c>
      <c r="B14" s="16"/>
      <c r="C14" s="18" t="s">
        <v>1969</v>
      </c>
      <c r="D14" s="16"/>
      <c r="E14" s="18" t="s">
        <v>2690</v>
      </c>
      <c r="F14" s="16"/>
      <c r="G14" s="18" t="s">
        <v>1226</v>
      </c>
      <c r="H14" s="16"/>
      <c r="I14" s="18" t="s">
        <v>3417</v>
      </c>
      <c r="J14" s="16"/>
      <c r="K14" s="18" t="s">
        <v>4161</v>
      </c>
      <c r="L14" s="16"/>
      <c r="M14" s="18" t="s">
        <v>4869</v>
      </c>
      <c r="N14" s="16"/>
      <c r="O14" s="18" t="s">
        <v>5575</v>
      </c>
      <c r="P14" s="16"/>
      <c r="Q14" s="18" t="s">
        <v>6258</v>
      </c>
      <c r="R14" s="16"/>
      <c r="S14" s="18"/>
      <c r="T14" s="21"/>
    </row>
    <row r="15" spans="1:20" ht="15.95" customHeight="1" x14ac:dyDescent="0.25">
      <c r="A15" s="18" t="s">
        <v>347</v>
      </c>
      <c r="B15" s="16"/>
      <c r="C15" s="18" t="s">
        <v>1970</v>
      </c>
      <c r="D15" s="16"/>
      <c r="E15" s="18" t="s">
        <v>2691</v>
      </c>
      <c r="F15" s="16"/>
      <c r="G15" s="18" t="s">
        <v>347</v>
      </c>
      <c r="H15" s="16"/>
      <c r="I15" s="18" t="s">
        <v>3418</v>
      </c>
      <c r="J15" s="16"/>
      <c r="K15" s="18" t="s">
        <v>4162</v>
      </c>
      <c r="L15" s="16"/>
      <c r="M15" s="18" t="s">
        <v>2691</v>
      </c>
      <c r="N15" s="16"/>
      <c r="O15" s="18" t="s">
        <v>5576</v>
      </c>
      <c r="P15" s="16"/>
      <c r="Q15" s="18" t="s">
        <v>347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169</v>
      </c>
      <c r="B17" s="16"/>
      <c r="C17" s="18" t="s">
        <v>1971</v>
      </c>
      <c r="D17" s="16"/>
      <c r="E17" s="18" t="s">
        <v>2692</v>
      </c>
      <c r="F17" s="16"/>
      <c r="G17" s="18" t="s">
        <v>1227</v>
      </c>
      <c r="H17" s="16"/>
      <c r="I17" s="18" t="s">
        <v>3419</v>
      </c>
      <c r="J17" s="16"/>
      <c r="K17" s="18" t="s">
        <v>4163</v>
      </c>
      <c r="L17" s="16"/>
      <c r="M17" s="18" t="s">
        <v>4870</v>
      </c>
      <c r="N17" s="16"/>
      <c r="O17" s="18" t="s">
        <v>5577</v>
      </c>
      <c r="P17" s="16"/>
      <c r="Q17" s="18" t="s">
        <v>6259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212</v>
      </c>
      <c r="B19" s="16"/>
      <c r="C19" s="18" t="s">
        <v>1972</v>
      </c>
      <c r="D19" s="16"/>
      <c r="E19" s="18" t="s">
        <v>2693</v>
      </c>
      <c r="F19" s="16"/>
      <c r="G19" s="18" t="s">
        <v>1228</v>
      </c>
      <c r="H19" s="16"/>
      <c r="I19" s="18" t="s">
        <v>3420</v>
      </c>
      <c r="J19" s="16"/>
      <c r="K19" s="18" t="s">
        <v>4164</v>
      </c>
      <c r="L19" s="16"/>
      <c r="M19" s="18" t="s">
        <v>4871</v>
      </c>
      <c r="N19" s="16"/>
      <c r="O19" s="18" t="s">
        <v>5578</v>
      </c>
      <c r="P19" s="16"/>
      <c r="Q19" s="18" t="s">
        <v>6260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348</v>
      </c>
      <c r="B21" s="16"/>
      <c r="C21" s="18" t="s">
        <v>1973</v>
      </c>
      <c r="D21" s="16"/>
      <c r="E21" s="18" t="s">
        <v>2694</v>
      </c>
      <c r="F21" s="16"/>
      <c r="G21" s="18" t="s">
        <v>1229</v>
      </c>
      <c r="H21" s="16"/>
      <c r="I21" s="18" t="s">
        <v>3421</v>
      </c>
      <c r="J21" s="16"/>
      <c r="K21" s="18" t="s">
        <v>4165</v>
      </c>
      <c r="L21" s="16"/>
      <c r="M21" s="18" t="s">
        <v>4872</v>
      </c>
      <c r="N21" s="16"/>
      <c r="O21" s="18" t="s">
        <v>5579</v>
      </c>
      <c r="P21" s="16"/>
      <c r="Q21" s="18" t="s">
        <v>6261</v>
      </c>
      <c r="R21" s="16"/>
      <c r="S21" s="18"/>
      <c r="T21" s="21"/>
    </row>
    <row r="22" spans="1:20" ht="15.95" customHeight="1" x14ac:dyDescent="0.25">
      <c r="A22" s="18" t="s">
        <v>349</v>
      </c>
      <c r="B22" s="16"/>
      <c r="C22" s="18" t="s">
        <v>1974</v>
      </c>
      <c r="D22" s="16"/>
      <c r="E22" s="18" t="s">
        <v>2695</v>
      </c>
      <c r="F22" s="16"/>
      <c r="G22" s="18" t="s">
        <v>1230</v>
      </c>
      <c r="H22" s="16"/>
      <c r="I22" s="18" t="s">
        <v>3422</v>
      </c>
      <c r="J22" s="16"/>
      <c r="K22" s="18" t="s">
        <v>4166</v>
      </c>
      <c r="L22" s="16"/>
      <c r="M22" s="18" t="s">
        <v>4873</v>
      </c>
      <c r="N22" s="16"/>
      <c r="O22" s="18" t="s">
        <v>5580</v>
      </c>
      <c r="P22" s="16"/>
      <c r="Q22" s="18" t="s">
        <v>6262</v>
      </c>
      <c r="R22" s="16"/>
      <c r="S22" s="18"/>
      <c r="T22" s="21"/>
    </row>
    <row r="23" spans="1:20" ht="15.95" customHeight="1" x14ac:dyDescent="0.25">
      <c r="A23" s="18" t="s">
        <v>350</v>
      </c>
      <c r="B23" s="16"/>
      <c r="C23" s="18" t="s">
        <v>1975</v>
      </c>
      <c r="D23" s="16"/>
      <c r="E23" s="18" t="s">
        <v>2696</v>
      </c>
      <c r="F23" s="16"/>
      <c r="G23" s="18" t="s">
        <v>1231</v>
      </c>
      <c r="H23" s="16"/>
      <c r="I23" s="18" t="s">
        <v>3423</v>
      </c>
      <c r="J23" s="16"/>
      <c r="K23" s="18" t="s">
        <v>4167</v>
      </c>
      <c r="L23" s="16"/>
      <c r="M23" s="18" t="s">
        <v>4874</v>
      </c>
      <c r="N23" s="16"/>
      <c r="O23" s="18" t="s">
        <v>5581</v>
      </c>
      <c r="P23" s="16"/>
      <c r="Q23" s="18" t="s">
        <v>6263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351</v>
      </c>
      <c r="B25" s="16"/>
      <c r="C25" s="18" t="s">
        <v>1976</v>
      </c>
      <c r="D25" s="16"/>
      <c r="E25" s="18" t="s">
        <v>2697</v>
      </c>
      <c r="F25" s="16"/>
      <c r="G25" s="18" t="s">
        <v>1232</v>
      </c>
      <c r="H25" s="16"/>
      <c r="I25" s="18" t="s">
        <v>3424</v>
      </c>
      <c r="J25" s="16"/>
      <c r="K25" s="18" t="s">
        <v>4168</v>
      </c>
      <c r="L25" s="16"/>
      <c r="M25" s="18" t="s">
        <v>4875</v>
      </c>
      <c r="N25" s="16"/>
      <c r="O25" s="18" t="s">
        <v>5582</v>
      </c>
      <c r="P25" s="16"/>
      <c r="Q25" s="18" t="s">
        <v>6264</v>
      </c>
      <c r="R25" s="16"/>
      <c r="S25" s="18"/>
      <c r="T25" s="21"/>
    </row>
    <row r="26" spans="1:20" ht="15.95" customHeight="1" x14ac:dyDescent="0.25">
      <c r="A26" s="18" t="s">
        <v>352</v>
      </c>
      <c r="B26" s="16"/>
      <c r="C26" s="18" t="s">
        <v>1977</v>
      </c>
      <c r="D26" s="16"/>
      <c r="E26" s="18" t="s">
        <v>2698</v>
      </c>
      <c r="F26" s="16"/>
      <c r="G26" s="18" t="s">
        <v>1233</v>
      </c>
      <c r="H26" s="16"/>
      <c r="I26" s="18" t="s">
        <v>3425</v>
      </c>
      <c r="J26" s="16"/>
      <c r="K26" s="18" t="s">
        <v>4169</v>
      </c>
      <c r="L26" s="16"/>
      <c r="M26" s="18" t="s">
        <v>4876</v>
      </c>
      <c r="N26" s="16"/>
      <c r="O26" s="18" t="s">
        <v>5583</v>
      </c>
      <c r="P26" s="16"/>
      <c r="Q26" s="18" t="s">
        <v>6265</v>
      </c>
      <c r="R26" s="16"/>
      <c r="S26" s="18"/>
      <c r="T26" s="21"/>
    </row>
    <row r="27" spans="1:20" ht="15.95" customHeight="1" x14ac:dyDescent="0.25">
      <c r="A27" s="18" t="s">
        <v>353</v>
      </c>
      <c r="B27" s="16"/>
      <c r="C27" s="18" t="s">
        <v>1978</v>
      </c>
      <c r="D27" s="16"/>
      <c r="E27" s="18" t="s">
        <v>2699</v>
      </c>
      <c r="F27" s="16"/>
      <c r="G27" s="18" t="s">
        <v>1234</v>
      </c>
      <c r="H27" s="16"/>
      <c r="I27" s="18" t="s">
        <v>3426</v>
      </c>
      <c r="J27" s="16"/>
      <c r="K27" s="18" t="s">
        <v>4170</v>
      </c>
      <c r="L27" s="16"/>
      <c r="M27" s="18" t="s">
        <v>4877</v>
      </c>
      <c r="N27" s="16"/>
      <c r="O27" s="18" t="s">
        <v>5584</v>
      </c>
      <c r="P27" s="16"/>
      <c r="Q27" s="18" t="s">
        <v>6266</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5" priority="2" stopIfTrue="1">
      <formula>NOT(ISERROR(A3))</formula>
    </cfRule>
  </conditionalFormatting>
  <conditionalFormatting sqref="A3:T51">
    <cfRule type="containsErrors" dxfId="244" priority="1" stopIfTrue="1">
      <formula>ISERROR(A3)</formula>
    </cfRule>
    <cfRule type="notContainsBlanks" dxfId="243"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100</v>
      </c>
      <c r="B3" s="16" t="str">
        <f>TRIM(_xlfn.TEXTBEFORE(A3, ":"))</f>
        <v>Item Class</v>
      </c>
      <c r="C3" s="17" t="s">
        <v>1979</v>
      </c>
      <c r="D3" s="16" t="str">
        <f>TRIM(_xlfn.TEXTBEFORE(C3, ":"))</f>
        <v>Gegenstandsklasse</v>
      </c>
      <c r="E3" s="17" t="s">
        <v>2700</v>
      </c>
      <c r="F3" s="16" t="str">
        <f>TRIM(_xlfn.TEXTBEFORE(E3, ":"))</f>
        <v>Clase de objeto</v>
      </c>
      <c r="G3" s="17" t="s">
        <v>1235</v>
      </c>
      <c r="H3" s="16" t="str">
        <f>TRIM(_xlfn.TEXTBEFORE(G3, ":"))</f>
        <v>Classe d'objet</v>
      </c>
      <c r="I3" s="17" t="s">
        <v>3427</v>
      </c>
      <c r="J3" s="16" t="str">
        <f>TRIM(_xlfn.TEXTBEFORE(I3, ":"))</f>
        <v>アイテムクラス</v>
      </c>
      <c r="K3" s="17" t="s">
        <v>4171</v>
      </c>
      <c r="L3" s="16" t="str">
        <f>TRIM(_xlfn.TEXTBEFORE(K3, ":"))</f>
        <v>아이템 종류</v>
      </c>
      <c r="M3" s="17" t="s">
        <v>5161</v>
      </c>
      <c r="N3" s="16" t="str">
        <f>TRIM(_xlfn.TEXTBEFORE(M3, ":"))</f>
        <v>Classe do Item</v>
      </c>
      <c r="O3" s="17" t="s">
        <v>5585</v>
      </c>
      <c r="P3" s="16" t="str">
        <f>TRIM(_xlfn.TEXTBEFORE(O3, ":"))</f>
        <v>Класс предмета</v>
      </c>
      <c r="Q3" s="17" t="s">
        <v>6267</v>
      </c>
      <c r="R3" s="16" t="str">
        <f>TRIM(_xlfn.TEXTBEFORE(Q3, ":"))</f>
        <v>ชนิดไอเทม</v>
      </c>
      <c r="S3" s="17"/>
      <c r="T3" s="16" t="e">
        <f>TRIM(_xlfn.TEXTBEFORE(S3, ":"))</f>
        <v>#N/A</v>
      </c>
    </row>
    <row r="4" spans="1:20" ht="15.95" customHeight="1" x14ac:dyDescent="0.25">
      <c r="A4" s="18" t="s">
        <v>81</v>
      </c>
      <c r="B4" s="16" t="str">
        <f>TRIM(_xlfn.TEXTAFTER(A3, ":"))</f>
        <v>Claws</v>
      </c>
      <c r="C4" s="18" t="s">
        <v>1644</v>
      </c>
      <c r="D4" s="16" t="str">
        <f>TRIM(_xlfn.TEXTAFTER(C3, ":"))</f>
        <v>Klauen</v>
      </c>
      <c r="E4" s="18" t="s">
        <v>2364</v>
      </c>
      <c r="F4" s="16" t="str">
        <f>TRIM(_xlfn.TEXTAFTER(E3, ":"))</f>
        <v>Garras</v>
      </c>
      <c r="G4" s="18" t="s">
        <v>1</v>
      </c>
      <c r="H4" s="16" t="str">
        <f>TRIM(_xlfn.TEXTAFTER(G3, ":"))</f>
        <v>Griffes</v>
      </c>
      <c r="I4" s="18" t="s">
        <v>3079</v>
      </c>
      <c r="J4" s="16" t="str">
        <f>TRIM(_xlfn.TEXTAFTER(I3, ":"))</f>
        <v>鉤爪</v>
      </c>
      <c r="K4" s="18" t="s">
        <v>3829</v>
      </c>
      <c r="L4" s="16" t="str">
        <f>TRIM(_xlfn.TEXTAFTER(K3, ":"))</f>
        <v>클로</v>
      </c>
      <c r="M4" s="18" t="s">
        <v>4558</v>
      </c>
      <c r="N4" s="16" t="str">
        <f>TRIM(_xlfn.TEXTAFTER(M3, ":"))</f>
        <v>Garras</v>
      </c>
      <c r="O4" s="18" t="s">
        <v>5241</v>
      </c>
      <c r="P4" s="16" t="str">
        <f>TRIM(_xlfn.TEXTAFTER(O3, ":"))</f>
        <v>Когти</v>
      </c>
      <c r="Q4" s="18" t="s">
        <v>5978</v>
      </c>
      <c r="R4" s="16" t="str">
        <f>TRIM(_xlfn.TEXTAFTER(Q3, ":"))</f>
        <v>กรงเล็บ</v>
      </c>
      <c r="S4" s="18"/>
      <c r="T4" s="16" t="e">
        <f>TRIM(_xlfn.TEXTAFTER(S3, ":"))</f>
        <v>#N/A</v>
      </c>
    </row>
    <row r="5" spans="1:20" ht="15.95" customHeight="1" x14ac:dyDescent="0.25">
      <c r="A5" s="18" t="s">
        <v>101</v>
      </c>
      <c r="B5" s="16" t="str">
        <f>TRIM(_xlfn.TEXTBEFORE(A4, ":"))</f>
        <v>Rarity</v>
      </c>
      <c r="C5" s="18" t="s">
        <v>1980</v>
      </c>
      <c r="D5" s="16" t="str">
        <f>TRIM(_xlfn.TEXTBEFORE(C4, ":"))</f>
        <v>Seltenheit</v>
      </c>
      <c r="E5" s="18" t="s">
        <v>2701</v>
      </c>
      <c r="F5" s="16" t="str">
        <f>TRIM(_xlfn.TEXTBEFORE(E4, ":"))</f>
        <v>Rareza</v>
      </c>
      <c r="G5" s="18" t="s">
        <v>1236</v>
      </c>
      <c r="H5" s="16" t="str">
        <f>TRIM(_xlfn.TEXTBEFORE(G4, ":"))</f>
        <v>Rareté</v>
      </c>
      <c r="I5" s="18" t="s">
        <v>3428</v>
      </c>
      <c r="J5" s="16" t="str">
        <f>TRIM(_xlfn.TEXTBEFORE(I4, ":"))</f>
        <v>レアリティ</v>
      </c>
      <c r="K5" s="18" t="s">
        <v>4172</v>
      </c>
      <c r="L5" s="16" t="str">
        <f>TRIM(_xlfn.TEXTBEFORE(K4, ":"))</f>
        <v>아이템 희귀도</v>
      </c>
      <c r="M5" s="18" t="s">
        <v>5162</v>
      </c>
      <c r="N5" s="16" t="str">
        <f>TRIM(_xlfn.TEXTBEFORE(M4, ":"))</f>
        <v>Raridade</v>
      </c>
      <c r="O5" s="18" t="s">
        <v>5586</v>
      </c>
      <c r="P5" s="16" t="str">
        <f>TRIM(_xlfn.TEXTBEFORE(O4, ":"))</f>
        <v>Редкость</v>
      </c>
      <c r="Q5" s="18" t="s">
        <v>101</v>
      </c>
      <c r="R5" s="16" t="str">
        <f>TRIM(_xlfn.TEXTBEFORE(Q4, ":"))</f>
        <v>ความหายาก</v>
      </c>
      <c r="S5" s="18"/>
      <c r="T5" s="16" t="e">
        <f>TRIM(_xlfn.TEXTBEFORE(S4, ":"))</f>
        <v>#N/A</v>
      </c>
    </row>
    <row r="6" spans="1:20" ht="15.95" customHeight="1" x14ac:dyDescent="0.25">
      <c r="A6" s="18" t="s">
        <v>102</v>
      </c>
      <c r="B6" s="16" t="str">
        <f>TRIM(_xlfn.TEXTAFTER(A4,":"))</f>
        <v>Unique</v>
      </c>
      <c r="C6" s="18" t="s">
        <v>1981</v>
      </c>
      <c r="D6" s="16" t="str">
        <f>TRIM(_xlfn.TEXTAFTER(C4,":"))</f>
        <v>Einzigartig</v>
      </c>
      <c r="E6" s="18" t="s">
        <v>2702</v>
      </c>
      <c r="F6" s="16" t="str">
        <f>TRIM(_xlfn.TEXTAFTER(E4,":"))</f>
        <v>Único</v>
      </c>
      <c r="G6" s="18" t="s">
        <v>1237</v>
      </c>
      <c r="H6" s="16" t="str">
        <f>TRIM(_xlfn.TEXTAFTER(G4,":"))</f>
        <v>Unique</v>
      </c>
      <c r="I6" s="18" t="s">
        <v>3429</v>
      </c>
      <c r="J6" s="16" t="str">
        <f>TRIM(_xlfn.TEXTAFTER(I4,":"))</f>
        <v>ユニーク</v>
      </c>
      <c r="K6" s="18" t="s">
        <v>4173</v>
      </c>
      <c r="L6" s="16" t="str">
        <f>TRIM(_xlfn.TEXTAFTER(K4,":"))</f>
        <v>고유</v>
      </c>
      <c r="M6" s="18" t="s">
        <v>5163</v>
      </c>
      <c r="N6" s="16" t="str">
        <f>TRIM(_xlfn.TEXTAFTER(M4,":"))</f>
        <v>Único</v>
      </c>
      <c r="O6" s="18" t="s">
        <v>5587</v>
      </c>
      <c r="P6" s="16" t="str">
        <f>TRIM(_xlfn.TEXTAFTER(O4,":"))</f>
        <v>Уникальный</v>
      </c>
      <c r="Q6" s="18" t="s">
        <v>102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103</v>
      </c>
      <c r="B8" s="16"/>
      <c r="C8" s="18" t="s">
        <v>1982</v>
      </c>
      <c r="D8" s="16"/>
      <c r="E8" s="18" t="s">
        <v>2703</v>
      </c>
      <c r="F8" s="16"/>
      <c r="G8" s="18" t="s">
        <v>1238</v>
      </c>
      <c r="H8" s="16"/>
      <c r="I8" s="18" t="s">
        <v>3430</v>
      </c>
      <c r="J8" s="16"/>
      <c r="K8" s="18" t="s">
        <v>4174</v>
      </c>
      <c r="L8" s="16"/>
      <c r="M8" s="18" t="s">
        <v>2703</v>
      </c>
      <c r="N8" s="16"/>
      <c r="O8" s="18" t="s">
        <v>5588</v>
      </c>
      <c r="P8" s="16"/>
      <c r="Q8" s="18" t="s">
        <v>6268</v>
      </c>
      <c r="R8" s="16"/>
      <c r="S8" s="18"/>
      <c r="T8" s="16"/>
    </row>
    <row r="9" spans="1:20" ht="15.95" customHeight="1" x14ac:dyDescent="0.25">
      <c r="A9" s="18" t="s">
        <v>104</v>
      </c>
      <c r="B9" s="16"/>
      <c r="C9" s="18" t="s">
        <v>1983</v>
      </c>
      <c r="D9" s="16"/>
      <c r="E9" s="18" t="s">
        <v>2704</v>
      </c>
      <c r="F9" s="16"/>
      <c r="G9" s="18" t="s">
        <v>1239</v>
      </c>
      <c r="H9" s="16"/>
      <c r="I9" s="18" t="s">
        <v>3431</v>
      </c>
      <c r="J9" s="16"/>
      <c r="K9" s="18" t="s">
        <v>4175</v>
      </c>
      <c r="L9" s="16"/>
      <c r="M9" s="18" t="s">
        <v>5164</v>
      </c>
      <c r="N9" s="16"/>
      <c r="O9" s="18" t="s">
        <v>5589</v>
      </c>
      <c r="P9" s="16"/>
      <c r="Q9" s="18" t="s">
        <v>6269</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106</v>
      </c>
      <c r="B11" s="16"/>
      <c r="C11" s="18" t="s">
        <v>1837</v>
      </c>
      <c r="D11" s="16"/>
      <c r="E11" s="18" t="s">
        <v>2555</v>
      </c>
      <c r="F11" s="16"/>
      <c r="G11" s="18" t="s">
        <v>1102</v>
      </c>
      <c r="H11" s="16"/>
      <c r="I11" s="18" t="s">
        <v>3278</v>
      </c>
      <c r="J11" s="16"/>
      <c r="K11" s="18" t="s">
        <v>4023</v>
      </c>
      <c r="L11" s="16"/>
      <c r="M11" s="18" t="s">
        <v>4746</v>
      </c>
      <c r="N11" s="16"/>
      <c r="O11" s="18" t="s">
        <v>5437</v>
      </c>
      <c r="P11" s="16"/>
      <c r="Q11" s="18" t="s">
        <v>6150</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108</v>
      </c>
      <c r="B15" s="16"/>
      <c r="C15" s="18" t="s">
        <v>1591</v>
      </c>
      <c r="D15" s="16"/>
      <c r="E15" s="18" t="s">
        <v>2338</v>
      </c>
      <c r="F15" s="16"/>
      <c r="G15" s="18" t="s">
        <v>865</v>
      </c>
      <c r="H15" s="16"/>
      <c r="I15" s="18" t="s">
        <v>3052</v>
      </c>
      <c r="J15" s="16"/>
      <c r="K15" s="18" t="s">
        <v>3803</v>
      </c>
      <c r="L15" s="16"/>
      <c r="M15" s="18" t="s">
        <v>4531</v>
      </c>
      <c r="N15" s="16"/>
      <c r="O15" s="18" t="s">
        <v>5214</v>
      </c>
      <c r="P15" s="16"/>
      <c r="Q15" s="18" t="s">
        <v>5956</v>
      </c>
      <c r="R15" s="16"/>
      <c r="S15" s="18"/>
      <c r="T15" s="21"/>
    </row>
    <row r="16" spans="1:20" ht="15.95" customHeight="1" x14ac:dyDescent="0.25">
      <c r="A16" s="18" t="s">
        <v>109</v>
      </c>
      <c r="B16" s="16"/>
      <c r="C16" s="18" t="s">
        <v>1985</v>
      </c>
      <c r="D16" s="16"/>
      <c r="E16" s="18" t="s">
        <v>2706</v>
      </c>
      <c r="F16" s="16"/>
      <c r="G16" s="18" t="s">
        <v>109</v>
      </c>
      <c r="H16" s="16"/>
      <c r="I16" s="18" t="s">
        <v>3433</v>
      </c>
      <c r="J16" s="16"/>
      <c r="K16" s="18" t="s">
        <v>4177</v>
      </c>
      <c r="L16" s="16"/>
      <c r="M16" s="18" t="s">
        <v>2706</v>
      </c>
      <c r="N16" s="16"/>
      <c r="O16" s="18" t="s">
        <v>5591</v>
      </c>
      <c r="P16" s="16"/>
      <c r="Q16" s="18" t="s">
        <v>109</v>
      </c>
      <c r="R16" s="16"/>
      <c r="S16" s="18"/>
      <c r="T16" s="21"/>
    </row>
    <row r="17" spans="1:20" ht="15.95" customHeight="1" x14ac:dyDescent="0.25">
      <c r="A17" s="18" t="s">
        <v>110</v>
      </c>
      <c r="B17" s="16"/>
      <c r="C17" s="18" t="s">
        <v>110</v>
      </c>
      <c r="D17" s="16"/>
      <c r="E17" s="18" t="s">
        <v>110</v>
      </c>
      <c r="F17" s="16"/>
      <c r="G17" s="18" t="s">
        <v>110</v>
      </c>
      <c r="H17" s="16"/>
      <c r="I17" s="18" t="s">
        <v>3434</v>
      </c>
      <c r="J17" s="16"/>
      <c r="K17" s="18" t="s">
        <v>4178</v>
      </c>
      <c r="L17" s="16"/>
      <c r="M17" s="18" t="s">
        <v>110</v>
      </c>
      <c r="N17" s="16"/>
      <c r="O17" s="18" t="s">
        <v>5592</v>
      </c>
      <c r="P17" s="16"/>
      <c r="Q17" s="18" t="s">
        <v>110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111</v>
      </c>
      <c r="B19" s="16"/>
      <c r="C19" s="18" t="s">
        <v>1986</v>
      </c>
      <c r="D19" s="16"/>
      <c r="E19" s="18" t="s">
        <v>2707</v>
      </c>
      <c r="F19" s="16"/>
      <c r="G19" s="18" t="s">
        <v>1241</v>
      </c>
      <c r="H19" s="16"/>
      <c r="I19" s="18" t="s">
        <v>3435</v>
      </c>
      <c r="J19" s="16"/>
      <c r="K19" s="18" t="s">
        <v>4179</v>
      </c>
      <c r="L19" s="16"/>
      <c r="M19" s="18" t="s">
        <v>5165</v>
      </c>
      <c r="N19" s="16"/>
      <c r="O19" s="18" t="s">
        <v>5593</v>
      </c>
      <c r="P19" s="16"/>
      <c r="Q19" s="18" t="s">
        <v>6271</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83</v>
      </c>
      <c r="B21" s="16"/>
      <c r="C21" s="18" t="s">
        <v>1663</v>
      </c>
      <c r="D21" s="16"/>
      <c r="E21" s="18" t="s">
        <v>2297</v>
      </c>
      <c r="F21" s="16"/>
      <c r="G21" s="18" t="s">
        <v>930</v>
      </c>
      <c r="H21" s="16"/>
      <c r="I21" s="18" t="s">
        <v>3099</v>
      </c>
      <c r="J21" s="16"/>
      <c r="K21" s="18" t="s">
        <v>3759</v>
      </c>
      <c r="L21" s="16"/>
      <c r="M21" s="18" t="s">
        <v>4577</v>
      </c>
      <c r="N21" s="16"/>
      <c r="O21" s="18" t="s">
        <v>5260</v>
      </c>
      <c r="P21" s="16"/>
      <c r="Q21" s="18" t="s">
        <v>5915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112</v>
      </c>
      <c r="B23" s="16"/>
      <c r="C23" s="18" t="s">
        <v>1987</v>
      </c>
      <c r="D23" s="16"/>
      <c r="E23" s="18" t="s">
        <v>2708</v>
      </c>
      <c r="F23" s="16"/>
      <c r="G23" s="18" t="s">
        <v>1242</v>
      </c>
      <c r="H23" s="16"/>
      <c r="I23" s="18" t="s">
        <v>3436</v>
      </c>
      <c r="J23" s="16"/>
      <c r="K23" s="18" t="s">
        <v>4180</v>
      </c>
      <c r="L23" s="16"/>
      <c r="M23" s="18" t="s">
        <v>5166</v>
      </c>
      <c r="N23" s="16"/>
      <c r="O23" s="18" t="s">
        <v>5594</v>
      </c>
      <c r="P23" s="16"/>
      <c r="Q23" s="18" t="s">
        <v>6272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113</v>
      </c>
      <c r="B25" s="16"/>
      <c r="C25" s="18" t="s">
        <v>1988</v>
      </c>
      <c r="D25" s="16"/>
      <c r="E25" s="18" t="s">
        <v>2709</v>
      </c>
      <c r="F25" s="16"/>
      <c r="G25" s="18" t="s">
        <v>1243</v>
      </c>
      <c r="H25" s="16"/>
      <c r="I25" s="18" t="s">
        <v>3437</v>
      </c>
      <c r="J25" s="16"/>
      <c r="K25" s="18" t="s">
        <v>4181</v>
      </c>
      <c r="L25" s="16"/>
      <c r="M25" s="18" t="s">
        <v>5167</v>
      </c>
      <c r="N25" s="16"/>
      <c r="O25" s="18" t="s">
        <v>5595</v>
      </c>
      <c r="P25" s="16"/>
      <c r="Q25" s="18" t="s">
        <v>6273</v>
      </c>
      <c r="R25" s="16"/>
      <c r="S25" s="18"/>
      <c r="T25" s="21"/>
    </row>
    <row r="26" spans="1:20" ht="15.95" customHeight="1" x14ac:dyDescent="0.25">
      <c r="A26" s="18" t="s">
        <v>114</v>
      </c>
      <c r="B26" s="16"/>
      <c r="C26" s="18" t="s">
        <v>1989</v>
      </c>
      <c r="D26" s="16"/>
      <c r="E26" s="18" t="s">
        <v>2710</v>
      </c>
      <c r="F26" s="16"/>
      <c r="G26" s="18" t="s">
        <v>1244</v>
      </c>
      <c r="H26" s="16"/>
      <c r="I26" s="18" t="s">
        <v>3438</v>
      </c>
      <c r="J26" s="16"/>
      <c r="K26" s="18" t="s">
        <v>4182</v>
      </c>
      <c r="L26" s="16"/>
      <c r="M26" s="18" t="s">
        <v>5168</v>
      </c>
      <c r="N26" s="16"/>
      <c r="O26" s="18" t="s">
        <v>5596</v>
      </c>
      <c r="P26" s="16"/>
      <c r="Q26" s="18" t="s">
        <v>6274</v>
      </c>
      <c r="R26" s="16"/>
      <c r="S26" s="18"/>
      <c r="T26" s="21"/>
    </row>
    <row r="27" spans="1:20" ht="15.95" customHeight="1" x14ac:dyDescent="0.25">
      <c r="A27" s="18" t="s">
        <v>115</v>
      </c>
      <c r="B27" s="16"/>
      <c r="C27" s="18" t="s">
        <v>1990</v>
      </c>
      <c r="D27" s="16"/>
      <c r="E27" s="18" t="s">
        <v>2711</v>
      </c>
      <c r="F27" s="16"/>
      <c r="G27" s="18" t="s">
        <v>1245</v>
      </c>
      <c r="H27" s="16"/>
      <c r="I27" s="18" t="s">
        <v>3439</v>
      </c>
      <c r="J27" s="16"/>
      <c r="K27" s="18" t="s">
        <v>4183</v>
      </c>
      <c r="L27" s="16"/>
      <c r="M27" s="18" t="s">
        <v>5169</v>
      </c>
      <c r="N27" s="16"/>
      <c r="O27" s="18" t="s">
        <v>5597</v>
      </c>
      <c r="P27" s="16"/>
      <c r="Q27" s="18" t="s">
        <v>6275</v>
      </c>
      <c r="R27" s="16"/>
      <c r="S27" s="18"/>
      <c r="T27" s="21"/>
    </row>
    <row r="28" spans="1:20" ht="15.95" customHeight="1" x14ac:dyDescent="0.25">
      <c r="A28" s="18" t="s">
        <v>116</v>
      </c>
      <c r="B28" s="16"/>
      <c r="C28" s="18" t="s">
        <v>1991</v>
      </c>
      <c r="D28" s="16"/>
      <c r="E28" s="18" t="s">
        <v>2712</v>
      </c>
      <c r="F28" s="16"/>
      <c r="G28" s="18" t="s">
        <v>1246</v>
      </c>
      <c r="H28" s="16"/>
      <c r="I28" s="18" t="s">
        <v>3440</v>
      </c>
      <c r="J28" s="16"/>
      <c r="K28" s="18" t="s">
        <v>4184</v>
      </c>
      <c r="L28" s="16"/>
      <c r="M28" s="18" t="s">
        <v>5170</v>
      </c>
      <c r="N28" s="16"/>
      <c r="O28" s="18" t="s">
        <v>5598</v>
      </c>
      <c r="P28" s="16"/>
      <c r="Q28" s="18" t="s">
        <v>6276</v>
      </c>
      <c r="R28" s="16"/>
      <c r="S28" s="18"/>
      <c r="T28" s="21"/>
    </row>
    <row r="29" spans="1:20" ht="15.95" customHeight="1" x14ac:dyDescent="0.25">
      <c r="A29" s="18" t="s">
        <v>117</v>
      </c>
      <c r="B29" s="16"/>
      <c r="C29" s="18" t="s">
        <v>1992</v>
      </c>
      <c r="D29" s="16"/>
      <c r="E29" s="18" t="s">
        <v>2713</v>
      </c>
      <c r="F29" s="16"/>
      <c r="G29" s="18" t="s">
        <v>1247</v>
      </c>
      <c r="H29" s="16"/>
      <c r="I29" s="18" t="s">
        <v>3441</v>
      </c>
      <c r="J29" s="16"/>
      <c r="K29" s="18" t="s">
        <v>4185</v>
      </c>
      <c r="L29" s="16"/>
      <c r="M29" s="18" t="s">
        <v>5171</v>
      </c>
      <c r="N29" s="16"/>
      <c r="O29" s="18" t="s">
        <v>5599</v>
      </c>
      <c r="P29" s="16"/>
      <c r="Q29" s="18" t="s">
        <v>6277</v>
      </c>
      <c r="R29" s="16"/>
      <c r="S29" s="18"/>
      <c r="T29" s="21"/>
    </row>
    <row r="30" spans="1:20" ht="15.95" customHeight="1" x14ac:dyDescent="0.25">
      <c r="A30" s="18" t="s">
        <v>118</v>
      </c>
      <c r="B30" s="16"/>
      <c r="C30" s="18" t="s">
        <v>1993</v>
      </c>
      <c r="D30" s="16"/>
      <c r="E30" s="18" t="s">
        <v>2714</v>
      </c>
      <c r="F30" s="16"/>
      <c r="G30" s="18" t="s">
        <v>1248</v>
      </c>
      <c r="H30" s="16"/>
      <c r="I30" s="18" t="s">
        <v>3442</v>
      </c>
      <c r="J30" s="16"/>
      <c r="K30" s="18" t="s">
        <v>4186</v>
      </c>
      <c r="L30" s="16"/>
      <c r="M30" s="18" t="s">
        <v>5172</v>
      </c>
      <c r="N30" s="16"/>
      <c r="O30" s="18" t="s">
        <v>5600</v>
      </c>
      <c r="P30" s="16"/>
      <c r="Q30" s="18" t="s">
        <v>6278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119</v>
      </c>
      <c r="B32" s="16"/>
      <c r="C32" s="18" t="s">
        <v>1994</v>
      </c>
      <c r="D32" s="16"/>
      <c r="E32" s="18" t="s">
        <v>2715</v>
      </c>
      <c r="F32" s="16"/>
      <c r="G32" s="18" t="s">
        <v>1249</v>
      </c>
      <c r="H32" s="16"/>
      <c r="I32" s="18" t="s">
        <v>3443</v>
      </c>
      <c r="J32" s="16"/>
      <c r="K32" s="18" t="s">
        <v>4187</v>
      </c>
      <c r="L32" s="16"/>
      <c r="M32" s="18" t="s">
        <v>5173</v>
      </c>
      <c r="N32" s="16"/>
      <c r="O32" s="18" t="s">
        <v>5601</v>
      </c>
      <c r="P32" s="16"/>
      <c r="Q32" s="18" t="s">
        <v>6279</v>
      </c>
      <c r="R32" s="16"/>
      <c r="S32" s="18"/>
      <c r="T32" s="21"/>
    </row>
    <row r="33" spans="1:20" ht="15.95" customHeight="1" x14ac:dyDescent="0.25">
      <c r="A33" s="22" t="s">
        <v>120</v>
      </c>
      <c r="B33" s="16"/>
      <c r="C33" s="18" t="s">
        <v>1995</v>
      </c>
      <c r="D33" s="16"/>
      <c r="E33" s="18" t="e">
        <f>- Atalui, Sacerdotisa Vaal</f>
        <v>#NAME?</v>
      </c>
      <c r="F33" s="16"/>
      <c r="G33" s="18" t="s">
        <v>1250</v>
      </c>
      <c r="H33" s="16"/>
      <c r="I33" s="18" t="s">
        <v>3444</v>
      </c>
      <c r="J33" s="16"/>
      <c r="K33" s="18" t="s">
        <v>4188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2" priority="2" stopIfTrue="1">
      <formula>NOT(ISERROR(A3))</formula>
    </cfRule>
  </conditionalFormatting>
  <conditionalFormatting sqref="A3:T51">
    <cfRule type="containsErrors" dxfId="241" priority="1" stopIfTrue="1">
      <formula>ISERROR(A3)</formula>
    </cfRule>
    <cfRule type="notContainsBlanks" dxfId="240"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142</v>
      </c>
      <c r="B3" s="16" t="str">
        <f>TRIM(_xlfn.TEXTBEFORE(A3, ":"))</f>
        <v>Item Class</v>
      </c>
      <c r="C3" s="17" t="s">
        <v>1996</v>
      </c>
      <c r="D3" s="16" t="str">
        <f>TRIM(_xlfn.TEXTBEFORE(C3, ":"))</f>
        <v>Gegenstandsklasse</v>
      </c>
      <c r="E3" s="17" t="s">
        <v>2716</v>
      </c>
      <c r="F3" s="16" t="str">
        <f>TRIM(_xlfn.TEXTBEFORE(E3, ":"))</f>
        <v>Clase de objeto</v>
      </c>
      <c r="G3" s="17" t="s">
        <v>1251</v>
      </c>
      <c r="H3" s="16" t="str">
        <f>TRIM(_xlfn.TEXTBEFORE(G3, ":"))</f>
        <v>Classe d'objet</v>
      </c>
      <c r="I3" s="17" t="s">
        <v>3445</v>
      </c>
      <c r="J3" s="16" t="str">
        <f>TRIM(_xlfn.TEXTBEFORE(I3, ":"))</f>
        <v>アイテムクラス</v>
      </c>
      <c r="K3" s="17" t="s">
        <v>4189</v>
      </c>
      <c r="L3" s="16" t="str">
        <f>TRIM(_xlfn.TEXTBEFORE(K3, ":"))</f>
        <v>아이템 종류</v>
      </c>
      <c r="M3" s="17" t="s">
        <v>4878</v>
      </c>
      <c r="N3" s="16" t="str">
        <f>TRIM(_xlfn.TEXTBEFORE(M3, ":"))</f>
        <v>Classe do Item</v>
      </c>
      <c r="O3" s="17" t="s">
        <v>5602</v>
      </c>
      <c r="P3" s="16" t="str">
        <f>TRIM(_xlfn.TEXTBEFORE(O3, ":"))</f>
        <v>Класс предмета</v>
      </c>
      <c r="Q3" s="17" t="s">
        <v>6280</v>
      </c>
      <c r="R3" s="16" t="str">
        <f>TRIM(_xlfn.TEXTBEFORE(Q3, ":"))</f>
        <v>ชนิดไอเทม</v>
      </c>
      <c r="S3" s="17"/>
      <c r="T3" s="16" t="e">
        <f>TRIM(_xlfn.TEXTBEFORE(S3, ":"))</f>
        <v>#N/A</v>
      </c>
    </row>
    <row r="4" spans="1:20" ht="15.95" customHeight="1" x14ac:dyDescent="0.25">
      <c r="A4" s="18" t="s">
        <v>81</v>
      </c>
      <c r="B4" s="16" t="str">
        <f>TRIM(_xlfn.TEXTAFTER(A3, ":"))</f>
        <v>Daggers</v>
      </c>
      <c r="C4" s="18" t="s">
        <v>1644</v>
      </c>
      <c r="D4" s="16" t="str">
        <f>TRIM(_xlfn.TEXTAFTER(C3, ":"))</f>
        <v>Dolche</v>
      </c>
      <c r="E4" s="18" t="s">
        <v>2364</v>
      </c>
      <c r="F4" s="16" t="str">
        <f>TRIM(_xlfn.TEXTAFTER(E3, ":"))</f>
        <v>Dagas</v>
      </c>
      <c r="G4" s="18" t="s">
        <v>1</v>
      </c>
      <c r="H4" s="16" t="str">
        <f>TRIM(_xlfn.TEXTAFTER(G3, ":"))</f>
        <v>Dagues</v>
      </c>
      <c r="I4" s="18" t="s">
        <v>3079</v>
      </c>
      <c r="J4" s="16" t="str">
        <f>TRIM(_xlfn.TEXTAFTER(I3, ":"))</f>
        <v>短剣</v>
      </c>
      <c r="K4" s="18" t="s">
        <v>3829</v>
      </c>
      <c r="L4" s="16" t="str">
        <f>TRIM(_xlfn.TEXTAFTER(K3, ":"))</f>
        <v>단검</v>
      </c>
      <c r="M4" s="18" t="s">
        <v>4558</v>
      </c>
      <c r="N4" s="16" t="str">
        <f>TRIM(_xlfn.TEXTAFTER(M3, ":"))</f>
        <v>Adagas</v>
      </c>
      <c r="O4" s="18" t="s">
        <v>5241</v>
      </c>
      <c r="P4" s="16" t="str">
        <f>TRIM(_xlfn.TEXTAFTER(O3, ":"))</f>
        <v>Кинжалы</v>
      </c>
      <c r="Q4" s="18" t="s">
        <v>5978</v>
      </c>
      <c r="R4" s="16" t="str">
        <f>TRIM(_xlfn.TEXTAFTER(Q3, ":"))</f>
        <v>มีด</v>
      </c>
      <c r="S4" s="18"/>
      <c r="T4" s="16" t="e">
        <f>TRIM(_xlfn.TEXTAFTER(S3, ":"))</f>
        <v>#N/A</v>
      </c>
    </row>
    <row r="5" spans="1:20" ht="15.95" customHeight="1" x14ac:dyDescent="0.25">
      <c r="A5" s="18" t="s">
        <v>143</v>
      </c>
      <c r="B5" s="16" t="str">
        <f>TRIM(_xlfn.TEXTBEFORE(A4, ":"))</f>
        <v>Rarity</v>
      </c>
      <c r="C5" s="18" t="s">
        <v>1997</v>
      </c>
      <c r="D5" s="16" t="str">
        <f>TRIM(_xlfn.TEXTBEFORE(C4, ":"))</f>
        <v>Seltenheit</v>
      </c>
      <c r="E5" s="18" t="s">
        <v>2717</v>
      </c>
      <c r="F5" s="16" t="str">
        <f>TRIM(_xlfn.TEXTBEFORE(E4, ":"))</f>
        <v>Rareza</v>
      </c>
      <c r="G5" s="18" t="s">
        <v>1252</v>
      </c>
      <c r="H5" s="16" t="str">
        <f>TRIM(_xlfn.TEXTBEFORE(G4, ":"))</f>
        <v>Rareté</v>
      </c>
      <c r="I5" s="18" t="s">
        <v>3446</v>
      </c>
      <c r="J5" s="16" t="str">
        <f>TRIM(_xlfn.TEXTBEFORE(I4, ":"))</f>
        <v>レアリティ</v>
      </c>
      <c r="K5" s="18" t="s">
        <v>4190</v>
      </c>
      <c r="L5" s="16" t="str">
        <f>TRIM(_xlfn.TEXTBEFORE(K4, ":"))</f>
        <v>아이템 희귀도</v>
      </c>
      <c r="M5" s="18" t="s">
        <v>4879</v>
      </c>
      <c r="N5" s="16" t="str">
        <f>TRIM(_xlfn.TEXTBEFORE(M4, ":"))</f>
        <v>Raridade</v>
      </c>
      <c r="O5" s="18" t="s">
        <v>5603</v>
      </c>
      <c r="P5" s="16" t="str">
        <f>TRIM(_xlfn.TEXTBEFORE(O4, ":"))</f>
        <v>Редкость</v>
      </c>
      <c r="Q5" s="18" t="s">
        <v>143</v>
      </c>
      <c r="R5" s="16" t="str">
        <f>TRIM(_xlfn.TEXTBEFORE(Q4, ":"))</f>
        <v>ความหายาก</v>
      </c>
      <c r="S5" s="18"/>
      <c r="T5" s="16" t="e">
        <f>TRIM(_xlfn.TEXTBEFORE(S4, ":"))</f>
        <v>#N/A</v>
      </c>
    </row>
    <row r="6" spans="1:20" ht="15.95" customHeight="1" x14ac:dyDescent="0.25">
      <c r="A6" s="18" t="s">
        <v>144</v>
      </c>
      <c r="B6" s="16" t="str">
        <f>TRIM(_xlfn.TEXTAFTER(A4,":"))</f>
        <v>Unique</v>
      </c>
      <c r="C6" s="18" t="s">
        <v>1998</v>
      </c>
      <c r="D6" s="16" t="str">
        <f>TRIM(_xlfn.TEXTAFTER(C4,":"))</f>
        <v>Einzigartig</v>
      </c>
      <c r="E6" s="18" t="s">
        <v>2718</v>
      </c>
      <c r="F6" s="16" t="str">
        <f>TRIM(_xlfn.TEXTAFTER(E4,":"))</f>
        <v>Único</v>
      </c>
      <c r="G6" s="18" t="s">
        <v>1253</v>
      </c>
      <c r="H6" s="16" t="str">
        <f>TRIM(_xlfn.TEXTAFTER(G4,":"))</f>
        <v>Unique</v>
      </c>
      <c r="I6" s="18" t="s">
        <v>3447</v>
      </c>
      <c r="J6" s="16" t="str">
        <f>TRIM(_xlfn.TEXTAFTER(I4,":"))</f>
        <v>ユニーク</v>
      </c>
      <c r="K6" s="18" t="s">
        <v>4191</v>
      </c>
      <c r="L6" s="16" t="str">
        <f>TRIM(_xlfn.TEXTAFTER(K4,":"))</f>
        <v>고유</v>
      </c>
      <c r="M6" s="18" t="s">
        <v>4880</v>
      </c>
      <c r="N6" s="16" t="str">
        <f>TRIM(_xlfn.TEXTAFTER(M4,":"))</f>
        <v>Único</v>
      </c>
      <c r="O6" s="18" t="s">
        <v>5604</v>
      </c>
      <c r="P6" s="16" t="str">
        <f>TRIM(_xlfn.TEXTAFTER(O4,":"))</f>
        <v>Уникальный</v>
      </c>
      <c r="Q6" s="18" t="s">
        <v>144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145</v>
      </c>
      <c r="B8" s="16"/>
      <c r="C8" s="18" t="s">
        <v>1999</v>
      </c>
      <c r="D8" s="16"/>
      <c r="E8" s="18" t="s">
        <v>2719</v>
      </c>
      <c r="F8" s="16"/>
      <c r="G8" s="18" t="s">
        <v>1254</v>
      </c>
      <c r="H8" s="16"/>
      <c r="I8" s="18" t="s">
        <v>3448</v>
      </c>
      <c r="J8" s="16"/>
      <c r="K8" s="18" t="s">
        <v>4192</v>
      </c>
      <c r="L8" s="16"/>
      <c r="M8" s="18" t="s">
        <v>4881</v>
      </c>
      <c r="N8" s="16"/>
      <c r="O8" s="18" t="s">
        <v>5605</v>
      </c>
      <c r="P8" s="16"/>
      <c r="Q8" s="18" t="s">
        <v>6281</v>
      </c>
      <c r="R8" s="16"/>
      <c r="S8" s="18"/>
      <c r="T8" s="16"/>
    </row>
    <row r="9" spans="1:20" ht="15.95" customHeight="1" x14ac:dyDescent="0.25">
      <c r="A9" s="18" t="s">
        <v>146</v>
      </c>
      <c r="B9" s="16"/>
      <c r="C9" s="18" t="s">
        <v>2000</v>
      </c>
      <c r="D9" s="16"/>
      <c r="E9" s="18" t="s">
        <v>2720</v>
      </c>
      <c r="F9" s="16"/>
      <c r="G9" s="18" t="s">
        <v>1255</v>
      </c>
      <c r="H9" s="16"/>
      <c r="I9" s="18" t="s">
        <v>3449</v>
      </c>
      <c r="J9" s="16"/>
      <c r="K9" s="18" t="s">
        <v>4193</v>
      </c>
      <c r="L9" s="16"/>
      <c r="M9" s="18" t="s">
        <v>4882</v>
      </c>
      <c r="N9" s="16"/>
      <c r="O9" s="18" t="s">
        <v>5606</v>
      </c>
      <c r="P9" s="16"/>
      <c r="Q9" s="18" t="s">
        <v>6282</v>
      </c>
      <c r="R9" s="16"/>
      <c r="S9" s="18"/>
      <c r="T9" s="16"/>
    </row>
    <row r="10" spans="1:20" ht="15.95" customHeight="1" x14ac:dyDescent="0.25">
      <c r="A10" s="18" t="s">
        <v>147</v>
      </c>
      <c r="B10" s="16"/>
      <c r="C10" s="18" t="s">
        <v>2001</v>
      </c>
      <c r="D10" s="16"/>
      <c r="E10" s="18" t="s">
        <v>2721</v>
      </c>
      <c r="F10" s="16"/>
      <c r="G10" s="18" t="s">
        <v>1256</v>
      </c>
      <c r="H10" s="16"/>
      <c r="I10" s="18" t="s">
        <v>3450</v>
      </c>
      <c r="J10" s="16"/>
      <c r="K10" s="18" t="s">
        <v>4194</v>
      </c>
      <c r="L10" s="16"/>
      <c r="M10" s="18" t="s">
        <v>4883</v>
      </c>
      <c r="N10" s="16"/>
      <c r="O10" s="18" t="s">
        <v>5607</v>
      </c>
      <c r="P10" s="16"/>
      <c r="Q10" s="18" t="s">
        <v>6283</v>
      </c>
      <c r="R10" s="16"/>
      <c r="S10" s="18"/>
      <c r="T10" s="16"/>
    </row>
    <row r="11" spans="1:20" ht="15.95" customHeight="1" x14ac:dyDescent="0.25">
      <c r="A11" s="18" t="s">
        <v>148</v>
      </c>
      <c r="B11" s="16"/>
      <c r="C11" s="18" t="s">
        <v>2002</v>
      </c>
      <c r="D11" s="16"/>
      <c r="E11" s="18" t="s">
        <v>2722</v>
      </c>
      <c r="F11" s="16"/>
      <c r="G11" s="18" t="s">
        <v>1257</v>
      </c>
      <c r="H11" s="16"/>
      <c r="I11" s="18" t="s">
        <v>3451</v>
      </c>
      <c r="J11" s="16"/>
      <c r="K11" s="18" t="s">
        <v>4195</v>
      </c>
      <c r="L11" s="16"/>
      <c r="M11" s="18" t="s">
        <v>4884</v>
      </c>
      <c r="N11" s="16"/>
      <c r="O11" s="18" t="s">
        <v>5608</v>
      </c>
      <c r="P11" s="16"/>
      <c r="Q11" s="18" t="s">
        <v>6284</v>
      </c>
      <c r="R11" s="16"/>
      <c r="S11" s="18"/>
      <c r="T11" s="16"/>
    </row>
    <row r="12" spans="1:20" ht="15.95" customHeight="1" x14ac:dyDescent="0.25">
      <c r="A12" s="18" t="s">
        <v>128</v>
      </c>
      <c r="B12" s="16"/>
      <c r="C12" s="18" t="s">
        <v>1838</v>
      </c>
      <c r="D12" s="16"/>
      <c r="E12" s="18" t="s">
        <v>2556</v>
      </c>
      <c r="F12" s="16"/>
      <c r="G12" s="18" t="s">
        <v>1103</v>
      </c>
      <c r="H12" s="16"/>
      <c r="I12" s="18" t="s">
        <v>3279</v>
      </c>
      <c r="J12" s="16"/>
      <c r="K12" s="18" t="s">
        <v>4024</v>
      </c>
      <c r="L12" s="16"/>
      <c r="M12" s="18" t="s">
        <v>4747</v>
      </c>
      <c r="N12" s="16"/>
      <c r="O12" s="18" t="s">
        <v>5438</v>
      </c>
      <c r="P12" s="16"/>
      <c r="Q12" s="18" t="s">
        <v>6151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149</v>
      </c>
      <c r="B15" s="16"/>
      <c r="C15" s="18" t="s">
        <v>2003</v>
      </c>
      <c r="D15" s="16"/>
      <c r="E15" s="18" t="s">
        <v>2723</v>
      </c>
      <c r="F15" s="16"/>
      <c r="G15" s="18" t="s">
        <v>1258</v>
      </c>
      <c r="H15" s="16"/>
      <c r="I15" s="18" t="s">
        <v>3452</v>
      </c>
      <c r="J15" s="16"/>
      <c r="K15" s="18" t="s">
        <v>4196</v>
      </c>
      <c r="L15" s="16"/>
      <c r="M15" s="18" t="s">
        <v>4885</v>
      </c>
      <c r="N15" s="16"/>
      <c r="O15" s="18" t="s">
        <v>5609</v>
      </c>
      <c r="P15" s="16"/>
      <c r="Q15" s="18" t="s">
        <v>6285</v>
      </c>
      <c r="R15" s="16"/>
      <c r="S15" s="18"/>
      <c r="T15" s="21"/>
    </row>
    <row r="16" spans="1:20" ht="15.95" customHeight="1" x14ac:dyDescent="0.25">
      <c r="A16" s="18" t="s">
        <v>150</v>
      </c>
      <c r="B16" s="16"/>
      <c r="C16" s="18" t="s">
        <v>2004</v>
      </c>
      <c r="D16" s="16"/>
      <c r="E16" s="18" t="s">
        <v>2724</v>
      </c>
      <c r="F16" s="16"/>
      <c r="G16" s="18" t="s">
        <v>150</v>
      </c>
      <c r="H16" s="16"/>
      <c r="I16" s="18" t="s">
        <v>3453</v>
      </c>
      <c r="J16" s="16"/>
      <c r="K16" s="18" t="s">
        <v>4197</v>
      </c>
      <c r="L16" s="16"/>
      <c r="M16" s="18" t="s">
        <v>2724</v>
      </c>
      <c r="N16" s="16"/>
      <c r="O16" s="18" t="s">
        <v>5610</v>
      </c>
      <c r="P16" s="16"/>
      <c r="Q16" s="18" t="s">
        <v>150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151</v>
      </c>
      <c r="B18" s="16"/>
      <c r="C18" s="18" t="s">
        <v>2005</v>
      </c>
      <c r="D18" s="16"/>
      <c r="E18" s="18" t="s">
        <v>2725</v>
      </c>
      <c r="F18" s="16"/>
      <c r="G18" s="18" t="s">
        <v>1259</v>
      </c>
      <c r="H18" s="16"/>
      <c r="I18" s="18" t="s">
        <v>3454</v>
      </c>
      <c r="J18" s="16"/>
      <c r="K18" s="18" t="s">
        <v>4198</v>
      </c>
      <c r="L18" s="16"/>
      <c r="M18" s="18" t="s">
        <v>4886</v>
      </c>
      <c r="N18" s="16"/>
      <c r="O18" s="18" t="s">
        <v>5611</v>
      </c>
      <c r="P18" s="16"/>
      <c r="Q18" s="18" t="s">
        <v>6286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89</v>
      </c>
      <c r="B20" s="16"/>
      <c r="C20" s="18" t="s">
        <v>1714</v>
      </c>
      <c r="D20" s="16"/>
      <c r="E20" s="18" t="s">
        <v>2433</v>
      </c>
      <c r="F20" s="16"/>
      <c r="G20" s="18" t="s">
        <v>982</v>
      </c>
      <c r="H20" s="16"/>
      <c r="I20" s="18" t="s">
        <v>3151</v>
      </c>
      <c r="J20" s="16"/>
      <c r="K20" s="18" t="s">
        <v>3898</v>
      </c>
      <c r="L20" s="16"/>
      <c r="M20" s="18" t="s">
        <v>4627</v>
      </c>
      <c r="N20" s="16"/>
      <c r="O20" s="18" t="s">
        <v>5312</v>
      </c>
      <c r="P20" s="16"/>
      <c r="Q20" s="18" t="s">
        <v>6044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133</v>
      </c>
      <c r="B22" s="16"/>
      <c r="C22" s="18" t="s">
        <v>1842</v>
      </c>
      <c r="D22" s="16"/>
      <c r="E22" s="18" t="s">
        <v>2560</v>
      </c>
      <c r="F22" s="16"/>
      <c r="G22" s="18" t="s">
        <v>1105</v>
      </c>
      <c r="H22" s="16"/>
      <c r="I22" s="18" t="s">
        <v>3284</v>
      </c>
      <c r="J22" s="16"/>
      <c r="K22" s="18" t="s">
        <v>4029</v>
      </c>
      <c r="L22" s="16"/>
      <c r="M22" s="18" t="s">
        <v>4750</v>
      </c>
      <c r="N22" s="16"/>
      <c r="O22" s="18" t="s">
        <v>5443</v>
      </c>
      <c r="P22" s="16"/>
      <c r="Q22" s="18" t="s">
        <v>6154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152</v>
      </c>
      <c r="B24" s="16"/>
      <c r="C24" s="18" t="s">
        <v>2006</v>
      </c>
      <c r="D24" s="16"/>
      <c r="E24" s="18" t="s">
        <v>2726</v>
      </c>
      <c r="F24" s="16"/>
      <c r="G24" s="18" t="s">
        <v>1260</v>
      </c>
      <c r="H24" s="16"/>
      <c r="I24" s="18" t="s">
        <v>3455</v>
      </c>
      <c r="J24" s="16"/>
      <c r="K24" s="18" t="s">
        <v>4199</v>
      </c>
      <c r="L24" s="16"/>
      <c r="M24" s="18" t="s">
        <v>4887</v>
      </c>
      <c r="N24" s="16"/>
      <c r="O24" s="18" t="s">
        <v>5612</v>
      </c>
      <c r="P24" s="16"/>
      <c r="Q24" s="18" t="s">
        <v>6287</v>
      </c>
      <c r="R24" s="16"/>
      <c r="S24" s="18"/>
      <c r="T24" s="21"/>
    </row>
    <row r="25" spans="1:20" ht="15.95" customHeight="1" x14ac:dyDescent="0.25">
      <c r="A25" s="18" t="s">
        <v>153</v>
      </c>
      <c r="B25" s="16"/>
      <c r="C25" s="18" t="s">
        <v>2007</v>
      </c>
      <c r="D25" s="16"/>
      <c r="E25" s="18" t="s">
        <v>2727</v>
      </c>
      <c r="F25" s="16"/>
      <c r="G25" s="18" t="s">
        <v>1261</v>
      </c>
      <c r="H25" s="16"/>
      <c r="I25" s="18" t="s">
        <v>3456</v>
      </c>
      <c r="J25" s="16"/>
      <c r="K25" s="18" t="s">
        <v>4200</v>
      </c>
      <c r="L25" s="16"/>
      <c r="M25" s="18" t="s">
        <v>4888</v>
      </c>
      <c r="N25" s="16"/>
      <c r="O25" s="18" t="s">
        <v>5613</v>
      </c>
      <c r="P25" s="16"/>
      <c r="Q25" s="18" t="s">
        <v>6288</v>
      </c>
      <c r="R25" s="16"/>
      <c r="S25" s="18"/>
      <c r="T25" s="21"/>
    </row>
    <row r="26" spans="1:20" ht="15.95" customHeight="1" x14ac:dyDescent="0.25">
      <c r="A26" s="18" t="s">
        <v>154</v>
      </c>
      <c r="B26" s="16"/>
      <c r="C26" s="18" t="s">
        <v>2008</v>
      </c>
      <c r="D26" s="16"/>
      <c r="E26" s="18" t="s">
        <v>2728</v>
      </c>
      <c r="F26" s="16"/>
      <c r="G26" s="18" t="s">
        <v>1262</v>
      </c>
      <c r="H26" s="16"/>
      <c r="I26" s="18" t="s">
        <v>3457</v>
      </c>
      <c r="J26" s="16"/>
      <c r="K26" s="18" t="s">
        <v>4201</v>
      </c>
      <c r="L26" s="16"/>
      <c r="M26" s="18" t="s">
        <v>4889</v>
      </c>
      <c r="N26" s="16"/>
      <c r="O26" s="18" t="s">
        <v>5614</v>
      </c>
      <c r="P26" s="16"/>
      <c r="Q26" s="18" t="s">
        <v>6289</v>
      </c>
      <c r="R26" s="16"/>
      <c r="S26" s="18"/>
      <c r="T26" s="21"/>
    </row>
    <row r="27" spans="1:20" ht="15.95" customHeight="1" x14ac:dyDescent="0.25">
      <c r="A27" s="18" t="s">
        <v>155</v>
      </c>
      <c r="B27" s="16"/>
      <c r="C27" s="18" t="s">
        <v>2009</v>
      </c>
      <c r="D27" s="16"/>
      <c r="E27" s="18" t="s">
        <v>2729</v>
      </c>
      <c r="F27" s="16"/>
      <c r="G27" s="18" t="s">
        <v>1263</v>
      </c>
      <c r="H27" s="16"/>
      <c r="I27" s="18" t="s">
        <v>3458</v>
      </c>
      <c r="J27" s="16"/>
      <c r="K27" s="18" t="s">
        <v>4202</v>
      </c>
      <c r="L27" s="16"/>
      <c r="M27" s="18" t="s">
        <v>4890</v>
      </c>
      <c r="N27" s="16"/>
      <c r="O27" s="18" t="s">
        <v>5615</v>
      </c>
      <c r="P27" s="16"/>
      <c r="Q27" s="18" t="s">
        <v>6290</v>
      </c>
      <c r="R27" s="16"/>
      <c r="S27" s="18"/>
      <c r="T27" s="21"/>
    </row>
    <row r="28" spans="1:20" ht="15.95" customHeight="1" x14ac:dyDescent="0.25">
      <c r="A28" s="18" t="s">
        <v>156</v>
      </c>
      <c r="B28" s="16"/>
      <c r="C28" s="18" t="s">
        <v>2010</v>
      </c>
      <c r="D28" s="16"/>
      <c r="E28" s="18" t="s">
        <v>2730</v>
      </c>
      <c r="F28" s="16"/>
      <c r="G28" s="18" t="s">
        <v>1264</v>
      </c>
      <c r="H28" s="16"/>
      <c r="I28" s="18" t="s">
        <v>3459</v>
      </c>
      <c r="J28" s="16"/>
      <c r="K28" s="18" t="s">
        <v>4203</v>
      </c>
      <c r="L28" s="16"/>
      <c r="M28" s="18" t="s">
        <v>4891</v>
      </c>
      <c r="N28" s="16"/>
      <c r="O28" s="18" t="s">
        <v>5616</v>
      </c>
      <c r="P28" s="16"/>
      <c r="Q28" s="18" t="s">
        <v>6291</v>
      </c>
      <c r="R28" s="16"/>
      <c r="S28" s="18"/>
      <c r="T28" s="21"/>
    </row>
    <row r="29" spans="1:20" ht="15.95" customHeight="1" x14ac:dyDescent="0.25">
      <c r="A29" s="18" t="s">
        <v>157</v>
      </c>
      <c r="B29" s="16"/>
      <c r="C29" s="18" t="s">
        <v>2011</v>
      </c>
      <c r="D29" s="16"/>
      <c r="E29" s="18" t="s">
        <v>2731</v>
      </c>
      <c r="F29" s="16"/>
      <c r="G29" s="18" t="s">
        <v>1265</v>
      </c>
      <c r="H29" s="16"/>
      <c r="I29" s="18" t="s">
        <v>3460</v>
      </c>
      <c r="J29" s="16"/>
      <c r="K29" s="18" t="s">
        <v>4204</v>
      </c>
      <c r="L29" s="16"/>
      <c r="M29" s="18" t="s">
        <v>4892</v>
      </c>
      <c r="N29" s="16"/>
      <c r="O29" s="18" t="s">
        <v>5617</v>
      </c>
      <c r="P29" s="16"/>
      <c r="Q29" s="18" t="s">
        <v>6292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158</v>
      </c>
      <c r="B31" s="16"/>
      <c r="C31" s="18" t="s">
        <v>2012</v>
      </c>
      <c r="D31" s="16"/>
      <c r="E31" s="18" t="s">
        <v>2732</v>
      </c>
      <c r="F31" s="16"/>
      <c r="G31" s="18" t="s">
        <v>1266</v>
      </c>
      <c r="H31" s="16"/>
      <c r="I31" s="18" t="s">
        <v>3461</v>
      </c>
      <c r="J31" s="16"/>
      <c r="K31" s="18" t="s">
        <v>4205</v>
      </c>
      <c r="L31" s="16"/>
      <c r="M31" s="18" t="s">
        <v>4893</v>
      </c>
      <c r="N31" s="16"/>
      <c r="O31" s="18" t="s">
        <v>5618</v>
      </c>
      <c r="P31" s="16"/>
      <c r="Q31" s="18" t="s">
        <v>6293</v>
      </c>
      <c r="R31" s="16"/>
      <c r="S31" s="18"/>
      <c r="T31" s="21"/>
    </row>
    <row r="32" spans="1:20" ht="15.95" customHeight="1" x14ac:dyDescent="0.25">
      <c r="A32" s="18" t="s">
        <v>159</v>
      </c>
      <c r="B32" s="16"/>
      <c r="C32" s="18" t="s">
        <v>2013</v>
      </c>
      <c r="D32" s="16"/>
      <c r="E32" s="18" t="s">
        <v>2733</v>
      </c>
      <c r="F32" s="16"/>
      <c r="G32" s="18" t="s">
        <v>1267</v>
      </c>
      <c r="H32" s="16"/>
      <c r="I32" s="18" t="s">
        <v>3462</v>
      </c>
      <c r="J32" s="16"/>
      <c r="K32" s="18" t="s">
        <v>4206</v>
      </c>
      <c r="L32" s="16"/>
      <c r="M32" s="18" t="s">
        <v>4894</v>
      </c>
      <c r="N32" s="16"/>
      <c r="O32" s="18" t="s">
        <v>5619</v>
      </c>
      <c r="P32" s="16"/>
      <c r="Q32" s="18" t="s">
        <v>6294</v>
      </c>
      <c r="R32" s="16"/>
      <c r="S32" s="18"/>
      <c r="T32" s="21"/>
    </row>
    <row r="33" spans="1:20" ht="15.95" customHeight="1" x14ac:dyDescent="0.25">
      <c r="A33" s="22" t="s">
        <v>160</v>
      </c>
      <c r="B33" s="16"/>
      <c r="C33" s="18" t="s">
        <v>2014</v>
      </c>
      <c r="D33" s="16"/>
      <c r="E33" s="18" t="s">
        <v>2734</v>
      </c>
      <c r="F33" s="16"/>
      <c r="G33" s="18" t="s">
        <v>1268</v>
      </c>
      <c r="H33" s="16"/>
      <c r="I33" s="18" t="s">
        <v>3463</v>
      </c>
      <c r="J33" s="16"/>
      <c r="K33" s="18" t="s">
        <v>4207</v>
      </c>
      <c r="L33" s="16"/>
      <c r="M33" s="18" t="s">
        <v>4895</v>
      </c>
      <c r="N33" s="16"/>
      <c r="O33" s="18" t="s">
        <v>5620</v>
      </c>
      <c r="P33" s="16"/>
      <c r="Q33" s="18" t="s">
        <v>6295</v>
      </c>
      <c r="R33" s="16"/>
      <c r="S33" s="18"/>
      <c r="T33" s="21"/>
    </row>
    <row r="34" spans="1:20" ht="15.95" customHeight="1" x14ac:dyDescent="0.25">
      <c r="A34" s="18" t="s">
        <v>161</v>
      </c>
      <c r="B34" s="16"/>
      <c r="C34" s="18" t="s">
        <v>2015</v>
      </c>
      <c r="D34" s="16"/>
      <c r="E34" s="18" t="s">
        <v>2735</v>
      </c>
      <c r="F34" s="16"/>
      <c r="G34" s="18" t="s">
        <v>1269</v>
      </c>
      <c r="H34" s="16"/>
      <c r="I34" s="18" t="s">
        <v>3464</v>
      </c>
      <c r="J34" s="16"/>
      <c r="K34" s="18" t="s">
        <v>4208</v>
      </c>
      <c r="L34" s="16"/>
      <c r="M34" s="18" t="s">
        <v>4896</v>
      </c>
      <c r="N34" s="16"/>
      <c r="O34" s="18" t="s">
        <v>5621</v>
      </c>
      <c r="P34" s="16"/>
      <c r="Q34" s="18" t="s">
        <v>6296</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9" priority="2" stopIfTrue="1">
      <formula>NOT(ISERROR(A3))</formula>
    </cfRule>
  </conditionalFormatting>
  <conditionalFormatting sqref="A3:T51">
    <cfRule type="containsErrors" dxfId="238" priority="1" stopIfTrue="1">
      <formula>ISERROR(A3)</formula>
    </cfRule>
    <cfRule type="notContainsBlanks" dxfId="237"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652</v>
      </c>
      <c r="B3" s="16" t="str">
        <f>TRIM(_xlfn.TEXTBEFORE(A3, ":"))</f>
        <v>Item Class</v>
      </c>
      <c r="C3" s="17" t="s">
        <v>2016</v>
      </c>
      <c r="D3" s="16" t="str">
        <f>TRIM(_xlfn.TEXTBEFORE(C3, ":"))</f>
        <v>Gegenstandsklasse</v>
      </c>
      <c r="E3" s="17" t="s">
        <v>2736</v>
      </c>
      <c r="F3" s="16" t="str">
        <f>TRIM(_xlfn.TEXTBEFORE(E3, ":"))</f>
        <v>Clase de objeto</v>
      </c>
      <c r="G3" s="17" t="s">
        <v>1270</v>
      </c>
      <c r="H3" s="16" t="str">
        <f>TRIM(_xlfn.TEXTBEFORE(G3, ":"))</f>
        <v>Classe d'objet</v>
      </c>
      <c r="I3" s="17" t="s">
        <v>3465</v>
      </c>
      <c r="J3" s="16" t="str">
        <f>TRIM(_xlfn.TEXTBEFORE(I3, ":"))</f>
        <v>アイテムクラス</v>
      </c>
      <c r="K3" s="17" t="s">
        <v>4209</v>
      </c>
      <c r="L3" s="16" t="str">
        <f>TRIM(_xlfn.TEXTBEFORE(K3, ":"))</f>
        <v>아이템 종류</v>
      </c>
      <c r="M3" s="17" t="s">
        <v>4897</v>
      </c>
      <c r="N3" s="16" t="str">
        <f>TRIM(_xlfn.TEXTBEFORE(M3, ":"))</f>
        <v>Classe do Item</v>
      </c>
      <c r="O3" s="17" t="s">
        <v>5622</v>
      </c>
      <c r="P3" s="16" t="str">
        <f>TRIM(_xlfn.TEXTBEFORE(O3, ":"))</f>
        <v>Класс предмета</v>
      </c>
      <c r="Q3" s="17" t="s">
        <v>6297</v>
      </c>
      <c r="R3" s="16" t="str">
        <f>TRIM(_xlfn.TEXTBEFORE(Q3, ":"))</f>
        <v>ชนิดไอเทม</v>
      </c>
      <c r="S3" s="17"/>
      <c r="T3" s="20" t="e">
        <f>TRIM(_xlfn.TEXTBEFORE(S3, ":"))</f>
        <v>#N/A</v>
      </c>
    </row>
    <row r="4" spans="1:20" ht="15.95" customHeight="1" x14ac:dyDescent="0.25">
      <c r="A4" s="18" t="s">
        <v>81</v>
      </c>
      <c r="B4" s="16" t="str">
        <f>TRIM(_xlfn.TEXTAFTER(A3, ":"))</f>
        <v>Jewels</v>
      </c>
      <c r="C4" s="18" t="s">
        <v>1644</v>
      </c>
      <c r="D4" s="16" t="str">
        <f>TRIM(_xlfn.TEXTAFTER(C3, ":"))</f>
        <v>Juwelen</v>
      </c>
      <c r="E4" s="18" t="s">
        <v>2364</v>
      </c>
      <c r="F4" s="16" t="str">
        <f>TRIM(_xlfn.TEXTAFTER(E3, ":"))</f>
        <v>Joyas</v>
      </c>
      <c r="G4" s="18" t="s">
        <v>1</v>
      </c>
      <c r="H4" s="16" t="str">
        <f>TRIM(_xlfn.TEXTAFTER(G3, ":"))</f>
        <v>Joyaux</v>
      </c>
      <c r="I4" s="18" t="s">
        <v>3079</v>
      </c>
      <c r="J4" s="16" t="str">
        <f>TRIM(_xlfn.TEXTAFTER(I3, ":"))</f>
        <v>ジュエル</v>
      </c>
      <c r="K4" s="18" t="s">
        <v>3829</v>
      </c>
      <c r="L4" s="16" t="str">
        <f>TRIM(_xlfn.TEXTAFTER(K3, ":"))</f>
        <v>주얼</v>
      </c>
      <c r="M4" s="18" t="s">
        <v>4558</v>
      </c>
      <c r="N4" s="16" t="str">
        <f>TRIM(_xlfn.TEXTAFTER(M3, ":"))</f>
        <v>Joias</v>
      </c>
      <c r="O4" s="18" t="s">
        <v>5241</v>
      </c>
      <c r="P4" s="16" t="str">
        <f>TRIM(_xlfn.TEXTAFTER(O3, ":"))</f>
        <v>Самоцветы</v>
      </c>
      <c r="Q4" s="18" t="s">
        <v>5978</v>
      </c>
      <c r="R4" s="16" t="str">
        <f>TRIM(_xlfn.TEXTAFTER(Q3, ":"))</f>
        <v>จิวเวล</v>
      </c>
      <c r="S4" s="18"/>
      <c r="T4" s="20" t="e">
        <f>TRIM(_xlfn.TEXTAFTER(S3, ":"))</f>
        <v>#N/A</v>
      </c>
    </row>
    <row r="5" spans="1:20" ht="15.95" customHeight="1" x14ac:dyDescent="0.25">
      <c r="A5" s="18" t="s">
        <v>653</v>
      </c>
      <c r="B5" s="16" t="str">
        <f>TRIM(_xlfn.TEXTBEFORE(A4, ":"))</f>
        <v>Rarity</v>
      </c>
      <c r="C5" s="18" t="s">
        <v>2017</v>
      </c>
      <c r="D5" s="16" t="str">
        <f>TRIM(_xlfn.TEXTBEFORE(C4, ":"))</f>
        <v>Seltenheit</v>
      </c>
      <c r="E5" s="18" t="s">
        <v>2737</v>
      </c>
      <c r="F5" s="16" t="str">
        <f>TRIM(_xlfn.TEXTBEFORE(E4, ":"))</f>
        <v>Rareza</v>
      </c>
      <c r="G5" s="18" t="s">
        <v>1271</v>
      </c>
      <c r="H5" s="16" t="str">
        <f>TRIM(_xlfn.TEXTBEFORE(G4, ":"))</f>
        <v>Rareté</v>
      </c>
      <c r="I5" s="18" t="s">
        <v>3466</v>
      </c>
      <c r="J5" s="16" t="str">
        <f>TRIM(_xlfn.TEXTBEFORE(I4, ":"))</f>
        <v>レアリティ</v>
      </c>
      <c r="K5" s="18" t="s">
        <v>4210</v>
      </c>
      <c r="L5" s="16" t="str">
        <f>TRIM(_xlfn.TEXTBEFORE(K4, ":"))</f>
        <v>아이템 희귀도</v>
      </c>
      <c r="M5" s="18" t="s">
        <v>2737</v>
      </c>
      <c r="N5" s="16" t="str">
        <f>TRIM(_xlfn.TEXTBEFORE(M4, ":"))</f>
        <v>Raridade</v>
      </c>
      <c r="O5" s="18" t="s">
        <v>5623</v>
      </c>
      <c r="P5" s="16" t="str">
        <f>TRIM(_xlfn.TEXTBEFORE(O4, ":"))</f>
        <v>Редкость</v>
      </c>
      <c r="Q5" s="18" t="s">
        <v>653</v>
      </c>
      <c r="R5" s="16" t="str">
        <f>TRIM(_xlfn.TEXTBEFORE(Q4, ":"))</f>
        <v>ความหายาก</v>
      </c>
      <c r="S5" s="18"/>
      <c r="T5" s="20" t="e">
        <f>TRIM(_xlfn.TEXTBEFORE(S4, ":"))</f>
        <v>#N/A</v>
      </c>
    </row>
    <row r="6" spans="1:20" ht="15.95" customHeight="1" x14ac:dyDescent="0.25">
      <c r="A6" s="18" t="s">
        <v>654</v>
      </c>
      <c r="B6" s="16" t="str">
        <f>TRIM(_xlfn.TEXTAFTER(A4,":"))</f>
        <v>Unique</v>
      </c>
      <c r="C6" s="18" t="s">
        <v>2018</v>
      </c>
      <c r="D6" s="16" t="str">
        <f>TRIM(_xlfn.TEXTAFTER(C4,":"))</f>
        <v>Einzigartig</v>
      </c>
      <c r="E6" s="18" t="s">
        <v>2738</v>
      </c>
      <c r="F6" s="16" t="str">
        <f>TRIM(_xlfn.TEXTAFTER(E4,":"))</f>
        <v>Único</v>
      </c>
      <c r="G6" s="18" t="s">
        <v>1272</v>
      </c>
      <c r="H6" s="16" t="str">
        <f>TRIM(_xlfn.TEXTAFTER(G4,":"))</f>
        <v>Unique</v>
      </c>
      <c r="I6" s="18" t="s">
        <v>3467</v>
      </c>
      <c r="J6" s="16" t="str">
        <f>TRIM(_xlfn.TEXTAFTER(I4,":"))</f>
        <v>ユニーク</v>
      </c>
      <c r="K6" s="18" t="s">
        <v>4211</v>
      </c>
      <c r="L6" s="16" t="str">
        <f>TRIM(_xlfn.TEXTAFTER(K4,":"))</f>
        <v>고유</v>
      </c>
      <c r="M6" s="18" t="s">
        <v>4898</v>
      </c>
      <c r="N6" s="16" t="str">
        <f>TRIM(_xlfn.TEXTAFTER(M4,":"))</f>
        <v>Único</v>
      </c>
      <c r="O6" s="18" t="s">
        <v>5624</v>
      </c>
      <c r="P6" s="16" t="str">
        <f>TRIM(_xlfn.TEXTAFTER(O4,":"))</f>
        <v>Уникальный</v>
      </c>
      <c r="Q6" s="18" t="s">
        <v>654</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89</v>
      </c>
      <c r="B8" s="16"/>
      <c r="C8" s="18" t="s">
        <v>1714</v>
      </c>
      <c r="D8" s="16"/>
      <c r="E8" s="18" t="s">
        <v>2433</v>
      </c>
      <c r="F8" s="16"/>
      <c r="G8" s="18" t="s">
        <v>982</v>
      </c>
      <c r="H8" s="16"/>
      <c r="I8" s="18" t="s">
        <v>3151</v>
      </c>
      <c r="J8" s="16"/>
      <c r="K8" s="18" t="s">
        <v>3898</v>
      </c>
      <c r="L8" s="16"/>
      <c r="M8" s="18" t="s">
        <v>4627</v>
      </c>
      <c r="N8" s="16"/>
      <c r="O8" s="18" t="s">
        <v>5312</v>
      </c>
      <c r="P8" s="16"/>
      <c r="Q8" s="18" t="s">
        <v>6044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655</v>
      </c>
      <c r="B10" s="16"/>
      <c r="C10" s="18" t="s">
        <v>2019</v>
      </c>
      <c r="D10" s="16"/>
      <c r="E10" s="18" t="s">
        <v>2739</v>
      </c>
      <c r="F10" s="16"/>
      <c r="G10" s="18" t="s">
        <v>1273</v>
      </c>
      <c r="H10" s="16"/>
      <c r="I10" s="18" t="s">
        <v>3468</v>
      </c>
      <c r="J10" s="16"/>
      <c r="K10" s="18" t="s">
        <v>4212</v>
      </c>
      <c r="L10" s="16"/>
      <c r="M10" s="18" t="s">
        <v>4899</v>
      </c>
      <c r="N10" s="16"/>
      <c r="O10" s="18" t="s">
        <v>5625</v>
      </c>
      <c r="P10" s="16"/>
      <c r="Q10" s="18" t="s">
        <v>6298</v>
      </c>
      <c r="R10" s="16"/>
      <c r="S10" s="18"/>
      <c r="T10" s="20"/>
    </row>
    <row r="11" spans="1:20" ht="15.95" customHeight="1" x14ac:dyDescent="0.25">
      <c r="A11" s="18" t="s">
        <v>656</v>
      </c>
      <c r="B11" s="16"/>
      <c r="C11" s="18" t="s">
        <v>2020</v>
      </c>
      <c r="D11" s="16"/>
      <c r="E11" s="18" t="s">
        <v>2740</v>
      </c>
      <c r="F11" s="16"/>
      <c r="G11" s="18" t="s">
        <v>1274</v>
      </c>
      <c r="H11" s="16"/>
      <c r="I11" s="18" t="s">
        <v>3469</v>
      </c>
      <c r="J11" s="16"/>
      <c r="K11" s="18" t="s">
        <v>4213</v>
      </c>
      <c r="L11" s="16"/>
      <c r="M11" s="18" t="s">
        <v>4900</v>
      </c>
      <c r="N11" s="16"/>
      <c r="O11" s="18" t="s">
        <v>5626</v>
      </c>
      <c r="P11" s="16"/>
      <c r="Q11" s="18" t="s">
        <v>6299</v>
      </c>
      <c r="R11" s="16"/>
      <c r="S11" s="18"/>
      <c r="T11" s="20"/>
    </row>
    <row r="12" spans="1:20" ht="15.95" customHeight="1" x14ac:dyDescent="0.25">
      <c r="A12" s="18" t="s">
        <v>657</v>
      </c>
      <c r="B12" s="16"/>
      <c r="C12" s="18" t="s">
        <v>2021</v>
      </c>
      <c r="D12" s="16"/>
      <c r="E12" s="18" t="s">
        <v>2741</v>
      </c>
      <c r="F12" s="16"/>
      <c r="G12" s="18" t="s">
        <v>1275</v>
      </c>
      <c r="H12" s="16"/>
      <c r="I12" s="18" t="s">
        <v>3470</v>
      </c>
      <c r="J12" s="16"/>
      <c r="K12" s="18" t="s">
        <v>4214</v>
      </c>
      <c r="L12" s="16"/>
      <c r="M12" s="18" t="s">
        <v>4901</v>
      </c>
      <c r="N12" s="16"/>
      <c r="O12" s="18" t="s">
        <v>5627</v>
      </c>
      <c r="P12" s="16"/>
      <c r="Q12" s="18" t="s">
        <v>6300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658</v>
      </c>
      <c r="B14" s="16"/>
      <c r="C14" s="18" t="s">
        <v>2022</v>
      </c>
      <c r="D14" s="16"/>
      <c r="E14" s="18" t="s">
        <v>2742</v>
      </c>
      <c r="F14" s="16"/>
      <c r="G14" s="18" t="s">
        <v>1276</v>
      </c>
      <c r="H14" s="16"/>
      <c r="I14" s="18" t="s">
        <v>3471</v>
      </c>
      <c r="J14" s="16"/>
      <c r="K14" s="18" t="s">
        <v>4215</v>
      </c>
      <c r="L14" s="16"/>
      <c r="M14" s="18" t="s">
        <v>4902</v>
      </c>
      <c r="N14" s="16"/>
      <c r="O14" s="18" t="s">
        <v>5628</v>
      </c>
      <c r="P14" s="16"/>
      <c r="Q14" s="18" t="s">
        <v>6301</v>
      </c>
      <c r="R14" s="16"/>
      <c r="S14" s="18"/>
      <c r="T14" s="20"/>
    </row>
    <row r="15" spans="1:20" ht="15.95" customHeight="1" x14ac:dyDescent="0.25">
      <c r="A15" s="18" t="e">
        <f>- Barkhul, the Butcher</f>
        <v>#NAME?</v>
      </c>
      <c r="B15" s="16"/>
      <c r="C15" s="18" t="s">
        <v>2023</v>
      </c>
      <c r="D15" s="16"/>
      <c r="E15" s="18" t="e">
        <f>- Barkhul, el Carnicero</f>
        <v>#NAME?</v>
      </c>
      <c r="F15" s="16"/>
      <c r="G15" s="18" t="s">
        <v>1277</v>
      </c>
      <c r="H15" s="16"/>
      <c r="I15" s="18" t="s">
        <v>3472</v>
      </c>
      <c r="J15" s="16"/>
      <c r="K15" s="18" t="e" cm="1">
        <f t="array" ref="K15">-도살자 바르쿨</f>
        <v>#NAME?</v>
      </c>
      <c r="L15" s="16"/>
      <c r="M15" s="18" t="e">
        <f>- Barkhul, o Açougueiro</f>
        <v>#NAME?</v>
      </c>
      <c r="N15" s="16"/>
      <c r="O15" s="18" t="s">
        <v>5629</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1278</v>
      </c>
      <c r="H16" s="16"/>
      <c r="I16" s="18" t="s">
        <v>3473</v>
      </c>
      <c r="J16" s="16"/>
      <c r="K16" s="18" t="s">
        <v>4</v>
      </c>
      <c r="L16" s="16"/>
      <c r="M16" s="18" t="s">
        <v>4</v>
      </c>
      <c r="N16" s="16"/>
      <c r="O16" s="18" t="s">
        <v>5630</v>
      </c>
      <c r="P16" s="16"/>
      <c r="Q16" s="18" t="s">
        <v>4</v>
      </c>
      <c r="R16" s="16"/>
      <c r="S16" s="18"/>
      <c r="T16" s="20"/>
    </row>
    <row r="17" spans="1:20" ht="15.95" customHeight="1" x14ac:dyDescent="0.25">
      <c r="A17" s="18" t="s">
        <v>659</v>
      </c>
      <c r="B17" s="16"/>
      <c r="C17" s="18" t="s">
        <v>2024</v>
      </c>
      <c r="D17" s="16"/>
      <c r="E17" s="18" t="s">
        <v>2743</v>
      </c>
      <c r="F17" s="16"/>
      <c r="G17" s="18" t="e" cm="1">
        <f t="array" ref="G17">- Barkhul le boucher</f>
        <v>#NAME?</v>
      </c>
      <c r="H17" s="16"/>
      <c r="I17" s="18" t="s">
        <v>3474</v>
      </c>
      <c r="J17" s="16"/>
      <c r="K17" s="18" t="s">
        <v>4216</v>
      </c>
      <c r="L17" s="16"/>
      <c r="M17" s="18" t="s">
        <v>4903</v>
      </c>
      <c r="N17" s="16"/>
      <c r="O17" s="18" t="e" cm="1">
        <f t="array" ref="O17">- Гавул Мясник</f>
        <v>#NAME?</v>
      </c>
      <c r="P17" s="16"/>
      <c r="Q17" s="18" t="s">
        <v>6302</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1279</v>
      </c>
      <c r="H19" s="16"/>
      <c r="I19" s="18" t="s">
        <v>3475</v>
      </c>
      <c r="J19" s="16"/>
      <c r="K19" s="18"/>
      <c r="L19" s="16"/>
      <c r="M19" s="18"/>
      <c r="N19" s="16"/>
      <c r="O19" s="18" t="s">
        <v>5631</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6" priority="2" stopIfTrue="1">
      <formula>NOT(ISERROR(A3))</formula>
    </cfRule>
  </conditionalFormatting>
  <conditionalFormatting sqref="A3:T51">
    <cfRule type="containsErrors" dxfId="235" priority="1" stopIfTrue="1">
      <formula>ISERROR(A3)</formula>
    </cfRule>
    <cfRule type="notContainsBlanks" dxfId="234"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385</v>
      </c>
      <c r="B3" s="16" t="str">
        <f>TRIM(_xlfn.TEXTBEFORE(A3, ":"))</f>
        <v>Item Class</v>
      </c>
      <c r="C3" s="17" t="s">
        <v>2025</v>
      </c>
      <c r="D3" s="16" t="str">
        <f>TRIM(_xlfn.TEXTBEFORE(C3, ":"))</f>
        <v>Gegenstandsklasse</v>
      </c>
      <c r="E3" s="17" t="s">
        <v>2744</v>
      </c>
      <c r="F3" s="16" t="str">
        <f>TRIM(_xlfn.TEXTBEFORE(E3, ":"))</f>
        <v>Clase de objeto</v>
      </c>
      <c r="G3" s="17" t="s">
        <v>1280</v>
      </c>
      <c r="H3" s="16" t="str">
        <f>TRIM(_xlfn.TEXTBEFORE(G3, ":"))</f>
        <v>Classe d'objet</v>
      </c>
      <c r="I3" s="17" t="s">
        <v>3476</v>
      </c>
      <c r="J3" s="16" t="str">
        <f>TRIM(_xlfn.TEXTBEFORE(I3, ":"))</f>
        <v>アイテムクラス</v>
      </c>
      <c r="K3" s="17" t="s">
        <v>4217</v>
      </c>
      <c r="L3" s="16" t="str">
        <f>TRIM(_xlfn.TEXTBEFORE(K3, ":"))</f>
        <v>아이템 종류</v>
      </c>
      <c r="M3" s="17" t="s">
        <v>4904</v>
      </c>
      <c r="N3" s="16" t="str">
        <f>TRIM(_xlfn.TEXTBEFORE(M3, ":"))</f>
        <v>Classe do Item</v>
      </c>
      <c r="O3" s="17" t="s">
        <v>5632</v>
      </c>
      <c r="P3" s="16" t="str">
        <f>TRIM(_xlfn.TEXTBEFORE(O3, ":"))</f>
        <v>Класс предмета</v>
      </c>
      <c r="Q3" s="17" t="s">
        <v>6303</v>
      </c>
      <c r="R3" s="16" t="str">
        <f>TRIM(_xlfn.TEXTBEFORE(Q3, ":"))</f>
        <v>ชนิดไอเทม</v>
      </c>
      <c r="S3" s="17"/>
      <c r="T3" s="16" t="e">
        <f>TRIM(_xlfn.TEXTBEFORE(S3, ":"))</f>
        <v>#N/A</v>
      </c>
    </row>
    <row r="4" spans="1:20" ht="15.95" customHeight="1" x14ac:dyDescent="0.25">
      <c r="A4" s="18" t="s">
        <v>81</v>
      </c>
      <c r="B4" s="16" t="str">
        <f>TRIM(_xlfn.TEXTAFTER(A3, ":"))</f>
        <v>Quivers</v>
      </c>
      <c r="C4" s="18" t="s">
        <v>1644</v>
      </c>
      <c r="D4" s="16" t="str">
        <f>TRIM(_xlfn.TEXTAFTER(C3, ":"))</f>
        <v>Köcher</v>
      </c>
      <c r="E4" s="18" t="s">
        <v>2364</v>
      </c>
      <c r="F4" s="16" t="str">
        <f>TRIM(_xlfn.TEXTAFTER(E3, ":"))</f>
        <v>Carcajes</v>
      </c>
      <c r="G4" s="18" t="s">
        <v>1</v>
      </c>
      <c r="H4" s="16" t="str">
        <f>TRIM(_xlfn.TEXTAFTER(G3, ":"))</f>
        <v>Carquois</v>
      </c>
      <c r="I4" s="18" t="s">
        <v>3079</v>
      </c>
      <c r="J4" s="16" t="str">
        <f>TRIM(_xlfn.TEXTAFTER(I3, ":"))</f>
        <v>矢筒</v>
      </c>
      <c r="K4" s="18" t="s">
        <v>3829</v>
      </c>
      <c r="L4" s="16" t="str">
        <f>TRIM(_xlfn.TEXTAFTER(K3, ":"))</f>
        <v>화살통</v>
      </c>
      <c r="M4" s="18" t="s">
        <v>4558</v>
      </c>
      <c r="N4" s="16" t="str">
        <f>TRIM(_xlfn.TEXTAFTER(M3, ":"))</f>
        <v>Aljavas</v>
      </c>
      <c r="O4" s="18" t="s">
        <v>5241</v>
      </c>
      <c r="P4" s="16" t="str">
        <f>TRIM(_xlfn.TEXTAFTER(O3, ":"))</f>
        <v>Колчаны</v>
      </c>
      <c r="Q4" s="18" t="s">
        <v>5978</v>
      </c>
      <c r="R4" s="16" t="str">
        <f>TRIM(_xlfn.TEXTAFTER(Q3, ":"))</f>
        <v>ซองธนู</v>
      </c>
      <c r="S4" s="18"/>
      <c r="T4" s="16" t="e">
        <f>TRIM(_xlfn.TEXTAFTER(S3, ":"))</f>
        <v>#N/A</v>
      </c>
    </row>
    <row r="5" spans="1:20" ht="15.95" customHeight="1" x14ac:dyDescent="0.25">
      <c r="A5" s="18" t="s">
        <v>386</v>
      </c>
      <c r="B5" s="16" t="str">
        <f>TRIM(_xlfn.TEXTBEFORE(A4, ":"))</f>
        <v>Rarity</v>
      </c>
      <c r="C5" s="18" t="s">
        <v>2026</v>
      </c>
      <c r="D5" s="16" t="str">
        <f>TRIM(_xlfn.TEXTBEFORE(C4, ":"))</f>
        <v>Seltenheit</v>
      </c>
      <c r="E5" s="18" t="s">
        <v>2745</v>
      </c>
      <c r="F5" s="16" t="str">
        <f>TRIM(_xlfn.TEXTBEFORE(E4, ":"))</f>
        <v>Rareza</v>
      </c>
      <c r="G5" s="18" t="s">
        <v>1281</v>
      </c>
      <c r="H5" s="16" t="str">
        <f>TRIM(_xlfn.TEXTBEFORE(G4, ":"))</f>
        <v>Rareté</v>
      </c>
      <c r="I5" s="18" t="s">
        <v>3477</v>
      </c>
      <c r="J5" s="16" t="str">
        <f>TRIM(_xlfn.TEXTBEFORE(I4, ":"))</f>
        <v>レアリティ</v>
      </c>
      <c r="K5" s="18" t="s">
        <v>4218</v>
      </c>
      <c r="L5" s="16" t="str">
        <f>TRIM(_xlfn.TEXTBEFORE(K4, ":"))</f>
        <v>아이템 희귀도</v>
      </c>
      <c r="M5" s="18" t="s">
        <v>4905</v>
      </c>
      <c r="N5" s="16" t="str">
        <f>TRIM(_xlfn.TEXTBEFORE(M4, ":"))</f>
        <v>Raridade</v>
      </c>
      <c r="O5" s="18" t="s">
        <v>5633</v>
      </c>
      <c r="P5" s="16" t="str">
        <f>TRIM(_xlfn.TEXTBEFORE(O4, ":"))</f>
        <v>Редкость</v>
      </c>
      <c r="Q5" s="18" t="s">
        <v>386</v>
      </c>
      <c r="R5" s="16" t="str">
        <f>TRIM(_xlfn.TEXTBEFORE(Q4, ":"))</f>
        <v>ความหายาก</v>
      </c>
      <c r="S5" s="18"/>
      <c r="T5" s="16" t="e">
        <f>TRIM(_xlfn.TEXTBEFORE(S4, ":"))</f>
        <v>#N/A</v>
      </c>
    </row>
    <row r="6" spans="1:20" ht="15.95" customHeight="1" x14ac:dyDescent="0.25">
      <c r="A6" s="18" t="s">
        <v>387</v>
      </c>
      <c r="B6" s="16" t="str">
        <f>TRIM(_xlfn.TEXTAFTER(A4,":"))</f>
        <v>Unique</v>
      </c>
      <c r="C6" s="18" t="s">
        <v>2027</v>
      </c>
      <c r="D6" s="16" t="str">
        <f>TRIM(_xlfn.TEXTAFTER(C4,":"))</f>
        <v>Einzigartig</v>
      </c>
      <c r="E6" s="18" t="s">
        <v>2746</v>
      </c>
      <c r="F6" s="16" t="str">
        <f>TRIM(_xlfn.TEXTAFTER(E4,":"))</f>
        <v>Único</v>
      </c>
      <c r="G6" s="18" t="s">
        <v>1282</v>
      </c>
      <c r="H6" s="16" t="str">
        <f>TRIM(_xlfn.TEXTAFTER(G4,":"))</f>
        <v>Unique</v>
      </c>
      <c r="I6" s="18" t="s">
        <v>3478</v>
      </c>
      <c r="J6" s="16" t="str">
        <f>TRIM(_xlfn.TEXTAFTER(I4,":"))</f>
        <v>ユニーク</v>
      </c>
      <c r="K6" s="18" t="s">
        <v>4219</v>
      </c>
      <c r="L6" s="16" t="str">
        <f>TRIM(_xlfn.TEXTAFTER(K4,":"))</f>
        <v>고유</v>
      </c>
      <c r="M6" s="18" t="s">
        <v>4906</v>
      </c>
      <c r="N6" s="16" t="str">
        <f>TRIM(_xlfn.TEXTAFTER(M4,":"))</f>
        <v>Único</v>
      </c>
      <c r="O6" s="18" t="s">
        <v>5634</v>
      </c>
      <c r="P6" s="16" t="str">
        <f>TRIM(_xlfn.TEXTAFTER(O4,":"))</f>
        <v>Уникальный</v>
      </c>
      <c r="Q6" s="18" t="s">
        <v>387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16"/>
    </row>
    <row r="9" spans="1:20" ht="15.95" customHeight="1" x14ac:dyDescent="0.25">
      <c r="A9" s="18" t="s">
        <v>388</v>
      </c>
      <c r="B9" s="16"/>
      <c r="C9" s="18" t="s">
        <v>2028</v>
      </c>
      <c r="D9" s="16"/>
      <c r="E9" s="18" t="s">
        <v>2747</v>
      </c>
      <c r="F9" s="16"/>
      <c r="G9" s="18" t="s">
        <v>1283</v>
      </c>
      <c r="H9" s="16"/>
      <c r="I9" s="18" t="s">
        <v>3479</v>
      </c>
      <c r="J9" s="16"/>
      <c r="K9" s="18" t="s">
        <v>4220</v>
      </c>
      <c r="L9" s="16"/>
      <c r="M9" s="18" t="s">
        <v>4907</v>
      </c>
      <c r="N9" s="16"/>
      <c r="O9" s="18" t="s">
        <v>5635</v>
      </c>
      <c r="P9" s="16"/>
      <c r="Q9" s="18" t="s">
        <v>6304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389</v>
      </c>
      <c r="B11" s="16"/>
      <c r="C11" s="18" t="s">
        <v>2029</v>
      </c>
      <c r="D11" s="16"/>
      <c r="E11" s="18" t="s">
        <v>2748</v>
      </c>
      <c r="F11" s="16"/>
      <c r="G11" s="18" t="s">
        <v>1284</v>
      </c>
      <c r="H11" s="16"/>
      <c r="I11" s="18" t="s">
        <v>3480</v>
      </c>
      <c r="J11" s="16"/>
      <c r="K11" s="18" t="s">
        <v>4221</v>
      </c>
      <c r="L11" s="16"/>
      <c r="M11" s="18" t="s">
        <v>4908</v>
      </c>
      <c r="N11" s="16"/>
      <c r="O11" s="18" t="s">
        <v>5636</v>
      </c>
      <c r="P11" s="16"/>
      <c r="Q11" s="18" t="s">
        <v>6305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390</v>
      </c>
      <c r="B13" s="16"/>
      <c r="C13" s="18" t="s">
        <v>2030</v>
      </c>
      <c r="D13" s="16"/>
      <c r="E13" s="18" t="s">
        <v>2749</v>
      </c>
      <c r="F13" s="16"/>
      <c r="G13" s="18" t="s">
        <v>1285</v>
      </c>
      <c r="H13" s="16"/>
      <c r="I13" s="18" t="s">
        <v>3481</v>
      </c>
      <c r="J13" s="16"/>
      <c r="K13" s="18" t="s">
        <v>4222</v>
      </c>
      <c r="L13" s="16"/>
      <c r="M13" s="18" t="s">
        <v>4909</v>
      </c>
      <c r="N13" s="16"/>
      <c r="O13" s="18" t="s">
        <v>5637</v>
      </c>
      <c r="P13" s="16"/>
      <c r="Q13" s="18" t="s">
        <v>6306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391</v>
      </c>
      <c r="B15" s="16"/>
      <c r="C15" s="18" t="s">
        <v>2031</v>
      </c>
      <c r="D15" s="16"/>
      <c r="E15" s="18" t="s">
        <v>2750</v>
      </c>
      <c r="F15" s="16"/>
      <c r="G15" s="18" t="s">
        <v>1286</v>
      </c>
      <c r="H15" s="16"/>
      <c r="I15" s="18" t="s">
        <v>3482</v>
      </c>
      <c r="J15" s="16"/>
      <c r="K15" s="18" t="s">
        <v>4223</v>
      </c>
      <c r="L15" s="16"/>
      <c r="M15" s="18" t="s">
        <v>4910</v>
      </c>
      <c r="N15" s="16"/>
      <c r="O15" s="18" t="s">
        <v>5638</v>
      </c>
      <c r="P15" s="16"/>
      <c r="Q15" s="18" t="s">
        <v>6307</v>
      </c>
      <c r="R15" s="16"/>
      <c r="S15" s="18"/>
      <c r="T15" s="21"/>
    </row>
    <row r="16" spans="1:20" ht="15.95" customHeight="1" x14ac:dyDescent="0.25">
      <c r="A16" s="18" t="s">
        <v>392</v>
      </c>
      <c r="B16" s="16"/>
      <c r="C16" s="18" t="s">
        <v>2032</v>
      </c>
      <c r="D16" s="16"/>
      <c r="E16" s="18" t="s">
        <v>2751</v>
      </c>
      <c r="F16" s="16"/>
      <c r="G16" s="18" t="s">
        <v>1287</v>
      </c>
      <c r="H16" s="16"/>
      <c r="I16" s="18" t="s">
        <v>3483</v>
      </c>
      <c r="J16" s="16"/>
      <c r="K16" s="18" t="s">
        <v>4224</v>
      </c>
      <c r="L16" s="16"/>
      <c r="M16" s="18" t="s">
        <v>4911</v>
      </c>
      <c r="N16" s="16"/>
      <c r="O16" s="18" t="s">
        <v>5639</v>
      </c>
      <c r="P16" s="16"/>
      <c r="Q16" s="18" t="s">
        <v>6308</v>
      </c>
      <c r="R16" s="16"/>
      <c r="S16" s="18"/>
      <c r="T16" s="21"/>
    </row>
    <row r="17" spans="1:20" ht="15.95" customHeight="1" x14ac:dyDescent="0.25">
      <c r="A17" s="18" t="s">
        <v>393</v>
      </c>
      <c r="B17" s="16"/>
      <c r="C17" s="18" t="s">
        <v>2033</v>
      </c>
      <c r="D17" s="16"/>
      <c r="E17" s="18" t="s">
        <v>2752</v>
      </c>
      <c r="F17" s="16"/>
      <c r="G17" s="18" t="s">
        <v>1288</v>
      </c>
      <c r="H17" s="16"/>
      <c r="I17" s="18" t="s">
        <v>3484</v>
      </c>
      <c r="J17" s="16"/>
      <c r="K17" s="18" t="s">
        <v>4225</v>
      </c>
      <c r="L17" s="16"/>
      <c r="M17" s="18" t="s">
        <v>4912</v>
      </c>
      <c r="N17" s="16"/>
      <c r="O17" s="18" t="s">
        <v>5640</v>
      </c>
      <c r="P17" s="16"/>
      <c r="Q17" s="18" t="s">
        <v>6309</v>
      </c>
      <c r="R17" s="16"/>
      <c r="S17" s="18"/>
      <c r="T17" s="21"/>
    </row>
    <row r="18" spans="1:20" ht="15.95" customHeight="1" x14ac:dyDescent="0.25">
      <c r="A18" s="18" t="s">
        <v>394</v>
      </c>
      <c r="B18" s="16"/>
      <c r="C18" s="18" t="s">
        <v>2034</v>
      </c>
      <c r="D18" s="16"/>
      <c r="E18" s="18" t="s">
        <v>2753</v>
      </c>
      <c r="F18" s="16"/>
      <c r="G18" s="18" t="s">
        <v>1289</v>
      </c>
      <c r="H18" s="16"/>
      <c r="I18" s="18" t="s">
        <v>3485</v>
      </c>
      <c r="J18" s="16"/>
      <c r="K18" s="18" t="s">
        <v>4226</v>
      </c>
      <c r="L18" s="16"/>
      <c r="M18" s="18" t="s">
        <v>4913</v>
      </c>
      <c r="N18" s="16"/>
      <c r="O18" s="18" t="s">
        <v>5641</v>
      </c>
      <c r="P18" s="16"/>
      <c r="Q18" s="18" t="s">
        <v>6310</v>
      </c>
      <c r="R18" s="16"/>
      <c r="S18" s="18"/>
      <c r="T18" s="21"/>
    </row>
    <row r="19" spans="1:20" ht="15.95" customHeight="1" x14ac:dyDescent="0.25">
      <c r="A19" s="18" t="s">
        <v>395</v>
      </c>
      <c r="B19" s="16"/>
      <c r="C19" s="18" t="s">
        <v>2035</v>
      </c>
      <c r="D19" s="16"/>
      <c r="E19" s="18" t="s">
        <v>2754</v>
      </c>
      <c r="F19" s="16"/>
      <c r="G19" s="18" t="s">
        <v>1290</v>
      </c>
      <c r="H19" s="16"/>
      <c r="I19" s="18" t="s">
        <v>3486</v>
      </c>
      <c r="J19" s="16"/>
      <c r="K19" s="18" t="s">
        <v>4227</v>
      </c>
      <c r="L19" s="16"/>
      <c r="M19" s="18" t="s">
        <v>4914</v>
      </c>
      <c r="N19" s="16"/>
      <c r="O19" s="18" t="s">
        <v>5642</v>
      </c>
      <c r="P19" s="16"/>
      <c r="Q19" s="18" t="s">
        <v>6311</v>
      </c>
      <c r="R19" s="16"/>
      <c r="S19" s="18"/>
      <c r="T19" s="21"/>
    </row>
    <row r="20" spans="1:20" ht="15.95" customHeight="1" x14ac:dyDescent="0.25">
      <c r="A20" s="18" t="s">
        <v>396</v>
      </c>
      <c r="B20" s="16"/>
      <c r="C20" s="18" t="s">
        <v>2036</v>
      </c>
      <c r="D20" s="16"/>
      <c r="E20" s="18" t="s">
        <v>2755</v>
      </c>
      <c r="F20" s="16"/>
      <c r="G20" s="18" t="s">
        <v>1291</v>
      </c>
      <c r="H20" s="16"/>
      <c r="I20" s="18" t="s">
        <v>3487</v>
      </c>
      <c r="J20" s="16"/>
      <c r="K20" s="18" t="s">
        <v>4228</v>
      </c>
      <c r="L20" s="16"/>
      <c r="M20" s="18" t="s">
        <v>4915</v>
      </c>
      <c r="N20" s="16"/>
      <c r="O20" s="18" t="s">
        <v>5643</v>
      </c>
      <c r="P20" s="16"/>
      <c r="Q20" s="18" t="s">
        <v>6312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397</v>
      </c>
      <c r="B22" s="16"/>
      <c r="C22" s="18" t="s">
        <v>2037</v>
      </c>
      <c r="D22" s="16"/>
      <c r="E22" s="18" t="s">
        <v>2756</v>
      </c>
      <c r="F22" s="16"/>
      <c r="G22" s="18" t="s">
        <v>1292</v>
      </c>
      <c r="H22" s="16"/>
      <c r="I22" s="18" t="s">
        <v>3488</v>
      </c>
      <c r="J22" s="16"/>
      <c r="K22" s="18" t="s">
        <v>4229</v>
      </c>
      <c r="L22" s="16"/>
      <c r="M22" s="18" t="s">
        <v>4916</v>
      </c>
      <c r="N22" s="16"/>
      <c r="O22" s="18" t="s">
        <v>5644</v>
      </c>
      <c r="P22" s="16"/>
      <c r="Q22" s="18" t="s">
        <v>6313</v>
      </c>
      <c r="R22" s="16"/>
      <c r="S22" s="18"/>
      <c r="T22" s="21"/>
    </row>
    <row r="23" spans="1:20" ht="15.95" customHeight="1" x14ac:dyDescent="0.25">
      <c r="A23" s="22" t="s">
        <v>398</v>
      </c>
      <c r="B23" s="16"/>
      <c r="C23" s="18" t="s">
        <v>2038</v>
      </c>
      <c r="D23" s="16"/>
      <c r="E23" s="18" t="e">
        <f>- Kiravi, Arquero Vaal</f>
        <v>#NAME?</v>
      </c>
      <c r="F23" s="16"/>
      <c r="G23" s="18" t="e">
        <f>- Kiravi, Archer Vaal</f>
        <v>#NAME?</v>
      </c>
      <c r="H23" s="16"/>
      <c r="I23" s="18" t="s">
        <v>3489</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3" priority="2" stopIfTrue="1">
      <formula>NOT(ISERROR(A3))</formula>
    </cfRule>
  </conditionalFormatting>
  <conditionalFormatting sqref="A3:T51">
    <cfRule type="containsErrors" dxfId="232" priority="1" stopIfTrue="1">
      <formula>ISERROR(A3)</formula>
    </cfRule>
    <cfRule type="notContainsBlanks" dxfId="231"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319</v>
      </c>
      <c r="B3" s="16" t="str">
        <f>TRIM(_xlfn.TEXTBEFORE(A3, ":"))</f>
        <v>Item Class</v>
      </c>
      <c r="C3" s="17" t="s">
        <v>2039</v>
      </c>
      <c r="D3" s="16" t="str">
        <f>TRIM(_xlfn.TEXTBEFORE(C3, ":"))</f>
        <v>Gegenstandsklasse</v>
      </c>
      <c r="E3" s="17" t="s">
        <v>2757</v>
      </c>
      <c r="F3" s="16" t="str">
        <f>TRIM(_xlfn.TEXTBEFORE(E3, ":"))</f>
        <v>Clase de objeto</v>
      </c>
      <c r="G3" s="17" t="s">
        <v>1293</v>
      </c>
      <c r="H3" s="16" t="str">
        <f>TRIM(_xlfn.TEXTBEFORE(G3, ":"))</f>
        <v>Classe d'objet</v>
      </c>
      <c r="I3" s="17" t="s">
        <v>3490</v>
      </c>
      <c r="J3" s="16" t="str">
        <f>TRIM(_xlfn.TEXTBEFORE(I3, ":"))</f>
        <v>アイテムクラス</v>
      </c>
      <c r="K3" s="17" t="s">
        <v>4230</v>
      </c>
      <c r="L3" s="16" t="str">
        <f>TRIM(_xlfn.TEXTBEFORE(K3, ":"))</f>
        <v>아이템 종류</v>
      </c>
      <c r="M3" s="17" t="s">
        <v>4917</v>
      </c>
      <c r="N3" s="16" t="str">
        <f>TRIM(_xlfn.TEXTBEFORE(M3, ":"))</f>
        <v>Classe do Item</v>
      </c>
      <c r="O3" s="17" t="s">
        <v>5645</v>
      </c>
      <c r="P3" s="16" t="str">
        <f>TRIM(_xlfn.TEXTBEFORE(O3, ":"))</f>
        <v>Класс предмета</v>
      </c>
      <c r="Q3" s="17" t="s">
        <v>6314</v>
      </c>
      <c r="R3" s="16" t="str">
        <f>TRIM(_xlfn.TEXTBEFORE(Q3, ":"))</f>
        <v>ชนิดไอเทม</v>
      </c>
      <c r="S3" s="17"/>
      <c r="T3" s="16" t="e">
        <f>TRIM(_xlfn.TEXTBEFORE(S3, ":"))</f>
        <v>#N/A</v>
      </c>
    </row>
    <row r="4" spans="1:20" ht="15.95" customHeight="1" x14ac:dyDescent="0.25">
      <c r="A4" s="18" t="s">
        <v>81</v>
      </c>
      <c r="B4" s="16" t="str">
        <f>TRIM(_xlfn.TEXTAFTER(A3, ":"))</f>
        <v>Sceptres</v>
      </c>
      <c r="C4" s="18" t="s">
        <v>1644</v>
      </c>
      <c r="D4" s="16" t="str">
        <f>TRIM(_xlfn.TEXTAFTER(C3, ":"))</f>
        <v>Zepter</v>
      </c>
      <c r="E4" s="18" t="s">
        <v>2364</v>
      </c>
      <c r="F4" s="16" t="str">
        <f>TRIM(_xlfn.TEXTAFTER(E3, ":"))</f>
        <v>Cetros</v>
      </c>
      <c r="G4" s="18" t="s">
        <v>1</v>
      </c>
      <c r="H4" s="16" t="str">
        <f>TRIM(_xlfn.TEXTAFTER(G3, ":"))</f>
        <v>Sceptres</v>
      </c>
      <c r="I4" s="18" t="s">
        <v>3079</v>
      </c>
      <c r="J4" s="16" t="str">
        <f>TRIM(_xlfn.TEXTAFTER(I3, ":"))</f>
        <v>セプター</v>
      </c>
      <c r="K4" s="18" t="s">
        <v>3829</v>
      </c>
      <c r="L4" s="16" t="str">
        <f>TRIM(_xlfn.TEXTAFTER(K3, ":"))</f>
        <v>셉터</v>
      </c>
      <c r="M4" s="18" t="s">
        <v>4558</v>
      </c>
      <c r="N4" s="16" t="str">
        <f>TRIM(_xlfn.TEXTAFTER(M3, ":"))</f>
        <v>Cetros</v>
      </c>
      <c r="O4" s="18" t="s">
        <v>5241</v>
      </c>
      <c r="P4" s="16" t="str">
        <f>TRIM(_xlfn.TEXTAFTER(O3, ":"))</f>
        <v>Скипетры</v>
      </c>
      <c r="Q4" s="18" t="s">
        <v>5978</v>
      </c>
      <c r="R4" s="16" t="str">
        <f>TRIM(_xlfn.TEXTAFTER(Q3, ":"))</f>
        <v>คทา</v>
      </c>
      <c r="S4" s="18"/>
      <c r="T4" s="16" t="e">
        <f>TRIM(_xlfn.TEXTAFTER(S3, ":"))</f>
        <v>#N/A</v>
      </c>
    </row>
    <row r="5" spans="1:20" ht="15.95" customHeight="1" x14ac:dyDescent="0.25">
      <c r="A5" s="18" t="s">
        <v>320</v>
      </c>
      <c r="B5" s="16" t="str">
        <f>TRIM(_xlfn.TEXTBEFORE(A4, ":"))</f>
        <v>Rarity</v>
      </c>
      <c r="C5" s="18" t="s">
        <v>2040</v>
      </c>
      <c r="D5" s="16" t="str">
        <f>TRIM(_xlfn.TEXTBEFORE(C4, ":"))</f>
        <v>Seltenheit</v>
      </c>
      <c r="E5" s="18" t="s">
        <v>2758</v>
      </c>
      <c r="F5" s="16" t="str">
        <f>TRIM(_xlfn.TEXTBEFORE(E4, ":"))</f>
        <v>Rareza</v>
      </c>
      <c r="G5" s="18" t="s">
        <v>1294</v>
      </c>
      <c r="H5" s="16" t="str">
        <f>TRIM(_xlfn.TEXTBEFORE(G4, ":"))</f>
        <v>Rareté</v>
      </c>
      <c r="I5" s="18" t="s">
        <v>3491</v>
      </c>
      <c r="J5" s="16" t="str">
        <f>TRIM(_xlfn.TEXTBEFORE(I4, ":"))</f>
        <v>レアリティ</v>
      </c>
      <c r="K5" s="18" t="s">
        <v>4231</v>
      </c>
      <c r="L5" s="16" t="str">
        <f>TRIM(_xlfn.TEXTBEFORE(K4, ":"))</f>
        <v>아이템 희귀도</v>
      </c>
      <c r="M5" s="18" t="s">
        <v>4918</v>
      </c>
      <c r="N5" s="16" t="str">
        <f>TRIM(_xlfn.TEXTBEFORE(M4, ":"))</f>
        <v>Raridade</v>
      </c>
      <c r="O5" s="18" t="s">
        <v>5646</v>
      </c>
      <c r="P5" s="16" t="str">
        <f>TRIM(_xlfn.TEXTBEFORE(O4, ":"))</f>
        <v>Редкость</v>
      </c>
      <c r="Q5" s="18" t="s">
        <v>320</v>
      </c>
      <c r="R5" s="16" t="str">
        <f>TRIM(_xlfn.TEXTBEFORE(Q4, ":"))</f>
        <v>ความหายาก</v>
      </c>
      <c r="S5" s="18"/>
      <c r="T5" s="16" t="e">
        <f>TRIM(_xlfn.TEXTBEFORE(S4, ":"))</f>
        <v>#N/A</v>
      </c>
    </row>
    <row r="6" spans="1:20" ht="15.95" customHeight="1" x14ac:dyDescent="0.25">
      <c r="A6" s="18" t="s">
        <v>321</v>
      </c>
      <c r="B6" s="16" t="str">
        <f>TRIM(_xlfn.TEXTAFTER(A4,":"))</f>
        <v>Unique</v>
      </c>
      <c r="C6" s="18" t="s">
        <v>2041</v>
      </c>
      <c r="D6" s="16" t="str">
        <f>TRIM(_xlfn.TEXTAFTER(C4,":"))</f>
        <v>Einzigartig</v>
      </c>
      <c r="E6" s="18" t="s">
        <v>2759</v>
      </c>
      <c r="F6" s="16" t="str">
        <f>TRIM(_xlfn.TEXTAFTER(E4,":"))</f>
        <v>Único</v>
      </c>
      <c r="G6" s="18" t="s">
        <v>1295</v>
      </c>
      <c r="H6" s="16" t="str">
        <f>TRIM(_xlfn.TEXTAFTER(G4,":"))</f>
        <v>Unique</v>
      </c>
      <c r="I6" s="18" t="s">
        <v>3492</v>
      </c>
      <c r="J6" s="16" t="str">
        <f>TRIM(_xlfn.TEXTAFTER(I4,":"))</f>
        <v>ユニーク</v>
      </c>
      <c r="K6" s="18" t="s">
        <v>4232</v>
      </c>
      <c r="L6" s="16" t="str">
        <f>TRIM(_xlfn.TEXTAFTER(K4,":"))</f>
        <v>고유</v>
      </c>
      <c r="M6" s="18" t="s">
        <v>4919</v>
      </c>
      <c r="N6" s="16" t="str">
        <f>TRIM(_xlfn.TEXTAFTER(M4,":"))</f>
        <v>Único</v>
      </c>
      <c r="O6" s="18" t="s">
        <v>5647</v>
      </c>
      <c r="P6" s="16" t="str">
        <f>TRIM(_xlfn.TEXTAFTER(O4,":"))</f>
        <v>Уникальный</v>
      </c>
      <c r="Q6" s="18" t="s">
        <v>321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322</v>
      </c>
      <c r="B8" s="16"/>
      <c r="C8" s="18" t="s">
        <v>2042</v>
      </c>
      <c r="D8" s="16"/>
      <c r="E8" s="18" t="s">
        <v>2760</v>
      </c>
      <c r="F8" s="16"/>
      <c r="G8" s="18" t="s">
        <v>322</v>
      </c>
      <c r="H8" s="16"/>
      <c r="I8" s="18" t="s">
        <v>3493</v>
      </c>
      <c r="J8" s="16"/>
      <c r="K8" s="18" t="s">
        <v>4233</v>
      </c>
      <c r="L8" s="16"/>
      <c r="M8" s="18" t="s">
        <v>2760</v>
      </c>
      <c r="N8" s="16"/>
      <c r="O8" s="18" t="s">
        <v>5648</v>
      </c>
      <c r="P8" s="16"/>
      <c r="Q8" s="18" t="s">
        <v>6315</v>
      </c>
      <c r="R8" s="16"/>
      <c r="S8" s="18"/>
      <c r="T8" s="16"/>
    </row>
    <row r="9" spans="1:20" ht="15.95" customHeight="1" x14ac:dyDescent="0.25">
      <c r="A9" s="18" t="s">
        <v>323</v>
      </c>
      <c r="B9" s="16"/>
      <c r="C9" s="18" t="s">
        <v>2043</v>
      </c>
      <c r="D9" s="16"/>
      <c r="E9" s="18" t="s">
        <v>2761</v>
      </c>
      <c r="F9" s="16"/>
      <c r="G9" s="18" t="s">
        <v>1296</v>
      </c>
      <c r="H9" s="16"/>
      <c r="I9" s="18" t="s">
        <v>3494</v>
      </c>
      <c r="J9" s="16"/>
      <c r="K9" s="18" t="s">
        <v>4234</v>
      </c>
      <c r="L9" s="16"/>
      <c r="M9" s="18" t="s">
        <v>4920</v>
      </c>
      <c r="N9" s="16"/>
      <c r="O9" s="18" t="s">
        <v>5649</v>
      </c>
      <c r="P9" s="16"/>
      <c r="Q9" s="18" t="s">
        <v>6316</v>
      </c>
      <c r="R9" s="16"/>
      <c r="S9" s="18"/>
      <c r="T9" s="16"/>
    </row>
    <row r="10" spans="1:20" ht="15.95" customHeight="1" x14ac:dyDescent="0.25">
      <c r="A10" s="18" t="s">
        <v>324</v>
      </c>
      <c r="B10" s="16"/>
      <c r="C10" s="18" t="s">
        <v>2044</v>
      </c>
      <c r="D10" s="16"/>
      <c r="E10" s="18" t="s">
        <v>2762</v>
      </c>
      <c r="F10" s="16"/>
      <c r="G10" s="18" t="s">
        <v>1297</v>
      </c>
      <c r="H10" s="16"/>
      <c r="I10" s="18" t="s">
        <v>3495</v>
      </c>
      <c r="J10" s="16"/>
      <c r="K10" s="18" t="s">
        <v>4235</v>
      </c>
      <c r="L10" s="16"/>
      <c r="M10" s="18" t="s">
        <v>4921</v>
      </c>
      <c r="N10" s="16"/>
      <c r="O10" s="18" t="s">
        <v>5650</v>
      </c>
      <c r="P10" s="16"/>
      <c r="Q10" s="18" t="s">
        <v>6317</v>
      </c>
      <c r="R10" s="16"/>
      <c r="S10" s="18"/>
      <c r="T10" s="16"/>
    </row>
    <row r="11" spans="1:20" ht="15.95" customHeight="1" x14ac:dyDescent="0.25">
      <c r="A11" s="18" t="s">
        <v>325</v>
      </c>
      <c r="B11" s="16"/>
      <c r="C11" s="18" t="s">
        <v>2045</v>
      </c>
      <c r="D11" s="16"/>
      <c r="E11" s="18" t="s">
        <v>2763</v>
      </c>
      <c r="F11" s="16"/>
      <c r="G11" s="18" t="s">
        <v>1298</v>
      </c>
      <c r="H11" s="16"/>
      <c r="I11" s="18" t="s">
        <v>3496</v>
      </c>
      <c r="J11" s="16"/>
      <c r="K11" s="18" t="s">
        <v>4236</v>
      </c>
      <c r="L11" s="16"/>
      <c r="M11" s="18" t="s">
        <v>4922</v>
      </c>
      <c r="N11" s="16"/>
      <c r="O11" s="18" t="s">
        <v>5651</v>
      </c>
      <c r="P11" s="16"/>
      <c r="Q11" s="18" t="s">
        <v>6318</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326</v>
      </c>
      <c r="B15" s="16"/>
      <c r="C15" s="18" t="s">
        <v>2046</v>
      </c>
      <c r="D15" s="16"/>
      <c r="E15" s="18" t="s">
        <v>2764</v>
      </c>
      <c r="F15" s="16"/>
      <c r="G15" s="18" t="s">
        <v>1299</v>
      </c>
      <c r="H15" s="16"/>
      <c r="I15" s="18" t="s">
        <v>3497</v>
      </c>
      <c r="J15" s="16"/>
      <c r="K15" s="18" t="s">
        <v>4237</v>
      </c>
      <c r="L15" s="16"/>
      <c r="M15" s="18" t="s">
        <v>4924</v>
      </c>
      <c r="N15" s="16"/>
      <c r="O15" s="18" t="s">
        <v>5652</v>
      </c>
      <c r="P15" s="16"/>
      <c r="Q15" s="18" t="s">
        <v>6319</v>
      </c>
      <c r="R15" s="16"/>
      <c r="S15" s="18"/>
      <c r="T15" s="21"/>
    </row>
    <row r="16" spans="1:20" ht="15.95" customHeight="1" x14ac:dyDescent="0.25">
      <c r="A16" s="18" t="s">
        <v>327</v>
      </c>
      <c r="B16" s="16"/>
      <c r="C16" s="18" t="s">
        <v>327</v>
      </c>
      <c r="D16" s="16"/>
      <c r="E16" s="18" t="s">
        <v>2765</v>
      </c>
      <c r="F16" s="16"/>
      <c r="G16" s="18" t="s">
        <v>1300</v>
      </c>
      <c r="H16" s="16"/>
      <c r="I16" s="18" t="s">
        <v>3498</v>
      </c>
      <c r="J16" s="16"/>
      <c r="K16" s="18" t="s">
        <v>4238</v>
      </c>
      <c r="L16" s="16"/>
      <c r="M16" s="18" t="s">
        <v>1300</v>
      </c>
      <c r="N16" s="16"/>
      <c r="O16" s="18" t="s">
        <v>5653</v>
      </c>
      <c r="P16" s="16"/>
      <c r="Q16" s="18" t="s">
        <v>327</v>
      </c>
      <c r="R16" s="16"/>
      <c r="S16" s="18"/>
      <c r="T16" s="21"/>
    </row>
    <row r="17" spans="1:20" ht="15.95" customHeight="1" x14ac:dyDescent="0.25">
      <c r="A17" s="18" t="s">
        <v>328</v>
      </c>
      <c r="B17" s="16"/>
      <c r="C17" s="18" t="s">
        <v>328</v>
      </c>
      <c r="D17" s="16"/>
      <c r="E17" s="18" t="s">
        <v>328</v>
      </c>
      <c r="F17" s="16"/>
      <c r="G17" s="18" t="s">
        <v>328</v>
      </c>
      <c r="H17" s="16"/>
      <c r="I17" s="18" t="s">
        <v>3499</v>
      </c>
      <c r="J17" s="16"/>
      <c r="K17" s="18" t="s">
        <v>4239</v>
      </c>
      <c r="L17" s="16"/>
      <c r="M17" s="18" t="s">
        <v>328</v>
      </c>
      <c r="N17" s="16"/>
      <c r="O17" s="18" t="s">
        <v>5654</v>
      </c>
      <c r="P17" s="16"/>
      <c r="Q17" s="18" t="s">
        <v>328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329</v>
      </c>
      <c r="B19" s="16"/>
      <c r="C19" s="18" t="s">
        <v>2047</v>
      </c>
      <c r="D19" s="16"/>
      <c r="E19" s="18" t="s">
        <v>2766</v>
      </c>
      <c r="F19" s="16"/>
      <c r="G19" s="18" t="s">
        <v>1301</v>
      </c>
      <c r="H19" s="16"/>
      <c r="I19" s="18" t="s">
        <v>3500</v>
      </c>
      <c r="J19" s="16"/>
      <c r="K19" s="18" t="s">
        <v>4240</v>
      </c>
      <c r="L19" s="16"/>
      <c r="M19" s="18" t="s">
        <v>4925</v>
      </c>
      <c r="N19" s="16"/>
      <c r="O19" s="18" t="s">
        <v>5655</v>
      </c>
      <c r="P19" s="16"/>
      <c r="Q19" s="18" t="s">
        <v>6320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312</v>
      </c>
      <c r="B21" s="16"/>
      <c r="C21" s="18" t="s">
        <v>1881</v>
      </c>
      <c r="D21" s="16"/>
      <c r="E21" s="18" t="s">
        <v>2599</v>
      </c>
      <c r="F21" s="16"/>
      <c r="G21" s="18" t="s">
        <v>1142</v>
      </c>
      <c r="H21" s="16"/>
      <c r="I21" s="18" t="s">
        <v>3324</v>
      </c>
      <c r="J21" s="16"/>
      <c r="K21" s="18" t="s">
        <v>4069</v>
      </c>
      <c r="L21" s="16"/>
      <c r="M21" s="18" t="s">
        <v>4787</v>
      </c>
      <c r="N21" s="16"/>
      <c r="O21" s="18" t="s">
        <v>5483</v>
      </c>
      <c r="P21" s="16"/>
      <c r="Q21" s="18" t="s">
        <v>6185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330</v>
      </c>
      <c r="B23" s="16"/>
      <c r="C23" s="18" t="s">
        <v>2048</v>
      </c>
      <c r="D23" s="16"/>
      <c r="E23" s="18" t="s">
        <v>2767</v>
      </c>
      <c r="F23" s="16"/>
      <c r="G23" s="18" t="s">
        <v>1302</v>
      </c>
      <c r="H23" s="16"/>
      <c r="I23" s="18" t="s">
        <v>3501</v>
      </c>
      <c r="J23" s="16"/>
      <c r="K23" s="18" t="s">
        <v>4241</v>
      </c>
      <c r="L23" s="16"/>
      <c r="M23" s="18" t="s">
        <v>4926</v>
      </c>
      <c r="N23" s="16"/>
      <c r="O23" s="18" t="s">
        <v>5656</v>
      </c>
      <c r="P23" s="16"/>
      <c r="Q23" s="18" t="s">
        <v>6321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331</v>
      </c>
      <c r="B25" s="16"/>
      <c r="C25" s="18" t="s">
        <v>2049</v>
      </c>
      <c r="D25" s="16"/>
      <c r="E25" s="18" t="s">
        <v>2768</v>
      </c>
      <c r="F25" s="16"/>
      <c r="G25" s="18" t="s">
        <v>1303</v>
      </c>
      <c r="H25" s="16"/>
      <c r="I25" s="18" t="s">
        <v>3502</v>
      </c>
      <c r="J25" s="16"/>
      <c r="K25" s="18" t="s">
        <v>4242</v>
      </c>
      <c r="L25" s="16"/>
      <c r="M25" s="18" t="s">
        <v>4927</v>
      </c>
      <c r="N25" s="16"/>
      <c r="O25" s="18" t="s">
        <v>5657</v>
      </c>
      <c r="P25" s="16"/>
      <c r="Q25" s="18" t="s">
        <v>6322</v>
      </c>
      <c r="R25" s="16"/>
      <c r="S25" s="18"/>
      <c r="T25" s="21"/>
    </row>
    <row r="26" spans="1:20" ht="15.95" customHeight="1" x14ac:dyDescent="0.25">
      <c r="A26" s="18" t="s">
        <v>332</v>
      </c>
      <c r="B26" s="16"/>
      <c r="C26" s="18" t="s">
        <v>2050</v>
      </c>
      <c r="D26" s="16"/>
      <c r="E26" s="18" t="s">
        <v>2769</v>
      </c>
      <c r="F26" s="16"/>
      <c r="G26" s="18" t="s">
        <v>1304</v>
      </c>
      <c r="H26" s="16"/>
      <c r="I26" s="18" t="s">
        <v>3503</v>
      </c>
      <c r="J26" s="16"/>
      <c r="K26" s="18" t="s">
        <v>4243</v>
      </c>
      <c r="L26" s="16"/>
      <c r="M26" s="18" t="s">
        <v>4928</v>
      </c>
      <c r="N26" s="16"/>
      <c r="O26" s="18" t="s">
        <v>5658</v>
      </c>
      <c r="P26" s="16"/>
      <c r="Q26" s="18" t="s">
        <v>6323</v>
      </c>
      <c r="R26" s="16"/>
      <c r="S26" s="18"/>
      <c r="T26" s="21"/>
    </row>
    <row r="27" spans="1:20" ht="15.95" customHeight="1" x14ac:dyDescent="0.25">
      <c r="A27" s="18" t="s">
        <v>333</v>
      </c>
      <c r="B27" s="16"/>
      <c r="C27" s="18" t="s">
        <v>2051</v>
      </c>
      <c r="D27" s="16"/>
      <c r="E27" s="18" t="s">
        <v>2770</v>
      </c>
      <c r="F27" s="16"/>
      <c r="G27" s="18" t="s">
        <v>1305</v>
      </c>
      <c r="H27" s="16"/>
      <c r="I27" s="18" t="s">
        <v>3504</v>
      </c>
      <c r="J27" s="16"/>
      <c r="K27" s="18" t="s">
        <v>4244</v>
      </c>
      <c r="L27" s="16"/>
      <c r="M27" s="18" t="s">
        <v>4929</v>
      </c>
      <c r="N27" s="16"/>
      <c r="O27" s="18" t="s">
        <v>5659</v>
      </c>
      <c r="P27" s="16"/>
      <c r="Q27" s="18" t="s">
        <v>6324</v>
      </c>
      <c r="R27" s="16"/>
      <c r="S27" s="18"/>
      <c r="T27" s="21"/>
    </row>
    <row r="28" spans="1:20" ht="15.95" customHeight="1" x14ac:dyDescent="0.25">
      <c r="A28" s="18" t="s">
        <v>334</v>
      </c>
      <c r="B28" s="16"/>
      <c r="C28" s="18" t="s">
        <v>2052</v>
      </c>
      <c r="D28" s="16"/>
      <c r="E28" s="18" t="s">
        <v>2771</v>
      </c>
      <c r="F28" s="16"/>
      <c r="G28" s="18" t="s">
        <v>1306</v>
      </c>
      <c r="H28" s="16"/>
      <c r="I28" s="18" t="s">
        <v>3505</v>
      </c>
      <c r="J28" s="16"/>
      <c r="K28" s="18" t="s">
        <v>4245</v>
      </c>
      <c r="L28" s="16"/>
      <c r="M28" s="18" t="s">
        <v>4930</v>
      </c>
      <c r="N28" s="16"/>
      <c r="O28" s="18" t="s">
        <v>5660</v>
      </c>
      <c r="P28" s="16"/>
      <c r="Q28" s="18" t="s">
        <v>6325</v>
      </c>
      <c r="R28" s="16"/>
      <c r="S28" s="18"/>
      <c r="T28" s="21"/>
    </row>
    <row r="29" spans="1:20" ht="15.95" customHeight="1" x14ac:dyDescent="0.25">
      <c r="A29" s="18" t="s">
        <v>335</v>
      </c>
      <c r="B29" s="16"/>
      <c r="C29" s="18" t="s">
        <v>2053</v>
      </c>
      <c r="D29" s="16"/>
      <c r="E29" s="18" t="s">
        <v>2772</v>
      </c>
      <c r="F29" s="16"/>
      <c r="G29" s="18" t="s">
        <v>1307</v>
      </c>
      <c r="H29" s="16"/>
      <c r="I29" s="18" t="s">
        <v>3506</v>
      </c>
      <c r="J29" s="16"/>
      <c r="K29" s="18" t="s">
        <v>4246</v>
      </c>
      <c r="L29" s="16"/>
      <c r="M29" s="18" t="s">
        <v>4931</v>
      </c>
      <c r="N29" s="16"/>
      <c r="O29" s="18" t="s">
        <v>5661</v>
      </c>
      <c r="P29" s="16"/>
      <c r="Q29" s="18" t="s">
        <v>6326</v>
      </c>
      <c r="R29" s="16"/>
      <c r="S29" s="18"/>
      <c r="T29" s="21"/>
    </row>
    <row r="30" spans="1:20" ht="15.95" customHeight="1" x14ac:dyDescent="0.25">
      <c r="A30" s="18" t="s">
        <v>336</v>
      </c>
      <c r="B30" s="16"/>
      <c r="C30" s="18" t="s">
        <v>2054</v>
      </c>
      <c r="D30" s="16"/>
      <c r="E30" s="18" t="s">
        <v>2773</v>
      </c>
      <c r="F30" s="16"/>
      <c r="G30" s="18" t="s">
        <v>1308</v>
      </c>
      <c r="H30" s="16"/>
      <c r="I30" s="18" t="s">
        <v>3507</v>
      </c>
      <c r="J30" s="16"/>
      <c r="K30" s="18" t="s">
        <v>4247</v>
      </c>
      <c r="L30" s="16"/>
      <c r="M30" s="18" t="s">
        <v>4932</v>
      </c>
      <c r="N30" s="16"/>
      <c r="O30" s="18" t="s">
        <v>5662</v>
      </c>
      <c r="P30" s="16"/>
      <c r="Q30" s="18" t="s">
        <v>6327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337</v>
      </c>
      <c r="B32" s="16"/>
      <c r="C32" s="18" t="s">
        <v>2055</v>
      </c>
      <c r="D32" s="16"/>
      <c r="E32" s="18" t="s">
        <v>2774</v>
      </c>
      <c r="F32" s="16"/>
      <c r="G32" s="18" t="s">
        <v>1309</v>
      </c>
      <c r="H32" s="16"/>
      <c r="I32" s="18" t="s">
        <v>3508</v>
      </c>
      <c r="J32" s="16"/>
      <c r="K32" s="18" t="s">
        <v>4248</v>
      </c>
      <c r="L32" s="16"/>
      <c r="M32" s="18" t="s">
        <v>4933</v>
      </c>
      <c r="N32" s="16"/>
      <c r="O32" s="18" t="s">
        <v>5663</v>
      </c>
      <c r="P32" s="16"/>
      <c r="Q32" s="18" t="s">
        <v>6328</v>
      </c>
      <c r="R32" s="16"/>
      <c r="S32" s="18"/>
      <c r="T32" s="21"/>
    </row>
    <row r="33" spans="1:20" ht="15.95" customHeight="1" x14ac:dyDescent="0.25">
      <c r="A33" s="22" t="s">
        <v>338</v>
      </c>
      <c r="B33" s="16"/>
      <c r="C33" s="18" t="s">
        <v>2056</v>
      </c>
      <c r="D33" s="16"/>
      <c r="E33" s="18" t="s">
        <v>2775</v>
      </c>
      <c r="F33" s="16"/>
      <c r="G33" s="18" t="s">
        <v>1310</v>
      </c>
      <c r="H33" s="16"/>
      <c r="I33" s="18" t="s">
        <v>3509</v>
      </c>
      <c r="J33" s="16"/>
      <c r="K33" s="18" t="s">
        <v>4249</v>
      </c>
      <c r="L33" s="16"/>
      <c r="M33" s="18" t="s">
        <v>4934</v>
      </c>
      <c r="N33" s="16"/>
      <c r="O33" s="18" t="s">
        <v>5664</v>
      </c>
      <c r="P33" s="16"/>
      <c r="Q33" s="18" t="s">
        <v>6329</v>
      </c>
      <c r="R33" s="16"/>
      <c r="S33" s="18"/>
      <c r="T33" s="21"/>
    </row>
    <row r="34" spans="1:20" ht="15.95" customHeight="1" x14ac:dyDescent="0.25">
      <c r="A34" s="18" t="s">
        <v>339</v>
      </c>
      <c r="B34" s="16"/>
      <c r="C34" s="18" t="s">
        <v>2057</v>
      </c>
      <c r="D34" s="16"/>
      <c r="E34" s="18" t="s">
        <v>2776</v>
      </c>
      <c r="F34" s="16"/>
      <c r="G34" s="18" t="s">
        <v>1311</v>
      </c>
      <c r="H34" s="16"/>
      <c r="I34" s="18" t="s">
        <v>3510</v>
      </c>
      <c r="J34" s="16"/>
      <c r="K34" s="18" t="s">
        <v>4250</v>
      </c>
      <c r="L34" s="16"/>
      <c r="M34" s="18" t="s">
        <v>4935</v>
      </c>
      <c r="N34" s="16"/>
      <c r="O34" s="18" t="s">
        <v>5665</v>
      </c>
      <c r="P34" s="16"/>
      <c r="Q34" s="18" t="s">
        <v>6330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0" priority="2" stopIfTrue="1">
      <formula>NOT(ISERROR(A3))</formula>
    </cfRule>
  </conditionalFormatting>
  <conditionalFormatting sqref="A3:T51">
    <cfRule type="containsErrors" dxfId="229" priority="1" stopIfTrue="1">
      <formula>ISERROR(A3)</formula>
    </cfRule>
    <cfRule type="notContainsBlanks" dxfId="228"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354</v>
      </c>
      <c r="B3" s="16" t="str">
        <f>TRIM(_xlfn.TEXTBEFORE(A3, ":"))</f>
        <v>Item Class</v>
      </c>
      <c r="C3" s="17" t="s">
        <v>2058</v>
      </c>
      <c r="D3" s="16" t="str">
        <f>TRIM(_xlfn.TEXTBEFORE(C3, ":"))</f>
        <v>Gegenstandsklasse</v>
      </c>
      <c r="E3" s="17" t="s">
        <v>2777</v>
      </c>
      <c r="F3" s="16" t="str">
        <f>TRIM(_xlfn.TEXTBEFORE(E3, ":"))</f>
        <v>Clase de objeto</v>
      </c>
      <c r="G3" s="17" t="s">
        <v>1312</v>
      </c>
      <c r="H3" s="16" t="str">
        <f>TRIM(_xlfn.TEXTBEFORE(G3, ":"))</f>
        <v>Classe d'objet</v>
      </c>
      <c r="I3" s="17" t="s">
        <v>3511</v>
      </c>
      <c r="J3" s="16" t="str">
        <f>TRIM(_xlfn.TEXTBEFORE(I3, ":"))</f>
        <v>アイテムクラス</v>
      </c>
      <c r="K3" s="17" t="s">
        <v>4251</v>
      </c>
      <c r="L3" s="16" t="str">
        <f>TRIM(_xlfn.TEXTBEFORE(K3, ":"))</f>
        <v>아이템 종류</v>
      </c>
      <c r="M3" s="17" t="s">
        <v>4936</v>
      </c>
      <c r="N3" s="16" t="str">
        <f>TRIM(_xlfn.TEXTBEFORE(M3, ":"))</f>
        <v>Classe do Item</v>
      </c>
      <c r="O3" s="17" t="s">
        <v>5666</v>
      </c>
      <c r="P3" s="16" t="str">
        <f>TRIM(_xlfn.TEXTBEFORE(O3, ":"))</f>
        <v>Класс предмета</v>
      </c>
      <c r="Q3" s="17" t="s">
        <v>6331</v>
      </c>
      <c r="R3" s="16" t="str">
        <f>TRIM(_xlfn.TEXTBEFORE(Q3, ":"))</f>
        <v>ชนิดไอเทม</v>
      </c>
      <c r="S3" s="17"/>
      <c r="T3" s="16" t="e">
        <f>TRIM(_xlfn.TEXTBEFORE(S3, ":"))</f>
        <v>#N/A</v>
      </c>
    </row>
    <row r="4" spans="1:20" ht="15.95" customHeight="1" x14ac:dyDescent="0.25">
      <c r="A4" s="18" t="s">
        <v>81</v>
      </c>
      <c r="B4" s="16" t="str">
        <f>TRIM(_xlfn.TEXTAFTER(A3, ":"))</f>
        <v>Staves</v>
      </c>
      <c r="C4" s="18" t="s">
        <v>1644</v>
      </c>
      <c r="D4" s="16" t="str">
        <f>TRIM(_xlfn.TEXTAFTER(C3, ":"))</f>
        <v>Stäbe</v>
      </c>
      <c r="E4" s="18" t="s">
        <v>2364</v>
      </c>
      <c r="F4" s="16" t="str">
        <f>TRIM(_xlfn.TEXTAFTER(E3, ":"))</f>
        <v>Báculos</v>
      </c>
      <c r="G4" s="18" t="s">
        <v>1</v>
      </c>
      <c r="H4" s="16" t="str">
        <f>TRIM(_xlfn.TEXTAFTER(G3, ":"))</f>
        <v>Bâtons</v>
      </c>
      <c r="I4" s="18" t="s">
        <v>3079</v>
      </c>
      <c r="J4" s="16" t="str">
        <f>TRIM(_xlfn.TEXTAFTER(I3, ":"))</f>
        <v>スタッフ</v>
      </c>
      <c r="K4" s="18" t="s">
        <v>3829</v>
      </c>
      <c r="L4" s="16" t="str">
        <f>TRIM(_xlfn.TEXTAFTER(K3, ":"))</f>
        <v>지팡이</v>
      </c>
      <c r="M4" s="18" t="s">
        <v>4558</v>
      </c>
      <c r="N4" s="16" t="str">
        <f>TRIM(_xlfn.TEXTAFTER(M3, ":"))</f>
        <v>Cajados</v>
      </c>
      <c r="O4" s="18" t="s">
        <v>5241</v>
      </c>
      <c r="P4" s="16" t="str">
        <f>TRIM(_xlfn.TEXTAFTER(O3, ":"))</f>
        <v>Посохи</v>
      </c>
      <c r="Q4" s="18" t="s">
        <v>5978</v>
      </c>
      <c r="R4" s="16" t="str">
        <f>TRIM(_xlfn.TEXTAFTER(Q3, ":"))</f>
        <v>ไม้พลอง</v>
      </c>
      <c r="S4" s="18"/>
      <c r="T4" s="16" t="e">
        <f>TRIM(_xlfn.TEXTAFTER(S3, ":"))</f>
        <v>#N/A</v>
      </c>
    </row>
    <row r="5" spans="1:20" ht="15.95" customHeight="1" x14ac:dyDescent="0.25">
      <c r="A5" s="18" t="s">
        <v>355</v>
      </c>
      <c r="B5" s="16" t="str">
        <f>TRIM(_xlfn.TEXTBEFORE(A4, ":"))</f>
        <v>Rarity</v>
      </c>
      <c r="C5" s="18" t="s">
        <v>2059</v>
      </c>
      <c r="D5" s="16" t="str">
        <f>TRIM(_xlfn.TEXTBEFORE(C4, ":"))</f>
        <v>Seltenheit</v>
      </c>
      <c r="E5" s="18" t="s">
        <v>2778</v>
      </c>
      <c r="F5" s="16" t="str">
        <f>TRIM(_xlfn.TEXTBEFORE(E4, ":"))</f>
        <v>Rareza</v>
      </c>
      <c r="G5" s="18" t="s">
        <v>1313</v>
      </c>
      <c r="H5" s="16" t="str">
        <f>TRIM(_xlfn.TEXTBEFORE(G4, ":"))</f>
        <v>Rareté</v>
      </c>
      <c r="I5" s="18" t="s">
        <v>3512</v>
      </c>
      <c r="J5" s="16" t="str">
        <f>TRIM(_xlfn.TEXTBEFORE(I4, ":"))</f>
        <v>レアリティ</v>
      </c>
      <c r="K5" s="18" t="s">
        <v>4252</v>
      </c>
      <c r="L5" s="16" t="str">
        <f>TRIM(_xlfn.TEXTBEFORE(K4, ":"))</f>
        <v>아이템 희귀도</v>
      </c>
      <c r="M5" s="18" t="s">
        <v>4937</v>
      </c>
      <c r="N5" s="16" t="str">
        <f>TRIM(_xlfn.TEXTBEFORE(M4, ":"))</f>
        <v>Raridade</v>
      </c>
      <c r="O5" s="18" t="s">
        <v>5667</v>
      </c>
      <c r="P5" s="16" t="str">
        <f>TRIM(_xlfn.TEXTBEFORE(O4, ":"))</f>
        <v>Редкость</v>
      </c>
      <c r="Q5" s="18" t="s">
        <v>355</v>
      </c>
      <c r="R5" s="16" t="str">
        <f>TRIM(_xlfn.TEXTBEFORE(Q4, ":"))</f>
        <v>ความหายาก</v>
      </c>
      <c r="S5" s="18"/>
      <c r="T5" s="16" t="e">
        <f>TRIM(_xlfn.TEXTBEFORE(S4, ":"))</f>
        <v>#N/A</v>
      </c>
    </row>
    <row r="6" spans="1:20" ht="15.95" customHeight="1" x14ac:dyDescent="0.25">
      <c r="A6" s="18" t="s">
        <v>356</v>
      </c>
      <c r="B6" s="16" t="str">
        <f>TRIM(_xlfn.TEXTAFTER(A4,":"))</f>
        <v>Unique</v>
      </c>
      <c r="C6" s="18" t="s">
        <v>2060</v>
      </c>
      <c r="D6" s="16" t="str">
        <f>TRIM(_xlfn.TEXTAFTER(C4,":"))</f>
        <v>Einzigartig</v>
      </c>
      <c r="E6" s="18" t="s">
        <v>2779</v>
      </c>
      <c r="F6" s="16" t="str">
        <f>TRIM(_xlfn.TEXTAFTER(E4,":"))</f>
        <v>Único</v>
      </c>
      <c r="G6" s="18" t="s">
        <v>1314</v>
      </c>
      <c r="H6" s="16" t="str">
        <f>TRIM(_xlfn.TEXTAFTER(G4,":"))</f>
        <v>Unique</v>
      </c>
      <c r="I6" s="18" t="s">
        <v>3513</v>
      </c>
      <c r="J6" s="16" t="str">
        <f>TRIM(_xlfn.TEXTAFTER(I4,":"))</f>
        <v>ユニーク</v>
      </c>
      <c r="K6" s="18" t="s">
        <v>4253</v>
      </c>
      <c r="L6" s="16" t="str">
        <f>TRIM(_xlfn.TEXTAFTER(K4,":"))</f>
        <v>고유</v>
      </c>
      <c r="M6" s="18" t="s">
        <v>4938</v>
      </c>
      <c r="N6" s="16" t="str">
        <f>TRIM(_xlfn.TEXTAFTER(M4,":"))</f>
        <v>Único</v>
      </c>
      <c r="O6" s="18" t="s">
        <v>5668</v>
      </c>
      <c r="P6" s="16" t="str">
        <f>TRIM(_xlfn.TEXTAFTER(O4,":"))</f>
        <v>Уникальный</v>
      </c>
      <c r="Q6" s="18" t="s">
        <v>356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357</v>
      </c>
      <c r="B8" s="16"/>
      <c r="C8" s="18" t="s">
        <v>2061</v>
      </c>
      <c r="D8" s="16"/>
      <c r="E8" s="18" t="s">
        <v>2780</v>
      </c>
      <c r="F8" s="16"/>
      <c r="G8" s="18" t="s">
        <v>1315</v>
      </c>
      <c r="H8" s="16"/>
      <c r="I8" s="18" t="s">
        <v>3514</v>
      </c>
      <c r="J8" s="16"/>
      <c r="K8" s="18" t="s">
        <v>4254</v>
      </c>
      <c r="L8" s="16"/>
      <c r="M8" s="18" t="s">
        <v>4939</v>
      </c>
      <c r="N8" s="16"/>
      <c r="O8" s="18" t="s">
        <v>5669</v>
      </c>
      <c r="P8" s="16"/>
      <c r="Q8" s="18" t="s">
        <v>6332</v>
      </c>
      <c r="R8" s="16"/>
      <c r="S8" s="18"/>
      <c r="T8" s="16"/>
    </row>
    <row r="9" spans="1:20" ht="15.95" customHeight="1" x14ac:dyDescent="0.25">
      <c r="A9" s="18" t="s">
        <v>358</v>
      </c>
      <c r="B9" s="16"/>
      <c r="C9" s="18" t="s">
        <v>2062</v>
      </c>
      <c r="D9" s="16"/>
      <c r="E9" s="18" t="s">
        <v>2781</v>
      </c>
      <c r="F9" s="16"/>
      <c r="G9" s="18" t="s">
        <v>1316</v>
      </c>
      <c r="H9" s="16"/>
      <c r="I9" s="18" t="s">
        <v>3515</v>
      </c>
      <c r="J9" s="16"/>
      <c r="K9" s="18" t="s">
        <v>4255</v>
      </c>
      <c r="L9" s="16"/>
      <c r="M9" s="18" t="s">
        <v>4940</v>
      </c>
      <c r="N9" s="16"/>
      <c r="O9" s="18" t="s">
        <v>5670</v>
      </c>
      <c r="P9" s="16"/>
      <c r="Q9" s="18" t="s">
        <v>6333</v>
      </c>
      <c r="R9" s="16"/>
      <c r="S9" s="18"/>
      <c r="T9" s="16"/>
    </row>
    <row r="10" spans="1:20" ht="15.95" customHeight="1" x14ac:dyDescent="0.25">
      <c r="A10" s="18" t="s">
        <v>105</v>
      </c>
      <c r="B10" s="16"/>
      <c r="C10" s="18" t="s">
        <v>1967</v>
      </c>
      <c r="D10" s="16"/>
      <c r="E10" s="18" t="s">
        <v>2688</v>
      </c>
      <c r="F10" s="16"/>
      <c r="G10" s="18" t="s">
        <v>1224</v>
      </c>
      <c r="H10" s="16"/>
      <c r="I10" s="18" t="s">
        <v>3415</v>
      </c>
      <c r="J10" s="16"/>
      <c r="K10" s="18" t="s">
        <v>4159</v>
      </c>
      <c r="L10" s="16"/>
      <c r="M10" s="18" t="s">
        <v>4867</v>
      </c>
      <c r="N10" s="16"/>
      <c r="O10" s="18" t="s">
        <v>5573</v>
      </c>
      <c r="P10" s="16"/>
      <c r="Q10" s="18" t="s">
        <v>6256</v>
      </c>
      <c r="R10" s="16"/>
      <c r="S10" s="18"/>
      <c r="T10" s="16"/>
    </row>
    <row r="11" spans="1:20" ht="15.95" customHeight="1" x14ac:dyDescent="0.25">
      <c r="A11" s="18" t="s">
        <v>272</v>
      </c>
      <c r="B11" s="16"/>
      <c r="C11" s="18" t="s">
        <v>2063</v>
      </c>
      <c r="D11" s="16"/>
      <c r="E11" s="18" t="s">
        <v>2782</v>
      </c>
      <c r="F11" s="16"/>
      <c r="G11" s="18" t="s">
        <v>1317</v>
      </c>
      <c r="H11" s="16"/>
      <c r="I11" s="18" t="s">
        <v>3516</v>
      </c>
      <c r="J11" s="16"/>
      <c r="K11" s="18" t="s">
        <v>4256</v>
      </c>
      <c r="L11" s="16"/>
      <c r="M11" s="18" t="s">
        <v>4941</v>
      </c>
      <c r="N11" s="16"/>
      <c r="O11" s="18" t="s">
        <v>5671</v>
      </c>
      <c r="P11" s="16"/>
      <c r="Q11" s="18" t="s">
        <v>6334</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359</v>
      </c>
      <c r="B14" s="16"/>
      <c r="C14" s="18" t="s">
        <v>1805</v>
      </c>
      <c r="D14" s="16"/>
      <c r="E14" s="18" t="s">
        <v>2524</v>
      </c>
      <c r="F14" s="16"/>
      <c r="G14" s="18" t="s">
        <v>1071</v>
      </c>
      <c r="H14" s="16"/>
      <c r="I14" s="18" t="s">
        <v>3245</v>
      </c>
      <c r="J14" s="16"/>
      <c r="K14" s="18" t="s">
        <v>3991</v>
      </c>
      <c r="L14" s="16"/>
      <c r="M14" s="18" t="s">
        <v>4716</v>
      </c>
      <c r="N14" s="16"/>
      <c r="O14" s="18" t="s">
        <v>5405</v>
      </c>
      <c r="P14" s="16"/>
      <c r="Q14" s="18" t="s">
        <v>6124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170</v>
      </c>
      <c r="B16" s="16"/>
      <c r="C16" s="18" t="s">
        <v>1647</v>
      </c>
      <c r="D16" s="16"/>
      <c r="E16" s="18" t="s">
        <v>2367</v>
      </c>
      <c r="F16" s="16"/>
      <c r="G16" s="18" t="s">
        <v>914</v>
      </c>
      <c r="H16" s="16"/>
      <c r="I16" s="18" t="s">
        <v>3082</v>
      </c>
      <c r="J16" s="16"/>
      <c r="K16" s="18" t="s">
        <v>3832</v>
      </c>
      <c r="L16" s="16"/>
      <c r="M16" s="18" t="s">
        <v>4561</v>
      </c>
      <c r="N16" s="16"/>
      <c r="O16" s="18" t="s">
        <v>5244</v>
      </c>
      <c r="P16" s="16"/>
      <c r="Q16" s="18" t="s">
        <v>5981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360</v>
      </c>
      <c r="B18" s="16"/>
      <c r="C18" s="18" t="s">
        <v>2065</v>
      </c>
      <c r="D18" s="16"/>
      <c r="E18" s="18" t="s">
        <v>2784</v>
      </c>
      <c r="F18" s="16"/>
      <c r="G18" s="18" t="s">
        <v>1319</v>
      </c>
      <c r="H18" s="16"/>
      <c r="I18" s="18" t="s">
        <v>3518</v>
      </c>
      <c r="J18" s="16"/>
      <c r="K18" s="18" t="s">
        <v>4258</v>
      </c>
      <c r="L18" s="16"/>
      <c r="M18" s="18" t="s">
        <v>4943</v>
      </c>
      <c r="N18" s="16"/>
      <c r="O18" s="18" t="s">
        <v>5673</v>
      </c>
      <c r="P18" s="16"/>
      <c r="Q18" s="18" t="s">
        <v>6336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361</v>
      </c>
      <c r="B20" s="16"/>
      <c r="C20" s="18" t="s">
        <v>2066</v>
      </c>
      <c r="D20" s="16"/>
      <c r="E20" s="18" t="s">
        <v>2785</v>
      </c>
      <c r="F20" s="16"/>
      <c r="G20" s="18" t="s">
        <v>1320</v>
      </c>
      <c r="H20" s="16"/>
      <c r="I20" s="18" t="s">
        <v>3519</v>
      </c>
      <c r="J20" s="16"/>
      <c r="K20" s="18" t="s">
        <v>4259</v>
      </c>
      <c r="L20" s="16"/>
      <c r="M20" s="18" t="s">
        <v>4944</v>
      </c>
      <c r="N20" s="16"/>
      <c r="O20" s="18" t="s">
        <v>5674</v>
      </c>
      <c r="P20" s="16"/>
      <c r="Q20" s="18" t="s">
        <v>6337</v>
      </c>
      <c r="R20" s="16"/>
      <c r="S20" s="18"/>
      <c r="T20" s="21"/>
    </row>
    <row r="21" spans="1:20" ht="15.95" customHeight="1" x14ac:dyDescent="0.25">
      <c r="A21" s="18" t="s">
        <v>362</v>
      </c>
      <c r="B21" s="16"/>
      <c r="C21" s="18" t="s">
        <v>2067</v>
      </c>
      <c r="D21" s="16"/>
      <c r="E21" s="18" t="s">
        <v>2786</v>
      </c>
      <c r="F21" s="16"/>
      <c r="G21" s="18" t="s">
        <v>1321</v>
      </c>
      <c r="H21" s="16"/>
      <c r="I21" s="18" t="s">
        <v>3520</v>
      </c>
      <c r="J21" s="16"/>
      <c r="K21" s="18" t="s">
        <v>4260</v>
      </c>
      <c r="L21" s="16"/>
      <c r="M21" s="18" t="s">
        <v>4945</v>
      </c>
      <c r="N21" s="16"/>
      <c r="O21" s="18" t="s">
        <v>5675</v>
      </c>
      <c r="P21" s="16"/>
      <c r="Q21" s="18" t="s">
        <v>6338</v>
      </c>
      <c r="R21" s="16"/>
      <c r="S21" s="18"/>
      <c r="T21" s="21"/>
    </row>
    <row r="22" spans="1:20" ht="15.95" customHeight="1" x14ac:dyDescent="0.25">
      <c r="A22" s="18" t="s">
        <v>363</v>
      </c>
      <c r="B22" s="16"/>
      <c r="C22" s="18" t="s">
        <v>2068</v>
      </c>
      <c r="D22" s="16"/>
      <c r="E22" s="18" t="s">
        <v>2787</v>
      </c>
      <c r="F22" s="16"/>
      <c r="G22" s="18" t="s">
        <v>1322</v>
      </c>
      <c r="H22" s="16"/>
      <c r="I22" s="18" t="s">
        <v>3521</v>
      </c>
      <c r="J22" s="16"/>
      <c r="K22" s="18" t="s">
        <v>4261</v>
      </c>
      <c r="L22" s="16"/>
      <c r="M22" s="18" t="s">
        <v>4946</v>
      </c>
      <c r="N22" s="16"/>
      <c r="O22" s="18" t="s">
        <v>5676</v>
      </c>
      <c r="P22" s="16"/>
      <c r="Q22" s="18" t="s">
        <v>6339</v>
      </c>
      <c r="R22" s="16"/>
      <c r="S22" s="18"/>
      <c r="T22" s="21"/>
    </row>
    <row r="23" spans="1:20" ht="15.95" customHeight="1" x14ac:dyDescent="0.25">
      <c r="A23" s="18" t="s">
        <v>364</v>
      </c>
      <c r="B23" s="16"/>
      <c r="C23" s="18" t="s">
        <v>2069</v>
      </c>
      <c r="D23" s="16"/>
      <c r="E23" s="18" t="s">
        <v>2788</v>
      </c>
      <c r="F23" s="16"/>
      <c r="G23" s="18" t="s">
        <v>1323</v>
      </c>
      <c r="H23" s="16"/>
      <c r="I23" s="18" t="s">
        <v>3522</v>
      </c>
      <c r="J23" s="16"/>
      <c r="K23" s="18" t="s">
        <v>4262</v>
      </c>
      <c r="L23" s="16"/>
      <c r="M23" s="18" t="s">
        <v>4947</v>
      </c>
      <c r="N23" s="16"/>
      <c r="O23" s="18" t="s">
        <v>5677</v>
      </c>
      <c r="P23" s="16"/>
      <c r="Q23" s="18" t="s">
        <v>6340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365</v>
      </c>
      <c r="B25" s="16"/>
      <c r="C25" s="18" t="s">
        <v>2070</v>
      </c>
      <c r="D25" s="16"/>
      <c r="E25" s="18" t="s">
        <v>2789</v>
      </c>
      <c r="F25" s="16"/>
      <c r="G25" s="18" t="s">
        <v>1324</v>
      </c>
      <c r="H25" s="16"/>
      <c r="I25" s="18" t="s">
        <v>3523</v>
      </c>
      <c r="J25" s="16"/>
      <c r="K25" s="18" t="s">
        <v>4263</v>
      </c>
      <c r="L25" s="16"/>
      <c r="M25" s="18" t="s">
        <v>4948</v>
      </c>
      <c r="N25" s="16"/>
      <c r="O25" s="18" t="s">
        <v>5678</v>
      </c>
      <c r="P25" s="16"/>
      <c r="Q25" s="18" t="s">
        <v>6341</v>
      </c>
      <c r="R25" s="16"/>
      <c r="S25" s="18"/>
      <c r="T25" s="21"/>
    </row>
    <row r="26" spans="1:20" ht="15.95" customHeight="1" x14ac:dyDescent="0.25">
      <c r="A26" s="22" t="s">
        <v>366</v>
      </c>
      <c r="B26" s="16"/>
      <c r="C26" s="18" t="s">
        <v>2071</v>
      </c>
      <c r="D26" s="16"/>
      <c r="E26" s="18" t="e" cm="1">
        <f t="array" ref="E26">- Antiguo dicho Ezomita.</f>
        <v>#NAME?</v>
      </c>
      <c r="F26" s="16"/>
      <c r="G26" s="18" t="e" cm="1">
        <f t="array" ref="G26">- Vieux proverbe ézomyte</f>
        <v>#NAME?</v>
      </c>
      <c r="H26" s="16"/>
      <c r="I26" s="18" t="s">
        <v>3524</v>
      </c>
      <c r="J26" s="16"/>
      <c r="K26" s="18" t="s">
        <v>4264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7" priority="2" stopIfTrue="1">
      <formula>NOT(ISERROR(A3))</formula>
    </cfRule>
  </conditionalFormatting>
  <conditionalFormatting sqref="A3:T51">
    <cfRule type="containsErrors" dxfId="226" priority="1" stopIfTrue="1">
      <formula>ISERROR(A3)</formula>
    </cfRule>
    <cfRule type="notContainsBlanks" dxfId="225"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162</v>
      </c>
      <c r="B3" s="16" t="str">
        <f>TRIM(_xlfn.TEXTBEFORE(A3, ":"))</f>
        <v>Item Class</v>
      </c>
      <c r="C3" s="17" t="s">
        <v>2072</v>
      </c>
      <c r="D3" s="16" t="str">
        <f>TRIM(_xlfn.TEXTBEFORE(C3, ":"))</f>
        <v>Gegenstandsklasse</v>
      </c>
      <c r="E3" s="17" t="s">
        <v>2790</v>
      </c>
      <c r="F3" s="16" t="str">
        <f>TRIM(_xlfn.TEXTBEFORE(E3, ":"))</f>
        <v>Clase de objeto</v>
      </c>
      <c r="G3" s="17" t="s">
        <v>1325</v>
      </c>
      <c r="H3" s="16" t="str">
        <f>TRIM(_xlfn.TEXTBEFORE(G3, ":"))</f>
        <v>Classe d'objet</v>
      </c>
      <c r="I3" s="17" t="s">
        <v>3525</v>
      </c>
      <c r="J3" s="16" t="str">
        <f>TRIM(_xlfn.TEXTBEFORE(I3, ":"))</f>
        <v>アイテムクラス</v>
      </c>
      <c r="K3" s="17" t="s">
        <v>4265</v>
      </c>
      <c r="L3" s="16" t="str">
        <f>TRIM(_xlfn.TEXTBEFORE(K3, ":"))</f>
        <v>아이템 종류</v>
      </c>
      <c r="M3" s="17" t="s">
        <v>4949</v>
      </c>
      <c r="N3" s="16" t="str">
        <f>TRIM(_xlfn.TEXTBEFORE(M3, ":"))</f>
        <v>Classe do Item</v>
      </c>
      <c r="O3" s="17" t="s">
        <v>5679</v>
      </c>
      <c r="P3" s="16" t="str">
        <f>TRIM(_xlfn.TEXTBEFORE(O3, ":"))</f>
        <v>Класс предмета</v>
      </c>
      <c r="Q3" s="17" t="s">
        <v>6342</v>
      </c>
      <c r="R3" s="16" t="str">
        <f>TRIM(_xlfn.TEXTBEFORE(Q3, ":"))</f>
        <v>ชนิดไอเทม</v>
      </c>
      <c r="S3" s="17"/>
      <c r="T3" s="16" t="e">
        <f>TRIM(_xlfn.TEXTBEFORE(S3, ":"))</f>
        <v>#N/A</v>
      </c>
    </row>
    <row r="4" spans="1:20" ht="15.95" customHeight="1" x14ac:dyDescent="0.25">
      <c r="A4" s="18" t="s">
        <v>81</v>
      </c>
      <c r="B4" s="16" t="str">
        <f>TRIM(_xlfn.TEXTAFTER(A3, ":"))</f>
        <v>Wands</v>
      </c>
      <c r="C4" s="18" t="s">
        <v>1644</v>
      </c>
      <c r="D4" s="16" t="str">
        <f>TRIM(_xlfn.TEXTAFTER(C3, ":"))</f>
        <v>Zauberstäbe</v>
      </c>
      <c r="E4" s="18" t="s">
        <v>2364</v>
      </c>
      <c r="F4" s="16" t="str">
        <f>TRIM(_xlfn.TEXTAFTER(E3, ":"))</f>
        <v>Varitas</v>
      </c>
      <c r="G4" s="18" t="s">
        <v>1</v>
      </c>
      <c r="H4" s="16" t="str">
        <f>TRIM(_xlfn.TEXTAFTER(G3, ":"))</f>
        <v>Baguettes</v>
      </c>
      <c r="I4" s="18" t="s">
        <v>3079</v>
      </c>
      <c r="J4" s="16" t="str">
        <f>TRIM(_xlfn.TEXTAFTER(I3, ":"))</f>
        <v>ワンド</v>
      </c>
      <c r="K4" s="18" t="s">
        <v>3829</v>
      </c>
      <c r="L4" s="16" t="str">
        <f>TRIM(_xlfn.TEXTAFTER(K3, ":"))</f>
        <v>마법봉</v>
      </c>
      <c r="M4" s="18" t="s">
        <v>4558</v>
      </c>
      <c r="N4" s="16" t="str">
        <f>TRIM(_xlfn.TEXTAFTER(M3, ":"))</f>
        <v>Varinhas</v>
      </c>
      <c r="O4" s="18" t="s">
        <v>5241</v>
      </c>
      <c r="P4" s="16" t="str">
        <f>TRIM(_xlfn.TEXTAFTER(O3, ":"))</f>
        <v>Жезлы</v>
      </c>
      <c r="Q4" s="18" t="s">
        <v>5978</v>
      </c>
      <c r="R4" s="16" t="str">
        <f>TRIM(_xlfn.TEXTAFTER(Q3, ":"))</f>
        <v>ไม้กายสิทธิ์</v>
      </c>
      <c r="S4" s="18"/>
      <c r="T4" s="16" t="e">
        <f>TRIM(_xlfn.TEXTAFTER(S3, ":"))</f>
        <v>#N/A</v>
      </c>
    </row>
    <row r="5" spans="1:20" ht="15.95" customHeight="1" x14ac:dyDescent="0.25">
      <c r="A5" s="18" t="s">
        <v>163</v>
      </c>
      <c r="B5" s="16" t="str">
        <f>TRIM(_xlfn.TEXTBEFORE(A4, ":"))</f>
        <v>Rarity</v>
      </c>
      <c r="C5" s="18" t="s">
        <v>2073</v>
      </c>
      <c r="D5" s="16" t="str">
        <f>TRIM(_xlfn.TEXTBEFORE(C4, ":"))</f>
        <v>Seltenheit</v>
      </c>
      <c r="E5" s="18" t="s">
        <v>2791</v>
      </c>
      <c r="F5" s="16" t="str">
        <f>TRIM(_xlfn.TEXTBEFORE(E4, ":"))</f>
        <v>Rareza</v>
      </c>
      <c r="G5" s="18" t="s">
        <v>1326</v>
      </c>
      <c r="H5" s="16" t="str">
        <f>TRIM(_xlfn.TEXTBEFORE(G4, ":"))</f>
        <v>Rareté</v>
      </c>
      <c r="I5" s="18" t="s">
        <v>3526</v>
      </c>
      <c r="J5" s="16" t="str">
        <f>TRIM(_xlfn.TEXTBEFORE(I4, ":"))</f>
        <v>レアリティ</v>
      </c>
      <c r="K5" s="18" t="s">
        <v>4266</v>
      </c>
      <c r="L5" s="16" t="str">
        <f>TRIM(_xlfn.TEXTBEFORE(K4, ":"))</f>
        <v>아이템 희귀도</v>
      </c>
      <c r="M5" s="18" t="s">
        <v>4950</v>
      </c>
      <c r="N5" s="16" t="str">
        <f>TRIM(_xlfn.TEXTBEFORE(M4, ":"))</f>
        <v>Raridade</v>
      </c>
      <c r="O5" s="18" t="s">
        <v>5680</v>
      </c>
      <c r="P5" s="16" t="str">
        <f>TRIM(_xlfn.TEXTBEFORE(O4, ":"))</f>
        <v>Редкость</v>
      </c>
      <c r="Q5" s="18" t="s">
        <v>163</v>
      </c>
      <c r="R5" s="16" t="str">
        <f>TRIM(_xlfn.TEXTBEFORE(Q4, ":"))</f>
        <v>ความหายาก</v>
      </c>
      <c r="S5" s="18"/>
      <c r="T5" s="16" t="e">
        <f>TRIM(_xlfn.TEXTBEFORE(S4, ":"))</f>
        <v>#N/A</v>
      </c>
    </row>
    <row r="6" spans="1:20" ht="15.95" customHeight="1" x14ac:dyDescent="0.25">
      <c r="A6" s="18" t="s">
        <v>164</v>
      </c>
      <c r="B6" s="16" t="str">
        <f>TRIM(_xlfn.TEXTAFTER(A4,":"))</f>
        <v>Unique</v>
      </c>
      <c r="C6" s="18" t="s">
        <v>2074</v>
      </c>
      <c r="D6" s="16" t="str">
        <f>TRIM(_xlfn.TEXTAFTER(C4,":"))</f>
        <v>Einzigartig</v>
      </c>
      <c r="E6" s="18" t="s">
        <v>2792</v>
      </c>
      <c r="F6" s="16" t="str">
        <f>TRIM(_xlfn.TEXTAFTER(E4,":"))</f>
        <v>Único</v>
      </c>
      <c r="G6" s="18" t="s">
        <v>1327</v>
      </c>
      <c r="H6" s="16" t="str">
        <f>TRIM(_xlfn.TEXTAFTER(G4,":"))</f>
        <v>Unique</v>
      </c>
      <c r="I6" s="18" t="s">
        <v>3527</v>
      </c>
      <c r="J6" s="16" t="str">
        <f>TRIM(_xlfn.TEXTAFTER(I4,":"))</f>
        <v>ユニーク</v>
      </c>
      <c r="K6" s="18" t="s">
        <v>4267</v>
      </c>
      <c r="L6" s="16" t="str">
        <f>TRIM(_xlfn.TEXTAFTER(K4,":"))</f>
        <v>고유</v>
      </c>
      <c r="M6" s="18" t="s">
        <v>4951</v>
      </c>
      <c r="N6" s="16" t="str">
        <f>TRIM(_xlfn.TEXTAFTER(M4,":"))</f>
        <v>Único</v>
      </c>
      <c r="O6" s="18" t="s">
        <v>5681</v>
      </c>
      <c r="P6" s="16" t="str">
        <f>TRIM(_xlfn.TEXTAFTER(O4,":"))</f>
        <v>Уникальный</v>
      </c>
      <c r="Q6" s="18" t="s">
        <v>164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165</v>
      </c>
      <c r="B8" s="16"/>
      <c r="C8" s="18" t="s">
        <v>2075</v>
      </c>
      <c r="D8" s="16"/>
      <c r="E8" s="18" t="s">
        <v>2793</v>
      </c>
      <c r="F8" s="16"/>
      <c r="G8" s="18" t="s">
        <v>1328</v>
      </c>
      <c r="H8" s="16"/>
      <c r="I8" s="18" t="s">
        <v>3528</v>
      </c>
      <c r="J8" s="16"/>
      <c r="K8" s="18" t="s">
        <v>4268</v>
      </c>
      <c r="L8" s="16"/>
      <c r="M8" s="18" t="s">
        <v>4952</v>
      </c>
      <c r="N8" s="16"/>
      <c r="O8" s="18" t="s">
        <v>5682</v>
      </c>
      <c r="P8" s="16"/>
      <c r="Q8" s="18" t="s">
        <v>6343</v>
      </c>
      <c r="R8" s="16"/>
      <c r="S8" s="18"/>
      <c r="T8" s="16"/>
    </row>
    <row r="9" spans="1:20" ht="15.95" customHeight="1" x14ac:dyDescent="0.25">
      <c r="A9" s="18" t="s">
        <v>166</v>
      </c>
      <c r="B9" s="16"/>
      <c r="C9" s="18" t="s">
        <v>2076</v>
      </c>
      <c r="D9" s="16"/>
      <c r="E9" s="18" t="s">
        <v>2794</v>
      </c>
      <c r="F9" s="16"/>
      <c r="G9" s="18" t="s">
        <v>1329</v>
      </c>
      <c r="H9" s="16"/>
      <c r="I9" s="18" t="s">
        <v>3529</v>
      </c>
      <c r="J9" s="16"/>
      <c r="K9" s="18" t="s">
        <v>4269</v>
      </c>
      <c r="L9" s="16"/>
      <c r="M9" s="18" t="s">
        <v>4953</v>
      </c>
      <c r="N9" s="16"/>
      <c r="O9" s="18" t="s">
        <v>5683</v>
      </c>
      <c r="P9" s="16"/>
      <c r="Q9" s="18" t="s">
        <v>6344</v>
      </c>
      <c r="R9" s="16"/>
      <c r="S9" s="18"/>
      <c r="T9" s="16"/>
    </row>
    <row r="10" spans="1:20" ht="15.95" customHeight="1" x14ac:dyDescent="0.25">
      <c r="A10" s="18" t="s">
        <v>167</v>
      </c>
      <c r="B10" s="16"/>
      <c r="C10" s="18" t="s">
        <v>2077</v>
      </c>
      <c r="D10" s="16"/>
      <c r="E10" s="18" t="s">
        <v>2795</v>
      </c>
      <c r="F10" s="16"/>
      <c r="G10" s="18" t="s">
        <v>1330</v>
      </c>
      <c r="H10" s="16"/>
      <c r="I10" s="18" t="s">
        <v>3530</v>
      </c>
      <c r="J10" s="16"/>
      <c r="K10" s="18" t="s">
        <v>4270</v>
      </c>
      <c r="L10" s="16"/>
      <c r="M10" s="18" t="s">
        <v>4954</v>
      </c>
      <c r="N10" s="16"/>
      <c r="O10" s="18" t="s">
        <v>5684</v>
      </c>
      <c r="P10" s="16"/>
      <c r="Q10" s="18" t="s">
        <v>6345</v>
      </c>
      <c r="R10" s="16"/>
      <c r="S10" s="18"/>
      <c r="T10" s="16"/>
    </row>
    <row r="11" spans="1:20" ht="15.95" customHeight="1" x14ac:dyDescent="0.25">
      <c r="A11" s="18" t="s">
        <v>168</v>
      </c>
      <c r="B11" s="16"/>
      <c r="C11" s="18" t="s">
        <v>2078</v>
      </c>
      <c r="D11" s="16"/>
      <c r="E11" s="18" t="s">
        <v>2796</v>
      </c>
      <c r="F11" s="16"/>
      <c r="G11" s="18" t="s">
        <v>1331</v>
      </c>
      <c r="H11" s="16"/>
      <c r="I11" s="18" t="s">
        <v>3531</v>
      </c>
      <c r="J11" s="16"/>
      <c r="K11" s="18" t="s">
        <v>4271</v>
      </c>
      <c r="L11" s="16"/>
      <c r="M11" s="18" t="s">
        <v>4955</v>
      </c>
      <c r="N11" s="16"/>
      <c r="O11" s="18" t="s">
        <v>5685</v>
      </c>
      <c r="P11" s="16"/>
      <c r="Q11" s="18" t="s">
        <v>6346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169</v>
      </c>
      <c r="B13" s="16"/>
      <c r="C13" s="18" t="s">
        <v>1971</v>
      </c>
      <c r="D13" s="16"/>
      <c r="E13" s="18" t="s">
        <v>2692</v>
      </c>
      <c r="F13" s="16"/>
      <c r="G13" s="18" t="s">
        <v>1227</v>
      </c>
      <c r="H13" s="16"/>
      <c r="I13" s="18" t="s">
        <v>3419</v>
      </c>
      <c r="J13" s="16"/>
      <c r="K13" s="18" t="s">
        <v>4163</v>
      </c>
      <c r="L13" s="16"/>
      <c r="M13" s="18" t="s">
        <v>4870</v>
      </c>
      <c r="N13" s="16"/>
      <c r="O13" s="18" t="s">
        <v>5577</v>
      </c>
      <c r="P13" s="16"/>
      <c r="Q13" s="18" t="s">
        <v>6259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170</v>
      </c>
      <c r="B15" s="16"/>
      <c r="C15" s="18" t="s">
        <v>1647</v>
      </c>
      <c r="D15" s="16"/>
      <c r="E15" s="18" t="s">
        <v>2367</v>
      </c>
      <c r="F15" s="16"/>
      <c r="G15" s="18" t="s">
        <v>914</v>
      </c>
      <c r="H15" s="16"/>
      <c r="I15" s="18" t="s">
        <v>3082</v>
      </c>
      <c r="J15" s="16"/>
      <c r="K15" s="18" t="s">
        <v>3832</v>
      </c>
      <c r="L15" s="16"/>
      <c r="M15" s="18" t="s">
        <v>4561</v>
      </c>
      <c r="N15" s="16"/>
      <c r="O15" s="18" t="s">
        <v>5244</v>
      </c>
      <c r="P15" s="16"/>
      <c r="Q15" s="18" t="s">
        <v>5981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171</v>
      </c>
      <c r="B17" s="16"/>
      <c r="C17" s="18" t="s">
        <v>2079</v>
      </c>
      <c r="D17" s="16"/>
      <c r="E17" s="18" t="s">
        <v>2797</v>
      </c>
      <c r="F17" s="16"/>
      <c r="G17" s="18" t="s">
        <v>1332</v>
      </c>
      <c r="H17" s="16"/>
      <c r="I17" s="18" t="s">
        <v>3532</v>
      </c>
      <c r="J17" s="16"/>
      <c r="K17" s="18" t="s">
        <v>4272</v>
      </c>
      <c r="L17" s="16"/>
      <c r="M17" s="18" t="s">
        <v>4956</v>
      </c>
      <c r="N17" s="16"/>
      <c r="O17" s="18" t="s">
        <v>5686</v>
      </c>
      <c r="P17" s="16"/>
      <c r="Q17" s="18" t="s">
        <v>6347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172</v>
      </c>
      <c r="B19" s="16"/>
      <c r="C19" s="18" t="s">
        <v>2080</v>
      </c>
      <c r="D19" s="16"/>
      <c r="E19" s="18" t="s">
        <v>2798</v>
      </c>
      <c r="F19" s="16"/>
      <c r="G19" s="18" t="s">
        <v>1333</v>
      </c>
      <c r="H19" s="16"/>
      <c r="I19" s="18" t="s">
        <v>3533</v>
      </c>
      <c r="J19" s="16"/>
      <c r="K19" s="18" t="s">
        <v>4273</v>
      </c>
      <c r="L19" s="16"/>
      <c r="M19" s="18" t="s">
        <v>4957</v>
      </c>
      <c r="N19" s="16"/>
      <c r="O19" s="18" t="s">
        <v>5687</v>
      </c>
      <c r="P19" s="16"/>
      <c r="Q19" s="18" t="s">
        <v>6348</v>
      </c>
      <c r="R19" s="16"/>
      <c r="S19" s="18"/>
      <c r="T19" s="21"/>
    </row>
    <row r="20" spans="1:20" ht="15.95" customHeight="1" x14ac:dyDescent="0.25">
      <c r="A20" s="18" t="s">
        <v>173</v>
      </c>
      <c r="B20" s="16"/>
      <c r="C20" s="18" t="s">
        <v>2081</v>
      </c>
      <c r="D20" s="16"/>
      <c r="E20" s="18" t="s">
        <v>2799</v>
      </c>
      <c r="F20" s="16"/>
      <c r="G20" s="18" t="s">
        <v>1334</v>
      </c>
      <c r="H20" s="16"/>
      <c r="I20" s="18" t="s">
        <v>3534</v>
      </c>
      <c r="J20" s="16"/>
      <c r="K20" s="18" t="s">
        <v>4274</v>
      </c>
      <c r="L20" s="16"/>
      <c r="M20" s="18" t="s">
        <v>4958</v>
      </c>
      <c r="N20" s="16"/>
      <c r="O20" s="18" t="s">
        <v>5688</v>
      </c>
      <c r="P20" s="16"/>
      <c r="Q20" s="18" t="s">
        <v>6349</v>
      </c>
      <c r="R20" s="16"/>
      <c r="S20" s="18"/>
      <c r="T20" s="21"/>
    </row>
    <row r="21" spans="1:20" ht="15.95" customHeight="1" x14ac:dyDescent="0.25">
      <c r="A21" s="18" t="s">
        <v>174</v>
      </c>
      <c r="B21" s="16"/>
      <c r="C21" s="18" t="s">
        <v>2082</v>
      </c>
      <c r="D21" s="16"/>
      <c r="E21" s="18" t="s">
        <v>2800</v>
      </c>
      <c r="F21" s="16"/>
      <c r="G21" s="18" t="s">
        <v>1335</v>
      </c>
      <c r="H21" s="16"/>
      <c r="I21" s="18" t="s">
        <v>3535</v>
      </c>
      <c r="J21" s="16"/>
      <c r="K21" s="18" t="s">
        <v>4275</v>
      </c>
      <c r="L21" s="16"/>
      <c r="M21" s="18" t="s">
        <v>4959</v>
      </c>
      <c r="N21" s="16"/>
      <c r="O21" s="18" t="s">
        <v>5689</v>
      </c>
      <c r="P21" s="16"/>
      <c r="Q21" s="18" t="s">
        <v>6350</v>
      </c>
      <c r="R21" s="16"/>
      <c r="S21" s="18"/>
      <c r="T21" s="21"/>
    </row>
    <row r="22" spans="1:20" ht="15.95" customHeight="1" x14ac:dyDescent="0.25">
      <c r="A22" s="18" t="s">
        <v>175</v>
      </c>
      <c r="B22" s="16"/>
      <c r="C22" s="18" t="s">
        <v>2083</v>
      </c>
      <c r="D22" s="16"/>
      <c r="E22" s="18" t="s">
        <v>2801</v>
      </c>
      <c r="F22" s="16"/>
      <c r="G22" s="18" t="s">
        <v>1336</v>
      </c>
      <c r="H22" s="16"/>
      <c r="I22" s="18" t="s">
        <v>3536</v>
      </c>
      <c r="J22" s="16"/>
      <c r="K22" s="18" t="s">
        <v>4276</v>
      </c>
      <c r="L22" s="16"/>
      <c r="M22" s="18" t="s">
        <v>4960</v>
      </c>
      <c r="N22" s="16"/>
      <c r="O22" s="18" t="s">
        <v>5690</v>
      </c>
      <c r="P22" s="16"/>
      <c r="Q22" s="18" t="s">
        <v>6351</v>
      </c>
      <c r="R22" s="16"/>
      <c r="S22" s="18"/>
      <c r="T22" s="21"/>
    </row>
    <row r="23" spans="1:20" ht="15.95" customHeight="1" x14ac:dyDescent="0.25">
      <c r="A23" s="18" t="s">
        <v>176</v>
      </c>
      <c r="B23" s="16"/>
      <c r="C23" s="18" t="s">
        <v>2084</v>
      </c>
      <c r="D23" s="16"/>
      <c r="E23" s="18" t="s">
        <v>2802</v>
      </c>
      <c r="F23" s="16"/>
      <c r="G23" s="18" t="s">
        <v>1337</v>
      </c>
      <c r="H23" s="16"/>
      <c r="I23" s="18" t="s">
        <v>3537</v>
      </c>
      <c r="J23" s="16"/>
      <c r="K23" s="18" t="s">
        <v>4277</v>
      </c>
      <c r="L23" s="16"/>
      <c r="M23" s="18" t="s">
        <v>4961</v>
      </c>
      <c r="N23" s="16"/>
      <c r="O23" s="18" t="s">
        <v>5691</v>
      </c>
      <c r="P23" s="16"/>
      <c r="Q23" s="18" t="s">
        <v>6352</v>
      </c>
      <c r="R23" s="16"/>
      <c r="S23" s="18"/>
      <c r="T23" s="21"/>
    </row>
    <row r="24" spans="1:20" ht="15.95" customHeight="1" x14ac:dyDescent="0.25">
      <c r="A24" s="18" t="s">
        <v>177</v>
      </c>
      <c r="B24" s="16"/>
      <c r="C24" s="18" t="s">
        <v>2085</v>
      </c>
      <c r="D24" s="16"/>
      <c r="E24" s="18" t="s">
        <v>2803</v>
      </c>
      <c r="F24" s="16"/>
      <c r="G24" s="18" t="s">
        <v>1338</v>
      </c>
      <c r="H24" s="16"/>
      <c r="I24" s="18" t="s">
        <v>3538</v>
      </c>
      <c r="J24" s="16"/>
      <c r="K24" s="18" t="s">
        <v>4278</v>
      </c>
      <c r="L24" s="16"/>
      <c r="M24" s="18" t="s">
        <v>4962</v>
      </c>
      <c r="N24" s="16"/>
      <c r="O24" s="18" t="s">
        <v>5692</v>
      </c>
      <c r="P24" s="16"/>
      <c r="Q24" s="18" t="s">
        <v>6353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178</v>
      </c>
      <c r="B26" s="16"/>
      <c r="C26" s="18" t="s">
        <v>2086</v>
      </c>
      <c r="D26" s="16"/>
      <c r="E26" s="18" t="s">
        <v>2804</v>
      </c>
      <c r="F26" s="16"/>
      <c r="G26" s="18" t="s">
        <v>1339</v>
      </c>
      <c r="H26" s="16"/>
      <c r="I26" s="18" t="s">
        <v>3539</v>
      </c>
      <c r="J26" s="16"/>
      <c r="K26" s="18" t="s">
        <v>4279</v>
      </c>
      <c r="L26" s="16"/>
      <c r="M26" s="18" t="s">
        <v>4963</v>
      </c>
      <c r="N26" s="16"/>
      <c r="O26" s="18" t="s">
        <v>5693</v>
      </c>
      <c r="P26" s="16"/>
      <c r="Q26" s="18" t="s">
        <v>6354</v>
      </c>
      <c r="R26" s="16"/>
      <c r="S26" s="18"/>
      <c r="T26" s="21"/>
    </row>
    <row r="27" spans="1:20" ht="15.95" customHeight="1" x14ac:dyDescent="0.25">
      <c r="A27" s="18" t="s">
        <v>179</v>
      </c>
      <c r="B27" s="16"/>
      <c r="C27" s="18" t="s">
        <v>2087</v>
      </c>
      <c r="D27" s="16"/>
      <c r="E27" s="18" t="s">
        <v>2805</v>
      </c>
      <c r="F27" s="16"/>
      <c r="G27" s="18" t="s">
        <v>1340</v>
      </c>
      <c r="H27" s="16"/>
      <c r="I27" s="18" t="s">
        <v>3540</v>
      </c>
      <c r="J27" s="16"/>
      <c r="K27" s="18" t="s">
        <v>4280</v>
      </c>
      <c r="L27" s="16"/>
      <c r="M27" s="18" t="s">
        <v>4964</v>
      </c>
      <c r="N27" s="16"/>
      <c r="O27" s="18" t="s">
        <v>5694</v>
      </c>
      <c r="P27" s="16"/>
      <c r="Q27" s="18" t="s">
        <v>6355</v>
      </c>
      <c r="R27" s="16"/>
      <c r="S27" s="18"/>
      <c r="T27" s="21"/>
    </row>
    <row r="28" spans="1:20" ht="15.95" customHeight="1" x14ac:dyDescent="0.25">
      <c r="A28" s="18" t="s">
        <v>180</v>
      </c>
      <c r="B28" s="16"/>
      <c r="C28" s="18" t="s">
        <v>2088</v>
      </c>
      <c r="D28" s="16"/>
      <c r="E28" s="18" t="s">
        <v>2806</v>
      </c>
      <c r="F28" s="16"/>
      <c r="G28" s="18" t="s">
        <v>1341</v>
      </c>
      <c r="H28" s="16"/>
      <c r="I28" s="18" t="s">
        <v>3541</v>
      </c>
      <c r="J28" s="16"/>
      <c r="K28" s="18" t="s">
        <v>4281</v>
      </c>
      <c r="L28" s="16"/>
      <c r="M28" s="18" t="s">
        <v>4965</v>
      </c>
      <c r="N28" s="16"/>
      <c r="O28" s="18" t="s">
        <v>5695</v>
      </c>
      <c r="P28" s="16"/>
      <c r="Q28" s="18" t="s">
        <v>6356</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367</v>
      </c>
      <c r="B3" s="16" t="str">
        <f>TRIM(_xlfn.TEXTBEFORE(A3, ":"))</f>
        <v>Item Class</v>
      </c>
      <c r="C3" s="17" t="s">
        <v>2089</v>
      </c>
      <c r="D3" s="16" t="str">
        <f>TRIM(_xlfn.TEXTBEFORE(C3, ":"))</f>
        <v>Gegenstandsklasse</v>
      </c>
      <c r="E3" s="17" t="s">
        <v>2807</v>
      </c>
      <c r="F3" s="16" t="str">
        <f>TRIM(_xlfn.TEXTBEFORE(E3, ":"))</f>
        <v>Clase de objeto</v>
      </c>
      <c r="G3" s="17" t="s">
        <v>1342</v>
      </c>
      <c r="H3" s="16" t="str">
        <f>TRIM(_xlfn.TEXTBEFORE(G3, ":"))</f>
        <v>Classe d'objet</v>
      </c>
      <c r="I3" s="17" t="s">
        <v>3542</v>
      </c>
      <c r="J3" s="16" t="str">
        <f>TRIM(_xlfn.TEXTBEFORE(I3, ":"))</f>
        <v>アイテムクラス</v>
      </c>
      <c r="K3" s="17" t="s">
        <v>4282</v>
      </c>
      <c r="L3" s="16" t="str">
        <f>TRIM(_xlfn.TEXTBEFORE(K3, ":"))</f>
        <v>아이템 종류</v>
      </c>
      <c r="M3" s="17" t="s">
        <v>4966</v>
      </c>
      <c r="N3" s="16" t="str">
        <f>TRIM(_xlfn.TEXTBEFORE(M3, ":"))</f>
        <v>Classe do Item</v>
      </c>
      <c r="O3" s="17" t="s">
        <v>5696</v>
      </c>
      <c r="P3" s="16" t="str">
        <f>TRIM(_xlfn.TEXTBEFORE(O3, ":"))</f>
        <v>Класс предмета</v>
      </c>
      <c r="Q3" s="17" t="s">
        <v>6357</v>
      </c>
      <c r="R3" s="16" t="str">
        <f>TRIM(_xlfn.TEXTBEFORE(Q3, ":"))</f>
        <v>ชนิดไอเทม</v>
      </c>
      <c r="S3" s="17"/>
      <c r="T3" s="16" t="e">
        <f>TRIM(_xlfn.TEXTBEFORE(S3, ":"))</f>
        <v>#N/A</v>
      </c>
    </row>
    <row r="4" spans="1:20" ht="15.95" customHeight="1" x14ac:dyDescent="0.25">
      <c r="A4" s="18" t="s">
        <v>81</v>
      </c>
      <c r="B4" s="16" t="str">
        <f>TRIM(_xlfn.TEXTAFTER(A3, ":"))</f>
        <v>Warstaves</v>
      </c>
      <c r="C4" s="18" t="s">
        <v>1644</v>
      </c>
      <c r="D4" s="16" t="str">
        <f>TRIM(_xlfn.TEXTAFTER(C3, ":"))</f>
        <v>Kriegsstäbe</v>
      </c>
      <c r="E4" s="18" t="s">
        <v>2364</v>
      </c>
      <c r="F4" s="16" t="str">
        <f>TRIM(_xlfn.TEXTAFTER(E3, ":"))</f>
        <v>Báculos de guerra</v>
      </c>
      <c r="G4" s="18" t="s">
        <v>1</v>
      </c>
      <c r="H4" s="16" t="str">
        <f>TRIM(_xlfn.TEXTAFTER(G3, ":"))</f>
        <v>Bâtons de guerre</v>
      </c>
      <c r="I4" s="18" t="s">
        <v>3079</v>
      </c>
      <c r="J4" s="16" t="str">
        <f>TRIM(_xlfn.TEXTAFTER(I3, ":"))</f>
        <v>ウォースタッフ</v>
      </c>
      <c r="K4" s="18" t="s">
        <v>3829</v>
      </c>
      <c r="L4" s="16" t="str">
        <f>TRIM(_xlfn.TEXTAFTER(K3, ":"))</f>
        <v>전쟁지팡이</v>
      </c>
      <c r="M4" s="18" t="s">
        <v>4558</v>
      </c>
      <c r="N4" s="16" t="str">
        <f>TRIM(_xlfn.TEXTAFTER(M3, ":"))</f>
        <v>Cajados de Guerra</v>
      </c>
      <c r="O4" s="18" t="s">
        <v>5241</v>
      </c>
      <c r="P4" s="16" t="str">
        <f>TRIM(_xlfn.TEXTAFTER(O3, ":"))</f>
        <v>Воинские посохи</v>
      </c>
      <c r="Q4" s="18" t="s">
        <v>5978</v>
      </c>
      <c r="R4" s="16" t="str">
        <f>TRIM(_xlfn.TEXTAFTER(Q3, ":"))</f>
        <v>ไม้พลองสงคราม</v>
      </c>
      <c r="S4" s="18"/>
      <c r="T4" s="16" t="e">
        <f>TRIM(_xlfn.TEXTAFTER(S3, ":"))</f>
        <v>#N/A</v>
      </c>
    </row>
    <row r="5" spans="1:20" ht="15.95" customHeight="1" x14ac:dyDescent="0.25">
      <c r="A5" s="18" t="s">
        <v>368</v>
      </c>
      <c r="B5" s="16" t="str">
        <f>TRIM(_xlfn.TEXTBEFORE(A4, ":"))</f>
        <v>Rarity</v>
      </c>
      <c r="C5" s="18" t="s">
        <v>2090</v>
      </c>
      <c r="D5" s="16" t="str">
        <f>TRIM(_xlfn.TEXTBEFORE(C4, ":"))</f>
        <v>Seltenheit</v>
      </c>
      <c r="E5" s="18" t="s">
        <v>2808</v>
      </c>
      <c r="F5" s="16" t="str">
        <f>TRIM(_xlfn.TEXTBEFORE(E4, ":"))</f>
        <v>Rareza</v>
      </c>
      <c r="G5" s="18" t="s">
        <v>1343</v>
      </c>
      <c r="H5" s="16" t="str">
        <f>TRIM(_xlfn.TEXTBEFORE(G4, ":"))</f>
        <v>Rareté</v>
      </c>
      <c r="I5" s="18" t="s">
        <v>3543</v>
      </c>
      <c r="J5" s="16" t="str">
        <f>TRIM(_xlfn.TEXTBEFORE(I4, ":"))</f>
        <v>レアリティ</v>
      </c>
      <c r="K5" s="18" t="s">
        <v>4283</v>
      </c>
      <c r="L5" s="16" t="str">
        <f>TRIM(_xlfn.TEXTBEFORE(K4, ":"))</f>
        <v>아이템 희귀도</v>
      </c>
      <c r="M5" s="18" t="s">
        <v>4967</v>
      </c>
      <c r="N5" s="16" t="str">
        <f>TRIM(_xlfn.TEXTBEFORE(M4, ":"))</f>
        <v>Raridade</v>
      </c>
      <c r="O5" s="18" t="s">
        <v>5697</v>
      </c>
      <c r="P5" s="16" t="str">
        <f>TRIM(_xlfn.TEXTBEFORE(O4, ":"))</f>
        <v>Редкость</v>
      </c>
      <c r="Q5" s="18" t="s">
        <v>368</v>
      </c>
      <c r="R5" s="16" t="str">
        <f>TRIM(_xlfn.TEXTBEFORE(Q4, ":"))</f>
        <v>ความหายาก</v>
      </c>
      <c r="S5" s="18"/>
      <c r="T5" s="16" t="e">
        <f>TRIM(_xlfn.TEXTBEFORE(S4, ":"))</f>
        <v>#N/A</v>
      </c>
    </row>
    <row r="6" spans="1:20" ht="15.95" customHeight="1" x14ac:dyDescent="0.25">
      <c r="A6" s="18" t="s">
        <v>369</v>
      </c>
      <c r="B6" s="16" t="str">
        <f>TRIM(_xlfn.TEXTAFTER(A4,":"))</f>
        <v>Unique</v>
      </c>
      <c r="C6" s="18" t="s">
        <v>2091</v>
      </c>
      <c r="D6" s="16" t="str">
        <f>TRIM(_xlfn.TEXTAFTER(C4,":"))</f>
        <v>Einzigartig</v>
      </c>
      <c r="E6" s="18" t="s">
        <v>2809</v>
      </c>
      <c r="F6" s="16" t="str">
        <f>TRIM(_xlfn.TEXTAFTER(E4,":"))</f>
        <v>Único</v>
      </c>
      <c r="G6" s="18" t="s">
        <v>1344</v>
      </c>
      <c r="H6" s="16" t="str">
        <f>TRIM(_xlfn.TEXTAFTER(G4,":"))</f>
        <v>Unique</v>
      </c>
      <c r="I6" s="18" t="s">
        <v>3544</v>
      </c>
      <c r="J6" s="16" t="str">
        <f>TRIM(_xlfn.TEXTAFTER(I4,":"))</f>
        <v>ユニーク</v>
      </c>
      <c r="K6" s="18" t="s">
        <v>4284</v>
      </c>
      <c r="L6" s="16" t="str">
        <f>TRIM(_xlfn.TEXTAFTER(K4,":"))</f>
        <v>고유</v>
      </c>
      <c r="M6" s="18" t="s">
        <v>4968</v>
      </c>
      <c r="N6" s="16" t="str">
        <f>TRIM(_xlfn.TEXTAFTER(M4,":"))</f>
        <v>Único</v>
      </c>
      <c r="O6" s="18" t="s">
        <v>5698</v>
      </c>
      <c r="P6" s="16" t="str">
        <f>TRIM(_xlfn.TEXTAFTER(O4,":"))</f>
        <v>Уникальный</v>
      </c>
      <c r="Q6" s="18" t="s">
        <v>369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370</v>
      </c>
      <c r="B8" s="16"/>
      <c r="C8" s="18" t="s">
        <v>2092</v>
      </c>
      <c r="D8" s="16"/>
      <c r="E8" s="18" t="s">
        <v>2810</v>
      </c>
      <c r="F8" s="16"/>
      <c r="G8" s="18" t="s">
        <v>1345</v>
      </c>
      <c r="H8" s="16"/>
      <c r="I8" s="18" t="s">
        <v>3545</v>
      </c>
      <c r="J8" s="16"/>
      <c r="K8" s="18" t="s">
        <v>4285</v>
      </c>
      <c r="L8" s="16"/>
      <c r="M8" s="18" t="s">
        <v>4969</v>
      </c>
      <c r="N8" s="16"/>
      <c r="O8" s="18" t="s">
        <v>5699</v>
      </c>
      <c r="P8" s="16"/>
      <c r="Q8" s="18" t="s">
        <v>6358</v>
      </c>
      <c r="R8" s="16"/>
      <c r="S8" s="18"/>
      <c r="T8" s="16"/>
    </row>
    <row r="9" spans="1:20" ht="15.95" customHeight="1" x14ac:dyDescent="0.25">
      <c r="A9" s="18" t="s">
        <v>371</v>
      </c>
      <c r="B9" s="16"/>
      <c r="C9" s="18" t="s">
        <v>2093</v>
      </c>
      <c r="D9" s="16"/>
      <c r="E9" s="18" t="s">
        <v>2811</v>
      </c>
      <c r="F9" s="16"/>
      <c r="G9" s="18" t="s">
        <v>1346</v>
      </c>
      <c r="H9" s="16"/>
      <c r="I9" s="18" t="s">
        <v>3546</v>
      </c>
      <c r="J9" s="16"/>
      <c r="K9" s="18" t="s">
        <v>4286</v>
      </c>
      <c r="L9" s="16"/>
      <c r="M9" s="18" t="s">
        <v>4970</v>
      </c>
      <c r="N9" s="16"/>
      <c r="O9" s="18" t="s">
        <v>5700</v>
      </c>
      <c r="P9" s="16"/>
      <c r="Q9" s="18" t="s">
        <v>6359</v>
      </c>
      <c r="R9" s="16"/>
      <c r="S9" s="18"/>
      <c r="T9" s="16"/>
    </row>
    <row r="10" spans="1:20" ht="15.95" customHeight="1" x14ac:dyDescent="0.25">
      <c r="A10" s="18" t="s">
        <v>372</v>
      </c>
      <c r="B10" s="16"/>
      <c r="C10" s="18" t="s">
        <v>2094</v>
      </c>
      <c r="D10" s="16"/>
      <c r="E10" s="18" t="s">
        <v>2812</v>
      </c>
      <c r="F10" s="16"/>
      <c r="G10" s="18" t="s">
        <v>1347</v>
      </c>
      <c r="H10" s="16"/>
      <c r="I10" s="18" t="s">
        <v>3547</v>
      </c>
      <c r="J10" s="16"/>
      <c r="K10" s="18" t="s">
        <v>4287</v>
      </c>
      <c r="L10" s="16"/>
      <c r="M10" s="18" t="s">
        <v>4971</v>
      </c>
      <c r="N10" s="16"/>
      <c r="O10" s="18" t="s">
        <v>5701</v>
      </c>
      <c r="P10" s="16"/>
      <c r="Q10" s="18" t="s">
        <v>6360</v>
      </c>
      <c r="R10" s="16"/>
      <c r="S10" s="18"/>
      <c r="T10" s="16"/>
    </row>
    <row r="11" spans="1:20" ht="15.95" customHeight="1" x14ac:dyDescent="0.25">
      <c r="A11" s="18" t="s">
        <v>373</v>
      </c>
      <c r="B11" s="16"/>
      <c r="C11" s="18" t="s">
        <v>2095</v>
      </c>
      <c r="D11" s="16"/>
      <c r="E11" s="18" t="s">
        <v>2813</v>
      </c>
      <c r="F11" s="16"/>
      <c r="G11" s="18" t="s">
        <v>1348</v>
      </c>
      <c r="H11" s="16"/>
      <c r="I11" s="18" t="s">
        <v>3548</v>
      </c>
      <c r="J11" s="16"/>
      <c r="K11" s="18" t="s">
        <v>4288</v>
      </c>
      <c r="L11" s="16"/>
      <c r="M11" s="18" t="s">
        <v>4972</v>
      </c>
      <c r="N11" s="16"/>
      <c r="O11" s="18" t="s">
        <v>5702</v>
      </c>
      <c r="P11" s="16"/>
      <c r="Q11" s="18" t="s">
        <v>6361</v>
      </c>
      <c r="R11" s="16"/>
      <c r="S11" s="18"/>
      <c r="T11" s="16"/>
    </row>
    <row r="12" spans="1:20" ht="15.95" customHeight="1" x14ac:dyDescent="0.25">
      <c r="A12" s="18" t="s">
        <v>272</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227</v>
      </c>
      <c r="B13" s="16"/>
      <c r="C13" s="18" t="s">
        <v>2064</v>
      </c>
      <c r="D13" s="16"/>
      <c r="E13" s="18" t="s">
        <v>2783</v>
      </c>
      <c r="F13" s="16"/>
      <c r="G13" s="18" t="s">
        <v>1318</v>
      </c>
      <c r="H13" s="16"/>
      <c r="I13" s="18" t="s">
        <v>3517</v>
      </c>
      <c r="J13" s="16"/>
      <c r="K13" s="18" t="s">
        <v>4257</v>
      </c>
      <c r="L13" s="16"/>
      <c r="M13" s="18" t="s">
        <v>4942</v>
      </c>
      <c r="N13" s="16"/>
      <c r="O13" s="18" t="s">
        <v>5672</v>
      </c>
      <c r="P13" s="16"/>
      <c r="Q13" s="18" t="s">
        <v>6335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273</v>
      </c>
      <c r="B16" s="16"/>
      <c r="C16" s="18" t="s">
        <v>2096</v>
      </c>
      <c r="D16" s="16"/>
      <c r="E16" s="18" t="s">
        <v>2814</v>
      </c>
      <c r="F16" s="16"/>
      <c r="G16" s="18" t="s">
        <v>1349</v>
      </c>
      <c r="H16" s="16"/>
      <c r="I16" s="18" t="s">
        <v>3549</v>
      </c>
      <c r="J16" s="16"/>
      <c r="K16" s="18" t="s">
        <v>4289</v>
      </c>
      <c r="L16" s="16"/>
      <c r="M16" s="18" t="s">
        <v>4973</v>
      </c>
      <c r="N16" s="16"/>
      <c r="O16" s="18" t="s">
        <v>5703</v>
      </c>
      <c r="P16" s="16"/>
      <c r="Q16" s="18" t="s">
        <v>6362</v>
      </c>
      <c r="R16" s="16"/>
      <c r="S16" s="18"/>
      <c r="T16" s="21"/>
    </row>
    <row r="17" spans="1:20" ht="15.95" customHeight="1" x14ac:dyDescent="0.25">
      <c r="A17" s="18" t="s">
        <v>374</v>
      </c>
      <c r="B17" s="16"/>
      <c r="C17" s="18" t="s">
        <v>374</v>
      </c>
      <c r="D17" s="16"/>
      <c r="E17" s="18" t="s">
        <v>2815</v>
      </c>
      <c r="F17" s="16"/>
      <c r="G17" s="18" t="s">
        <v>1350</v>
      </c>
      <c r="H17" s="16"/>
      <c r="I17" s="18" t="s">
        <v>3550</v>
      </c>
      <c r="J17" s="16"/>
      <c r="K17" s="18" t="s">
        <v>4290</v>
      </c>
      <c r="L17" s="16"/>
      <c r="M17" s="18" t="s">
        <v>1350</v>
      </c>
      <c r="N17" s="16"/>
      <c r="O17" s="18" t="s">
        <v>5704</v>
      </c>
      <c r="P17" s="16"/>
      <c r="Q17" s="18" t="s">
        <v>374</v>
      </c>
      <c r="R17" s="16"/>
      <c r="S17" s="18"/>
      <c r="T17" s="21"/>
    </row>
    <row r="18" spans="1:20" ht="15.95" customHeight="1" x14ac:dyDescent="0.25">
      <c r="A18" s="18" t="s">
        <v>375</v>
      </c>
      <c r="B18" s="16"/>
      <c r="C18" s="18" t="s">
        <v>375</v>
      </c>
      <c r="D18" s="16"/>
      <c r="E18" s="18" t="s">
        <v>375</v>
      </c>
      <c r="F18" s="16"/>
      <c r="G18" s="18" t="s">
        <v>375</v>
      </c>
      <c r="H18" s="16"/>
      <c r="I18" s="18" t="s">
        <v>3551</v>
      </c>
      <c r="J18" s="16"/>
      <c r="K18" s="18" t="s">
        <v>4291</v>
      </c>
      <c r="L18" s="16"/>
      <c r="M18" s="18" t="s">
        <v>375</v>
      </c>
      <c r="N18" s="16"/>
      <c r="O18" s="18" t="s">
        <v>5705</v>
      </c>
      <c r="P18" s="16"/>
      <c r="Q18" s="18" t="s">
        <v>375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376</v>
      </c>
      <c r="B20" s="16"/>
      <c r="C20" s="18" t="s">
        <v>1790</v>
      </c>
      <c r="D20" s="16"/>
      <c r="E20" s="18" t="s">
        <v>2509</v>
      </c>
      <c r="F20" s="16"/>
      <c r="G20" s="18" t="s">
        <v>1058</v>
      </c>
      <c r="H20" s="16"/>
      <c r="I20" s="18" t="s">
        <v>3229</v>
      </c>
      <c r="J20" s="16"/>
      <c r="K20" s="18" t="s">
        <v>3975</v>
      </c>
      <c r="L20" s="16"/>
      <c r="M20" s="18" t="s">
        <v>4702</v>
      </c>
      <c r="N20" s="16"/>
      <c r="O20" s="18" t="s">
        <v>5389</v>
      </c>
      <c r="P20" s="16"/>
      <c r="Q20" s="18" t="s">
        <v>6112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89</v>
      </c>
      <c r="B22" s="16"/>
      <c r="C22" s="18" t="s">
        <v>1714</v>
      </c>
      <c r="D22" s="16"/>
      <c r="E22" s="18" t="s">
        <v>2433</v>
      </c>
      <c r="F22" s="16"/>
      <c r="G22" s="18" t="s">
        <v>982</v>
      </c>
      <c r="H22" s="16"/>
      <c r="I22" s="18" t="s">
        <v>3151</v>
      </c>
      <c r="J22" s="16"/>
      <c r="K22" s="18" t="s">
        <v>3898</v>
      </c>
      <c r="L22" s="16"/>
      <c r="M22" s="18" t="s">
        <v>4627</v>
      </c>
      <c r="N22" s="16"/>
      <c r="O22" s="18" t="s">
        <v>5312</v>
      </c>
      <c r="P22" s="16"/>
      <c r="Q22" s="18" t="s">
        <v>6044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360</v>
      </c>
      <c r="B24" s="16"/>
      <c r="C24" s="18" t="s">
        <v>2065</v>
      </c>
      <c r="D24" s="16"/>
      <c r="E24" s="18" t="s">
        <v>2784</v>
      </c>
      <c r="F24" s="16"/>
      <c r="G24" s="18" t="s">
        <v>1319</v>
      </c>
      <c r="H24" s="16"/>
      <c r="I24" s="18" t="s">
        <v>3518</v>
      </c>
      <c r="J24" s="16"/>
      <c r="K24" s="18" t="s">
        <v>4258</v>
      </c>
      <c r="L24" s="16"/>
      <c r="M24" s="18" t="s">
        <v>4943</v>
      </c>
      <c r="N24" s="16"/>
      <c r="O24" s="18" t="s">
        <v>5673</v>
      </c>
      <c r="P24" s="16"/>
      <c r="Q24" s="18" t="s">
        <v>6336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377</v>
      </c>
      <c r="B26" s="16"/>
      <c r="C26" s="18" t="s">
        <v>2097</v>
      </c>
      <c r="D26" s="16"/>
      <c r="E26" s="18" t="s">
        <v>2816</v>
      </c>
      <c r="F26" s="16"/>
      <c r="G26" s="18" t="s">
        <v>1351</v>
      </c>
      <c r="H26" s="16"/>
      <c r="I26" s="18" t="s">
        <v>3552</v>
      </c>
      <c r="J26" s="16"/>
      <c r="K26" s="18" t="s">
        <v>4292</v>
      </c>
      <c r="L26" s="16"/>
      <c r="M26" s="18" t="s">
        <v>4974</v>
      </c>
      <c r="N26" s="16"/>
      <c r="O26" s="18" t="s">
        <v>5706</v>
      </c>
      <c r="P26" s="16"/>
      <c r="Q26" s="18" t="s">
        <v>6363</v>
      </c>
      <c r="R26" s="16"/>
      <c r="S26" s="18"/>
      <c r="T26" s="21"/>
    </row>
    <row r="27" spans="1:20" ht="15.95" customHeight="1" x14ac:dyDescent="0.25">
      <c r="A27" s="18" t="s">
        <v>378</v>
      </c>
      <c r="B27" s="16"/>
      <c r="C27" s="18" t="s">
        <v>2098</v>
      </c>
      <c r="D27" s="16"/>
      <c r="E27" s="18" t="s">
        <v>2817</v>
      </c>
      <c r="F27" s="16"/>
      <c r="G27" s="18" t="s">
        <v>1352</v>
      </c>
      <c r="H27" s="16"/>
      <c r="I27" s="18" t="s">
        <v>3553</v>
      </c>
      <c r="J27" s="16"/>
      <c r="K27" s="18" t="s">
        <v>4293</v>
      </c>
      <c r="L27" s="16"/>
      <c r="M27" s="18" t="s">
        <v>4975</v>
      </c>
      <c r="N27" s="16"/>
      <c r="O27" s="18" t="s">
        <v>5707</v>
      </c>
      <c r="P27" s="16"/>
      <c r="Q27" s="18" t="s">
        <v>6364</v>
      </c>
      <c r="R27" s="16"/>
      <c r="S27" s="18"/>
      <c r="T27" s="21"/>
    </row>
    <row r="28" spans="1:20" ht="15.95" customHeight="1" x14ac:dyDescent="0.25">
      <c r="A28" s="18" t="s">
        <v>379</v>
      </c>
      <c r="B28" s="16"/>
      <c r="C28" s="18" t="s">
        <v>2099</v>
      </c>
      <c r="D28" s="16"/>
      <c r="E28" s="18" t="s">
        <v>2818</v>
      </c>
      <c r="F28" s="16"/>
      <c r="G28" s="18" t="s">
        <v>1353</v>
      </c>
      <c r="H28" s="16"/>
      <c r="I28" s="18" t="s">
        <v>3554</v>
      </c>
      <c r="J28" s="16"/>
      <c r="K28" s="18" t="s">
        <v>4294</v>
      </c>
      <c r="L28" s="16"/>
      <c r="M28" s="18" t="s">
        <v>4976</v>
      </c>
      <c r="N28" s="16"/>
      <c r="O28" s="18" t="s">
        <v>5708</v>
      </c>
      <c r="P28" s="16"/>
      <c r="Q28" s="18" t="s">
        <v>6365</v>
      </c>
      <c r="R28" s="16"/>
      <c r="S28" s="18"/>
      <c r="T28" s="21"/>
    </row>
    <row r="29" spans="1:20" ht="15.95" customHeight="1" x14ac:dyDescent="0.25">
      <c r="A29" s="18" t="s">
        <v>380</v>
      </c>
      <c r="B29" s="16"/>
      <c r="C29" s="18" t="s">
        <v>2100</v>
      </c>
      <c r="D29" s="16"/>
      <c r="E29" s="18" t="s">
        <v>2819</v>
      </c>
      <c r="F29" s="16"/>
      <c r="G29" s="18" t="s">
        <v>1354</v>
      </c>
      <c r="H29" s="16"/>
      <c r="I29" s="18" t="s">
        <v>3555</v>
      </c>
      <c r="J29" s="16"/>
      <c r="K29" s="18" t="s">
        <v>4295</v>
      </c>
      <c r="L29" s="16"/>
      <c r="M29" s="18" t="s">
        <v>4977</v>
      </c>
      <c r="N29" s="16"/>
      <c r="O29" s="18" t="s">
        <v>5709</v>
      </c>
      <c r="P29" s="16"/>
      <c r="Q29" s="18" t="s">
        <v>6366</v>
      </c>
      <c r="R29" s="16"/>
      <c r="S29" s="18"/>
      <c r="T29" s="21"/>
    </row>
    <row r="30" spans="1:20" ht="15.95" customHeight="1" x14ac:dyDescent="0.25">
      <c r="A30" s="18" t="s">
        <v>381</v>
      </c>
      <c r="B30" s="16"/>
      <c r="C30" s="18" t="s">
        <v>2101</v>
      </c>
      <c r="D30" s="16"/>
      <c r="E30" s="18" t="s">
        <v>2820</v>
      </c>
      <c r="F30" s="16"/>
      <c r="G30" s="18" t="s">
        <v>1355</v>
      </c>
      <c r="H30" s="16"/>
      <c r="I30" s="18" t="s">
        <v>3556</v>
      </c>
      <c r="J30" s="16"/>
      <c r="K30" s="18" t="s">
        <v>4296</v>
      </c>
      <c r="L30" s="16"/>
      <c r="M30" s="18" t="s">
        <v>4978</v>
      </c>
      <c r="N30" s="16"/>
      <c r="O30" s="18" t="s">
        <v>5710</v>
      </c>
      <c r="P30" s="16"/>
      <c r="Q30" s="18" t="s">
        <v>6367</v>
      </c>
      <c r="R30" s="16"/>
      <c r="S30" s="18"/>
      <c r="T30" s="21"/>
    </row>
    <row r="31" spans="1:20" ht="15.95" customHeight="1" x14ac:dyDescent="0.25">
      <c r="A31" s="18" t="s">
        <v>382</v>
      </c>
      <c r="B31" s="16"/>
      <c r="C31" s="18" t="s">
        <v>2102</v>
      </c>
      <c r="D31" s="16"/>
      <c r="E31" s="18" t="s">
        <v>2821</v>
      </c>
      <c r="F31" s="16"/>
      <c r="G31" s="18" t="s">
        <v>1356</v>
      </c>
      <c r="H31" s="16"/>
      <c r="I31" s="18" t="s">
        <v>3557</v>
      </c>
      <c r="J31" s="16"/>
      <c r="K31" s="18" t="s">
        <v>4297</v>
      </c>
      <c r="L31" s="16"/>
      <c r="M31" s="18" t="s">
        <v>4979</v>
      </c>
      <c r="N31" s="16"/>
      <c r="O31" s="18" t="s">
        <v>5711</v>
      </c>
      <c r="P31" s="16"/>
      <c r="Q31" s="18" t="s">
        <v>6368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383</v>
      </c>
      <c r="B33" s="16"/>
      <c r="C33" s="18" t="s">
        <v>2103</v>
      </c>
      <c r="D33" s="16"/>
      <c r="E33" s="18" t="s">
        <v>2822</v>
      </c>
      <c r="F33" s="16"/>
      <c r="G33" s="18" t="s">
        <v>1357</v>
      </c>
      <c r="H33" s="16"/>
      <c r="I33" s="18" t="s">
        <v>3558</v>
      </c>
      <c r="J33" s="16"/>
      <c r="K33" s="18" t="s">
        <v>4298</v>
      </c>
      <c r="L33" s="16"/>
      <c r="M33" s="18" t="s">
        <v>4980</v>
      </c>
      <c r="N33" s="16"/>
      <c r="O33" s="18" t="s">
        <v>5712</v>
      </c>
      <c r="P33" s="16"/>
      <c r="Q33" s="18" t="s">
        <v>6369</v>
      </c>
      <c r="R33" s="16"/>
      <c r="S33" s="18"/>
      <c r="T33" s="21"/>
    </row>
    <row r="34" spans="1:20" ht="15.95" customHeight="1" x14ac:dyDescent="0.25">
      <c r="A34" s="22" t="s">
        <v>384</v>
      </c>
      <c r="B34" s="16"/>
      <c r="C34" s="18" t="s">
        <v>2104</v>
      </c>
      <c r="D34" s="16"/>
      <c r="E34" s="18" t="e" cm="1">
        <f t="array" ref="E34">- Arzobispo Geofri</f>
        <v>#NAME?</v>
      </c>
      <c r="F34" s="16"/>
      <c r="G34" s="18" t="s">
        <v>1358</v>
      </c>
      <c r="H34" s="16"/>
      <c r="I34" s="18" t="s">
        <v>3559</v>
      </c>
      <c r="J34" s="16"/>
      <c r="K34" s="18" t="e" cm="1">
        <f t="array" ref="K34">- 대주교 조프리</f>
        <v>#NAME?</v>
      </c>
      <c r="L34" s="16"/>
      <c r="M34" s="18" t="e" cm="1">
        <f t="array" ref="M34">- Arcebispo Geofri</f>
        <v>#NAME?</v>
      </c>
      <c r="N34" s="16"/>
      <c r="O34" s="18" t="s">
        <v>5713</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1359</v>
      </c>
      <c r="H35" s="16"/>
      <c r="I35" s="18" t="s">
        <v>3560</v>
      </c>
      <c r="J35" s="16"/>
      <c r="K35" s="18"/>
      <c r="L35" s="16"/>
      <c r="M35" s="18"/>
      <c r="N35" s="16"/>
      <c r="O35" s="18" t="s">
        <v>5714</v>
      </c>
      <c r="P35" s="16"/>
      <c r="Q35" s="18"/>
      <c r="R35" s="16"/>
      <c r="S35" s="18"/>
      <c r="T35" s="21"/>
    </row>
    <row r="36" spans="1:20" ht="15.95" customHeight="1" x14ac:dyDescent="0.25">
      <c r="A36" s="18"/>
      <c r="B36" s="16"/>
      <c r="C36" s="18"/>
      <c r="D36" s="16"/>
      <c r="E36" s="18"/>
      <c r="F36" s="16"/>
      <c r="G36" s="18" t="s">
        <v>1360</v>
      </c>
      <c r="H36" s="16"/>
      <c r="I36" s="18"/>
      <c r="J36" s="16"/>
      <c r="K36" s="18"/>
      <c r="L36" s="16"/>
      <c r="M36" s="18"/>
      <c r="N36" s="16"/>
      <c r="O36" s="18" t="s">
        <v>5715</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181</v>
      </c>
      <c r="B3" s="16" t="str">
        <f>TRIM(_xlfn.TEXTBEFORE(A3, ":"))</f>
        <v>Item Class</v>
      </c>
      <c r="C3" s="17" t="s">
        <v>2105</v>
      </c>
      <c r="D3" s="16" t="str">
        <f>TRIM(_xlfn.TEXTBEFORE(C3, ":"))</f>
        <v>Gegenstandsklasse</v>
      </c>
      <c r="E3" s="17" t="s">
        <v>2823</v>
      </c>
      <c r="F3" s="16" t="str">
        <f>TRIM(_xlfn.TEXTBEFORE(E3, ":"))</f>
        <v>Clase de objeto</v>
      </c>
      <c r="G3" s="17" t="s">
        <v>1361</v>
      </c>
      <c r="H3" s="16" t="str">
        <f>TRIM(_xlfn.TEXTBEFORE(G3, ":"))</f>
        <v>Classe d'objet</v>
      </c>
      <c r="I3" s="17" t="s">
        <v>3561</v>
      </c>
      <c r="J3" s="16" t="str">
        <f>TRIM(_xlfn.TEXTBEFORE(I3, ":"))</f>
        <v>アイテムクラス</v>
      </c>
      <c r="K3" s="17" t="s">
        <v>4299</v>
      </c>
      <c r="L3" s="16" t="str">
        <f>TRIM(_xlfn.TEXTBEFORE(K3, ":"))</f>
        <v>아이템 종류</v>
      </c>
      <c r="M3" s="17" t="s">
        <v>4981</v>
      </c>
      <c r="N3" s="16" t="str">
        <f>TRIM(_xlfn.TEXTBEFORE(M3, ":"))</f>
        <v>Classe do Item</v>
      </c>
      <c r="O3" s="17" t="s">
        <v>5716</v>
      </c>
      <c r="P3" s="16" t="str">
        <f>TRIM(_xlfn.TEXTBEFORE(O3, ":"))</f>
        <v>Класс предмета</v>
      </c>
      <c r="Q3" s="17" t="s">
        <v>6370</v>
      </c>
      <c r="R3" s="16" t="str">
        <f>TRIM(_xlfn.TEXTBEFORE(Q3, ":"))</f>
        <v>ชนิดไอเทม</v>
      </c>
      <c r="S3" s="17"/>
      <c r="T3" s="16" t="e">
        <f>TRIM(_xlfn.TEXTBEFORE(S3, ":"))</f>
        <v>#N/A</v>
      </c>
    </row>
    <row r="4" spans="1:20" ht="15.95" customHeight="1" x14ac:dyDescent="0.25">
      <c r="A4" s="18" t="s">
        <v>81</v>
      </c>
      <c r="B4" s="16" t="str">
        <f>TRIM(_xlfn.TEXTAFTER(A3, ":"))</f>
        <v>One Hand Swords</v>
      </c>
      <c r="C4" s="18" t="s">
        <v>1644</v>
      </c>
      <c r="D4" s="16" t="str">
        <f>TRIM(_xlfn.TEXTAFTER(C3, ":"))</f>
        <v>Einhandschwerter</v>
      </c>
      <c r="E4" s="18" t="s">
        <v>2364</v>
      </c>
      <c r="F4" s="16" t="str">
        <f>TRIM(_xlfn.TEXTAFTER(E3, ":"))</f>
        <v>Espadas a una mano</v>
      </c>
      <c r="G4" s="18" t="s">
        <v>1</v>
      </c>
      <c r="H4" s="16" t="str">
        <f>TRIM(_xlfn.TEXTAFTER(G3, ":"))</f>
        <v>Épées à une main</v>
      </c>
      <c r="I4" s="18" t="s">
        <v>3079</v>
      </c>
      <c r="J4" s="16" t="str">
        <f>TRIM(_xlfn.TEXTAFTER(I3, ":"))</f>
        <v>片手剣</v>
      </c>
      <c r="K4" s="18" t="s">
        <v>3829</v>
      </c>
      <c r="L4" s="16" t="str">
        <f>TRIM(_xlfn.TEXTAFTER(K3, ":"))</f>
        <v>한손 검</v>
      </c>
      <c r="M4" s="18" t="s">
        <v>4558</v>
      </c>
      <c r="N4" s="16" t="str">
        <f>TRIM(_xlfn.TEXTAFTER(M3, ":"))</f>
        <v>Espadas de Uma Mão</v>
      </c>
      <c r="O4" s="18" t="s">
        <v>5241</v>
      </c>
      <c r="P4" s="16" t="str">
        <f>TRIM(_xlfn.TEXTAFTER(O3, ":"))</f>
        <v>Одноручные мечи</v>
      </c>
      <c r="Q4" s="18" t="s">
        <v>5978</v>
      </c>
      <c r="R4" s="16" t="str">
        <f>TRIM(_xlfn.TEXTAFTER(Q3, ":"))</f>
        <v>ดาบมือเดียว</v>
      </c>
      <c r="S4" s="18"/>
      <c r="T4" s="16" t="e">
        <f>TRIM(_xlfn.TEXTAFTER(S3, ":"))</f>
        <v>#N/A</v>
      </c>
    </row>
    <row r="5" spans="1:20" ht="15.95" customHeight="1" x14ac:dyDescent="0.25">
      <c r="A5" s="18" t="s">
        <v>182</v>
      </c>
      <c r="B5" s="16" t="str">
        <f>TRIM(_xlfn.TEXTBEFORE(A4, ":"))</f>
        <v>Rarity</v>
      </c>
      <c r="C5" s="18" t="s">
        <v>182</v>
      </c>
      <c r="D5" s="16" t="str">
        <f>TRIM(_xlfn.TEXTBEFORE(C4, ":"))</f>
        <v>Seltenheit</v>
      </c>
      <c r="E5" s="18" t="s">
        <v>182</v>
      </c>
      <c r="F5" s="16" t="str">
        <f>TRIM(_xlfn.TEXTBEFORE(E4, ":"))</f>
        <v>Rareza</v>
      </c>
      <c r="G5" s="18" t="s">
        <v>182</v>
      </c>
      <c r="H5" s="16" t="str">
        <f>TRIM(_xlfn.TEXTBEFORE(G4, ":"))</f>
        <v>Rareté</v>
      </c>
      <c r="I5" s="18" t="s">
        <v>3562</v>
      </c>
      <c r="J5" s="16" t="str">
        <f>TRIM(_xlfn.TEXTBEFORE(I4, ":"))</f>
        <v>レアリティ</v>
      </c>
      <c r="K5" s="18" t="s">
        <v>4300</v>
      </c>
      <c r="L5" s="16" t="str">
        <f>TRIM(_xlfn.TEXTBEFORE(K4, ":"))</f>
        <v>아이템 희귀도</v>
      </c>
      <c r="M5" s="18" t="s">
        <v>182</v>
      </c>
      <c r="N5" s="16" t="str">
        <f>TRIM(_xlfn.TEXTBEFORE(M4, ":"))</f>
        <v>Raridade</v>
      </c>
      <c r="O5" s="18" t="s">
        <v>5717</v>
      </c>
      <c r="P5" s="16" t="str">
        <f>TRIM(_xlfn.TEXTBEFORE(O4, ":"))</f>
        <v>Редкость</v>
      </c>
      <c r="Q5" s="18" t="s">
        <v>182</v>
      </c>
      <c r="R5" s="16" t="str">
        <f>TRIM(_xlfn.TEXTBEFORE(Q4, ":"))</f>
        <v>ความหายาก</v>
      </c>
      <c r="S5" s="18"/>
      <c r="T5" s="16" t="e">
        <f>TRIM(_xlfn.TEXTBEFORE(S4, ":"))</f>
        <v>#N/A</v>
      </c>
    </row>
    <row r="6" spans="1:20" ht="15.95" customHeight="1" x14ac:dyDescent="0.25">
      <c r="A6" s="18" t="s">
        <v>183</v>
      </c>
      <c r="B6" s="16" t="str">
        <f>TRIM(_xlfn.TEXTAFTER(A4,":"))</f>
        <v>Unique</v>
      </c>
      <c r="C6" s="18" t="s">
        <v>2106</v>
      </c>
      <c r="D6" s="16" t="str">
        <f>TRIM(_xlfn.TEXTAFTER(C4,":"))</f>
        <v>Einzigartig</v>
      </c>
      <c r="E6" s="18" t="s">
        <v>2824</v>
      </c>
      <c r="F6" s="16" t="str">
        <f>TRIM(_xlfn.TEXTAFTER(E4,":"))</f>
        <v>Único</v>
      </c>
      <c r="G6" s="18" t="s">
        <v>1362</v>
      </c>
      <c r="H6" s="16" t="str">
        <f>TRIM(_xlfn.TEXTAFTER(G4,":"))</f>
        <v>Unique</v>
      </c>
      <c r="I6" s="18" t="s">
        <v>3563</v>
      </c>
      <c r="J6" s="16" t="str">
        <f>TRIM(_xlfn.TEXTAFTER(I4,":"))</f>
        <v>ユニーク</v>
      </c>
      <c r="K6" s="18" t="s">
        <v>4301</v>
      </c>
      <c r="L6" s="16" t="str">
        <f>TRIM(_xlfn.TEXTAFTER(K4,":"))</f>
        <v>고유</v>
      </c>
      <c r="M6" s="18" t="s">
        <v>4982</v>
      </c>
      <c r="N6" s="16" t="str">
        <f>TRIM(_xlfn.TEXTAFTER(M4,":"))</f>
        <v>Único</v>
      </c>
      <c r="O6" s="18" t="s">
        <v>5718</v>
      </c>
      <c r="P6" s="16" t="str">
        <f>TRIM(_xlfn.TEXTAFTER(O4,":"))</f>
        <v>Уникальный</v>
      </c>
      <c r="Q6" s="18" t="s">
        <v>183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184</v>
      </c>
      <c r="B8" s="16"/>
      <c r="C8" s="18" t="s">
        <v>2107</v>
      </c>
      <c r="D8" s="16"/>
      <c r="E8" s="18" t="s">
        <v>2825</v>
      </c>
      <c r="F8" s="16"/>
      <c r="G8" s="18" t="s">
        <v>1363</v>
      </c>
      <c r="H8" s="16"/>
      <c r="I8" s="18" t="s">
        <v>3564</v>
      </c>
      <c r="J8" s="16"/>
      <c r="K8" s="18" t="s">
        <v>4302</v>
      </c>
      <c r="L8" s="16"/>
      <c r="M8" s="18" t="s">
        <v>4983</v>
      </c>
      <c r="N8" s="16"/>
      <c r="O8" s="18" t="s">
        <v>5719</v>
      </c>
      <c r="P8" s="16"/>
      <c r="Q8" s="18" t="s">
        <v>6371</v>
      </c>
      <c r="R8" s="16"/>
      <c r="S8" s="18"/>
      <c r="T8" s="16"/>
    </row>
    <row r="9" spans="1:20" ht="15.95" customHeight="1" x14ac:dyDescent="0.25">
      <c r="A9" s="18" t="s">
        <v>185</v>
      </c>
      <c r="B9" s="16"/>
      <c r="C9" s="18" t="s">
        <v>2108</v>
      </c>
      <c r="D9" s="16"/>
      <c r="E9" s="18" t="s">
        <v>2826</v>
      </c>
      <c r="F9" s="16"/>
      <c r="G9" s="18" t="s">
        <v>1364</v>
      </c>
      <c r="H9" s="16"/>
      <c r="I9" s="18" t="s">
        <v>3565</v>
      </c>
      <c r="J9" s="16"/>
      <c r="K9" s="18" t="s">
        <v>4303</v>
      </c>
      <c r="L9" s="16"/>
      <c r="M9" s="18" t="s">
        <v>4984</v>
      </c>
      <c r="N9" s="16"/>
      <c r="O9" s="18" t="s">
        <v>5720</v>
      </c>
      <c r="P9" s="16"/>
      <c r="Q9" s="18" t="s">
        <v>6372</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187</v>
      </c>
      <c r="B11" s="16"/>
      <c r="C11" s="18" t="s">
        <v>2110</v>
      </c>
      <c r="D11" s="16"/>
      <c r="E11" s="18" t="s">
        <v>2828</v>
      </c>
      <c r="F11" s="16"/>
      <c r="G11" s="18" t="s">
        <v>1366</v>
      </c>
      <c r="H11" s="16"/>
      <c r="I11" s="18" t="s">
        <v>3567</v>
      </c>
      <c r="J11" s="16"/>
      <c r="K11" s="18" t="s">
        <v>4305</v>
      </c>
      <c r="L11" s="16"/>
      <c r="M11" s="18" t="s">
        <v>4986</v>
      </c>
      <c r="N11" s="16"/>
      <c r="O11" s="18" t="s">
        <v>5722</v>
      </c>
      <c r="P11" s="16"/>
      <c r="Q11" s="18" t="s">
        <v>6374</v>
      </c>
      <c r="R11" s="16"/>
      <c r="S11" s="18"/>
      <c r="T11" s="16"/>
    </row>
    <row r="12" spans="1:20" ht="15.95" customHeight="1" x14ac:dyDescent="0.25">
      <c r="A12" s="18" t="s">
        <v>107</v>
      </c>
      <c r="B12" s="16"/>
      <c r="C12" s="18" t="s">
        <v>1984</v>
      </c>
      <c r="D12" s="16"/>
      <c r="E12" s="18" t="s">
        <v>2705</v>
      </c>
      <c r="F12" s="16"/>
      <c r="G12" s="18" t="s">
        <v>1240</v>
      </c>
      <c r="H12" s="16"/>
      <c r="I12" s="18" t="s">
        <v>3432</v>
      </c>
      <c r="J12" s="16"/>
      <c r="K12" s="18" t="s">
        <v>4176</v>
      </c>
      <c r="L12" s="16"/>
      <c r="M12" s="18" t="s">
        <v>4923</v>
      </c>
      <c r="N12" s="16"/>
      <c r="O12" s="18" t="s">
        <v>5590</v>
      </c>
      <c r="P12" s="16"/>
      <c r="Q12" s="18" t="s">
        <v>6270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188</v>
      </c>
      <c r="B15" s="16"/>
      <c r="C15" s="18" t="s">
        <v>2111</v>
      </c>
      <c r="D15" s="16"/>
      <c r="E15" s="18" t="s">
        <v>2829</v>
      </c>
      <c r="F15" s="16"/>
      <c r="G15" s="18" t="s">
        <v>1367</v>
      </c>
      <c r="H15" s="16"/>
      <c r="I15" s="18" t="s">
        <v>3568</v>
      </c>
      <c r="J15" s="16"/>
      <c r="K15" s="18" t="s">
        <v>4306</v>
      </c>
      <c r="L15" s="16"/>
      <c r="M15" s="18" t="s">
        <v>4987</v>
      </c>
      <c r="N15" s="16"/>
      <c r="O15" s="18" t="s">
        <v>5723</v>
      </c>
      <c r="P15" s="16"/>
      <c r="Q15" s="18" t="s">
        <v>6375</v>
      </c>
      <c r="R15" s="16"/>
      <c r="S15" s="18"/>
      <c r="T15" s="21"/>
    </row>
    <row r="16" spans="1:20" ht="15.95" customHeight="1" x14ac:dyDescent="0.25">
      <c r="A16" s="18" t="s">
        <v>189</v>
      </c>
      <c r="B16" s="16"/>
      <c r="C16" s="18" t="s">
        <v>189</v>
      </c>
      <c r="D16" s="16"/>
      <c r="E16" s="18" t="s">
        <v>2830</v>
      </c>
      <c r="F16" s="16"/>
      <c r="G16" s="18" t="s">
        <v>1368</v>
      </c>
      <c r="H16" s="16"/>
      <c r="I16" s="18" t="s">
        <v>3569</v>
      </c>
      <c r="J16" s="16"/>
      <c r="K16" s="18" t="s">
        <v>4307</v>
      </c>
      <c r="L16" s="16"/>
      <c r="M16" s="18" t="s">
        <v>1368</v>
      </c>
      <c r="N16" s="16"/>
      <c r="O16" s="18" t="s">
        <v>5724</v>
      </c>
      <c r="P16" s="16"/>
      <c r="Q16" s="18" t="s">
        <v>189</v>
      </c>
      <c r="R16" s="16"/>
      <c r="S16" s="18"/>
      <c r="T16" s="21"/>
    </row>
    <row r="17" spans="1:20" ht="15.95" customHeight="1" x14ac:dyDescent="0.25">
      <c r="A17" s="18" t="s">
        <v>190</v>
      </c>
      <c r="B17" s="16"/>
      <c r="C17" s="18" t="s">
        <v>2112</v>
      </c>
      <c r="D17" s="16"/>
      <c r="E17" s="18" t="s">
        <v>2831</v>
      </c>
      <c r="F17" s="16"/>
      <c r="G17" s="18" t="s">
        <v>190</v>
      </c>
      <c r="H17" s="16"/>
      <c r="I17" s="18" t="s">
        <v>3570</v>
      </c>
      <c r="J17" s="16"/>
      <c r="K17" s="18" t="s">
        <v>4308</v>
      </c>
      <c r="L17" s="16"/>
      <c r="M17" s="18" t="s">
        <v>2831</v>
      </c>
      <c r="N17" s="16"/>
      <c r="O17" s="18" t="s">
        <v>5725</v>
      </c>
      <c r="P17" s="16"/>
      <c r="Q17" s="18" t="s">
        <v>190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191</v>
      </c>
      <c r="B19" s="16"/>
      <c r="C19" s="18" t="s">
        <v>2113</v>
      </c>
      <c r="D19" s="16"/>
      <c r="E19" s="18" t="s">
        <v>2832</v>
      </c>
      <c r="F19" s="16"/>
      <c r="G19" s="18" t="s">
        <v>1369</v>
      </c>
      <c r="H19" s="16"/>
      <c r="I19" s="18" t="s">
        <v>3571</v>
      </c>
      <c r="J19" s="16"/>
      <c r="K19" s="18" t="s">
        <v>4309</v>
      </c>
      <c r="L19" s="16"/>
      <c r="M19" s="18" t="s">
        <v>4988</v>
      </c>
      <c r="N19" s="16"/>
      <c r="O19" s="18" t="s">
        <v>5726</v>
      </c>
      <c r="P19" s="16"/>
      <c r="Q19" s="18" t="s">
        <v>6376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192</v>
      </c>
      <c r="B21" s="16"/>
      <c r="C21" s="18" t="s">
        <v>2114</v>
      </c>
      <c r="D21" s="16"/>
      <c r="E21" s="18" t="s">
        <v>2833</v>
      </c>
      <c r="F21" s="16"/>
      <c r="G21" s="18" t="s">
        <v>1370</v>
      </c>
      <c r="H21" s="16"/>
      <c r="I21" s="18" t="s">
        <v>3572</v>
      </c>
      <c r="J21" s="16"/>
      <c r="K21" s="18" t="s">
        <v>4310</v>
      </c>
      <c r="L21" s="16"/>
      <c r="M21" s="18" t="s">
        <v>4989</v>
      </c>
      <c r="N21" s="16"/>
      <c r="O21" s="18" t="s">
        <v>5727</v>
      </c>
      <c r="P21" s="16"/>
      <c r="Q21" s="18" t="s">
        <v>6377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193</v>
      </c>
      <c r="B23" s="16"/>
      <c r="C23" s="18" t="s">
        <v>2115</v>
      </c>
      <c r="D23" s="16"/>
      <c r="E23" s="18" t="s">
        <v>2834</v>
      </c>
      <c r="F23" s="16"/>
      <c r="G23" s="18" t="s">
        <v>1371</v>
      </c>
      <c r="H23" s="16"/>
      <c r="I23" s="18" t="s">
        <v>3573</v>
      </c>
      <c r="J23" s="16"/>
      <c r="K23" s="18" t="s">
        <v>4311</v>
      </c>
      <c r="L23" s="16"/>
      <c r="M23" s="18" t="s">
        <v>4990</v>
      </c>
      <c r="N23" s="16"/>
      <c r="O23" s="18" t="s">
        <v>5728</v>
      </c>
      <c r="P23" s="16"/>
      <c r="Q23" s="18" t="s">
        <v>6378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194</v>
      </c>
      <c r="B25" s="16"/>
      <c r="C25" s="18" t="s">
        <v>2116</v>
      </c>
      <c r="D25" s="16"/>
      <c r="E25" s="18" t="s">
        <v>2835</v>
      </c>
      <c r="F25" s="16"/>
      <c r="G25" s="18" t="s">
        <v>1372</v>
      </c>
      <c r="H25" s="16"/>
      <c r="I25" s="18" t="s">
        <v>3574</v>
      </c>
      <c r="J25" s="16"/>
      <c r="K25" s="18" t="s">
        <v>4312</v>
      </c>
      <c r="L25" s="16"/>
      <c r="M25" s="18" t="s">
        <v>4991</v>
      </c>
      <c r="N25" s="16"/>
      <c r="O25" s="18" t="s">
        <v>5729</v>
      </c>
      <c r="P25" s="16"/>
      <c r="Q25" s="18" t="s">
        <v>6379</v>
      </c>
      <c r="R25" s="16"/>
      <c r="S25" s="18"/>
      <c r="T25" s="21"/>
    </row>
    <row r="26" spans="1:20" ht="15.95" customHeight="1" x14ac:dyDescent="0.25">
      <c r="A26" s="18" t="s">
        <v>195</v>
      </c>
      <c r="B26" s="16"/>
      <c r="C26" s="18" t="s">
        <v>2117</v>
      </c>
      <c r="D26" s="16"/>
      <c r="E26" s="18" t="s">
        <v>2836</v>
      </c>
      <c r="F26" s="16"/>
      <c r="G26" s="18" t="s">
        <v>1373</v>
      </c>
      <c r="H26" s="16"/>
      <c r="I26" s="18" t="s">
        <v>3575</v>
      </c>
      <c r="J26" s="16"/>
      <c r="K26" s="18" t="s">
        <v>4313</v>
      </c>
      <c r="L26" s="16"/>
      <c r="M26" s="18" t="s">
        <v>4992</v>
      </c>
      <c r="N26" s="16"/>
      <c r="O26" s="18" t="s">
        <v>5730</v>
      </c>
      <c r="P26" s="16"/>
      <c r="Q26" s="18" t="s">
        <v>6380</v>
      </c>
      <c r="R26" s="16"/>
      <c r="S26" s="18"/>
      <c r="T26" s="21"/>
    </row>
    <row r="27" spans="1:20" ht="15.95" customHeight="1" x14ac:dyDescent="0.25">
      <c r="A27" s="18" t="s">
        <v>196</v>
      </c>
      <c r="B27" s="16"/>
      <c r="C27" s="18" t="s">
        <v>2118</v>
      </c>
      <c r="D27" s="16"/>
      <c r="E27" s="18" t="s">
        <v>2837</v>
      </c>
      <c r="F27" s="16"/>
      <c r="G27" s="18" t="s">
        <v>1374</v>
      </c>
      <c r="H27" s="16"/>
      <c r="I27" s="18" t="s">
        <v>3576</v>
      </c>
      <c r="J27" s="16"/>
      <c r="K27" s="18" t="s">
        <v>4314</v>
      </c>
      <c r="L27" s="16"/>
      <c r="M27" s="18" t="s">
        <v>4993</v>
      </c>
      <c r="N27" s="16"/>
      <c r="O27" s="18" t="s">
        <v>5731</v>
      </c>
      <c r="P27" s="16"/>
      <c r="Q27" s="18" t="s">
        <v>6381</v>
      </c>
      <c r="R27" s="16"/>
      <c r="S27" s="18"/>
      <c r="T27" s="21"/>
    </row>
    <row r="28" spans="1:20" ht="15.95" customHeight="1" x14ac:dyDescent="0.25">
      <c r="A28" s="18" t="s">
        <v>197</v>
      </c>
      <c r="B28" s="16"/>
      <c r="C28" s="18" t="s">
        <v>2119</v>
      </c>
      <c r="D28" s="16"/>
      <c r="E28" s="18" t="s">
        <v>2838</v>
      </c>
      <c r="F28" s="16"/>
      <c r="G28" s="18" t="s">
        <v>1375</v>
      </c>
      <c r="H28" s="16"/>
      <c r="I28" s="18" t="s">
        <v>3577</v>
      </c>
      <c r="J28" s="16"/>
      <c r="K28" s="18" t="s">
        <v>4315</v>
      </c>
      <c r="L28" s="16"/>
      <c r="M28" s="18" t="s">
        <v>4994</v>
      </c>
      <c r="N28" s="16"/>
      <c r="O28" s="18" t="s">
        <v>5732</v>
      </c>
      <c r="P28" s="16"/>
      <c r="Q28" s="18" t="s">
        <v>6382</v>
      </c>
      <c r="R28" s="16"/>
      <c r="S28" s="18"/>
      <c r="T28" s="21"/>
    </row>
    <row r="29" spans="1:20" ht="15.95" customHeight="1" x14ac:dyDescent="0.25">
      <c r="A29" s="18" t="s">
        <v>198</v>
      </c>
      <c r="B29" s="16"/>
      <c r="C29" s="18" t="s">
        <v>2120</v>
      </c>
      <c r="D29" s="16"/>
      <c r="E29" s="18" t="s">
        <v>2839</v>
      </c>
      <c r="F29" s="16"/>
      <c r="G29" s="18" t="s">
        <v>1376</v>
      </c>
      <c r="H29" s="16"/>
      <c r="I29" s="18" t="s">
        <v>3578</v>
      </c>
      <c r="J29" s="16"/>
      <c r="K29" s="18" t="s">
        <v>4316</v>
      </c>
      <c r="L29" s="16"/>
      <c r="M29" s="18" t="s">
        <v>4995</v>
      </c>
      <c r="N29" s="16"/>
      <c r="O29" s="18" t="s">
        <v>5733</v>
      </c>
      <c r="P29" s="16"/>
      <c r="Q29" s="18" t="s">
        <v>6383</v>
      </c>
      <c r="R29" s="16"/>
      <c r="S29" s="18"/>
      <c r="T29" s="21"/>
    </row>
    <row r="30" spans="1:20" ht="15.95" customHeight="1" x14ac:dyDescent="0.25">
      <c r="A30" s="18" t="s">
        <v>199</v>
      </c>
      <c r="B30" s="16"/>
      <c r="C30" s="18" t="s">
        <v>2121</v>
      </c>
      <c r="D30" s="16"/>
      <c r="E30" s="18" t="s">
        <v>2840</v>
      </c>
      <c r="F30" s="16"/>
      <c r="G30" s="18" t="s">
        <v>1377</v>
      </c>
      <c r="H30" s="16"/>
      <c r="I30" s="18" t="s">
        <v>3579</v>
      </c>
      <c r="J30" s="16"/>
      <c r="K30" s="18" t="s">
        <v>4317</v>
      </c>
      <c r="L30" s="16"/>
      <c r="M30" s="18" t="s">
        <v>4996</v>
      </c>
      <c r="N30" s="16"/>
      <c r="O30" s="18" t="s">
        <v>5734</v>
      </c>
      <c r="P30" s="16"/>
      <c r="Q30" s="18" t="s">
        <v>6384</v>
      </c>
      <c r="R30" s="16"/>
      <c r="S30" s="18"/>
      <c r="T30" s="21"/>
    </row>
    <row r="31" spans="1:20" ht="15.95" customHeight="1" x14ac:dyDescent="0.25">
      <c r="A31" s="18" t="s">
        <v>200</v>
      </c>
      <c r="B31" s="16"/>
      <c r="C31" s="18" t="s">
        <v>2122</v>
      </c>
      <c r="D31" s="16"/>
      <c r="E31" s="18" t="s">
        <v>2841</v>
      </c>
      <c r="F31" s="16"/>
      <c r="G31" s="18" t="s">
        <v>1378</v>
      </c>
      <c r="H31" s="16"/>
      <c r="I31" s="18" t="s">
        <v>3580</v>
      </c>
      <c r="J31" s="16"/>
      <c r="K31" s="18" t="s">
        <v>4318</v>
      </c>
      <c r="L31" s="16"/>
      <c r="M31" s="18" t="s">
        <v>4997</v>
      </c>
      <c r="N31" s="16"/>
      <c r="O31" s="18" t="s">
        <v>5735</v>
      </c>
      <c r="P31" s="16"/>
      <c r="Q31" s="18" t="s">
        <v>6385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201</v>
      </c>
      <c r="B33" s="16"/>
      <c r="C33" s="18" t="s">
        <v>2123</v>
      </c>
      <c r="D33" s="16"/>
      <c r="E33" s="18" t="s">
        <v>2842</v>
      </c>
      <c r="F33" s="16"/>
      <c r="G33" s="18" t="s">
        <v>1379</v>
      </c>
      <c r="H33" s="16"/>
      <c r="I33" s="18" t="s">
        <v>3581</v>
      </c>
      <c r="J33" s="16"/>
      <c r="K33" s="18" t="s">
        <v>4319</v>
      </c>
      <c r="L33" s="16"/>
      <c r="M33" s="18" t="s">
        <v>4998</v>
      </c>
      <c r="N33" s="16"/>
      <c r="O33" s="18" t="s">
        <v>5736</v>
      </c>
      <c r="P33" s="16"/>
      <c r="Q33" s="18" t="s">
        <v>6386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8" priority="2" stopIfTrue="1">
      <formula>NOT(ISERROR(A3))</formula>
    </cfRule>
  </conditionalFormatting>
  <conditionalFormatting sqref="A3:T51">
    <cfRule type="containsErrors" dxfId="217" priority="1" stopIfTrue="1">
      <formula>ISERROR(A3)</formula>
    </cfRule>
    <cfRule type="notContainsBlanks" dxfId="216"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202</v>
      </c>
      <c r="B3" s="16" t="str">
        <f>TRIM(_xlfn.TEXTBEFORE(A3, ":"))</f>
        <v>Item Class</v>
      </c>
      <c r="C3" s="17" t="s">
        <v>2124</v>
      </c>
      <c r="D3" s="16" t="str">
        <f>TRIM(_xlfn.TEXTBEFORE(C3, ":"))</f>
        <v>Gegenstandsklasse</v>
      </c>
      <c r="E3" s="17" t="s">
        <v>2843</v>
      </c>
      <c r="F3" s="16" t="str">
        <f>TRIM(_xlfn.TEXTBEFORE(E3, ":"))</f>
        <v>Clase de objeto</v>
      </c>
      <c r="G3" s="17" t="s">
        <v>1380</v>
      </c>
      <c r="H3" s="16" t="str">
        <f>TRIM(_xlfn.TEXTBEFORE(G3, ":"))</f>
        <v>Classe d'objet</v>
      </c>
      <c r="I3" s="17" t="s">
        <v>3582</v>
      </c>
      <c r="J3" s="16" t="str">
        <f>TRIM(_xlfn.TEXTBEFORE(I3, ":"))</f>
        <v>アイテムクラス</v>
      </c>
      <c r="K3" s="17" t="s">
        <v>4320</v>
      </c>
      <c r="L3" s="16" t="str">
        <f>TRIM(_xlfn.TEXTBEFORE(K3, ":"))</f>
        <v>아이템 종류</v>
      </c>
      <c r="M3" s="17" t="s">
        <v>4999</v>
      </c>
      <c r="N3" s="16" t="str">
        <f>TRIM(_xlfn.TEXTBEFORE(M3, ":"))</f>
        <v>Classe do Item</v>
      </c>
      <c r="O3" s="17" t="s">
        <v>5737</v>
      </c>
      <c r="P3" s="16" t="str">
        <f>TRIM(_xlfn.TEXTBEFORE(O3, ":"))</f>
        <v>Класс предмета</v>
      </c>
      <c r="Q3" s="17" t="s">
        <v>6387</v>
      </c>
      <c r="R3" s="16" t="str">
        <f>TRIM(_xlfn.TEXTBEFORE(Q3, ":"))</f>
        <v>ชนิดไอเทม</v>
      </c>
      <c r="S3" s="17"/>
      <c r="T3" s="16" t="e">
        <f>TRIM(_xlfn.TEXTBEFORE(S3, ":"))</f>
        <v>#N/A</v>
      </c>
    </row>
    <row r="4" spans="1:20" ht="15.95" customHeight="1" x14ac:dyDescent="0.25">
      <c r="A4" s="18" t="s">
        <v>81</v>
      </c>
      <c r="B4" s="16" t="str">
        <f>TRIM(_xlfn.TEXTAFTER(A3, ":"))</f>
        <v>Thrusting One Hand Swords</v>
      </c>
      <c r="C4" s="18" t="s">
        <v>1644</v>
      </c>
      <c r="D4" s="16" t="str">
        <f>TRIM(_xlfn.TEXTAFTER(C3, ":"))</f>
        <v>Einhandstichschwerter</v>
      </c>
      <c r="E4" s="18" t="s">
        <v>2364</v>
      </c>
      <c r="F4" s="16" t="str">
        <f>TRIM(_xlfn.TEXTAFTER(E3, ":"))</f>
        <v>Espadas agresivas a una mano</v>
      </c>
      <c r="G4" s="18" t="s">
        <v>1</v>
      </c>
      <c r="H4" s="16" t="str">
        <f>TRIM(_xlfn.TEXTAFTER(G3, ":"))</f>
        <v>Épées d'estoc à une main</v>
      </c>
      <c r="I4" s="18" t="s">
        <v>3079</v>
      </c>
      <c r="J4" s="16" t="str">
        <f>TRIM(_xlfn.TEXTAFTER(I3, ":"))</f>
        <v>刺突剣</v>
      </c>
      <c r="K4" s="18" t="s">
        <v>3829</v>
      </c>
      <c r="L4" s="16" t="str">
        <f>TRIM(_xlfn.TEXTAFTER(K3, ":"))</f>
        <v>날카로운 한손 검</v>
      </c>
      <c r="M4" s="18" t="s">
        <v>4558</v>
      </c>
      <c r="N4" s="16" t="str">
        <f>TRIM(_xlfn.TEXTAFTER(M3, ":"))</f>
        <v>Espadas de Estocada de Uma Mão</v>
      </c>
      <c r="O4" s="18" t="s">
        <v>5241</v>
      </c>
      <c r="P4" s="16" t="str">
        <f>TRIM(_xlfn.TEXTAFTER(O3, ":"))</f>
        <v>Шпаги</v>
      </c>
      <c r="Q4" s="18" t="s">
        <v>5978</v>
      </c>
      <c r="R4" s="16" t="str">
        <f>TRIM(_xlfn.TEXTAFTER(Q3, ":"))</f>
        <v>ดาบแทง</v>
      </c>
      <c r="S4" s="18"/>
      <c r="T4" s="16" t="e">
        <f>TRIM(_xlfn.TEXTAFTER(S3, ":"))</f>
        <v>#N/A</v>
      </c>
    </row>
    <row r="5" spans="1:20" ht="15.95" customHeight="1" x14ac:dyDescent="0.25">
      <c r="A5" s="18" t="s">
        <v>203</v>
      </c>
      <c r="B5" s="16" t="str">
        <f>TRIM(_xlfn.TEXTBEFORE(A4, ":"))</f>
        <v>Rarity</v>
      </c>
      <c r="C5" s="18" t="s">
        <v>203</v>
      </c>
      <c r="D5" s="16" t="str">
        <f>TRIM(_xlfn.TEXTBEFORE(C4, ":"))</f>
        <v>Seltenheit</v>
      </c>
      <c r="E5" s="18" t="s">
        <v>203</v>
      </c>
      <c r="F5" s="16" t="str">
        <f>TRIM(_xlfn.TEXTBEFORE(E4, ":"))</f>
        <v>Rareza</v>
      </c>
      <c r="G5" s="18" t="s">
        <v>203</v>
      </c>
      <c r="H5" s="16" t="str">
        <f>TRIM(_xlfn.TEXTBEFORE(G4, ":"))</f>
        <v>Rareté</v>
      </c>
      <c r="I5" s="18" t="s">
        <v>3583</v>
      </c>
      <c r="J5" s="16" t="str">
        <f>TRIM(_xlfn.TEXTBEFORE(I4, ":"))</f>
        <v>レアリティ</v>
      </c>
      <c r="K5" s="18" t="s">
        <v>4321</v>
      </c>
      <c r="L5" s="16" t="str">
        <f>TRIM(_xlfn.TEXTBEFORE(K4, ":"))</f>
        <v>아이템 희귀도</v>
      </c>
      <c r="M5" s="18" t="s">
        <v>203</v>
      </c>
      <c r="N5" s="16" t="str">
        <f>TRIM(_xlfn.TEXTBEFORE(M4, ":"))</f>
        <v>Raridade</v>
      </c>
      <c r="O5" s="18" t="s">
        <v>5738</v>
      </c>
      <c r="P5" s="16" t="str">
        <f>TRIM(_xlfn.TEXTBEFORE(O4, ":"))</f>
        <v>Редкость</v>
      </c>
      <c r="Q5" s="18" t="s">
        <v>203</v>
      </c>
      <c r="R5" s="16" t="str">
        <f>TRIM(_xlfn.TEXTBEFORE(Q4, ":"))</f>
        <v>ความหายาก</v>
      </c>
      <c r="S5" s="18"/>
      <c r="T5" s="16" t="e">
        <f>TRIM(_xlfn.TEXTBEFORE(S4, ":"))</f>
        <v>#N/A</v>
      </c>
    </row>
    <row r="6" spans="1:20" ht="15.95" customHeight="1" x14ac:dyDescent="0.25">
      <c r="A6" s="18" t="s">
        <v>204</v>
      </c>
      <c r="B6" s="16" t="str">
        <f>TRIM(_xlfn.TEXTAFTER(A4,":"))</f>
        <v>Unique</v>
      </c>
      <c r="C6" s="18" t="s">
        <v>2125</v>
      </c>
      <c r="D6" s="16" t="str">
        <f>TRIM(_xlfn.TEXTAFTER(C4,":"))</f>
        <v>Einzigartig</v>
      </c>
      <c r="E6" s="18" t="s">
        <v>2844</v>
      </c>
      <c r="F6" s="16" t="str">
        <f>TRIM(_xlfn.TEXTAFTER(E4,":"))</f>
        <v>Único</v>
      </c>
      <c r="G6" s="18" t="s">
        <v>1381</v>
      </c>
      <c r="H6" s="16" t="str">
        <f>TRIM(_xlfn.TEXTAFTER(G4,":"))</f>
        <v>Unique</v>
      </c>
      <c r="I6" s="18" t="s">
        <v>3584</v>
      </c>
      <c r="J6" s="16" t="str">
        <f>TRIM(_xlfn.TEXTAFTER(I4,":"))</f>
        <v>ユニーク</v>
      </c>
      <c r="K6" s="18" t="s">
        <v>4322</v>
      </c>
      <c r="L6" s="16" t="str">
        <f>TRIM(_xlfn.TEXTAFTER(K4,":"))</f>
        <v>고유</v>
      </c>
      <c r="M6" s="18" t="s">
        <v>5000</v>
      </c>
      <c r="N6" s="16" t="str">
        <f>TRIM(_xlfn.TEXTAFTER(M4,":"))</f>
        <v>Único</v>
      </c>
      <c r="O6" s="18" t="s">
        <v>5739</v>
      </c>
      <c r="P6" s="16" t="str">
        <f>TRIM(_xlfn.TEXTAFTER(O4,":"))</f>
        <v>Уникальный</v>
      </c>
      <c r="Q6" s="18" t="s">
        <v>204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184</v>
      </c>
      <c r="B8" s="16"/>
      <c r="C8" s="18" t="s">
        <v>2107</v>
      </c>
      <c r="D8" s="16"/>
      <c r="E8" s="18" t="s">
        <v>2825</v>
      </c>
      <c r="F8" s="16"/>
      <c r="G8" s="18" t="s">
        <v>1363</v>
      </c>
      <c r="H8" s="16"/>
      <c r="I8" s="18" t="s">
        <v>3564</v>
      </c>
      <c r="J8" s="16"/>
      <c r="K8" s="18" t="s">
        <v>4302</v>
      </c>
      <c r="L8" s="16"/>
      <c r="M8" s="18" t="s">
        <v>4983</v>
      </c>
      <c r="N8" s="16"/>
      <c r="O8" s="18" t="s">
        <v>5719</v>
      </c>
      <c r="P8" s="16"/>
      <c r="Q8" s="18" t="s">
        <v>6371</v>
      </c>
      <c r="R8" s="16"/>
      <c r="S8" s="18"/>
      <c r="T8" s="16"/>
    </row>
    <row r="9" spans="1:20" ht="15.95" customHeight="1" x14ac:dyDescent="0.25">
      <c r="A9" s="18" t="s">
        <v>205</v>
      </c>
      <c r="B9" s="16"/>
      <c r="C9" s="18" t="s">
        <v>2126</v>
      </c>
      <c r="D9" s="16"/>
      <c r="E9" s="18" t="s">
        <v>2845</v>
      </c>
      <c r="F9" s="16"/>
      <c r="G9" s="18" t="s">
        <v>1382</v>
      </c>
      <c r="H9" s="16"/>
      <c r="I9" s="18" t="s">
        <v>3585</v>
      </c>
      <c r="J9" s="16"/>
      <c r="K9" s="18" t="s">
        <v>4323</v>
      </c>
      <c r="L9" s="16"/>
      <c r="M9" s="18" t="s">
        <v>5001</v>
      </c>
      <c r="N9" s="16"/>
      <c r="O9" s="18" t="s">
        <v>5740</v>
      </c>
      <c r="P9" s="16"/>
      <c r="Q9" s="18" t="s">
        <v>6388</v>
      </c>
      <c r="R9" s="16"/>
      <c r="S9" s="18"/>
      <c r="T9" s="16"/>
    </row>
    <row r="10" spans="1:20" ht="15.95" customHeight="1" x14ac:dyDescent="0.25">
      <c r="A10" s="18" t="s">
        <v>206</v>
      </c>
      <c r="B10" s="16"/>
      <c r="C10" s="18" t="s">
        <v>2127</v>
      </c>
      <c r="D10" s="16"/>
      <c r="E10" s="18" t="s">
        <v>2846</v>
      </c>
      <c r="F10" s="16"/>
      <c r="G10" s="18" t="s">
        <v>1383</v>
      </c>
      <c r="H10" s="16"/>
      <c r="I10" s="18" t="s">
        <v>3586</v>
      </c>
      <c r="J10" s="16"/>
      <c r="K10" s="18" t="s">
        <v>4324</v>
      </c>
      <c r="L10" s="16"/>
      <c r="M10" s="18" t="s">
        <v>5002</v>
      </c>
      <c r="N10" s="16"/>
      <c r="O10" s="18" t="s">
        <v>5741</v>
      </c>
      <c r="P10" s="16"/>
      <c r="Q10" s="18" t="s">
        <v>6389</v>
      </c>
      <c r="R10" s="16"/>
      <c r="S10" s="18"/>
      <c r="T10" s="16"/>
    </row>
    <row r="11" spans="1:20" ht="15.95" customHeight="1" x14ac:dyDescent="0.25">
      <c r="A11" s="18" t="s">
        <v>207</v>
      </c>
      <c r="B11" s="16"/>
      <c r="C11" s="18" t="s">
        <v>2128</v>
      </c>
      <c r="D11" s="16"/>
      <c r="E11" s="18" t="s">
        <v>2847</v>
      </c>
      <c r="F11" s="16"/>
      <c r="G11" s="18" t="s">
        <v>1384</v>
      </c>
      <c r="H11" s="16"/>
      <c r="I11" s="18" t="s">
        <v>3587</v>
      </c>
      <c r="J11" s="16"/>
      <c r="K11" s="18" t="s">
        <v>4325</v>
      </c>
      <c r="L11" s="16"/>
      <c r="M11" s="18" t="s">
        <v>5003</v>
      </c>
      <c r="N11" s="16"/>
      <c r="O11" s="18" t="s">
        <v>5742</v>
      </c>
      <c r="P11" s="16"/>
      <c r="Q11" s="18" t="s">
        <v>6390</v>
      </c>
      <c r="R11" s="16"/>
      <c r="S11" s="18"/>
      <c r="T11" s="16"/>
    </row>
    <row r="12" spans="1:20" ht="15.95" customHeight="1" x14ac:dyDescent="0.25">
      <c r="A12" s="18" t="s">
        <v>208</v>
      </c>
      <c r="B12" s="16"/>
      <c r="C12" s="18" t="s">
        <v>2129</v>
      </c>
      <c r="D12" s="16"/>
      <c r="E12" s="18" t="s">
        <v>2848</v>
      </c>
      <c r="F12" s="16"/>
      <c r="G12" s="18" t="s">
        <v>1385</v>
      </c>
      <c r="H12" s="16"/>
      <c r="I12" s="18" t="s">
        <v>3588</v>
      </c>
      <c r="J12" s="16"/>
      <c r="K12" s="18" t="s">
        <v>4326</v>
      </c>
      <c r="L12" s="16"/>
      <c r="M12" s="18" t="s">
        <v>5004</v>
      </c>
      <c r="N12" s="16"/>
      <c r="O12" s="18" t="s">
        <v>5743</v>
      </c>
      <c r="P12" s="16"/>
      <c r="Q12" s="18" t="s">
        <v>6391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209</v>
      </c>
      <c r="B15" s="16"/>
      <c r="C15" s="18" t="s">
        <v>2130</v>
      </c>
      <c r="D15" s="16"/>
      <c r="E15" s="18" t="s">
        <v>2849</v>
      </c>
      <c r="F15" s="16"/>
      <c r="G15" s="18" t="s">
        <v>1386</v>
      </c>
      <c r="H15" s="16"/>
      <c r="I15" s="18" t="s">
        <v>3589</v>
      </c>
      <c r="J15" s="16"/>
      <c r="K15" s="18" t="s">
        <v>4327</v>
      </c>
      <c r="L15" s="16"/>
      <c r="M15" s="18" t="s">
        <v>5005</v>
      </c>
      <c r="N15" s="16"/>
      <c r="O15" s="18" t="s">
        <v>5744</v>
      </c>
      <c r="P15" s="16"/>
      <c r="Q15" s="18" t="s">
        <v>6392</v>
      </c>
      <c r="R15" s="16"/>
      <c r="S15" s="18"/>
      <c r="T15" s="21"/>
    </row>
    <row r="16" spans="1:20" ht="15.95" customHeight="1" x14ac:dyDescent="0.25">
      <c r="A16" s="18" t="s">
        <v>210</v>
      </c>
      <c r="B16" s="16"/>
      <c r="C16" s="18" t="s">
        <v>2131</v>
      </c>
      <c r="D16" s="16"/>
      <c r="E16" s="18" t="s">
        <v>2850</v>
      </c>
      <c r="F16" s="16"/>
      <c r="G16" s="18" t="s">
        <v>210</v>
      </c>
      <c r="H16" s="16"/>
      <c r="I16" s="18" t="s">
        <v>3590</v>
      </c>
      <c r="J16" s="16"/>
      <c r="K16" s="18" t="s">
        <v>4328</v>
      </c>
      <c r="L16" s="16"/>
      <c r="M16" s="18" t="s">
        <v>2850</v>
      </c>
      <c r="N16" s="16"/>
      <c r="O16" s="18" t="s">
        <v>5745</v>
      </c>
      <c r="P16" s="16"/>
      <c r="Q16" s="18" t="s">
        <v>210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211</v>
      </c>
      <c r="B18" s="16"/>
      <c r="C18" s="18" t="s">
        <v>2132</v>
      </c>
      <c r="D18" s="16"/>
      <c r="E18" s="18" t="s">
        <v>2851</v>
      </c>
      <c r="F18" s="16"/>
      <c r="G18" s="18" t="s">
        <v>1387</v>
      </c>
      <c r="H18" s="16"/>
      <c r="I18" s="18" t="s">
        <v>3591</v>
      </c>
      <c r="J18" s="16"/>
      <c r="K18" s="18" t="s">
        <v>4329</v>
      </c>
      <c r="L18" s="16"/>
      <c r="M18" s="18" t="s">
        <v>5006</v>
      </c>
      <c r="N18" s="16"/>
      <c r="O18" s="18" t="s">
        <v>5746</v>
      </c>
      <c r="P18" s="16"/>
      <c r="Q18" s="18" t="s">
        <v>6393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212</v>
      </c>
      <c r="B20" s="16"/>
      <c r="C20" s="18" t="s">
        <v>1972</v>
      </c>
      <c r="D20" s="16"/>
      <c r="E20" s="18" t="s">
        <v>2693</v>
      </c>
      <c r="F20" s="16"/>
      <c r="G20" s="18" t="s">
        <v>1228</v>
      </c>
      <c r="H20" s="16"/>
      <c r="I20" s="18" t="s">
        <v>3420</v>
      </c>
      <c r="J20" s="16"/>
      <c r="K20" s="18" t="s">
        <v>4164</v>
      </c>
      <c r="L20" s="16"/>
      <c r="M20" s="18" t="s">
        <v>4871</v>
      </c>
      <c r="N20" s="16"/>
      <c r="O20" s="18" t="s">
        <v>5578</v>
      </c>
      <c r="P20" s="16"/>
      <c r="Q20" s="18" t="s">
        <v>6260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213</v>
      </c>
      <c r="B22" s="16"/>
      <c r="C22" s="18" t="s">
        <v>2133</v>
      </c>
      <c r="D22" s="16"/>
      <c r="E22" s="18" t="s">
        <v>2852</v>
      </c>
      <c r="F22" s="16"/>
      <c r="G22" s="18" t="s">
        <v>1388</v>
      </c>
      <c r="H22" s="16"/>
      <c r="I22" s="18" t="s">
        <v>3592</v>
      </c>
      <c r="J22" s="16"/>
      <c r="K22" s="18" t="s">
        <v>4330</v>
      </c>
      <c r="L22" s="16"/>
      <c r="M22" s="18" t="s">
        <v>5007</v>
      </c>
      <c r="N22" s="16"/>
      <c r="O22" s="18" t="s">
        <v>5747</v>
      </c>
      <c r="P22" s="16"/>
      <c r="Q22" s="18" t="s">
        <v>6394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214</v>
      </c>
      <c r="B24" s="16"/>
      <c r="C24" s="18" t="s">
        <v>2134</v>
      </c>
      <c r="D24" s="16"/>
      <c r="E24" s="18" t="s">
        <v>2853</v>
      </c>
      <c r="F24" s="16"/>
      <c r="G24" s="18" t="s">
        <v>1389</v>
      </c>
      <c r="H24" s="16"/>
      <c r="I24" s="18" t="s">
        <v>3593</v>
      </c>
      <c r="J24" s="16"/>
      <c r="K24" s="18" t="s">
        <v>4331</v>
      </c>
      <c r="L24" s="16"/>
      <c r="M24" s="18" t="s">
        <v>5008</v>
      </c>
      <c r="N24" s="16"/>
      <c r="O24" s="18" t="s">
        <v>5748</v>
      </c>
      <c r="P24" s="16"/>
      <c r="Q24" s="18" t="s">
        <v>6395</v>
      </c>
      <c r="R24" s="16"/>
      <c r="S24" s="18"/>
      <c r="T24" s="21"/>
    </row>
    <row r="25" spans="1:20" ht="15.95" customHeight="1" x14ac:dyDescent="0.25">
      <c r="A25" s="18" t="s">
        <v>215</v>
      </c>
      <c r="B25" s="16"/>
      <c r="C25" s="18" t="s">
        <v>2135</v>
      </c>
      <c r="D25" s="16"/>
      <c r="E25" s="18" t="s">
        <v>2854</v>
      </c>
      <c r="F25" s="16"/>
      <c r="G25" s="18" t="s">
        <v>1390</v>
      </c>
      <c r="H25" s="16"/>
      <c r="I25" s="18" t="s">
        <v>3594</v>
      </c>
      <c r="J25" s="16"/>
      <c r="K25" s="18" t="s">
        <v>4332</v>
      </c>
      <c r="L25" s="16"/>
      <c r="M25" s="18" t="s">
        <v>5009</v>
      </c>
      <c r="N25" s="16"/>
      <c r="O25" s="18" t="s">
        <v>5749</v>
      </c>
      <c r="P25" s="16"/>
      <c r="Q25" s="18" t="s">
        <v>6396</v>
      </c>
      <c r="R25" s="16"/>
      <c r="S25" s="18"/>
      <c r="T25" s="21"/>
    </row>
    <row r="26" spans="1:20" ht="15.95" customHeight="1" x14ac:dyDescent="0.25">
      <c r="A26" s="18" t="s">
        <v>216</v>
      </c>
      <c r="B26" s="16"/>
      <c r="C26" s="18" t="s">
        <v>2136</v>
      </c>
      <c r="D26" s="16"/>
      <c r="E26" s="18" t="s">
        <v>2855</v>
      </c>
      <c r="F26" s="16"/>
      <c r="G26" s="18" t="s">
        <v>1391</v>
      </c>
      <c r="H26" s="16"/>
      <c r="I26" s="18" t="s">
        <v>3595</v>
      </c>
      <c r="J26" s="16"/>
      <c r="K26" s="18" t="s">
        <v>4333</v>
      </c>
      <c r="L26" s="16"/>
      <c r="M26" s="18" t="s">
        <v>5010</v>
      </c>
      <c r="N26" s="16"/>
      <c r="O26" s="18" t="s">
        <v>5750</v>
      </c>
      <c r="P26" s="16"/>
      <c r="Q26" s="18" t="s">
        <v>6397</v>
      </c>
      <c r="R26" s="16"/>
      <c r="S26" s="18"/>
      <c r="T26" s="21"/>
    </row>
    <row r="27" spans="1:20" ht="15.95" customHeight="1" x14ac:dyDescent="0.25">
      <c r="A27" s="18" t="s">
        <v>217</v>
      </c>
      <c r="B27" s="16"/>
      <c r="C27" s="18" t="s">
        <v>2137</v>
      </c>
      <c r="D27" s="16"/>
      <c r="E27" s="18" t="s">
        <v>2856</v>
      </c>
      <c r="F27" s="16"/>
      <c r="G27" s="18" t="s">
        <v>1392</v>
      </c>
      <c r="H27" s="16"/>
      <c r="I27" s="18" t="s">
        <v>3596</v>
      </c>
      <c r="J27" s="16"/>
      <c r="K27" s="18" t="s">
        <v>4334</v>
      </c>
      <c r="L27" s="16"/>
      <c r="M27" s="18" t="s">
        <v>5011</v>
      </c>
      <c r="N27" s="16"/>
      <c r="O27" s="18" t="s">
        <v>5751</v>
      </c>
      <c r="P27" s="16"/>
      <c r="Q27" s="18" t="s">
        <v>6398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218</v>
      </c>
      <c r="B29" s="16"/>
      <c r="C29" s="18" t="s">
        <v>2138</v>
      </c>
      <c r="D29" s="16"/>
      <c r="E29" s="18" t="s">
        <v>2857</v>
      </c>
      <c r="F29" s="16"/>
      <c r="G29" s="18" t="s">
        <v>1393</v>
      </c>
      <c r="H29" s="16"/>
      <c r="I29" s="18" t="s">
        <v>3597</v>
      </c>
      <c r="J29" s="16"/>
      <c r="K29" s="18" t="s">
        <v>4335</v>
      </c>
      <c r="L29" s="16"/>
      <c r="M29" s="18" t="s">
        <v>5012</v>
      </c>
      <c r="N29" s="16"/>
      <c r="O29" s="18" t="s">
        <v>5752</v>
      </c>
      <c r="P29" s="16"/>
      <c r="Q29" s="18" t="s">
        <v>6399</v>
      </c>
      <c r="R29" s="16"/>
      <c r="S29" s="18"/>
      <c r="T29" s="21"/>
    </row>
    <row r="30" spans="1:20" ht="15.95" customHeight="1" x14ac:dyDescent="0.25">
      <c r="A30" s="18" t="s">
        <v>219</v>
      </c>
      <c r="B30" s="16"/>
      <c r="C30" s="18" t="s">
        <v>2139</v>
      </c>
      <c r="D30" s="16"/>
      <c r="E30" s="18" t="s">
        <v>2858</v>
      </c>
      <c r="F30" s="16"/>
      <c r="G30" s="18" t="s">
        <v>1394</v>
      </c>
      <c r="H30" s="16"/>
      <c r="I30" s="18" t="s">
        <v>3598</v>
      </c>
      <c r="J30" s="16"/>
      <c r="K30" s="18" t="s">
        <v>4336</v>
      </c>
      <c r="L30" s="16"/>
      <c r="M30" s="18" t="s">
        <v>5013</v>
      </c>
      <c r="N30" s="16"/>
      <c r="O30" s="18" t="s">
        <v>5753</v>
      </c>
      <c r="P30" s="16"/>
      <c r="Q30" s="18" t="s">
        <v>6400</v>
      </c>
      <c r="R30" s="16"/>
      <c r="S30" s="18"/>
      <c r="T30" s="21"/>
    </row>
    <row r="31" spans="1:20" ht="15.95" customHeight="1" x14ac:dyDescent="0.25">
      <c r="A31" s="18" t="s">
        <v>220</v>
      </c>
      <c r="B31" s="16"/>
      <c r="C31" s="18" t="s">
        <v>2140</v>
      </c>
      <c r="D31" s="16"/>
      <c r="E31" s="18" t="s">
        <v>2859</v>
      </c>
      <c r="F31" s="16"/>
      <c r="G31" s="18" t="s">
        <v>1395</v>
      </c>
      <c r="H31" s="16"/>
      <c r="I31" s="18" t="s">
        <v>3599</v>
      </c>
      <c r="J31" s="16"/>
      <c r="K31" s="18" t="s">
        <v>4337</v>
      </c>
      <c r="L31" s="16"/>
      <c r="M31" s="18" t="s">
        <v>5014</v>
      </c>
      <c r="N31" s="16"/>
      <c r="O31" s="18" t="s">
        <v>5754</v>
      </c>
      <c r="P31" s="16"/>
      <c r="Q31" s="18" t="s">
        <v>6401</v>
      </c>
      <c r="R31" s="16"/>
      <c r="S31" s="18"/>
      <c r="T31" s="21"/>
    </row>
    <row r="32" spans="1:20" ht="15.95" customHeight="1" x14ac:dyDescent="0.25">
      <c r="A32" s="18"/>
      <c r="B32" s="16"/>
      <c r="C32" s="18" t="s">
        <v>2141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5" priority="2" stopIfTrue="1">
      <formula>NOT(ISERROR(A3))</formula>
    </cfRule>
  </conditionalFormatting>
  <conditionalFormatting sqref="A3:T51">
    <cfRule type="containsErrors" dxfId="214" priority="1" stopIfTrue="1">
      <formula>ISERROR(A3)</formula>
    </cfRule>
    <cfRule type="notContainsBlanks" dxfId="213"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221</v>
      </c>
      <c r="B3" s="16" t="str">
        <f>TRIM(_xlfn.TEXTBEFORE(A3, ":"))</f>
        <v>Item Class</v>
      </c>
      <c r="C3" s="17" t="s">
        <v>2142</v>
      </c>
      <c r="D3" s="16" t="str">
        <f>TRIM(_xlfn.TEXTBEFORE(C3, ":"))</f>
        <v>Gegenstandsklasse</v>
      </c>
      <c r="E3" s="17" t="s">
        <v>2860</v>
      </c>
      <c r="F3" s="16" t="str">
        <f>TRIM(_xlfn.TEXTBEFORE(E3, ":"))</f>
        <v>Clase de objeto</v>
      </c>
      <c r="G3" s="17" t="s">
        <v>1396</v>
      </c>
      <c r="H3" s="16" t="str">
        <f>TRIM(_xlfn.TEXTBEFORE(G3, ":"))</f>
        <v>Classe d'objet</v>
      </c>
      <c r="I3" s="17" t="s">
        <v>3600</v>
      </c>
      <c r="J3" s="16" t="str">
        <f>TRIM(_xlfn.TEXTBEFORE(I3, ":"))</f>
        <v>アイテムクラス</v>
      </c>
      <c r="K3" s="17" t="s">
        <v>4338</v>
      </c>
      <c r="L3" s="16" t="str">
        <f>TRIM(_xlfn.TEXTBEFORE(K3, ":"))</f>
        <v>아이템 종류</v>
      </c>
      <c r="M3" s="17" t="s">
        <v>5015</v>
      </c>
      <c r="N3" s="16" t="str">
        <f>TRIM(_xlfn.TEXTBEFORE(M3, ":"))</f>
        <v>Classe do Item</v>
      </c>
      <c r="O3" s="17" t="s">
        <v>5755</v>
      </c>
      <c r="P3" s="16" t="str">
        <f>TRIM(_xlfn.TEXTBEFORE(O3, ":"))</f>
        <v>Класс предмета</v>
      </c>
      <c r="Q3" s="17" t="s">
        <v>6402</v>
      </c>
      <c r="R3" s="16" t="str">
        <f>TRIM(_xlfn.TEXTBEFORE(Q3, ":"))</f>
        <v>ชนิดไอเทม</v>
      </c>
      <c r="S3" s="17"/>
      <c r="T3" s="16" t="e">
        <f>TRIM(_xlfn.TEXTBEFORE(S3, ":"))</f>
        <v>#N/A</v>
      </c>
    </row>
    <row r="4" spans="1:20" ht="15.95" customHeight="1" x14ac:dyDescent="0.25">
      <c r="A4" s="18" t="s">
        <v>81</v>
      </c>
      <c r="B4" s="16" t="str">
        <f>TRIM(_xlfn.TEXTAFTER(A3, ":"))</f>
        <v>Two Hand Swords</v>
      </c>
      <c r="C4" s="18" t="s">
        <v>1644</v>
      </c>
      <c r="D4" s="16" t="str">
        <f>TRIM(_xlfn.TEXTAFTER(C3, ":"))</f>
        <v>Zweihandschwerter</v>
      </c>
      <c r="E4" s="18" t="s">
        <v>2364</v>
      </c>
      <c r="F4" s="16" t="str">
        <f>TRIM(_xlfn.TEXTAFTER(E3, ":"))</f>
        <v>Espadas a dos manos</v>
      </c>
      <c r="G4" s="18" t="s">
        <v>1</v>
      </c>
      <c r="H4" s="16" t="str">
        <f>TRIM(_xlfn.TEXTAFTER(G3, ":"))</f>
        <v>Épées à deux mains</v>
      </c>
      <c r="I4" s="18" t="s">
        <v>3079</v>
      </c>
      <c r="J4" s="16" t="str">
        <f>TRIM(_xlfn.TEXTAFTER(I3, ":"))</f>
        <v>両手剣</v>
      </c>
      <c r="K4" s="18" t="s">
        <v>3829</v>
      </c>
      <c r="L4" s="16" t="str">
        <f>TRIM(_xlfn.TEXTAFTER(K3, ":"))</f>
        <v>양손 검</v>
      </c>
      <c r="M4" s="18" t="s">
        <v>4558</v>
      </c>
      <c r="N4" s="16" t="str">
        <f>TRIM(_xlfn.TEXTAFTER(M3, ":"))</f>
        <v>Espadas de Duas Mãos</v>
      </c>
      <c r="O4" s="18" t="s">
        <v>5241</v>
      </c>
      <c r="P4" s="16" t="str">
        <f>TRIM(_xlfn.TEXTAFTER(O3, ":"))</f>
        <v>Двуручные мечи</v>
      </c>
      <c r="Q4" s="18" t="s">
        <v>5978</v>
      </c>
      <c r="R4" s="16" t="str">
        <f>TRIM(_xlfn.TEXTAFTER(Q3, ":"))</f>
        <v>ดาบสองมือ</v>
      </c>
      <c r="S4" s="18"/>
      <c r="T4" s="16" t="e">
        <f>TRIM(_xlfn.TEXTAFTER(S3, ":"))</f>
        <v>#N/A</v>
      </c>
    </row>
    <row r="5" spans="1:20" ht="15.95" customHeight="1" x14ac:dyDescent="0.25">
      <c r="A5" s="18" t="s">
        <v>222</v>
      </c>
      <c r="B5" s="16" t="str">
        <f>TRIM(_xlfn.TEXTBEFORE(A4, ":"))</f>
        <v>Rarity</v>
      </c>
      <c r="C5" s="18" t="s">
        <v>222</v>
      </c>
      <c r="D5" s="16" t="str">
        <f>TRIM(_xlfn.TEXTBEFORE(C4, ":"))</f>
        <v>Seltenheit</v>
      </c>
      <c r="E5" s="18" t="s">
        <v>222</v>
      </c>
      <c r="F5" s="16" t="str">
        <f>TRIM(_xlfn.TEXTBEFORE(E4, ":"))</f>
        <v>Rareza</v>
      </c>
      <c r="G5" s="18" t="s">
        <v>222</v>
      </c>
      <c r="H5" s="16" t="str">
        <f>TRIM(_xlfn.TEXTBEFORE(G4, ":"))</f>
        <v>Rareté</v>
      </c>
      <c r="I5" s="18" t="s">
        <v>3601</v>
      </c>
      <c r="J5" s="16" t="str">
        <f>TRIM(_xlfn.TEXTBEFORE(I4, ":"))</f>
        <v>レアリティ</v>
      </c>
      <c r="K5" s="18" t="s">
        <v>4339</v>
      </c>
      <c r="L5" s="16" t="str">
        <f>TRIM(_xlfn.TEXTBEFORE(K4, ":"))</f>
        <v>아이템 희귀도</v>
      </c>
      <c r="M5" s="18" t="s">
        <v>222</v>
      </c>
      <c r="N5" s="16" t="str">
        <f>TRIM(_xlfn.TEXTBEFORE(M4, ":"))</f>
        <v>Raridade</v>
      </c>
      <c r="O5" s="18" t="s">
        <v>5756</v>
      </c>
      <c r="P5" s="16" t="str">
        <f>TRIM(_xlfn.TEXTBEFORE(O4, ":"))</f>
        <v>Редкость</v>
      </c>
      <c r="Q5" s="18" t="s">
        <v>222</v>
      </c>
      <c r="R5" s="16" t="str">
        <f>TRIM(_xlfn.TEXTBEFORE(Q4, ":"))</f>
        <v>ความหายาก</v>
      </c>
      <c r="S5" s="18"/>
      <c r="T5" s="16" t="e">
        <f>TRIM(_xlfn.TEXTBEFORE(S4, ":"))</f>
        <v>#N/A</v>
      </c>
    </row>
    <row r="6" spans="1:20" ht="15.95" customHeight="1" x14ac:dyDescent="0.25">
      <c r="A6" s="18" t="s">
        <v>223</v>
      </c>
      <c r="B6" s="16" t="str">
        <f>TRIM(_xlfn.TEXTAFTER(A4,":"))</f>
        <v>Unique</v>
      </c>
      <c r="C6" s="18" t="s">
        <v>2143</v>
      </c>
      <c r="D6" s="16" t="str">
        <f>TRIM(_xlfn.TEXTAFTER(C4,":"))</f>
        <v>Einzigartig</v>
      </c>
      <c r="E6" s="18" t="s">
        <v>2861</v>
      </c>
      <c r="F6" s="16" t="str">
        <f>TRIM(_xlfn.TEXTAFTER(E4,":"))</f>
        <v>Único</v>
      </c>
      <c r="G6" s="18" t="s">
        <v>1397</v>
      </c>
      <c r="H6" s="16" t="str">
        <f>TRIM(_xlfn.TEXTAFTER(G4,":"))</f>
        <v>Unique</v>
      </c>
      <c r="I6" s="18" t="s">
        <v>3602</v>
      </c>
      <c r="J6" s="16" t="str">
        <f>TRIM(_xlfn.TEXTAFTER(I4,":"))</f>
        <v>ユニーク</v>
      </c>
      <c r="K6" s="18" t="s">
        <v>4340</v>
      </c>
      <c r="L6" s="16" t="str">
        <f>TRIM(_xlfn.TEXTAFTER(K4,":"))</f>
        <v>고유</v>
      </c>
      <c r="M6" s="18" t="s">
        <v>5016</v>
      </c>
      <c r="N6" s="16" t="str">
        <f>TRIM(_xlfn.TEXTAFTER(M4,":"))</f>
        <v>Único</v>
      </c>
      <c r="O6" s="18" t="s">
        <v>5757</v>
      </c>
      <c r="P6" s="16" t="str">
        <f>TRIM(_xlfn.TEXTAFTER(O4,":"))</f>
        <v>Уникальный</v>
      </c>
      <c r="Q6" s="18" t="s">
        <v>223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224</v>
      </c>
      <c r="B8" s="16"/>
      <c r="C8" s="18" t="s">
        <v>2144</v>
      </c>
      <c r="D8" s="16"/>
      <c r="E8" s="18" t="s">
        <v>2862</v>
      </c>
      <c r="F8" s="16"/>
      <c r="G8" s="18" t="s">
        <v>1398</v>
      </c>
      <c r="H8" s="16"/>
      <c r="I8" s="18" t="s">
        <v>3603</v>
      </c>
      <c r="J8" s="16"/>
      <c r="K8" s="18" t="s">
        <v>4341</v>
      </c>
      <c r="L8" s="16"/>
      <c r="M8" s="18" t="s">
        <v>5017</v>
      </c>
      <c r="N8" s="16"/>
      <c r="O8" s="18" t="s">
        <v>5758</v>
      </c>
      <c r="P8" s="16"/>
      <c r="Q8" s="18" t="s">
        <v>6403</v>
      </c>
      <c r="R8" s="16"/>
      <c r="S8" s="18"/>
      <c r="T8" s="16"/>
    </row>
    <row r="9" spans="1:20" ht="15.95" customHeight="1" x14ac:dyDescent="0.25">
      <c r="A9" s="18" t="s">
        <v>225</v>
      </c>
      <c r="B9" s="16"/>
      <c r="C9" s="18" t="s">
        <v>2145</v>
      </c>
      <c r="D9" s="16"/>
      <c r="E9" s="18" t="s">
        <v>2863</v>
      </c>
      <c r="F9" s="16"/>
      <c r="G9" s="18" t="s">
        <v>1399</v>
      </c>
      <c r="H9" s="16"/>
      <c r="I9" s="18" t="s">
        <v>3604</v>
      </c>
      <c r="J9" s="16"/>
      <c r="K9" s="18" t="s">
        <v>4342</v>
      </c>
      <c r="L9" s="16"/>
      <c r="M9" s="18" t="s">
        <v>5018</v>
      </c>
      <c r="N9" s="16"/>
      <c r="O9" s="18" t="s">
        <v>5759</v>
      </c>
      <c r="P9" s="16"/>
      <c r="Q9" s="18" t="s">
        <v>6404</v>
      </c>
      <c r="R9" s="16"/>
      <c r="S9" s="18"/>
      <c r="T9" s="16"/>
    </row>
    <row r="10" spans="1:20" ht="15.95" customHeight="1" x14ac:dyDescent="0.25">
      <c r="A10" s="18" t="s">
        <v>226</v>
      </c>
      <c r="B10" s="16"/>
      <c r="C10" s="18" t="s">
        <v>2146</v>
      </c>
      <c r="D10" s="16"/>
      <c r="E10" s="18" t="s">
        <v>2864</v>
      </c>
      <c r="F10" s="16"/>
      <c r="G10" s="18" t="s">
        <v>1400</v>
      </c>
      <c r="H10" s="16"/>
      <c r="I10" s="18" t="s">
        <v>3605</v>
      </c>
      <c r="J10" s="16"/>
      <c r="K10" s="18" t="s">
        <v>4343</v>
      </c>
      <c r="L10" s="16"/>
      <c r="M10" s="18" t="s">
        <v>5019</v>
      </c>
      <c r="N10" s="16"/>
      <c r="O10" s="18" t="s">
        <v>5760</v>
      </c>
      <c r="P10" s="16"/>
      <c r="Q10" s="18" t="s">
        <v>6405</v>
      </c>
      <c r="R10" s="16"/>
      <c r="S10" s="18"/>
      <c r="T10" s="16"/>
    </row>
    <row r="11" spans="1:20" ht="15.95" customHeight="1" x14ac:dyDescent="0.25">
      <c r="A11" s="18" t="s">
        <v>106</v>
      </c>
      <c r="B11" s="16"/>
      <c r="C11" s="18" t="s">
        <v>1837</v>
      </c>
      <c r="D11" s="16"/>
      <c r="E11" s="18" t="s">
        <v>2555</v>
      </c>
      <c r="F11" s="16"/>
      <c r="G11" s="18" t="s">
        <v>1102</v>
      </c>
      <c r="H11" s="16"/>
      <c r="I11" s="18" t="s">
        <v>3278</v>
      </c>
      <c r="J11" s="16"/>
      <c r="K11" s="18" t="s">
        <v>4023</v>
      </c>
      <c r="L11" s="16"/>
      <c r="M11" s="18" t="s">
        <v>4746</v>
      </c>
      <c r="N11" s="16"/>
      <c r="O11" s="18" t="s">
        <v>5437</v>
      </c>
      <c r="P11" s="16"/>
      <c r="Q11" s="18" t="s">
        <v>6150</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228</v>
      </c>
      <c r="B15" s="16"/>
      <c r="C15" s="18" t="s">
        <v>2147</v>
      </c>
      <c r="D15" s="16"/>
      <c r="E15" s="18" t="s">
        <v>2865</v>
      </c>
      <c r="F15" s="16"/>
      <c r="G15" s="18" t="s">
        <v>1401</v>
      </c>
      <c r="H15" s="16"/>
      <c r="I15" s="18" t="s">
        <v>3606</v>
      </c>
      <c r="J15" s="16"/>
      <c r="K15" s="18" t="s">
        <v>4344</v>
      </c>
      <c r="L15" s="16"/>
      <c r="M15" s="18" t="s">
        <v>5020</v>
      </c>
      <c r="N15" s="16"/>
      <c r="O15" s="18" t="s">
        <v>5761</v>
      </c>
      <c r="P15" s="16"/>
      <c r="Q15" s="18" t="s">
        <v>6406</v>
      </c>
      <c r="R15" s="16"/>
      <c r="S15" s="18"/>
      <c r="T15" s="21"/>
    </row>
    <row r="16" spans="1:20" ht="15.95" customHeight="1" x14ac:dyDescent="0.25">
      <c r="A16" s="18" t="s">
        <v>229</v>
      </c>
      <c r="B16" s="16"/>
      <c r="C16" s="18" t="s">
        <v>229</v>
      </c>
      <c r="D16" s="16"/>
      <c r="E16" s="18" t="s">
        <v>2866</v>
      </c>
      <c r="F16" s="16"/>
      <c r="G16" s="18" t="s">
        <v>1402</v>
      </c>
      <c r="H16" s="16"/>
      <c r="I16" s="18" t="s">
        <v>3607</v>
      </c>
      <c r="J16" s="16"/>
      <c r="K16" s="18" t="s">
        <v>4345</v>
      </c>
      <c r="L16" s="16"/>
      <c r="M16" s="18" t="s">
        <v>1402</v>
      </c>
      <c r="N16" s="16"/>
      <c r="O16" s="18" t="s">
        <v>5762</v>
      </c>
      <c r="P16" s="16"/>
      <c r="Q16" s="18" t="s">
        <v>229</v>
      </c>
      <c r="R16" s="16"/>
      <c r="S16" s="18"/>
      <c r="T16" s="21"/>
    </row>
    <row r="17" spans="1:20" ht="15.95" customHeight="1" x14ac:dyDescent="0.25">
      <c r="A17" s="18" t="s">
        <v>230</v>
      </c>
      <c r="B17" s="16"/>
      <c r="C17" s="18" t="s">
        <v>1804</v>
      </c>
      <c r="D17" s="16"/>
      <c r="E17" s="18" t="s">
        <v>2523</v>
      </c>
      <c r="F17" s="16"/>
      <c r="G17" s="18" t="s">
        <v>230</v>
      </c>
      <c r="H17" s="16"/>
      <c r="I17" s="18" t="s">
        <v>3243</v>
      </c>
      <c r="J17" s="16"/>
      <c r="K17" s="18" t="s">
        <v>3989</v>
      </c>
      <c r="L17" s="16"/>
      <c r="M17" s="18" t="s">
        <v>2523</v>
      </c>
      <c r="N17" s="16"/>
      <c r="O17" s="18" t="s">
        <v>5403</v>
      </c>
      <c r="P17" s="16"/>
      <c r="Q17" s="18" t="s">
        <v>230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231</v>
      </c>
      <c r="B19" s="16"/>
      <c r="C19" s="18" t="s">
        <v>2148</v>
      </c>
      <c r="D19" s="16"/>
      <c r="E19" s="18" t="s">
        <v>2867</v>
      </c>
      <c r="F19" s="16"/>
      <c r="G19" s="18" t="s">
        <v>1403</v>
      </c>
      <c r="H19" s="16"/>
      <c r="I19" s="18" t="s">
        <v>3608</v>
      </c>
      <c r="J19" s="16"/>
      <c r="K19" s="18" t="s">
        <v>4346</v>
      </c>
      <c r="L19" s="16"/>
      <c r="M19" s="18" t="s">
        <v>5021</v>
      </c>
      <c r="N19" s="16"/>
      <c r="O19" s="18" t="s">
        <v>5763</v>
      </c>
      <c r="P19" s="16"/>
      <c r="Q19" s="18" t="s">
        <v>6407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232</v>
      </c>
      <c r="B21" s="16"/>
      <c r="C21" s="18" t="s">
        <v>1752</v>
      </c>
      <c r="D21" s="16"/>
      <c r="E21" s="18" t="s">
        <v>2471</v>
      </c>
      <c r="F21" s="16"/>
      <c r="G21" s="18" t="s">
        <v>1020</v>
      </c>
      <c r="H21" s="16"/>
      <c r="I21" s="18" t="s">
        <v>3189</v>
      </c>
      <c r="J21" s="16"/>
      <c r="K21" s="18" t="s">
        <v>3936</v>
      </c>
      <c r="L21" s="16"/>
      <c r="M21" s="18" t="s">
        <v>4665</v>
      </c>
      <c r="N21" s="16"/>
      <c r="O21" s="18" t="s">
        <v>5350</v>
      </c>
      <c r="P21" s="16"/>
      <c r="Q21" s="18" t="s">
        <v>6080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233</v>
      </c>
      <c r="B23" s="16"/>
      <c r="C23" s="18" t="s">
        <v>2149</v>
      </c>
      <c r="D23" s="16"/>
      <c r="E23" s="18" t="s">
        <v>2868</v>
      </c>
      <c r="F23" s="16"/>
      <c r="G23" s="18" t="s">
        <v>1404</v>
      </c>
      <c r="H23" s="16"/>
      <c r="I23" s="18" t="s">
        <v>3609</v>
      </c>
      <c r="J23" s="16"/>
      <c r="K23" s="18" t="s">
        <v>4347</v>
      </c>
      <c r="L23" s="16"/>
      <c r="M23" s="18" t="s">
        <v>5022</v>
      </c>
      <c r="N23" s="16"/>
      <c r="O23" s="18" t="s">
        <v>5764</v>
      </c>
      <c r="P23" s="16"/>
      <c r="Q23" s="18" t="s">
        <v>6408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234</v>
      </c>
      <c r="B25" s="16"/>
      <c r="C25" s="18" t="s">
        <v>2150</v>
      </c>
      <c r="D25" s="16"/>
      <c r="E25" s="18" t="s">
        <v>2869</v>
      </c>
      <c r="F25" s="16"/>
      <c r="G25" s="18" t="s">
        <v>1405</v>
      </c>
      <c r="H25" s="16"/>
      <c r="I25" s="18" t="s">
        <v>3610</v>
      </c>
      <c r="J25" s="16"/>
      <c r="K25" s="18" t="s">
        <v>4348</v>
      </c>
      <c r="L25" s="16"/>
      <c r="M25" s="18" t="s">
        <v>5023</v>
      </c>
      <c r="N25" s="16"/>
      <c r="O25" s="18" t="s">
        <v>5765</v>
      </c>
      <c r="P25" s="16"/>
      <c r="Q25" s="18" t="s">
        <v>6409</v>
      </c>
      <c r="R25" s="16"/>
      <c r="S25" s="18"/>
      <c r="T25" s="21"/>
    </row>
    <row r="26" spans="1:20" ht="15.95" customHeight="1" x14ac:dyDescent="0.25">
      <c r="A26" s="18" t="s">
        <v>235</v>
      </c>
      <c r="B26" s="16"/>
      <c r="C26" s="18" t="s">
        <v>2151</v>
      </c>
      <c r="D26" s="16"/>
      <c r="E26" s="18" t="s">
        <v>2870</v>
      </c>
      <c r="F26" s="16"/>
      <c r="G26" s="18" t="s">
        <v>1406</v>
      </c>
      <c r="H26" s="16"/>
      <c r="I26" s="18" t="s">
        <v>3611</v>
      </c>
      <c r="J26" s="16"/>
      <c r="K26" s="18" t="s">
        <v>4349</v>
      </c>
      <c r="L26" s="16"/>
      <c r="M26" s="18" t="s">
        <v>5024</v>
      </c>
      <c r="N26" s="16"/>
      <c r="O26" s="18" t="s">
        <v>5766</v>
      </c>
      <c r="P26" s="16"/>
      <c r="Q26" s="18" t="s">
        <v>6410</v>
      </c>
      <c r="R26" s="16"/>
      <c r="S26" s="18"/>
      <c r="T26" s="21"/>
    </row>
    <row r="27" spans="1:20" ht="15.95" customHeight="1" x14ac:dyDescent="0.25">
      <c r="A27" s="18" t="s">
        <v>236</v>
      </c>
      <c r="B27" s="16"/>
      <c r="C27" s="18" t="s">
        <v>2152</v>
      </c>
      <c r="D27" s="16"/>
      <c r="E27" s="18" t="s">
        <v>2871</v>
      </c>
      <c r="F27" s="16"/>
      <c r="G27" s="18" t="s">
        <v>1407</v>
      </c>
      <c r="H27" s="16"/>
      <c r="I27" s="18" t="s">
        <v>3612</v>
      </c>
      <c r="J27" s="16"/>
      <c r="K27" s="18" t="s">
        <v>4350</v>
      </c>
      <c r="L27" s="16"/>
      <c r="M27" s="18" t="s">
        <v>5025</v>
      </c>
      <c r="N27" s="16"/>
      <c r="O27" s="18" t="s">
        <v>5767</v>
      </c>
      <c r="P27" s="16"/>
      <c r="Q27" s="18" t="s">
        <v>6411</v>
      </c>
      <c r="R27" s="16"/>
      <c r="S27" s="18"/>
      <c r="T27" s="21"/>
    </row>
    <row r="28" spans="1:20" ht="15.95" customHeight="1" x14ac:dyDescent="0.25">
      <c r="A28" s="18" t="s">
        <v>237</v>
      </c>
      <c r="B28" s="16"/>
      <c r="C28" s="18" t="s">
        <v>2153</v>
      </c>
      <c r="D28" s="16"/>
      <c r="E28" s="18" t="s">
        <v>2872</v>
      </c>
      <c r="F28" s="16"/>
      <c r="G28" s="18" t="s">
        <v>1408</v>
      </c>
      <c r="H28" s="16"/>
      <c r="I28" s="18" t="s">
        <v>3613</v>
      </c>
      <c r="J28" s="16"/>
      <c r="K28" s="18" t="s">
        <v>4351</v>
      </c>
      <c r="L28" s="16"/>
      <c r="M28" s="18" t="s">
        <v>5026</v>
      </c>
      <c r="N28" s="16"/>
      <c r="O28" s="18" t="s">
        <v>5768</v>
      </c>
      <c r="P28" s="16"/>
      <c r="Q28" s="18" t="s">
        <v>6412</v>
      </c>
      <c r="R28" s="16"/>
      <c r="S28" s="18"/>
      <c r="T28" s="21"/>
    </row>
    <row r="29" spans="1:20" ht="15.95" customHeight="1" x14ac:dyDescent="0.25">
      <c r="A29" s="18" t="s">
        <v>238</v>
      </c>
      <c r="B29" s="16"/>
      <c r="C29" s="18" t="s">
        <v>1823</v>
      </c>
      <c r="D29" s="16"/>
      <c r="E29" s="18" t="s">
        <v>2541</v>
      </c>
      <c r="F29" s="16"/>
      <c r="G29" s="18" t="s">
        <v>1088</v>
      </c>
      <c r="H29" s="16"/>
      <c r="I29" s="18" t="s">
        <v>3264</v>
      </c>
      <c r="J29" s="16"/>
      <c r="K29" s="18" t="s">
        <v>4009</v>
      </c>
      <c r="L29" s="16"/>
      <c r="M29" s="18" t="s">
        <v>4732</v>
      </c>
      <c r="N29" s="16"/>
      <c r="O29" s="18" t="s">
        <v>5423</v>
      </c>
      <c r="P29" s="16"/>
      <c r="Q29" s="18" t="s">
        <v>6138</v>
      </c>
      <c r="R29" s="16"/>
      <c r="S29" s="18"/>
      <c r="T29" s="21"/>
    </row>
    <row r="30" spans="1:20" ht="15.95" customHeight="1" x14ac:dyDescent="0.25">
      <c r="A30" s="18" t="s">
        <v>239</v>
      </c>
      <c r="B30" s="16"/>
      <c r="C30" s="18" t="s">
        <v>2154</v>
      </c>
      <c r="D30" s="16"/>
      <c r="E30" s="18" t="s">
        <v>2873</v>
      </c>
      <c r="F30" s="16"/>
      <c r="G30" s="18" t="s">
        <v>1409</v>
      </c>
      <c r="H30" s="16"/>
      <c r="I30" s="18" t="s">
        <v>3614</v>
      </c>
      <c r="J30" s="16"/>
      <c r="K30" s="18" t="s">
        <v>4352</v>
      </c>
      <c r="L30" s="16"/>
      <c r="M30" s="18" t="s">
        <v>5027</v>
      </c>
      <c r="N30" s="16"/>
      <c r="O30" s="18" t="s">
        <v>5769</v>
      </c>
      <c r="P30" s="16"/>
      <c r="Q30" s="18" t="s">
        <v>6413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240</v>
      </c>
      <c r="B32" s="16"/>
      <c r="C32" s="18" t="s">
        <v>2155</v>
      </c>
      <c r="D32" s="16"/>
      <c r="E32" s="18" t="s">
        <v>2874</v>
      </c>
      <c r="F32" s="16"/>
      <c r="G32" s="18" t="s">
        <v>1410</v>
      </c>
      <c r="H32" s="16"/>
      <c r="I32" s="18" t="s">
        <v>3615</v>
      </c>
      <c r="J32" s="16"/>
      <c r="K32" s="18" t="s">
        <v>4353</v>
      </c>
      <c r="L32" s="16"/>
      <c r="M32" s="18" t="s">
        <v>5028</v>
      </c>
      <c r="N32" s="16"/>
      <c r="O32" s="18" t="s">
        <v>5770</v>
      </c>
      <c r="P32" s="16"/>
      <c r="Q32" s="18" t="s">
        <v>6414</v>
      </c>
      <c r="R32" s="16"/>
      <c r="S32" s="18"/>
      <c r="T32" s="21"/>
    </row>
    <row r="33" spans="1:20" ht="15.95" customHeight="1" x14ac:dyDescent="0.25">
      <c r="A33" s="22" t="s">
        <v>241</v>
      </c>
      <c r="B33" s="16"/>
      <c r="C33" s="18" t="s">
        <v>2156</v>
      </c>
      <c r="D33" s="16"/>
      <c r="E33" s="18" t="s">
        <v>2875</v>
      </c>
      <c r="F33" s="16"/>
      <c r="G33" s="18" t="s">
        <v>1411</v>
      </c>
      <c r="H33" s="16"/>
      <c r="I33" s="18" t="s">
        <v>3616</v>
      </c>
      <c r="J33" s="16"/>
      <c r="K33" s="18" t="s">
        <v>4354</v>
      </c>
      <c r="L33" s="16"/>
      <c r="M33" s="18" t="s">
        <v>5029</v>
      </c>
      <c r="N33" s="16"/>
      <c r="O33" s="18" t="s">
        <v>5771</v>
      </c>
      <c r="P33" s="16"/>
      <c r="Q33" s="18" t="s">
        <v>6415</v>
      </c>
      <c r="R33" s="16"/>
      <c r="S33" s="18"/>
      <c r="T33" s="21"/>
    </row>
    <row r="34" spans="1:20" ht="15.95" customHeight="1" x14ac:dyDescent="0.25">
      <c r="A34" s="18" t="s">
        <v>242</v>
      </c>
      <c r="B34" s="16"/>
      <c r="C34" s="18" t="s">
        <v>2157</v>
      </c>
      <c r="D34" s="16"/>
      <c r="E34" s="18" t="s">
        <v>2876</v>
      </c>
      <c r="F34" s="16"/>
      <c r="G34" s="18" t="s">
        <v>1412</v>
      </c>
      <c r="H34" s="16"/>
      <c r="I34" s="18" t="s">
        <v>3617</v>
      </c>
      <c r="J34" s="16"/>
      <c r="K34" s="18" t="s">
        <v>4355</v>
      </c>
      <c r="L34" s="16"/>
      <c r="M34" s="18" t="s">
        <v>5030</v>
      </c>
      <c r="N34" s="16"/>
      <c r="O34" s="18" t="s">
        <v>5772</v>
      </c>
      <c r="P34" s="16"/>
      <c r="Q34" s="18" t="s">
        <v>6416</v>
      </c>
      <c r="R34" s="16"/>
      <c r="S34" s="18"/>
      <c r="T34" s="21"/>
    </row>
    <row r="35" spans="1:20" ht="15.95" customHeight="1" x14ac:dyDescent="0.25">
      <c r="A35" s="18" t="s">
        <v>243</v>
      </c>
      <c r="B35" s="16"/>
      <c r="C35" s="18" t="s">
        <v>2158</v>
      </c>
      <c r="D35" s="16"/>
      <c r="E35" s="18" t="s">
        <v>2877</v>
      </c>
      <c r="F35" s="16"/>
      <c r="G35" s="18" t="s">
        <v>1413</v>
      </c>
      <c r="H35" s="16"/>
      <c r="I35" s="18" t="s">
        <v>3618</v>
      </c>
      <c r="J35" s="16"/>
      <c r="K35" s="18" t="s">
        <v>4356</v>
      </c>
      <c r="L35" s="16"/>
      <c r="M35" s="18" t="s">
        <v>5031</v>
      </c>
      <c r="N35" s="16"/>
      <c r="O35" s="18" t="s">
        <v>5773</v>
      </c>
      <c r="P35" s="16"/>
      <c r="Q35" s="18" t="s">
        <v>6417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2" priority="2" stopIfTrue="1">
      <formula>NOT(ISERROR(A3))</formula>
    </cfRule>
  </conditionalFormatting>
  <conditionalFormatting sqref="A3:T51">
    <cfRule type="containsErrors" dxfId="211" priority="1" stopIfTrue="1">
      <formula>ISERROR(A3)</formula>
    </cfRule>
    <cfRule type="notContainsBlanks" dxfId="210"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244</v>
      </c>
      <c r="B3" s="16" t="str">
        <f>TRIM(_xlfn.TEXTBEFORE(A3, ":"))</f>
        <v>Item Class</v>
      </c>
      <c r="C3" s="17" t="s">
        <v>2159</v>
      </c>
      <c r="D3" s="16" t="str">
        <f>TRIM(_xlfn.TEXTBEFORE(C3, ":"))</f>
        <v>Gegenstandsklasse</v>
      </c>
      <c r="E3" s="17" t="s">
        <v>2878</v>
      </c>
      <c r="F3" s="16" t="str">
        <f>TRIM(_xlfn.TEXTBEFORE(E3, ":"))</f>
        <v>Clase de objeto</v>
      </c>
      <c r="G3" s="17" t="s">
        <v>1414</v>
      </c>
      <c r="H3" s="16" t="str">
        <f>TRIM(_xlfn.TEXTBEFORE(G3, ":"))</f>
        <v>Classe d'objet</v>
      </c>
      <c r="I3" s="17" t="s">
        <v>3619</v>
      </c>
      <c r="J3" s="16" t="str">
        <f>TRIM(_xlfn.TEXTBEFORE(I3, ":"))</f>
        <v>アイテムクラス</v>
      </c>
      <c r="K3" s="17" t="s">
        <v>4357</v>
      </c>
      <c r="L3" s="16" t="str">
        <f>TRIM(_xlfn.TEXTBEFORE(K3, ":"))</f>
        <v>아이템 종류</v>
      </c>
      <c r="M3" s="17" t="s">
        <v>5032</v>
      </c>
      <c r="N3" s="16" t="str">
        <f>TRIM(_xlfn.TEXTBEFORE(M3, ":"))</f>
        <v>Classe do Item</v>
      </c>
      <c r="O3" s="17" t="s">
        <v>5774</v>
      </c>
      <c r="P3" s="16" t="str">
        <f>TRIM(_xlfn.TEXTBEFORE(O3, ":"))</f>
        <v>Класс предмета</v>
      </c>
      <c r="Q3" s="17" t="s">
        <v>6418</v>
      </c>
      <c r="R3" s="16" t="str">
        <f>TRIM(_xlfn.TEXTBEFORE(Q3, ":"))</f>
        <v>ชนิดไอเทม</v>
      </c>
      <c r="S3" s="17"/>
      <c r="T3" s="16" t="e">
        <f>TRIM(_xlfn.TEXTBEFORE(S3, ":"))</f>
        <v>#N/A</v>
      </c>
    </row>
    <row r="4" spans="1:20" ht="15.95" customHeight="1" x14ac:dyDescent="0.25">
      <c r="A4" s="18" t="s">
        <v>81</v>
      </c>
      <c r="B4" s="16" t="str">
        <f>TRIM(_xlfn.TEXTAFTER(A3, ":"))</f>
        <v>One Hand Axes</v>
      </c>
      <c r="C4" s="18" t="s">
        <v>1644</v>
      </c>
      <c r="D4" s="16" t="str">
        <f>TRIM(_xlfn.TEXTAFTER(C3, ":"))</f>
        <v>Einhandäxte</v>
      </c>
      <c r="E4" s="18" t="s">
        <v>2364</v>
      </c>
      <c r="F4" s="16" t="str">
        <f>TRIM(_xlfn.TEXTAFTER(E3, ":"))</f>
        <v>Hachas a una mano</v>
      </c>
      <c r="G4" s="18" t="s">
        <v>1</v>
      </c>
      <c r="H4" s="16" t="str">
        <f>TRIM(_xlfn.TEXTAFTER(G3, ":"))</f>
        <v>Haches à une main</v>
      </c>
      <c r="I4" s="18" t="s">
        <v>3079</v>
      </c>
      <c r="J4" s="16" t="str">
        <f>TRIM(_xlfn.TEXTAFTER(I3, ":"))</f>
        <v>片手斧</v>
      </c>
      <c r="K4" s="18" t="s">
        <v>3829</v>
      </c>
      <c r="L4" s="16" t="str">
        <f>TRIM(_xlfn.TEXTAFTER(K3, ":"))</f>
        <v>한손 도끼</v>
      </c>
      <c r="M4" s="18" t="s">
        <v>4558</v>
      </c>
      <c r="N4" s="16" t="str">
        <f>TRIM(_xlfn.TEXTAFTER(M3, ":"))</f>
        <v>Machados de Uma Mão</v>
      </c>
      <c r="O4" s="18" t="s">
        <v>5241</v>
      </c>
      <c r="P4" s="16" t="str">
        <f>TRIM(_xlfn.TEXTAFTER(O3, ":"))</f>
        <v>Одноручные топоры</v>
      </c>
      <c r="Q4" s="18" t="s">
        <v>5978</v>
      </c>
      <c r="R4" s="16" t="str">
        <f>TRIM(_xlfn.TEXTAFTER(Q3, ":"))</f>
        <v>ขวานมือเดียว</v>
      </c>
      <c r="S4" s="18"/>
      <c r="T4" s="16" t="e">
        <f>TRIM(_xlfn.TEXTAFTER(S3, ":"))</f>
        <v>#N/A</v>
      </c>
    </row>
    <row r="5" spans="1:20" ht="15.95" customHeight="1" x14ac:dyDescent="0.25">
      <c r="A5" s="18" t="s">
        <v>245</v>
      </c>
      <c r="B5" s="16" t="str">
        <f>TRIM(_xlfn.TEXTBEFORE(A4, ":"))</f>
        <v>Rarity</v>
      </c>
      <c r="C5" s="18" t="s">
        <v>245</v>
      </c>
      <c r="D5" s="16" t="str">
        <f>TRIM(_xlfn.TEXTBEFORE(C4, ":"))</f>
        <v>Seltenheit</v>
      </c>
      <c r="E5" s="18" t="s">
        <v>245</v>
      </c>
      <c r="F5" s="16" t="str">
        <f>TRIM(_xlfn.TEXTBEFORE(E4, ":"))</f>
        <v>Rareza</v>
      </c>
      <c r="G5" s="18" t="s">
        <v>245</v>
      </c>
      <c r="H5" s="16" t="str">
        <f>TRIM(_xlfn.TEXTBEFORE(G4, ":"))</f>
        <v>Rareté</v>
      </c>
      <c r="I5" s="18" t="s">
        <v>3620</v>
      </c>
      <c r="J5" s="16" t="str">
        <f>TRIM(_xlfn.TEXTBEFORE(I4, ":"))</f>
        <v>レアリティ</v>
      </c>
      <c r="K5" s="18" t="s">
        <v>4358</v>
      </c>
      <c r="L5" s="16" t="str">
        <f>TRIM(_xlfn.TEXTBEFORE(K4, ":"))</f>
        <v>아이템 희귀도</v>
      </c>
      <c r="M5" s="18" t="s">
        <v>245</v>
      </c>
      <c r="N5" s="16" t="str">
        <f>TRIM(_xlfn.TEXTBEFORE(M4, ":"))</f>
        <v>Raridade</v>
      </c>
      <c r="O5" s="18" t="s">
        <v>5775</v>
      </c>
      <c r="P5" s="16" t="str">
        <f>TRIM(_xlfn.TEXTBEFORE(O4, ":"))</f>
        <v>Редкость</v>
      </c>
      <c r="Q5" s="18" t="s">
        <v>245</v>
      </c>
      <c r="R5" s="16" t="str">
        <f>TRIM(_xlfn.TEXTBEFORE(Q4, ":"))</f>
        <v>ความหายาก</v>
      </c>
      <c r="S5" s="18"/>
      <c r="T5" s="16" t="e">
        <f>TRIM(_xlfn.TEXTBEFORE(S4, ":"))</f>
        <v>#N/A</v>
      </c>
    </row>
    <row r="6" spans="1:20" ht="15.95" customHeight="1" x14ac:dyDescent="0.25">
      <c r="A6" s="18" t="s">
        <v>246</v>
      </c>
      <c r="B6" s="16" t="str">
        <f>TRIM(_xlfn.TEXTAFTER(A4,":"))</f>
        <v>Unique</v>
      </c>
      <c r="C6" s="18" t="s">
        <v>2160</v>
      </c>
      <c r="D6" s="16" t="str">
        <f>TRIM(_xlfn.TEXTAFTER(C4,":"))</f>
        <v>Einzigartig</v>
      </c>
      <c r="E6" s="18" t="s">
        <v>2879</v>
      </c>
      <c r="F6" s="16" t="str">
        <f>TRIM(_xlfn.TEXTAFTER(E4,":"))</f>
        <v>Único</v>
      </c>
      <c r="G6" s="18" t="s">
        <v>1415</v>
      </c>
      <c r="H6" s="16" t="str">
        <f>TRIM(_xlfn.TEXTAFTER(G4,":"))</f>
        <v>Unique</v>
      </c>
      <c r="I6" s="18" t="s">
        <v>3621</v>
      </c>
      <c r="J6" s="16" t="str">
        <f>TRIM(_xlfn.TEXTAFTER(I4,":"))</f>
        <v>ユニーク</v>
      </c>
      <c r="K6" s="18" t="s">
        <v>4359</v>
      </c>
      <c r="L6" s="16" t="str">
        <f>TRIM(_xlfn.TEXTAFTER(K4,":"))</f>
        <v>고유</v>
      </c>
      <c r="M6" s="18" t="s">
        <v>5033</v>
      </c>
      <c r="N6" s="16" t="str">
        <f>TRIM(_xlfn.TEXTAFTER(M4,":"))</f>
        <v>Único</v>
      </c>
      <c r="O6" s="18" t="s">
        <v>5776</v>
      </c>
      <c r="P6" s="16" t="str">
        <f>TRIM(_xlfn.TEXTAFTER(O4,":"))</f>
        <v>Уникальный</v>
      </c>
      <c r="Q6" s="18" t="s">
        <v>246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247</v>
      </c>
      <c r="B8" s="16"/>
      <c r="C8" s="18" t="s">
        <v>2161</v>
      </c>
      <c r="D8" s="16"/>
      <c r="E8" s="18" t="s">
        <v>2880</v>
      </c>
      <c r="F8" s="16"/>
      <c r="G8" s="18" t="s">
        <v>1416</v>
      </c>
      <c r="H8" s="16"/>
      <c r="I8" s="18" t="s">
        <v>3622</v>
      </c>
      <c r="J8" s="16"/>
      <c r="K8" s="18" t="s">
        <v>4360</v>
      </c>
      <c r="L8" s="16"/>
      <c r="M8" s="18" t="s">
        <v>5034</v>
      </c>
      <c r="N8" s="16"/>
      <c r="O8" s="18" t="s">
        <v>5777</v>
      </c>
      <c r="P8" s="16"/>
      <c r="Q8" s="18" t="s">
        <v>6419</v>
      </c>
      <c r="R8" s="16"/>
      <c r="S8" s="18"/>
      <c r="T8" s="16"/>
    </row>
    <row r="9" spans="1:20" ht="15.95" customHeight="1" x14ac:dyDescent="0.25">
      <c r="A9" s="18" t="s">
        <v>248</v>
      </c>
      <c r="B9" s="16"/>
      <c r="C9" s="18" t="s">
        <v>2162</v>
      </c>
      <c r="D9" s="16"/>
      <c r="E9" s="18" t="s">
        <v>2881</v>
      </c>
      <c r="F9" s="16"/>
      <c r="G9" s="18" t="s">
        <v>1417</v>
      </c>
      <c r="H9" s="16"/>
      <c r="I9" s="18" t="s">
        <v>3623</v>
      </c>
      <c r="J9" s="16"/>
      <c r="K9" s="18" t="s">
        <v>4361</v>
      </c>
      <c r="L9" s="16"/>
      <c r="M9" s="18" t="s">
        <v>5035</v>
      </c>
      <c r="N9" s="16"/>
      <c r="O9" s="18" t="s">
        <v>5778</v>
      </c>
      <c r="P9" s="16"/>
      <c r="Q9" s="18" t="s">
        <v>6420</v>
      </c>
      <c r="R9" s="16"/>
      <c r="S9" s="18"/>
      <c r="T9" s="16"/>
    </row>
    <row r="10" spans="1:20" ht="15.95" customHeight="1" x14ac:dyDescent="0.25">
      <c r="A10" s="18" t="s">
        <v>249</v>
      </c>
      <c r="B10" s="16"/>
      <c r="C10" s="18" t="s">
        <v>2163</v>
      </c>
      <c r="D10" s="16"/>
      <c r="E10" s="18" t="s">
        <v>2882</v>
      </c>
      <c r="F10" s="16"/>
      <c r="G10" s="18" t="s">
        <v>1418</v>
      </c>
      <c r="H10" s="16"/>
      <c r="I10" s="18" t="s">
        <v>3624</v>
      </c>
      <c r="J10" s="16"/>
      <c r="K10" s="18" t="s">
        <v>4362</v>
      </c>
      <c r="L10" s="16"/>
      <c r="M10" s="18" t="s">
        <v>5036</v>
      </c>
      <c r="N10" s="16"/>
      <c r="O10" s="18" t="s">
        <v>5779</v>
      </c>
      <c r="P10" s="16"/>
      <c r="Q10" s="18" t="s">
        <v>6421</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250</v>
      </c>
      <c r="B12" s="16"/>
      <c r="C12" s="18" t="s">
        <v>2164</v>
      </c>
      <c r="D12" s="16"/>
      <c r="E12" s="18" t="s">
        <v>2883</v>
      </c>
      <c r="F12" s="16"/>
      <c r="G12" s="18" t="s">
        <v>1419</v>
      </c>
      <c r="H12" s="16"/>
      <c r="I12" s="18" t="s">
        <v>3625</v>
      </c>
      <c r="J12" s="16"/>
      <c r="K12" s="18" t="s">
        <v>4363</v>
      </c>
      <c r="L12" s="16"/>
      <c r="M12" s="18" t="s">
        <v>5037</v>
      </c>
      <c r="N12" s="16"/>
      <c r="O12" s="18" t="s">
        <v>5780</v>
      </c>
      <c r="P12" s="16"/>
      <c r="Q12" s="18" t="s">
        <v>6422</v>
      </c>
      <c r="R12" s="16"/>
      <c r="S12" s="18"/>
      <c r="T12" s="21"/>
    </row>
    <row r="13" spans="1:20" ht="15.95" customHeight="1" x14ac:dyDescent="0.25">
      <c r="A13" s="18" t="s">
        <v>107</v>
      </c>
      <c r="B13" s="16"/>
      <c r="C13" s="18" t="s">
        <v>1984</v>
      </c>
      <c r="D13" s="16"/>
      <c r="E13" s="18" t="s">
        <v>2705</v>
      </c>
      <c r="F13" s="16"/>
      <c r="G13" s="18" t="s">
        <v>1240</v>
      </c>
      <c r="H13" s="16"/>
      <c r="I13" s="18" t="s">
        <v>3432</v>
      </c>
      <c r="J13" s="16"/>
      <c r="K13" s="18" t="s">
        <v>4176</v>
      </c>
      <c r="L13" s="16"/>
      <c r="M13" s="18" t="s">
        <v>4923</v>
      </c>
      <c r="N13" s="16"/>
      <c r="O13" s="18" t="s">
        <v>5590</v>
      </c>
      <c r="P13" s="16"/>
      <c r="Q13" s="18" t="s">
        <v>6270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251</v>
      </c>
      <c r="B16" s="16"/>
      <c r="C16" s="18" t="s">
        <v>2165</v>
      </c>
      <c r="D16" s="16"/>
      <c r="E16" s="18" t="s">
        <v>2884</v>
      </c>
      <c r="F16" s="16"/>
      <c r="G16" s="18" t="s">
        <v>1420</v>
      </c>
      <c r="H16" s="16"/>
      <c r="I16" s="18" t="s">
        <v>3626</v>
      </c>
      <c r="J16" s="16"/>
      <c r="K16" s="18" t="s">
        <v>4364</v>
      </c>
      <c r="L16" s="16"/>
      <c r="M16" s="18" t="s">
        <v>5038</v>
      </c>
      <c r="N16" s="16"/>
      <c r="O16" s="18" t="s">
        <v>5781</v>
      </c>
      <c r="P16" s="16"/>
      <c r="Q16" s="18" t="s">
        <v>6423</v>
      </c>
      <c r="R16" s="16"/>
      <c r="S16" s="18"/>
      <c r="T16" s="21"/>
    </row>
    <row r="17" spans="1:20" ht="15.95" customHeight="1" x14ac:dyDescent="0.25">
      <c r="A17" s="18" t="s">
        <v>252</v>
      </c>
      <c r="B17" s="16"/>
      <c r="C17" s="18" t="s">
        <v>252</v>
      </c>
      <c r="D17" s="16"/>
      <c r="E17" s="18" t="s">
        <v>2885</v>
      </c>
      <c r="F17" s="16"/>
      <c r="G17" s="18" t="s">
        <v>1421</v>
      </c>
      <c r="H17" s="16"/>
      <c r="I17" s="18" t="s">
        <v>3627</v>
      </c>
      <c r="J17" s="16"/>
      <c r="K17" s="18" t="s">
        <v>4365</v>
      </c>
      <c r="L17" s="16"/>
      <c r="M17" s="18" t="s">
        <v>1421</v>
      </c>
      <c r="N17" s="16"/>
      <c r="O17" s="18" t="s">
        <v>5782</v>
      </c>
      <c r="P17" s="16"/>
      <c r="Q17" s="18" t="s">
        <v>252</v>
      </c>
      <c r="R17" s="16"/>
      <c r="S17" s="18"/>
      <c r="T17" s="21"/>
    </row>
    <row r="18" spans="1:20" ht="15.95" customHeight="1" x14ac:dyDescent="0.25">
      <c r="A18" s="18" t="s">
        <v>253</v>
      </c>
      <c r="B18" s="16"/>
      <c r="C18" s="18" t="s">
        <v>2166</v>
      </c>
      <c r="D18" s="16"/>
      <c r="E18" s="18" t="s">
        <v>2886</v>
      </c>
      <c r="F18" s="16"/>
      <c r="G18" s="18" t="s">
        <v>253</v>
      </c>
      <c r="H18" s="16"/>
      <c r="I18" s="18" t="s">
        <v>3628</v>
      </c>
      <c r="J18" s="16"/>
      <c r="K18" s="18" t="s">
        <v>4366</v>
      </c>
      <c r="L18" s="16"/>
      <c r="M18" s="18" t="s">
        <v>2886</v>
      </c>
      <c r="N18" s="16"/>
      <c r="O18" s="18" t="s">
        <v>5783</v>
      </c>
      <c r="P18" s="16"/>
      <c r="Q18" s="18" t="s">
        <v>253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254</v>
      </c>
      <c r="B20" s="16"/>
      <c r="C20" s="18" t="s">
        <v>2167</v>
      </c>
      <c r="D20" s="16"/>
      <c r="E20" s="18" t="s">
        <v>2887</v>
      </c>
      <c r="F20" s="16"/>
      <c r="G20" s="18" t="s">
        <v>1422</v>
      </c>
      <c r="H20" s="16"/>
      <c r="I20" s="18" t="s">
        <v>3629</v>
      </c>
      <c r="J20" s="16"/>
      <c r="K20" s="18" t="s">
        <v>4367</v>
      </c>
      <c r="L20" s="16"/>
      <c r="M20" s="18" t="s">
        <v>5039</v>
      </c>
      <c r="N20" s="16"/>
      <c r="O20" s="18" t="s">
        <v>5784</v>
      </c>
      <c r="P20" s="16"/>
      <c r="Q20" s="18" t="s">
        <v>6424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255</v>
      </c>
      <c r="B22" s="16"/>
      <c r="C22" s="18" t="s">
        <v>1731</v>
      </c>
      <c r="D22" s="16"/>
      <c r="E22" s="18" t="s">
        <v>2450</v>
      </c>
      <c r="F22" s="16"/>
      <c r="G22" s="18" t="s">
        <v>999</v>
      </c>
      <c r="H22" s="16"/>
      <c r="I22" s="18" t="s">
        <v>3168</v>
      </c>
      <c r="J22" s="16"/>
      <c r="K22" s="18" t="s">
        <v>3915</v>
      </c>
      <c r="L22" s="16"/>
      <c r="M22" s="18" t="s">
        <v>4644</v>
      </c>
      <c r="N22" s="16"/>
      <c r="O22" s="18" t="s">
        <v>5329</v>
      </c>
      <c r="P22" s="16"/>
      <c r="Q22" s="18" t="s">
        <v>6061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256</v>
      </c>
      <c r="B24" s="16"/>
      <c r="C24" s="18" t="s">
        <v>2168</v>
      </c>
      <c r="D24" s="16"/>
      <c r="E24" s="18" t="s">
        <v>2888</v>
      </c>
      <c r="F24" s="16"/>
      <c r="G24" s="18" t="s">
        <v>1423</v>
      </c>
      <c r="H24" s="16"/>
      <c r="I24" s="18" t="s">
        <v>3630</v>
      </c>
      <c r="J24" s="16"/>
      <c r="K24" s="18" t="s">
        <v>4368</v>
      </c>
      <c r="L24" s="16"/>
      <c r="M24" s="18" t="s">
        <v>5040</v>
      </c>
      <c r="N24" s="16"/>
      <c r="O24" s="18" t="s">
        <v>5785</v>
      </c>
      <c r="P24" s="16"/>
      <c r="Q24" s="18" t="s">
        <v>6425</v>
      </c>
      <c r="R24" s="16"/>
      <c r="S24" s="18"/>
      <c r="T24" s="21"/>
    </row>
    <row r="25" spans="1:20" ht="15.95" customHeight="1" x14ac:dyDescent="0.25">
      <c r="A25" s="18" t="s">
        <v>257</v>
      </c>
      <c r="B25" s="16"/>
      <c r="C25" s="18" t="s">
        <v>2169</v>
      </c>
      <c r="D25" s="16"/>
      <c r="E25" s="18" t="s">
        <v>2889</v>
      </c>
      <c r="F25" s="16"/>
      <c r="G25" s="18" t="s">
        <v>1424</v>
      </c>
      <c r="H25" s="16"/>
      <c r="I25" s="18" t="s">
        <v>3631</v>
      </c>
      <c r="J25" s="16"/>
      <c r="K25" s="18" t="s">
        <v>4369</v>
      </c>
      <c r="L25" s="16"/>
      <c r="M25" s="18" t="s">
        <v>5041</v>
      </c>
      <c r="N25" s="16"/>
      <c r="O25" s="18" t="s">
        <v>5786</v>
      </c>
      <c r="P25" s="16"/>
      <c r="Q25" s="18" t="s">
        <v>6426</v>
      </c>
      <c r="R25" s="16"/>
      <c r="S25" s="18"/>
      <c r="T25" s="21"/>
    </row>
    <row r="26" spans="1:20" ht="15.95" customHeight="1" x14ac:dyDescent="0.25">
      <c r="A26" s="18" t="s">
        <v>258</v>
      </c>
      <c r="B26" s="16"/>
      <c r="C26" s="18" t="s">
        <v>2170</v>
      </c>
      <c r="D26" s="16"/>
      <c r="E26" s="18" t="s">
        <v>2890</v>
      </c>
      <c r="F26" s="16"/>
      <c r="G26" s="18" t="s">
        <v>1425</v>
      </c>
      <c r="H26" s="16"/>
      <c r="I26" s="18" t="s">
        <v>3632</v>
      </c>
      <c r="J26" s="16"/>
      <c r="K26" s="18" t="s">
        <v>4370</v>
      </c>
      <c r="L26" s="16"/>
      <c r="M26" s="18" t="s">
        <v>5042</v>
      </c>
      <c r="N26" s="16"/>
      <c r="O26" s="18" t="s">
        <v>5787</v>
      </c>
      <c r="P26" s="16"/>
      <c r="Q26" s="18" t="s">
        <v>6427</v>
      </c>
      <c r="R26" s="16"/>
      <c r="S26" s="18"/>
      <c r="T26" s="21"/>
    </row>
    <row r="27" spans="1:20" ht="15.95" customHeight="1" x14ac:dyDescent="0.25">
      <c r="A27" s="18" t="s">
        <v>259</v>
      </c>
      <c r="B27" s="16"/>
      <c r="C27" s="18" t="s">
        <v>2171</v>
      </c>
      <c r="D27" s="16"/>
      <c r="E27" s="18" t="s">
        <v>2891</v>
      </c>
      <c r="F27" s="16"/>
      <c r="G27" s="18" t="s">
        <v>1426</v>
      </c>
      <c r="H27" s="16"/>
      <c r="I27" s="18" t="s">
        <v>3633</v>
      </c>
      <c r="J27" s="16"/>
      <c r="K27" s="18" t="s">
        <v>4371</v>
      </c>
      <c r="L27" s="16"/>
      <c r="M27" s="18" t="s">
        <v>5043</v>
      </c>
      <c r="N27" s="16"/>
      <c r="O27" s="18" t="s">
        <v>5788</v>
      </c>
      <c r="P27" s="16"/>
      <c r="Q27" s="18" t="s">
        <v>6428</v>
      </c>
      <c r="R27" s="16"/>
      <c r="S27" s="18"/>
      <c r="T27" s="21"/>
    </row>
    <row r="28" spans="1:20" ht="15.95" customHeight="1" x14ac:dyDescent="0.25">
      <c r="A28" s="18" t="s">
        <v>260</v>
      </c>
      <c r="B28" s="16"/>
      <c r="C28" s="18" t="s">
        <v>2172</v>
      </c>
      <c r="D28" s="16"/>
      <c r="E28" s="18" t="s">
        <v>2892</v>
      </c>
      <c r="F28" s="16"/>
      <c r="G28" s="18" t="s">
        <v>1427</v>
      </c>
      <c r="H28" s="16"/>
      <c r="I28" s="18" t="s">
        <v>3634</v>
      </c>
      <c r="J28" s="16"/>
      <c r="K28" s="18" t="s">
        <v>4372</v>
      </c>
      <c r="L28" s="16"/>
      <c r="M28" s="18" t="s">
        <v>5044</v>
      </c>
      <c r="N28" s="16"/>
      <c r="O28" s="18" t="s">
        <v>5789</v>
      </c>
      <c r="P28" s="16"/>
      <c r="Q28" s="18" t="s">
        <v>6429</v>
      </c>
      <c r="R28" s="16"/>
      <c r="S28" s="18"/>
      <c r="T28" s="21"/>
    </row>
    <row r="29" spans="1:20" ht="15.95" customHeight="1" x14ac:dyDescent="0.25">
      <c r="A29" s="18" t="s">
        <v>261</v>
      </c>
      <c r="B29" s="16"/>
      <c r="C29" s="18" t="s">
        <v>2173</v>
      </c>
      <c r="D29" s="16"/>
      <c r="E29" s="18" t="s">
        <v>2893</v>
      </c>
      <c r="F29" s="16"/>
      <c r="G29" s="18" t="s">
        <v>1428</v>
      </c>
      <c r="H29" s="16"/>
      <c r="I29" s="18" t="s">
        <v>3635</v>
      </c>
      <c r="J29" s="16"/>
      <c r="K29" s="18" t="s">
        <v>4373</v>
      </c>
      <c r="L29" s="16"/>
      <c r="M29" s="18" t="s">
        <v>5045</v>
      </c>
      <c r="N29" s="16"/>
      <c r="O29" s="18" t="s">
        <v>5790</v>
      </c>
      <c r="P29" s="16"/>
      <c r="Q29" s="18" t="s">
        <v>6430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262</v>
      </c>
      <c r="B31" s="16"/>
      <c r="C31" s="18" t="s">
        <v>2174</v>
      </c>
      <c r="D31" s="16"/>
      <c r="E31" s="18" t="s">
        <v>2894</v>
      </c>
      <c r="F31" s="16"/>
      <c r="G31" s="18" t="s">
        <v>1429</v>
      </c>
      <c r="H31" s="16"/>
      <c r="I31" s="18" t="s">
        <v>3636</v>
      </c>
      <c r="J31" s="16"/>
      <c r="K31" s="18" t="s">
        <v>4374</v>
      </c>
      <c r="L31" s="16"/>
      <c r="M31" s="18" t="s">
        <v>5046</v>
      </c>
      <c r="N31" s="16"/>
      <c r="O31" s="18" t="s">
        <v>5791</v>
      </c>
      <c r="P31" s="16"/>
      <c r="Q31" s="18" t="s">
        <v>6431</v>
      </c>
      <c r="R31" s="16"/>
      <c r="S31" s="18"/>
      <c r="T31" s="21"/>
    </row>
    <row r="32" spans="1:20" ht="15.95" customHeight="1" x14ac:dyDescent="0.25">
      <c r="A32" s="18" t="s">
        <v>263</v>
      </c>
      <c r="B32" s="16"/>
      <c r="C32" s="18" t="s">
        <v>2175</v>
      </c>
      <c r="D32" s="16"/>
      <c r="E32" s="18" t="s">
        <v>2895</v>
      </c>
      <c r="F32" s="16"/>
      <c r="G32" s="18" t="s">
        <v>1430</v>
      </c>
      <c r="H32" s="16"/>
      <c r="I32" s="18" t="s">
        <v>3637</v>
      </c>
      <c r="J32" s="16"/>
      <c r="K32" s="18" t="s">
        <v>4375</v>
      </c>
      <c r="L32" s="16"/>
      <c r="M32" s="18" t="s">
        <v>5047</v>
      </c>
      <c r="N32" s="16"/>
      <c r="O32" s="18" t="s">
        <v>5792</v>
      </c>
      <c r="P32" s="16"/>
      <c r="Q32" s="18" t="s">
        <v>6432</v>
      </c>
      <c r="R32" s="16"/>
      <c r="S32" s="18"/>
      <c r="T32" s="21"/>
    </row>
    <row r="33" spans="1:20" ht="15.95" customHeight="1" x14ac:dyDescent="0.25">
      <c r="A33" s="22" t="s">
        <v>264</v>
      </c>
      <c r="B33" s="16"/>
      <c r="C33" s="18" t="s">
        <v>2176</v>
      </c>
      <c r="D33" s="16"/>
      <c r="E33" s="18" t="s">
        <v>2896</v>
      </c>
      <c r="F33" s="16"/>
      <c r="G33" s="18" t="s">
        <v>1431</v>
      </c>
      <c r="H33" s="16"/>
      <c r="I33" s="18" t="s">
        <v>3638</v>
      </c>
      <c r="J33" s="16"/>
      <c r="K33" s="18" t="s">
        <v>4376</v>
      </c>
      <c r="L33" s="16"/>
      <c r="M33" s="18" t="s">
        <v>5048</v>
      </c>
      <c r="N33" s="16"/>
      <c r="O33" s="18" t="s">
        <v>5793</v>
      </c>
      <c r="P33" s="16"/>
      <c r="Q33" s="18" t="s">
        <v>6433</v>
      </c>
      <c r="R33" s="16"/>
      <c r="S33" s="18"/>
      <c r="T33" s="21"/>
    </row>
    <row r="34" spans="1:20" ht="15.95" customHeight="1" x14ac:dyDescent="0.25">
      <c r="A34" s="18" t="s">
        <v>265</v>
      </c>
      <c r="B34" s="16"/>
      <c r="C34" s="18" t="s">
        <v>2177</v>
      </c>
      <c r="D34" s="16"/>
      <c r="E34" s="18" t="s">
        <v>2897</v>
      </c>
      <c r="F34" s="16"/>
      <c r="G34" s="18" t="s">
        <v>1432</v>
      </c>
      <c r="H34" s="16"/>
      <c r="I34" s="18" t="s">
        <v>3639</v>
      </c>
      <c r="J34" s="16"/>
      <c r="K34" s="18" t="s">
        <v>4377</v>
      </c>
      <c r="L34" s="16"/>
      <c r="M34" s="18" t="s">
        <v>5049</v>
      </c>
      <c r="N34" s="16"/>
      <c r="O34" s="18" t="s">
        <v>5794</v>
      </c>
      <c r="P34" s="16"/>
      <c r="Q34" s="18" t="s">
        <v>6434</v>
      </c>
      <c r="R34" s="16"/>
      <c r="S34" s="18"/>
      <c r="T34" s="21"/>
    </row>
    <row r="35" spans="1:20" ht="15.95" customHeight="1" x14ac:dyDescent="0.25">
      <c r="A35" s="18" t="s">
        <v>266</v>
      </c>
      <c r="B35" s="16"/>
      <c r="C35" s="18" t="s">
        <v>2178</v>
      </c>
      <c r="D35" s="16"/>
      <c r="E35" s="18" t="s">
        <v>2898</v>
      </c>
      <c r="F35" s="16"/>
      <c r="G35" s="18" t="s">
        <v>1433</v>
      </c>
      <c r="H35" s="16"/>
      <c r="I35" s="18" t="s">
        <v>3640</v>
      </c>
      <c r="J35" s="16"/>
      <c r="K35" s="18" t="s">
        <v>4378</v>
      </c>
      <c r="L35" s="16"/>
      <c r="M35" s="18" t="s">
        <v>5050</v>
      </c>
      <c r="N35" s="16"/>
      <c r="O35" s="18" t="s">
        <v>5795</v>
      </c>
      <c r="P35" s="16"/>
      <c r="Q35" s="18" t="s">
        <v>6435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9" priority="2" stopIfTrue="1">
      <formula>NOT(ISERROR(A3))</formula>
    </cfRule>
  </conditionalFormatting>
  <conditionalFormatting sqref="A3:T51">
    <cfRule type="containsErrors" dxfId="208" priority="1" stopIfTrue="1">
      <formula>ISERROR(A3)</formula>
    </cfRule>
    <cfRule type="notContainsBlanks" dxfId="207"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267</v>
      </c>
      <c r="B3" s="16" t="str">
        <f>TRIM(_xlfn.TEXTBEFORE(A3, ":"))</f>
        <v>Item Class</v>
      </c>
      <c r="C3" s="17" t="s">
        <v>2179</v>
      </c>
      <c r="D3" s="16" t="str">
        <f>TRIM(_xlfn.TEXTBEFORE(C3, ":"))</f>
        <v>Gegenstandsklasse</v>
      </c>
      <c r="E3" s="17" t="s">
        <v>2899</v>
      </c>
      <c r="F3" s="16" t="str">
        <f>TRIM(_xlfn.TEXTBEFORE(E3, ":"))</f>
        <v>Clase de objeto</v>
      </c>
      <c r="G3" s="17" t="s">
        <v>1434</v>
      </c>
      <c r="H3" s="16" t="str">
        <f>TRIM(_xlfn.TEXTBEFORE(G3, ":"))</f>
        <v>Classe d'objet</v>
      </c>
      <c r="I3" s="17" t="s">
        <v>3641</v>
      </c>
      <c r="J3" s="16" t="str">
        <f>TRIM(_xlfn.TEXTBEFORE(I3, ":"))</f>
        <v>アイテムクラス</v>
      </c>
      <c r="K3" s="17" t="s">
        <v>4379</v>
      </c>
      <c r="L3" s="16" t="str">
        <f>TRIM(_xlfn.TEXTBEFORE(K3, ":"))</f>
        <v>아이템 종류</v>
      </c>
      <c r="M3" s="17" t="s">
        <v>5051</v>
      </c>
      <c r="N3" s="16" t="str">
        <f>TRIM(_xlfn.TEXTBEFORE(M3, ":"))</f>
        <v>Classe do Item</v>
      </c>
      <c r="O3" s="17" t="s">
        <v>5796</v>
      </c>
      <c r="P3" s="16" t="str">
        <f>TRIM(_xlfn.TEXTBEFORE(O3, ":"))</f>
        <v>Класс предмета</v>
      </c>
      <c r="Q3" s="17" t="s">
        <v>6436</v>
      </c>
      <c r="R3" s="16" t="str">
        <f>TRIM(_xlfn.TEXTBEFORE(Q3, ":"))</f>
        <v>ชนิดไอเทม</v>
      </c>
      <c r="S3" s="17"/>
      <c r="T3" s="16" t="e">
        <f>TRIM(_xlfn.TEXTBEFORE(S3, ":"))</f>
        <v>#N/A</v>
      </c>
    </row>
    <row r="4" spans="1:20" ht="15.95" customHeight="1" x14ac:dyDescent="0.25">
      <c r="A4" s="18" t="s">
        <v>81</v>
      </c>
      <c r="B4" s="16" t="str">
        <f>TRIM(_xlfn.TEXTAFTER(A3, ":"))</f>
        <v>Two Hand Axes</v>
      </c>
      <c r="C4" s="18" t="s">
        <v>1644</v>
      </c>
      <c r="D4" s="16" t="str">
        <f>TRIM(_xlfn.TEXTAFTER(C3, ":"))</f>
        <v>Zweihandäxte</v>
      </c>
      <c r="E4" s="18" t="s">
        <v>2364</v>
      </c>
      <c r="F4" s="16" t="str">
        <f>TRIM(_xlfn.TEXTAFTER(E3, ":"))</f>
        <v>Hachas a dos manos</v>
      </c>
      <c r="G4" s="18" t="s">
        <v>1</v>
      </c>
      <c r="H4" s="16" t="str">
        <f>TRIM(_xlfn.TEXTAFTER(G3, ":"))</f>
        <v>Haches à deux mains</v>
      </c>
      <c r="I4" s="18" t="s">
        <v>3079</v>
      </c>
      <c r="J4" s="16" t="str">
        <f>TRIM(_xlfn.TEXTAFTER(I3, ":"))</f>
        <v>両手斧</v>
      </c>
      <c r="K4" s="18" t="s">
        <v>3829</v>
      </c>
      <c r="L4" s="16" t="str">
        <f>TRIM(_xlfn.TEXTAFTER(K3, ":"))</f>
        <v>양손 도끼</v>
      </c>
      <c r="M4" s="18" t="s">
        <v>4558</v>
      </c>
      <c r="N4" s="16" t="str">
        <f>TRIM(_xlfn.TEXTAFTER(M3, ":"))</f>
        <v>Machados de Duas Mãos</v>
      </c>
      <c r="O4" s="18" t="s">
        <v>5241</v>
      </c>
      <c r="P4" s="16" t="str">
        <f>TRIM(_xlfn.TEXTAFTER(O3, ":"))</f>
        <v>Двуручные топоры</v>
      </c>
      <c r="Q4" s="18" t="s">
        <v>5978</v>
      </c>
      <c r="R4" s="16" t="str">
        <f>TRIM(_xlfn.TEXTAFTER(Q3, ":"))</f>
        <v>ขวานสองมือ</v>
      </c>
      <c r="S4" s="18"/>
      <c r="T4" s="16" t="e">
        <f>TRIM(_xlfn.TEXTAFTER(S3, ":"))</f>
        <v>#N/A</v>
      </c>
    </row>
    <row r="5" spans="1:20" ht="15.95" customHeight="1" x14ac:dyDescent="0.25">
      <c r="A5" s="18" t="s">
        <v>268</v>
      </c>
      <c r="B5" s="16" t="str">
        <f>TRIM(_xlfn.TEXTBEFORE(A4, ":"))</f>
        <v>Rarity</v>
      </c>
      <c r="C5" s="18" t="s">
        <v>2180</v>
      </c>
      <c r="D5" s="16" t="str">
        <f>TRIM(_xlfn.TEXTBEFORE(C4, ":"))</f>
        <v>Seltenheit</v>
      </c>
      <c r="E5" s="18" t="s">
        <v>2900</v>
      </c>
      <c r="F5" s="16" t="str">
        <f>TRIM(_xlfn.TEXTBEFORE(E4, ":"))</f>
        <v>Rareza</v>
      </c>
      <c r="G5" s="18" t="s">
        <v>1435</v>
      </c>
      <c r="H5" s="16" t="str">
        <f>TRIM(_xlfn.TEXTBEFORE(G4, ":"))</f>
        <v>Rareté</v>
      </c>
      <c r="I5" s="18" t="s">
        <v>3642</v>
      </c>
      <c r="J5" s="16" t="str">
        <f>TRIM(_xlfn.TEXTBEFORE(I4, ":"))</f>
        <v>レアリティ</v>
      </c>
      <c r="K5" s="18" t="s">
        <v>4380</v>
      </c>
      <c r="L5" s="16" t="str">
        <f>TRIM(_xlfn.TEXTBEFORE(K4, ":"))</f>
        <v>아이템 희귀도</v>
      </c>
      <c r="M5" s="18" t="s">
        <v>5052</v>
      </c>
      <c r="N5" s="16" t="str">
        <f>TRIM(_xlfn.TEXTBEFORE(M4, ":"))</f>
        <v>Raridade</v>
      </c>
      <c r="O5" s="18" t="s">
        <v>5797</v>
      </c>
      <c r="P5" s="16" t="str">
        <f>TRIM(_xlfn.TEXTBEFORE(O4, ":"))</f>
        <v>Редкость</v>
      </c>
      <c r="Q5" s="18" t="s">
        <v>268</v>
      </c>
      <c r="R5" s="16" t="str">
        <f>TRIM(_xlfn.TEXTBEFORE(Q4, ":"))</f>
        <v>ความหายาก</v>
      </c>
      <c r="S5" s="18"/>
      <c r="T5" s="16" t="e">
        <f>TRIM(_xlfn.TEXTBEFORE(S4, ":"))</f>
        <v>#N/A</v>
      </c>
    </row>
    <row r="6" spans="1:20" ht="15.95" customHeight="1" x14ac:dyDescent="0.25">
      <c r="A6" s="18" t="s">
        <v>269</v>
      </c>
      <c r="B6" s="16" t="str">
        <f>TRIM(_xlfn.TEXTAFTER(A4,":"))</f>
        <v>Unique</v>
      </c>
      <c r="C6" s="18" t="s">
        <v>2181</v>
      </c>
      <c r="D6" s="16" t="str">
        <f>TRIM(_xlfn.TEXTAFTER(C4,":"))</f>
        <v>Einzigartig</v>
      </c>
      <c r="E6" s="18" t="s">
        <v>2901</v>
      </c>
      <c r="F6" s="16" t="str">
        <f>TRIM(_xlfn.TEXTAFTER(E4,":"))</f>
        <v>Único</v>
      </c>
      <c r="G6" s="18" t="s">
        <v>1436</v>
      </c>
      <c r="H6" s="16" t="str">
        <f>TRIM(_xlfn.TEXTAFTER(G4,":"))</f>
        <v>Unique</v>
      </c>
      <c r="I6" s="18" t="s">
        <v>3643</v>
      </c>
      <c r="J6" s="16" t="str">
        <f>TRIM(_xlfn.TEXTAFTER(I4,":"))</f>
        <v>ユニーク</v>
      </c>
      <c r="K6" s="18" t="s">
        <v>4381</v>
      </c>
      <c r="L6" s="16" t="str">
        <f>TRIM(_xlfn.TEXTAFTER(K4,":"))</f>
        <v>고유</v>
      </c>
      <c r="M6" s="18" t="s">
        <v>5053</v>
      </c>
      <c r="N6" s="16" t="str">
        <f>TRIM(_xlfn.TEXTAFTER(M4,":"))</f>
        <v>Único</v>
      </c>
      <c r="O6" s="18" t="s">
        <v>5798</v>
      </c>
      <c r="P6" s="16" t="str">
        <f>TRIM(_xlfn.TEXTAFTER(O4,":"))</f>
        <v>Уникальный</v>
      </c>
      <c r="Q6" s="18" t="s">
        <v>269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270</v>
      </c>
      <c r="B8" s="16"/>
      <c r="C8" s="18" t="s">
        <v>2182</v>
      </c>
      <c r="D8" s="16"/>
      <c r="E8" s="18" t="s">
        <v>2902</v>
      </c>
      <c r="F8" s="16"/>
      <c r="G8" s="18" t="s">
        <v>1437</v>
      </c>
      <c r="H8" s="16"/>
      <c r="I8" s="18" t="s">
        <v>3644</v>
      </c>
      <c r="J8" s="16"/>
      <c r="K8" s="18" t="s">
        <v>4382</v>
      </c>
      <c r="L8" s="16"/>
      <c r="M8" s="18" t="s">
        <v>5054</v>
      </c>
      <c r="N8" s="16"/>
      <c r="O8" s="18" t="s">
        <v>5799</v>
      </c>
      <c r="P8" s="16"/>
      <c r="Q8" s="18" t="s">
        <v>6437</v>
      </c>
      <c r="R8" s="16"/>
      <c r="S8" s="18"/>
      <c r="T8" s="16"/>
    </row>
    <row r="9" spans="1:20" ht="15.95" customHeight="1" x14ac:dyDescent="0.25">
      <c r="A9" s="18" t="s">
        <v>271</v>
      </c>
      <c r="B9" s="16"/>
      <c r="C9" s="18" t="s">
        <v>2183</v>
      </c>
      <c r="D9" s="16"/>
      <c r="E9" s="18" t="s">
        <v>2903</v>
      </c>
      <c r="F9" s="16"/>
      <c r="G9" s="18" t="s">
        <v>1438</v>
      </c>
      <c r="H9" s="16"/>
      <c r="I9" s="18" t="s">
        <v>3645</v>
      </c>
      <c r="J9" s="16"/>
      <c r="K9" s="18" t="s">
        <v>4383</v>
      </c>
      <c r="L9" s="16"/>
      <c r="M9" s="18" t="s">
        <v>5055</v>
      </c>
      <c r="N9" s="16"/>
      <c r="O9" s="18" t="s">
        <v>5800</v>
      </c>
      <c r="P9" s="16"/>
      <c r="Q9" s="18" t="s">
        <v>6438</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272</v>
      </c>
      <c r="B11" s="16"/>
      <c r="C11" s="18" t="s">
        <v>2063</v>
      </c>
      <c r="D11" s="16"/>
      <c r="E11" s="18" t="s">
        <v>2782</v>
      </c>
      <c r="F11" s="16"/>
      <c r="G11" s="18" t="s">
        <v>1317</v>
      </c>
      <c r="H11" s="16"/>
      <c r="I11" s="18" t="s">
        <v>3516</v>
      </c>
      <c r="J11" s="16"/>
      <c r="K11" s="18" t="s">
        <v>4256</v>
      </c>
      <c r="L11" s="16"/>
      <c r="M11" s="18" t="s">
        <v>4941</v>
      </c>
      <c r="N11" s="16"/>
      <c r="O11" s="18" t="s">
        <v>5671</v>
      </c>
      <c r="P11" s="16"/>
      <c r="Q11" s="18" t="s">
        <v>6334</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273</v>
      </c>
      <c r="B15" s="16"/>
      <c r="C15" s="18" t="s">
        <v>2096</v>
      </c>
      <c r="D15" s="16"/>
      <c r="E15" s="18" t="s">
        <v>2814</v>
      </c>
      <c r="F15" s="16"/>
      <c r="G15" s="18" t="s">
        <v>1349</v>
      </c>
      <c r="H15" s="16"/>
      <c r="I15" s="18" t="s">
        <v>3549</v>
      </c>
      <c r="J15" s="16"/>
      <c r="K15" s="18" t="s">
        <v>4289</v>
      </c>
      <c r="L15" s="16"/>
      <c r="M15" s="18" t="s">
        <v>4973</v>
      </c>
      <c r="N15" s="16"/>
      <c r="O15" s="18" t="s">
        <v>5703</v>
      </c>
      <c r="P15" s="16"/>
      <c r="Q15" s="18" t="s">
        <v>6362</v>
      </c>
      <c r="R15" s="16"/>
      <c r="S15" s="18"/>
      <c r="T15" s="21"/>
    </row>
    <row r="16" spans="1:20" ht="15.95" customHeight="1" x14ac:dyDescent="0.25">
      <c r="A16" s="18" t="s">
        <v>274</v>
      </c>
      <c r="B16" s="16"/>
      <c r="C16" s="18" t="s">
        <v>274</v>
      </c>
      <c r="D16" s="16"/>
      <c r="E16" s="18" t="s">
        <v>2904</v>
      </c>
      <c r="F16" s="16"/>
      <c r="G16" s="18" t="s">
        <v>1439</v>
      </c>
      <c r="H16" s="16"/>
      <c r="I16" s="18" t="s">
        <v>3646</v>
      </c>
      <c r="J16" s="16"/>
      <c r="K16" s="18" t="s">
        <v>4384</v>
      </c>
      <c r="L16" s="16"/>
      <c r="M16" s="18" t="s">
        <v>1439</v>
      </c>
      <c r="N16" s="16"/>
      <c r="O16" s="18" t="s">
        <v>5801</v>
      </c>
      <c r="P16" s="16"/>
      <c r="Q16" s="18" t="s">
        <v>274</v>
      </c>
      <c r="R16" s="16"/>
      <c r="S16" s="18"/>
      <c r="T16" s="21"/>
    </row>
    <row r="17" spans="1:20" ht="15.95" customHeight="1" x14ac:dyDescent="0.25">
      <c r="A17" s="18" t="s">
        <v>275</v>
      </c>
      <c r="B17" s="16"/>
      <c r="C17" s="18" t="s">
        <v>2184</v>
      </c>
      <c r="D17" s="16"/>
      <c r="E17" s="18" t="s">
        <v>2905</v>
      </c>
      <c r="F17" s="16"/>
      <c r="G17" s="18" t="s">
        <v>275</v>
      </c>
      <c r="H17" s="16"/>
      <c r="I17" s="18" t="s">
        <v>3647</v>
      </c>
      <c r="J17" s="16"/>
      <c r="K17" s="18" t="s">
        <v>4385</v>
      </c>
      <c r="L17" s="16"/>
      <c r="M17" s="18" t="s">
        <v>2905</v>
      </c>
      <c r="N17" s="16"/>
      <c r="O17" s="18" t="s">
        <v>5802</v>
      </c>
      <c r="P17" s="16"/>
      <c r="Q17" s="18" t="s">
        <v>275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231</v>
      </c>
      <c r="B19" s="16"/>
      <c r="C19" s="18" t="s">
        <v>2148</v>
      </c>
      <c r="D19" s="16"/>
      <c r="E19" s="18" t="s">
        <v>2867</v>
      </c>
      <c r="F19" s="16"/>
      <c r="G19" s="18" t="s">
        <v>1403</v>
      </c>
      <c r="H19" s="16"/>
      <c r="I19" s="18" t="s">
        <v>3608</v>
      </c>
      <c r="J19" s="16"/>
      <c r="K19" s="18" t="s">
        <v>4346</v>
      </c>
      <c r="L19" s="16"/>
      <c r="M19" s="18" t="s">
        <v>5021</v>
      </c>
      <c r="N19" s="16"/>
      <c r="O19" s="18" t="s">
        <v>5763</v>
      </c>
      <c r="P19" s="16"/>
      <c r="Q19" s="18" t="s">
        <v>6407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170</v>
      </c>
      <c r="B21" s="16"/>
      <c r="C21" s="18" t="s">
        <v>1647</v>
      </c>
      <c r="D21" s="16"/>
      <c r="E21" s="18" t="s">
        <v>2367</v>
      </c>
      <c r="F21" s="16"/>
      <c r="G21" s="18" t="s">
        <v>914</v>
      </c>
      <c r="H21" s="16"/>
      <c r="I21" s="18" t="s">
        <v>3082</v>
      </c>
      <c r="J21" s="16"/>
      <c r="K21" s="18" t="s">
        <v>3832</v>
      </c>
      <c r="L21" s="16"/>
      <c r="M21" s="18" t="s">
        <v>4561</v>
      </c>
      <c r="N21" s="16"/>
      <c r="O21" s="18" t="s">
        <v>5244</v>
      </c>
      <c r="P21" s="16"/>
      <c r="Q21" s="18" t="s">
        <v>5981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276</v>
      </c>
      <c r="B23" s="16"/>
      <c r="C23" s="18" t="s">
        <v>2185</v>
      </c>
      <c r="D23" s="16"/>
      <c r="E23" s="18" t="s">
        <v>2906</v>
      </c>
      <c r="F23" s="16"/>
      <c r="G23" s="18" t="s">
        <v>1440</v>
      </c>
      <c r="H23" s="16"/>
      <c r="I23" s="18" t="s">
        <v>3648</v>
      </c>
      <c r="J23" s="16"/>
      <c r="K23" s="18" t="s">
        <v>4386</v>
      </c>
      <c r="L23" s="16"/>
      <c r="M23" s="18" t="s">
        <v>5056</v>
      </c>
      <c r="N23" s="16"/>
      <c r="O23" s="18" t="s">
        <v>5803</v>
      </c>
      <c r="P23" s="16"/>
      <c r="Q23" s="18" t="s">
        <v>6439</v>
      </c>
      <c r="R23" s="16"/>
      <c r="S23" s="18"/>
      <c r="T23" s="21"/>
    </row>
    <row r="24" spans="1:20" ht="15.95" customHeight="1" x14ac:dyDescent="0.25">
      <c r="A24" s="18" t="s">
        <v>277</v>
      </c>
      <c r="B24" s="16"/>
      <c r="C24" s="18" t="s">
        <v>2186</v>
      </c>
      <c r="D24" s="16"/>
      <c r="E24" s="18" t="s">
        <v>2907</v>
      </c>
      <c r="F24" s="16"/>
      <c r="G24" s="18" t="s">
        <v>1441</v>
      </c>
      <c r="H24" s="16"/>
      <c r="I24" s="18" t="s">
        <v>3649</v>
      </c>
      <c r="J24" s="16"/>
      <c r="K24" s="18" t="s">
        <v>4387</v>
      </c>
      <c r="L24" s="16"/>
      <c r="M24" s="18" t="s">
        <v>5057</v>
      </c>
      <c r="N24" s="16"/>
      <c r="O24" s="18" t="s">
        <v>5804</v>
      </c>
      <c r="P24" s="16"/>
      <c r="Q24" s="18" t="s">
        <v>6440</v>
      </c>
      <c r="R24" s="16"/>
      <c r="S24" s="18"/>
      <c r="T24" s="21"/>
    </row>
    <row r="25" spans="1:20" ht="15.95" customHeight="1" x14ac:dyDescent="0.25">
      <c r="A25" s="18" t="s">
        <v>278</v>
      </c>
      <c r="B25" s="16"/>
      <c r="C25" s="18" t="s">
        <v>2187</v>
      </c>
      <c r="D25" s="16"/>
      <c r="E25" s="18" t="s">
        <v>2908</v>
      </c>
      <c r="F25" s="16"/>
      <c r="G25" s="18" t="s">
        <v>1442</v>
      </c>
      <c r="H25" s="16"/>
      <c r="I25" s="18" t="s">
        <v>3650</v>
      </c>
      <c r="J25" s="16"/>
      <c r="K25" s="18" t="s">
        <v>4388</v>
      </c>
      <c r="L25" s="16"/>
      <c r="M25" s="18" t="s">
        <v>5058</v>
      </c>
      <c r="N25" s="16"/>
      <c r="O25" s="18" t="s">
        <v>5805</v>
      </c>
      <c r="P25" s="16"/>
      <c r="Q25" s="18" t="s">
        <v>6441</v>
      </c>
      <c r="R25" s="16"/>
      <c r="S25" s="18"/>
      <c r="T25" s="21"/>
    </row>
    <row r="26" spans="1:20" ht="15.95" customHeight="1" x14ac:dyDescent="0.25">
      <c r="A26" s="18" t="s">
        <v>279</v>
      </c>
      <c r="B26" s="16"/>
      <c r="C26" s="18" t="s">
        <v>2188</v>
      </c>
      <c r="D26" s="16"/>
      <c r="E26" s="18" t="s">
        <v>2909</v>
      </c>
      <c r="F26" s="16"/>
      <c r="G26" s="18" t="s">
        <v>1443</v>
      </c>
      <c r="H26" s="16"/>
      <c r="I26" s="18" t="s">
        <v>3651</v>
      </c>
      <c r="J26" s="16"/>
      <c r="K26" s="18" t="s">
        <v>4389</v>
      </c>
      <c r="L26" s="16"/>
      <c r="M26" s="18" t="s">
        <v>5059</v>
      </c>
      <c r="N26" s="16"/>
      <c r="O26" s="18" t="s">
        <v>5806</v>
      </c>
      <c r="P26" s="16"/>
      <c r="Q26" s="18" t="s">
        <v>6442</v>
      </c>
      <c r="R26" s="16"/>
      <c r="S26" s="18"/>
      <c r="T26" s="21"/>
    </row>
    <row r="27" spans="1:20" ht="15.95" customHeight="1" x14ac:dyDescent="0.25">
      <c r="A27" s="18" t="s">
        <v>280</v>
      </c>
      <c r="B27" s="16"/>
      <c r="C27" s="18" t="s">
        <v>2189</v>
      </c>
      <c r="D27" s="16"/>
      <c r="E27" s="18" t="s">
        <v>2910</v>
      </c>
      <c r="F27" s="16"/>
      <c r="G27" s="18" t="s">
        <v>1444</v>
      </c>
      <c r="H27" s="16"/>
      <c r="I27" s="18" t="s">
        <v>3652</v>
      </c>
      <c r="J27" s="16"/>
      <c r="K27" s="18" t="s">
        <v>4390</v>
      </c>
      <c r="L27" s="16"/>
      <c r="M27" s="18" t="s">
        <v>5060</v>
      </c>
      <c r="N27" s="16"/>
      <c r="O27" s="18" t="s">
        <v>5807</v>
      </c>
      <c r="P27" s="16"/>
      <c r="Q27" s="18" t="s">
        <v>6443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281</v>
      </c>
      <c r="B29" s="16"/>
      <c r="C29" s="18" t="s">
        <v>2190</v>
      </c>
      <c r="D29" s="16"/>
      <c r="E29" s="18" t="s">
        <v>2911</v>
      </c>
      <c r="F29" s="16"/>
      <c r="G29" s="18" t="s">
        <v>1445</v>
      </c>
      <c r="H29" s="16"/>
      <c r="I29" s="18" t="s">
        <v>3653</v>
      </c>
      <c r="J29" s="16"/>
      <c r="K29" s="18" t="s">
        <v>4391</v>
      </c>
      <c r="L29" s="16"/>
      <c r="M29" s="18" t="s">
        <v>5061</v>
      </c>
      <c r="N29" s="16"/>
      <c r="O29" s="18" t="s">
        <v>5808</v>
      </c>
      <c r="P29" s="16"/>
      <c r="Q29" s="18" t="s">
        <v>6444</v>
      </c>
      <c r="R29" s="16"/>
      <c r="S29" s="18"/>
      <c r="T29" s="21"/>
    </row>
    <row r="30" spans="1:20" ht="15.95" customHeight="1" x14ac:dyDescent="0.25">
      <c r="A30" s="18" t="s">
        <v>282</v>
      </c>
      <c r="B30" s="16"/>
      <c r="C30" s="18" t="s">
        <v>2191</v>
      </c>
      <c r="D30" s="16"/>
      <c r="E30" s="18" t="s">
        <v>2912</v>
      </c>
      <c r="F30" s="16"/>
      <c r="G30" s="18" t="s">
        <v>1446</v>
      </c>
      <c r="H30" s="16"/>
      <c r="I30" s="18" t="s">
        <v>3654</v>
      </c>
      <c r="J30" s="16"/>
      <c r="K30" s="18" t="s">
        <v>4392</v>
      </c>
      <c r="L30" s="16"/>
      <c r="M30" s="18" t="s">
        <v>5062</v>
      </c>
      <c r="N30" s="16"/>
      <c r="O30" s="18" t="s">
        <v>5809</v>
      </c>
      <c r="P30" s="16"/>
      <c r="Q30" s="18" t="s">
        <v>6445</v>
      </c>
      <c r="R30" s="16"/>
      <c r="S30" s="18"/>
      <c r="T30" s="21"/>
    </row>
    <row r="31" spans="1:20" ht="15.95" customHeight="1" x14ac:dyDescent="0.25">
      <c r="A31" s="18"/>
      <c r="B31" s="16"/>
      <c r="C31" s="18" t="s">
        <v>2192</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2193</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6" priority="2" stopIfTrue="1">
      <formula>NOT(ISERROR(A3))</formula>
    </cfRule>
  </conditionalFormatting>
  <conditionalFormatting sqref="A3:T51">
    <cfRule type="containsErrors" dxfId="205" priority="1" stopIfTrue="1">
      <formula>ISERROR(A3)</formula>
    </cfRule>
    <cfRule type="notContainsBlanks" dxfId="204"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283</v>
      </c>
      <c r="B3" s="16" t="str">
        <f>TRIM(_xlfn.TEXTBEFORE(A3, ":"))</f>
        <v>Item Class</v>
      </c>
      <c r="C3" s="17" t="s">
        <v>2194</v>
      </c>
      <c r="D3" s="16" t="str">
        <f>TRIM(_xlfn.TEXTBEFORE(C3, ":"))</f>
        <v>Gegenstandsklasse</v>
      </c>
      <c r="E3" s="17" t="s">
        <v>2913</v>
      </c>
      <c r="F3" s="16" t="str">
        <f>TRIM(_xlfn.TEXTBEFORE(E3, ":"))</f>
        <v>Clase de objeto</v>
      </c>
      <c r="G3" s="17" t="s">
        <v>1447</v>
      </c>
      <c r="H3" s="16" t="str">
        <f>TRIM(_xlfn.TEXTBEFORE(G3, ":"))</f>
        <v>Classe d'objet</v>
      </c>
      <c r="I3" s="17" t="s">
        <v>3655</v>
      </c>
      <c r="J3" s="16" t="str">
        <f>TRIM(_xlfn.TEXTBEFORE(I3, ":"))</f>
        <v>アイテムクラス</v>
      </c>
      <c r="K3" s="17" t="s">
        <v>4393</v>
      </c>
      <c r="L3" s="16" t="str">
        <f>TRIM(_xlfn.TEXTBEFORE(K3, ":"))</f>
        <v>아이템 종류</v>
      </c>
      <c r="M3" s="17" t="s">
        <v>5063</v>
      </c>
      <c r="N3" s="16" t="str">
        <f>TRIM(_xlfn.TEXTBEFORE(M3, ":"))</f>
        <v>Classe do Item</v>
      </c>
      <c r="O3" s="17" t="s">
        <v>5810</v>
      </c>
      <c r="P3" s="16" t="str">
        <f>TRIM(_xlfn.TEXTBEFORE(O3, ":"))</f>
        <v>Класс предмета</v>
      </c>
      <c r="Q3" s="17" t="s">
        <v>6446</v>
      </c>
      <c r="R3" s="16" t="str">
        <f>TRIM(_xlfn.TEXTBEFORE(Q3, ":"))</f>
        <v>ชนิดไอเทม</v>
      </c>
      <c r="S3" s="17"/>
      <c r="T3" s="16" t="e">
        <f>TRIM(_xlfn.TEXTBEFORE(S3, ":"))</f>
        <v>#N/A</v>
      </c>
    </row>
    <row r="4" spans="1:20" ht="15.95" customHeight="1" x14ac:dyDescent="0.25">
      <c r="A4" s="18" t="s">
        <v>81</v>
      </c>
      <c r="B4" s="16" t="str">
        <f>TRIM(_xlfn.TEXTAFTER(A3, ":"))</f>
        <v>One Hand Maces</v>
      </c>
      <c r="C4" s="18" t="s">
        <v>1644</v>
      </c>
      <c r="D4" s="16" t="str">
        <f>TRIM(_xlfn.TEXTAFTER(C3, ":"))</f>
        <v>Einhandstreitkolben</v>
      </c>
      <c r="E4" s="18" t="s">
        <v>2364</v>
      </c>
      <c r="F4" s="16" t="str">
        <f>TRIM(_xlfn.TEXTAFTER(E3, ":"))</f>
        <v>Mazas a una mano</v>
      </c>
      <c r="G4" s="18" t="s">
        <v>1</v>
      </c>
      <c r="H4" s="16" t="str">
        <f>TRIM(_xlfn.TEXTAFTER(G3, ":"))</f>
        <v>Masses à une main</v>
      </c>
      <c r="I4" s="18" t="s">
        <v>3079</v>
      </c>
      <c r="J4" s="16" t="str">
        <f>TRIM(_xlfn.TEXTAFTER(I3, ":"))</f>
        <v>片手メイス</v>
      </c>
      <c r="K4" s="18" t="s">
        <v>3829</v>
      </c>
      <c r="L4" s="16" t="str">
        <f>TRIM(_xlfn.TEXTAFTER(K3, ":"))</f>
        <v>한손 철퇴</v>
      </c>
      <c r="M4" s="18" t="s">
        <v>4558</v>
      </c>
      <c r="N4" s="16" t="str">
        <f>TRIM(_xlfn.TEXTAFTER(M3, ":"))</f>
        <v>Maças de Uma Mão</v>
      </c>
      <c r="O4" s="18" t="s">
        <v>5241</v>
      </c>
      <c r="P4" s="16" t="str">
        <f>TRIM(_xlfn.TEXTAFTER(O3, ":"))</f>
        <v>Одноручные булавы</v>
      </c>
      <c r="Q4" s="18" t="s">
        <v>5978</v>
      </c>
      <c r="R4" s="16" t="str">
        <f>TRIM(_xlfn.TEXTAFTER(Q3, ":"))</f>
        <v>กระบองมือเดียว</v>
      </c>
      <c r="S4" s="18"/>
      <c r="T4" s="16" t="e">
        <f>TRIM(_xlfn.TEXTAFTER(S3, ":"))</f>
        <v>#N/A</v>
      </c>
    </row>
    <row r="5" spans="1:20" ht="15.95" customHeight="1" x14ac:dyDescent="0.25">
      <c r="A5" s="18" t="s">
        <v>284</v>
      </c>
      <c r="B5" s="16" t="str">
        <f>TRIM(_xlfn.TEXTBEFORE(A4, ":"))</f>
        <v>Rarity</v>
      </c>
      <c r="C5" s="18" t="s">
        <v>2195</v>
      </c>
      <c r="D5" s="16" t="str">
        <f>TRIM(_xlfn.TEXTBEFORE(C4, ":"))</f>
        <v>Seltenheit</v>
      </c>
      <c r="E5" s="18" t="s">
        <v>2914</v>
      </c>
      <c r="F5" s="16" t="str">
        <f>TRIM(_xlfn.TEXTBEFORE(E4, ":"))</f>
        <v>Rareza</v>
      </c>
      <c r="G5" s="18" t="s">
        <v>1448</v>
      </c>
      <c r="H5" s="16" t="str">
        <f>TRIM(_xlfn.TEXTBEFORE(G4, ":"))</f>
        <v>Rareté</v>
      </c>
      <c r="I5" s="18" t="s">
        <v>3656</v>
      </c>
      <c r="J5" s="16" t="str">
        <f>TRIM(_xlfn.TEXTBEFORE(I4, ":"))</f>
        <v>レアリティ</v>
      </c>
      <c r="K5" s="18" t="s">
        <v>4394</v>
      </c>
      <c r="L5" s="16" t="str">
        <f>TRIM(_xlfn.TEXTBEFORE(K4, ":"))</f>
        <v>아이템 희귀도</v>
      </c>
      <c r="M5" s="18" t="s">
        <v>5064</v>
      </c>
      <c r="N5" s="16" t="str">
        <f>TRIM(_xlfn.TEXTBEFORE(M4, ":"))</f>
        <v>Raridade</v>
      </c>
      <c r="O5" s="18" t="s">
        <v>5811</v>
      </c>
      <c r="P5" s="16" t="str">
        <f>TRIM(_xlfn.TEXTBEFORE(O4, ":"))</f>
        <v>Редкость</v>
      </c>
      <c r="Q5" s="18" t="s">
        <v>284</v>
      </c>
      <c r="R5" s="16" t="str">
        <f>TRIM(_xlfn.TEXTBEFORE(Q4, ":"))</f>
        <v>ความหายาก</v>
      </c>
      <c r="S5" s="18"/>
      <c r="T5" s="16" t="e">
        <f>TRIM(_xlfn.TEXTBEFORE(S4, ":"))</f>
        <v>#N/A</v>
      </c>
    </row>
    <row r="6" spans="1:20" ht="15.95" customHeight="1" x14ac:dyDescent="0.25">
      <c r="A6" s="18" t="s">
        <v>285</v>
      </c>
      <c r="B6" s="16" t="str">
        <f>TRIM(_xlfn.TEXTAFTER(A4,":"))</f>
        <v>Unique</v>
      </c>
      <c r="C6" s="18" t="s">
        <v>2196</v>
      </c>
      <c r="D6" s="16" t="str">
        <f>TRIM(_xlfn.TEXTAFTER(C4,":"))</f>
        <v>Einzigartig</v>
      </c>
      <c r="E6" s="18" t="s">
        <v>2915</v>
      </c>
      <c r="F6" s="16" t="str">
        <f>TRIM(_xlfn.TEXTAFTER(E4,":"))</f>
        <v>Único</v>
      </c>
      <c r="G6" s="18" t="s">
        <v>1449</v>
      </c>
      <c r="H6" s="16" t="str">
        <f>TRIM(_xlfn.TEXTAFTER(G4,":"))</f>
        <v>Unique</v>
      </c>
      <c r="I6" s="18" t="s">
        <v>3657</v>
      </c>
      <c r="J6" s="16" t="str">
        <f>TRIM(_xlfn.TEXTAFTER(I4,":"))</f>
        <v>ユニーク</v>
      </c>
      <c r="K6" s="18" t="s">
        <v>4395</v>
      </c>
      <c r="L6" s="16" t="str">
        <f>TRIM(_xlfn.TEXTAFTER(K4,":"))</f>
        <v>고유</v>
      </c>
      <c r="M6" s="18" t="s">
        <v>5065</v>
      </c>
      <c r="N6" s="16" t="str">
        <f>TRIM(_xlfn.TEXTAFTER(M4,":"))</f>
        <v>Único</v>
      </c>
      <c r="O6" s="18" t="s">
        <v>5812</v>
      </c>
      <c r="P6" s="16" t="str">
        <f>TRIM(_xlfn.TEXTAFTER(O4,":"))</f>
        <v>Уникальный</v>
      </c>
      <c r="Q6" s="18" t="s">
        <v>285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286</v>
      </c>
      <c r="B8" s="16"/>
      <c r="C8" s="18" t="s">
        <v>2197</v>
      </c>
      <c r="D8" s="16"/>
      <c r="E8" s="18" t="s">
        <v>2916</v>
      </c>
      <c r="F8" s="16"/>
      <c r="G8" s="18" t="s">
        <v>1450</v>
      </c>
      <c r="H8" s="16"/>
      <c r="I8" s="18" t="s">
        <v>3658</v>
      </c>
      <c r="J8" s="16"/>
      <c r="K8" s="18" t="s">
        <v>4396</v>
      </c>
      <c r="L8" s="16"/>
      <c r="M8" s="18" t="s">
        <v>5066</v>
      </c>
      <c r="N8" s="16"/>
      <c r="O8" s="18" t="s">
        <v>5813</v>
      </c>
      <c r="P8" s="16"/>
      <c r="Q8" s="18" t="s">
        <v>6447</v>
      </c>
      <c r="R8" s="16"/>
      <c r="S8" s="18"/>
      <c r="T8" s="16"/>
    </row>
    <row r="9" spans="1:20" ht="15.95" customHeight="1" x14ac:dyDescent="0.25">
      <c r="A9" s="18" t="s">
        <v>287</v>
      </c>
      <c r="B9" s="16"/>
      <c r="C9" s="18" t="s">
        <v>2198</v>
      </c>
      <c r="D9" s="16"/>
      <c r="E9" s="18" t="s">
        <v>2917</v>
      </c>
      <c r="F9" s="16"/>
      <c r="G9" s="18" t="s">
        <v>1451</v>
      </c>
      <c r="H9" s="16"/>
      <c r="I9" s="18" t="s">
        <v>3659</v>
      </c>
      <c r="J9" s="16"/>
      <c r="K9" s="18" t="s">
        <v>4397</v>
      </c>
      <c r="L9" s="16"/>
      <c r="M9" s="18" t="s">
        <v>5067</v>
      </c>
      <c r="N9" s="16"/>
      <c r="O9" s="18" t="s">
        <v>5814</v>
      </c>
      <c r="P9" s="16"/>
      <c r="Q9" s="18" t="s">
        <v>6448</v>
      </c>
      <c r="R9" s="16"/>
      <c r="S9" s="18"/>
      <c r="T9" s="16"/>
    </row>
    <row r="10" spans="1:20" ht="15.95" customHeight="1" x14ac:dyDescent="0.25">
      <c r="A10" s="18" t="s">
        <v>288</v>
      </c>
      <c r="B10" s="16"/>
      <c r="C10" s="18" t="s">
        <v>2199</v>
      </c>
      <c r="D10" s="16"/>
      <c r="E10" s="18" t="s">
        <v>2918</v>
      </c>
      <c r="F10" s="16"/>
      <c r="G10" s="18" t="s">
        <v>1452</v>
      </c>
      <c r="H10" s="16"/>
      <c r="I10" s="18" t="s">
        <v>3660</v>
      </c>
      <c r="J10" s="16"/>
      <c r="K10" s="18" t="s">
        <v>4398</v>
      </c>
      <c r="L10" s="16"/>
      <c r="M10" s="18" t="s">
        <v>5068</v>
      </c>
      <c r="N10" s="16"/>
      <c r="O10" s="18" t="s">
        <v>5815</v>
      </c>
      <c r="P10" s="16"/>
      <c r="Q10" s="18" t="s">
        <v>6449</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289</v>
      </c>
      <c r="B12" s="16"/>
      <c r="C12" s="18" t="s">
        <v>2200</v>
      </c>
      <c r="D12" s="16"/>
      <c r="E12" s="18" t="s">
        <v>2919</v>
      </c>
      <c r="F12" s="16"/>
      <c r="G12" s="18" t="s">
        <v>1453</v>
      </c>
      <c r="H12" s="16"/>
      <c r="I12" s="18" t="s">
        <v>3661</v>
      </c>
      <c r="J12" s="16"/>
      <c r="K12" s="18" t="s">
        <v>4399</v>
      </c>
      <c r="L12" s="16"/>
      <c r="M12" s="18" t="s">
        <v>5069</v>
      </c>
      <c r="N12" s="16"/>
      <c r="O12" s="18" t="s">
        <v>5816</v>
      </c>
      <c r="P12" s="16"/>
      <c r="Q12" s="18" t="s">
        <v>6450</v>
      </c>
      <c r="R12" s="16"/>
      <c r="S12" s="18"/>
      <c r="T12" s="21"/>
    </row>
    <row r="13" spans="1:20" ht="15.95" customHeight="1" x14ac:dyDescent="0.25">
      <c r="A13" s="18" t="s">
        <v>107</v>
      </c>
      <c r="B13" s="16"/>
      <c r="C13" s="18" t="s">
        <v>1984</v>
      </c>
      <c r="D13" s="16"/>
      <c r="E13" s="18" t="s">
        <v>2705</v>
      </c>
      <c r="F13" s="16"/>
      <c r="G13" s="18" t="s">
        <v>1240</v>
      </c>
      <c r="H13" s="16"/>
      <c r="I13" s="18" t="s">
        <v>3432</v>
      </c>
      <c r="J13" s="16"/>
      <c r="K13" s="18" t="s">
        <v>4176</v>
      </c>
      <c r="L13" s="16"/>
      <c r="M13" s="18" t="s">
        <v>4923</v>
      </c>
      <c r="N13" s="16"/>
      <c r="O13" s="18" t="s">
        <v>5590</v>
      </c>
      <c r="P13" s="16"/>
      <c r="Q13" s="18" t="s">
        <v>6270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82</v>
      </c>
      <c r="B15" s="16"/>
      <c r="C15" s="18" t="s">
        <v>1590</v>
      </c>
      <c r="D15" s="16"/>
      <c r="E15" s="18" t="s">
        <v>2309</v>
      </c>
      <c r="F15" s="16"/>
      <c r="G15" s="18" t="s">
        <v>5</v>
      </c>
      <c r="H15" s="16"/>
      <c r="I15" s="18" t="s">
        <v>3019</v>
      </c>
      <c r="J15" s="16"/>
      <c r="K15" s="18" t="s">
        <v>3773</v>
      </c>
      <c r="L15" s="16"/>
      <c r="M15" s="18" t="s">
        <v>2309</v>
      </c>
      <c r="N15" s="16"/>
      <c r="O15" s="18" t="s">
        <v>5184</v>
      </c>
      <c r="P15" s="16"/>
      <c r="Q15" s="18" t="s">
        <v>5929</v>
      </c>
      <c r="R15" s="16"/>
      <c r="S15" s="18"/>
      <c r="T15" s="21"/>
    </row>
    <row r="16" spans="1:20" ht="15.95" customHeight="1" x14ac:dyDescent="0.25">
      <c r="A16" s="18" t="s">
        <v>290</v>
      </c>
      <c r="B16" s="16"/>
      <c r="C16" s="18" t="s">
        <v>1743</v>
      </c>
      <c r="D16" s="16"/>
      <c r="E16" s="18" t="s">
        <v>2462</v>
      </c>
      <c r="F16" s="16"/>
      <c r="G16" s="18" t="s">
        <v>1011</v>
      </c>
      <c r="H16" s="16"/>
      <c r="I16" s="18" t="s">
        <v>3180</v>
      </c>
      <c r="J16" s="16"/>
      <c r="K16" s="18" t="s">
        <v>3927</v>
      </c>
      <c r="L16" s="16"/>
      <c r="M16" s="18" t="s">
        <v>4656</v>
      </c>
      <c r="N16" s="16"/>
      <c r="O16" s="18" t="s">
        <v>5341</v>
      </c>
      <c r="P16" s="16"/>
      <c r="Q16" s="18" t="s">
        <v>6072</v>
      </c>
      <c r="R16" s="16"/>
      <c r="S16" s="18"/>
      <c r="T16" s="21"/>
    </row>
    <row r="17" spans="1:20" ht="15.95" customHeight="1" x14ac:dyDescent="0.25">
      <c r="A17" s="18" t="s">
        <v>291</v>
      </c>
      <c r="B17" s="16"/>
      <c r="C17" s="18" t="s">
        <v>291</v>
      </c>
      <c r="D17" s="16"/>
      <c r="E17" s="18" t="s">
        <v>2920</v>
      </c>
      <c r="F17" s="16"/>
      <c r="G17" s="18" t="s">
        <v>1454</v>
      </c>
      <c r="H17" s="16"/>
      <c r="I17" s="18" t="s">
        <v>3662</v>
      </c>
      <c r="J17" s="16"/>
      <c r="K17" s="18" t="s">
        <v>4400</v>
      </c>
      <c r="L17" s="16"/>
      <c r="M17" s="18" t="s">
        <v>1454</v>
      </c>
      <c r="N17" s="16"/>
      <c r="O17" s="18" t="s">
        <v>5817</v>
      </c>
      <c r="P17" s="16"/>
      <c r="Q17" s="18" t="s">
        <v>291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292</v>
      </c>
      <c r="B19" s="16"/>
      <c r="C19" s="18" t="s">
        <v>1820</v>
      </c>
      <c r="D19" s="16"/>
      <c r="E19" s="18" t="s">
        <v>2538</v>
      </c>
      <c r="F19" s="16"/>
      <c r="G19" s="18" t="s">
        <v>1085</v>
      </c>
      <c r="H19" s="16"/>
      <c r="I19" s="18" t="s">
        <v>3261</v>
      </c>
      <c r="J19" s="16"/>
      <c r="K19" s="18" t="s">
        <v>4006</v>
      </c>
      <c r="L19" s="16"/>
      <c r="M19" s="18" t="s">
        <v>4729</v>
      </c>
      <c r="N19" s="16"/>
      <c r="O19" s="18" t="s">
        <v>5420</v>
      </c>
      <c r="P19" s="16"/>
      <c r="Q19" s="18" t="s">
        <v>6135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293</v>
      </c>
      <c r="B21" s="16"/>
      <c r="C21" s="18" t="s">
        <v>1744</v>
      </c>
      <c r="D21" s="16"/>
      <c r="E21" s="18" t="s">
        <v>2463</v>
      </c>
      <c r="F21" s="16"/>
      <c r="G21" s="18" t="s">
        <v>1012</v>
      </c>
      <c r="H21" s="16"/>
      <c r="I21" s="18" t="s">
        <v>3181</v>
      </c>
      <c r="J21" s="16"/>
      <c r="K21" s="18" t="s">
        <v>3928</v>
      </c>
      <c r="L21" s="16"/>
      <c r="M21" s="18" t="s">
        <v>4657</v>
      </c>
      <c r="N21" s="16"/>
      <c r="O21" s="18" t="s">
        <v>5342</v>
      </c>
      <c r="P21" s="16"/>
      <c r="Q21" s="18" t="s">
        <v>6073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294</v>
      </c>
      <c r="B23" s="16"/>
      <c r="C23" s="18" t="s">
        <v>2201</v>
      </c>
      <c r="D23" s="16"/>
      <c r="E23" s="18" t="s">
        <v>2921</v>
      </c>
      <c r="F23" s="16"/>
      <c r="G23" s="18" t="s">
        <v>1455</v>
      </c>
      <c r="H23" s="16"/>
      <c r="I23" s="18" t="s">
        <v>3663</v>
      </c>
      <c r="J23" s="16"/>
      <c r="K23" s="18" t="s">
        <v>4401</v>
      </c>
      <c r="L23" s="16"/>
      <c r="M23" s="18" t="s">
        <v>5070</v>
      </c>
      <c r="N23" s="16"/>
      <c r="O23" s="18" t="s">
        <v>5818</v>
      </c>
      <c r="P23" s="16"/>
      <c r="Q23" s="18" t="s">
        <v>6451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295</v>
      </c>
      <c r="B25" s="16"/>
      <c r="C25" s="18" t="s">
        <v>2202</v>
      </c>
      <c r="D25" s="16"/>
      <c r="E25" s="18" t="s">
        <v>2922</v>
      </c>
      <c r="F25" s="16"/>
      <c r="G25" s="18" t="s">
        <v>1456</v>
      </c>
      <c r="H25" s="16"/>
      <c r="I25" s="18" t="s">
        <v>3664</v>
      </c>
      <c r="J25" s="16"/>
      <c r="K25" s="18" t="s">
        <v>4402</v>
      </c>
      <c r="L25" s="16"/>
      <c r="M25" s="18" t="s">
        <v>5071</v>
      </c>
      <c r="N25" s="16"/>
      <c r="O25" s="18" t="s">
        <v>5819</v>
      </c>
      <c r="P25" s="16"/>
      <c r="Q25" s="18" t="s">
        <v>6452</v>
      </c>
      <c r="R25" s="16"/>
      <c r="S25" s="18"/>
      <c r="T25" s="21"/>
    </row>
    <row r="26" spans="1:20" ht="15.95" customHeight="1" x14ac:dyDescent="0.25">
      <c r="A26" s="18" t="s">
        <v>296</v>
      </c>
      <c r="B26" s="16"/>
      <c r="C26" s="18" t="s">
        <v>2203</v>
      </c>
      <c r="D26" s="16"/>
      <c r="E26" s="18" t="s">
        <v>2923</v>
      </c>
      <c r="F26" s="16"/>
      <c r="G26" s="18" t="s">
        <v>1457</v>
      </c>
      <c r="H26" s="16"/>
      <c r="I26" s="18" t="s">
        <v>3665</v>
      </c>
      <c r="J26" s="16"/>
      <c r="K26" s="18" t="s">
        <v>4403</v>
      </c>
      <c r="L26" s="16"/>
      <c r="M26" s="18" t="s">
        <v>5072</v>
      </c>
      <c r="N26" s="16"/>
      <c r="O26" s="18" t="s">
        <v>5820</v>
      </c>
      <c r="P26" s="16"/>
      <c r="Q26" s="18" t="s">
        <v>6453</v>
      </c>
      <c r="R26" s="16"/>
      <c r="S26" s="18"/>
      <c r="T26" s="21"/>
    </row>
    <row r="27" spans="1:20" ht="15.95" customHeight="1" x14ac:dyDescent="0.25">
      <c r="A27" s="18" t="s">
        <v>297</v>
      </c>
      <c r="B27" s="16"/>
      <c r="C27" s="18" t="s">
        <v>2204</v>
      </c>
      <c r="D27" s="16"/>
      <c r="E27" s="18" t="s">
        <v>2924</v>
      </c>
      <c r="F27" s="16"/>
      <c r="G27" s="18" t="s">
        <v>1458</v>
      </c>
      <c r="H27" s="16"/>
      <c r="I27" s="18" t="s">
        <v>3666</v>
      </c>
      <c r="J27" s="16"/>
      <c r="K27" s="18" t="s">
        <v>4404</v>
      </c>
      <c r="L27" s="16"/>
      <c r="M27" s="18" t="s">
        <v>5073</v>
      </c>
      <c r="N27" s="16"/>
      <c r="O27" s="18" t="s">
        <v>5821</v>
      </c>
      <c r="P27" s="16"/>
      <c r="Q27" s="18" t="s">
        <v>6454</v>
      </c>
      <c r="R27" s="16"/>
      <c r="S27" s="18"/>
      <c r="T27" s="21"/>
    </row>
    <row r="28" spans="1:20" ht="15.95" customHeight="1" x14ac:dyDescent="0.25">
      <c r="A28" s="18" t="s">
        <v>298</v>
      </c>
      <c r="B28" s="16"/>
      <c r="C28" s="18" t="s">
        <v>2205</v>
      </c>
      <c r="D28" s="16"/>
      <c r="E28" s="18" t="s">
        <v>2925</v>
      </c>
      <c r="F28" s="16"/>
      <c r="G28" s="18" t="s">
        <v>1459</v>
      </c>
      <c r="H28" s="16"/>
      <c r="I28" s="18" t="s">
        <v>3667</v>
      </c>
      <c r="J28" s="16"/>
      <c r="K28" s="18" t="s">
        <v>4405</v>
      </c>
      <c r="L28" s="16"/>
      <c r="M28" s="18" t="s">
        <v>5074</v>
      </c>
      <c r="N28" s="16"/>
      <c r="O28" s="18" t="s">
        <v>5822</v>
      </c>
      <c r="P28" s="16"/>
      <c r="Q28" s="18" t="s">
        <v>6455</v>
      </c>
      <c r="R28" s="16"/>
      <c r="S28" s="18"/>
      <c r="T28" s="21"/>
    </row>
    <row r="29" spans="1:20" ht="15.95" customHeight="1" x14ac:dyDescent="0.25">
      <c r="A29" s="18" t="s">
        <v>299</v>
      </c>
      <c r="B29" s="16"/>
      <c r="C29" s="18" t="s">
        <v>2206</v>
      </c>
      <c r="D29" s="16"/>
      <c r="E29" s="18" t="s">
        <v>2926</v>
      </c>
      <c r="F29" s="16"/>
      <c r="G29" s="18" t="s">
        <v>1460</v>
      </c>
      <c r="H29" s="16"/>
      <c r="I29" s="18" t="s">
        <v>3668</v>
      </c>
      <c r="J29" s="16"/>
      <c r="K29" s="18" t="s">
        <v>4406</v>
      </c>
      <c r="L29" s="16"/>
      <c r="M29" s="18" t="s">
        <v>5075</v>
      </c>
      <c r="N29" s="16"/>
      <c r="O29" s="18" t="s">
        <v>5823</v>
      </c>
      <c r="P29" s="16"/>
      <c r="Q29" s="18" t="s">
        <v>6456</v>
      </c>
      <c r="R29" s="16"/>
      <c r="S29" s="18"/>
      <c r="T29" s="21"/>
    </row>
    <row r="30" spans="1:20" ht="15.95" customHeight="1" x14ac:dyDescent="0.25">
      <c r="A30" s="18" t="s">
        <v>300</v>
      </c>
      <c r="B30" s="16"/>
      <c r="C30" s="18" t="s">
        <v>2207</v>
      </c>
      <c r="D30" s="16"/>
      <c r="E30" s="18" t="s">
        <v>2927</v>
      </c>
      <c r="F30" s="16"/>
      <c r="G30" s="18" t="s">
        <v>1461</v>
      </c>
      <c r="H30" s="16"/>
      <c r="I30" s="18" t="s">
        <v>3669</v>
      </c>
      <c r="J30" s="16"/>
      <c r="K30" s="18" t="s">
        <v>4407</v>
      </c>
      <c r="L30" s="16"/>
      <c r="M30" s="18" t="s">
        <v>5076</v>
      </c>
      <c r="N30" s="16"/>
      <c r="O30" s="18" t="s">
        <v>5824</v>
      </c>
      <c r="P30" s="16"/>
      <c r="Q30" s="18" t="s">
        <v>6457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301</v>
      </c>
      <c r="B32" s="16"/>
      <c r="C32" s="18" t="s">
        <v>2208</v>
      </c>
      <c r="D32" s="16"/>
      <c r="E32" s="18" t="s">
        <v>2928</v>
      </c>
      <c r="F32" s="16"/>
      <c r="G32" s="18" t="s">
        <v>1462</v>
      </c>
      <c r="H32" s="16"/>
      <c r="I32" s="18" t="s">
        <v>3670</v>
      </c>
      <c r="J32" s="16"/>
      <c r="K32" s="18" t="s">
        <v>4408</v>
      </c>
      <c r="L32" s="16"/>
      <c r="M32" s="18" t="s">
        <v>5077</v>
      </c>
      <c r="N32" s="16"/>
      <c r="O32" s="18" t="s">
        <v>5825</v>
      </c>
      <c r="P32" s="16"/>
      <c r="Q32" s="18" t="s">
        <v>6458</v>
      </c>
      <c r="R32" s="16"/>
      <c r="S32" s="18"/>
      <c r="T32" s="21"/>
    </row>
    <row r="33" spans="1:20" ht="15.95" customHeight="1" x14ac:dyDescent="0.25">
      <c r="A33" s="22" t="s">
        <v>302</v>
      </c>
      <c r="B33" s="16"/>
      <c r="C33" s="18" t="s">
        <v>2209</v>
      </c>
      <c r="D33" s="16"/>
      <c r="E33" s="18" t="s">
        <v>2929</v>
      </c>
      <c r="F33" s="16"/>
      <c r="G33" s="18" t="s">
        <v>1463</v>
      </c>
      <c r="H33" s="16"/>
      <c r="I33" s="18" t="s">
        <v>3671</v>
      </c>
      <c r="J33" s="16"/>
      <c r="K33" s="18" t="s">
        <v>4409</v>
      </c>
      <c r="L33" s="16"/>
      <c r="M33" s="18" t="s">
        <v>5078</v>
      </c>
      <c r="N33" s="16"/>
      <c r="O33" s="18" t="s">
        <v>5826</v>
      </c>
      <c r="P33" s="16"/>
      <c r="Q33" s="18" t="s">
        <v>6459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3" priority="2" stopIfTrue="1">
      <formula>NOT(ISERROR(A3))</formula>
    </cfRule>
  </conditionalFormatting>
  <conditionalFormatting sqref="A3:T51">
    <cfRule type="containsErrors" dxfId="202" priority="1" stopIfTrue="1">
      <formula>ISERROR(A3)</formula>
    </cfRule>
    <cfRule type="notContainsBlanks" dxfId="201"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303</v>
      </c>
      <c r="B3" s="16" t="str">
        <f>TRIM(_xlfn.TEXTBEFORE(A3, ":"))</f>
        <v>Item Class</v>
      </c>
      <c r="C3" s="17" t="s">
        <v>2210</v>
      </c>
      <c r="D3" s="16" t="str">
        <f>TRIM(_xlfn.TEXTBEFORE(C3, ":"))</f>
        <v>Gegenstandsklasse</v>
      </c>
      <c r="E3" s="17" t="s">
        <v>2930</v>
      </c>
      <c r="F3" s="16" t="str">
        <f>TRIM(_xlfn.TEXTBEFORE(E3, ":"))</f>
        <v>Clase de objeto</v>
      </c>
      <c r="G3" s="17" t="s">
        <v>1464</v>
      </c>
      <c r="H3" s="16" t="str">
        <f>TRIM(_xlfn.TEXTBEFORE(G3, ":"))</f>
        <v>Classe d'objet</v>
      </c>
      <c r="I3" s="17" t="s">
        <v>3672</v>
      </c>
      <c r="J3" s="16" t="str">
        <f>TRIM(_xlfn.TEXTBEFORE(I3, ":"))</f>
        <v>アイテムクラス</v>
      </c>
      <c r="K3" s="17" t="s">
        <v>4410</v>
      </c>
      <c r="L3" s="16" t="str">
        <f>TRIM(_xlfn.TEXTBEFORE(K3, ":"))</f>
        <v>아이템 종류</v>
      </c>
      <c r="M3" s="17" t="s">
        <v>5079</v>
      </c>
      <c r="N3" s="16" t="str">
        <f>TRIM(_xlfn.TEXTBEFORE(M3, ":"))</f>
        <v>Classe do Item</v>
      </c>
      <c r="O3" s="17" t="s">
        <v>5827</v>
      </c>
      <c r="P3" s="16" t="str">
        <f>TRIM(_xlfn.TEXTBEFORE(O3, ":"))</f>
        <v>Класс предмета</v>
      </c>
      <c r="Q3" s="17" t="s">
        <v>6460</v>
      </c>
      <c r="R3" s="16" t="str">
        <f>TRIM(_xlfn.TEXTBEFORE(Q3, ":"))</f>
        <v>ชนิดไอเทม</v>
      </c>
      <c r="S3" s="17"/>
      <c r="T3" s="16" t="e">
        <f>TRIM(_xlfn.TEXTBEFORE(S3, ":"))</f>
        <v>#N/A</v>
      </c>
    </row>
    <row r="4" spans="1:20" ht="15.95" customHeight="1" x14ac:dyDescent="0.25">
      <c r="A4" s="18" t="s">
        <v>81</v>
      </c>
      <c r="B4" s="16" t="str">
        <f>TRIM(_xlfn.TEXTAFTER(A3, ":"))</f>
        <v>Two Hand Maces</v>
      </c>
      <c r="C4" s="18" t="s">
        <v>1644</v>
      </c>
      <c r="D4" s="16" t="str">
        <f>TRIM(_xlfn.TEXTAFTER(C3, ":"))</f>
        <v>Zweihandstreitkolben</v>
      </c>
      <c r="E4" s="18" t="s">
        <v>2364</v>
      </c>
      <c r="F4" s="16" t="str">
        <f>TRIM(_xlfn.TEXTAFTER(E3, ":"))</f>
        <v>Mazas a dos manos</v>
      </c>
      <c r="G4" s="18" t="s">
        <v>1</v>
      </c>
      <c r="H4" s="16" t="str">
        <f>TRIM(_xlfn.TEXTAFTER(G3, ":"))</f>
        <v>Masses à deux mains</v>
      </c>
      <c r="I4" s="18" t="s">
        <v>3079</v>
      </c>
      <c r="J4" s="16" t="str">
        <f>TRIM(_xlfn.TEXTAFTER(I3, ":"))</f>
        <v>両手メイス</v>
      </c>
      <c r="K4" s="18" t="s">
        <v>3829</v>
      </c>
      <c r="L4" s="16" t="str">
        <f>TRIM(_xlfn.TEXTAFTER(K3, ":"))</f>
        <v>양손 철퇴</v>
      </c>
      <c r="M4" s="18" t="s">
        <v>4558</v>
      </c>
      <c r="N4" s="16" t="str">
        <f>TRIM(_xlfn.TEXTAFTER(M3, ":"))</f>
        <v>Maças de Duas Mãos</v>
      </c>
      <c r="O4" s="18" t="s">
        <v>5241</v>
      </c>
      <c r="P4" s="16" t="str">
        <f>TRIM(_xlfn.TEXTAFTER(O3, ":"))</f>
        <v>Двуручные булавы</v>
      </c>
      <c r="Q4" s="18" t="s">
        <v>5978</v>
      </c>
      <c r="R4" s="16" t="str">
        <f>TRIM(_xlfn.TEXTAFTER(Q3, ":"))</f>
        <v>กระบองสองมือ</v>
      </c>
      <c r="S4" s="18"/>
      <c r="T4" s="16" t="e">
        <f>TRIM(_xlfn.TEXTAFTER(S3, ":"))</f>
        <v>#N/A</v>
      </c>
    </row>
    <row r="5" spans="1:20" ht="15.95" customHeight="1" x14ac:dyDescent="0.25">
      <c r="A5" s="18" t="s">
        <v>304</v>
      </c>
      <c r="B5" s="16" t="str">
        <f>TRIM(_xlfn.TEXTBEFORE(A4, ":"))</f>
        <v>Rarity</v>
      </c>
      <c r="C5" s="18" t="s">
        <v>2211</v>
      </c>
      <c r="D5" s="16" t="str">
        <f>TRIM(_xlfn.TEXTBEFORE(C4, ":"))</f>
        <v>Seltenheit</v>
      </c>
      <c r="E5" s="18" t="s">
        <v>2931</v>
      </c>
      <c r="F5" s="16" t="str">
        <f>TRIM(_xlfn.TEXTBEFORE(E4, ":"))</f>
        <v>Rareza</v>
      </c>
      <c r="G5" s="18" t="s">
        <v>1465</v>
      </c>
      <c r="H5" s="16" t="str">
        <f>TRIM(_xlfn.TEXTBEFORE(G4, ":"))</f>
        <v>Rareté</v>
      </c>
      <c r="I5" s="18" t="s">
        <v>3673</v>
      </c>
      <c r="J5" s="16" t="str">
        <f>TRIM(_xlfn.TEXTBEFORE(I4, ":"))</f>
        <v>レアリティ</v>
      </c>
      <c r="K5" s="18" t="s">
        <v>4411</v>
      </c>
      <c r="L5" s="16" t="str">
        <f>TRIM(_xlfn.TEXTBEFORE(K4, ":"))</f>
        <v>아이템 희귀도</v>
      </c>
      <c r="M5" s="18" t="s">
        <v>5080</v>
      </c>
      <c r="N5" s="16" t="str">
        <f>TRIM(_xlfn.TEXTBEFORE(M4, ":"))</f>
        <v>Raridade</v>
      </c>
      <c r="O5" s="18" t="s">
        <v>5828</v>
      </c>
      <c r="P5" s="16" t="str">
        <f>TRIM(_xlfn.TEXTBEFORE(O4, ":"))</f>
        <v>Редкость</v>
      </c>
      <c r="Q5" s="18" t="s">
        <v>304</v>
      </c>
      <c r="R5" s="16" t="str">
        <f>TRIM(_xlfn.TEXTBEFORE(Q4, ":"))</f>
        <v>ความหายาก</v>
      </c>
      <c r="S5" s="18"/>
      <c r="T5" s="16" t="e">
        <f>TRIM(_xlfn.TEXTBEFORE(S4, ":"))</f>
        <v>#N/A</v>
      </c>
    </row>
    <row r="6" spans="1:20" ht="15.95" customHeight="1" x14ac:dyDescent="0.25">
      <c r="A6" s="18" t="s">
        <v>305</v>
      </c>
      <c r="B6" s="16" t="str">
        <f>TRIM(_xlfn.TEXTAFTER(A4,":"))</f>
        <v>Unique</v>
      </c>
      <c r="C6" s="18" t="s">
        <v>2212</v>
      </c>
      <c r="D6" s="16" t="str">
        <f>TRIM(_xlfn.TEXTAFTER(C4,":"))</f>
        <v>Einzigartig</v>
      </c>
      <c r="E6" s="18" t="s">
        <v>2932</v>
      </c>
      <c r="F6" s="16" t="str">
        <f>TRIM(_xlfn.TEXTAFTER(E4,":"))</f>
        <v>Único</v>
      </c>
      <c r="G6" s="18" t="s">
        <v>1466</v>
      </c>
      <c r="H6" s="16" t="str">
        <f>TRIM(_xlfn.TEXTAFTER(G4,":"))</f>
        <v>Unique</v>
      </c>
      <c r="I6" s="18" t="s">
        <v>3674</v>
      </c>
      <c r="J6" s="16" t="str">
        <f>TRIM(_xlfn.TEXTAFTER(I4,":"))</f>
        <v>ユニーク</v>
      </c>
      <c r="K6" s="18" t="s">
        <v>4412</v>
      </c>
      <c r="L6" s="16" t="str">
        <f>TRIM(_xlfn.TEXTAFTER(K4,":"))</f>
        <v>고유</v>
      </c>
      <c r="M6" s="18" t="s">
        <v>5081</v>
      </c>
      <c r="N6" s="16" t="str">
        <f>TRIM(_xlfn.TEXTAFTER(M4,":"))</f>
        <v>Único</v>
      </c>
      <c r="O6" s="18" t="s">
        <v>5829</v>
      </c>
      <c r="P6" s="16" t="str">
        <f>TRIM(_xlfn.TEXTAFTER(O4,":"))</f>
        <v>Уникальный</v>
      </c>
      <c r="Q6" s="18" t="s">
        <v>305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306</v>
      </c>
      <c r="B8" s="16"/>
      <c r="C8" s="18" t="s">
        <v>2213</v>
      </c>
      <c r="D8" s="16"/>
      <c r="E8" s="18" t="s">
        <v>2933</v>
      </c>
      <c r="F8" s="16"/>
      <c r="G8" s="18" t="s">
        <v>1467</v>
      </c>
      <c r="H8" s="16"/>
      <c r="I8" s="18" t="s">
        <v>3675</v>
      </c>
      <c r="J8" s="16"/>
      <c r="K8" s="18" t="s">
        <v>4413</v>
      </c>
      <c r="L8" s="16"/>
      <c r="M8" s="18" t="s">
        <v>5082</v>
      </c>
      <c r="N8" s="16"/>
      <c r="O8" s="18" t="s">
        <v>5830</v>
      </c>
      <c r="P8" s="16"/>
      <c r="Q8" s="18" t="s">
        <v>6461</v>
      </c>
      <c r="R8" s="16"/>
      <c r="S8" s="18"/>
      <c r="T8" s="16"/>
    </row>
    <row r="9" spans="1:20" ht="15.95" customHeight="1" x14ac:dyDescent="0.25">
      <c r="A9" s="18" t="s">
        <v>307</v>
      </c>
      <c r="B9" s="16"/>
      <c r="C9" s="18" t="s">
        <v>2214</v>
      </c>
      <c r="D9" s="16"/>
      <c r="E9" s="18" t="s">
        <v>2934</v>
      </c>
      <c r="F9" s="16"/>
      <c r="G9" s="18" t="s">
        <v>1468</v>
      </c>
      <c r="H9" s="16"/>
      <c r="I9" s="18" t="s">
        <v>3676</v>
      </c>
      <c r="J9" s="16"/>
      <c r="K9" s="18" t="s">
        <v>4414</v>
      </c>
      <c r="L9" s="16"/>
      <c r="M9" s="18" t="s">
        <v>5083</v>
      </c>
      <c r="N9" s="16"/>
      <c r="O9" s="18" t="s">
        <v>5831</v>
      </c>
      <c r="P9" s="16"/>
      <c r="Q9" s="18" t="s">
        <v>6462</v>
      </c>
      <c r="R9" s="16"/>
      <c r="S9" s="18"/>
      <c r="T9" s="16"/>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16"/>
    </row>
    <row r="11" spans="1:20" ht="15.95" customHeight="1" x14ac:dyDescent="0.25">
      <c r="A11" s="18" t="s">
        <v>308</v>
      </c>
      <c r="B11" s="16"/>
      <c r="C11" s="18" t="s">
        <v>2215</v>
      </c>
      <c r="D11" s="16"/>
      <c r="E11" s="18" t="s">
        <v>2935</v>
      </c>
      <c r="F11" s="16"/>
      <c r="G11" s="18" t="s">
        <v>1469</v>
      </c>
      <c r="H11" s="16"/>
      <c r="I11" s="18" t="s">
        <v>3677</v>
      </c>
      <c r="J11" s="16"/>
      <c r="K11" s="18" t="s">
        <v>4415</v>
      </c>
      <c r="L11" s="16"/>
      <c r="M11" s="18" t="s">
        <v>5084</v>
      </c>
      <c r="N11" s="16"/>
      <c r="O11" s="18" t="s">
        <v>5832</v>
      </c>
      <c r="P11" s="16"/>
      <c r="Q11" s="18" t="s">
        <v>6463</v>
      </c>
      <c r="R11" s="16"/>
      <c r="S11" s="18"/>
      <c r="T11" s="16"/>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82</v>
      </c>
      <c r="B14" s="16"/>
      <c r="C14" s="18" t="s">
        <v>1590</v>
      </c>
      <c r="D14" s="16"/>
      <c r="E14" s="18" t="s">
        <v>2309</v>
      </c>
      <c r="F14" s="16"/>
      <c r="G14" s="18" t="s">
        <v>5</v>
      </c>
      <c r="H14" s="16"/>
      <c r="I14" s="18" t="s">
        <v>3019</v>
      </c>
      <c r="J14" s="16"/>
      <c r="K14" s="18" t="s">
        <v>3773</v>
      </c>
      <c r="L14" s="16"/>
      <c r="M14" s="18" t="s">
        <v>2309</v>
      </c>
      <c r="N14" s="16"/>
      <c r="O14" s="18" t="s">
        <v>5184</v>
      </c>
      <c r="P14" s="16"/>
      <c r="Q14" s="18" t="s">
        <v>5929</v>
      </c>
      <c r="R14" s="16"/>
      <c r="S14" s="18"/>
      <c r="T14" s="21"/>
    </row>
    <row r="15" spans="1:20" ht="15.95" customHeight="1" x14ac:dyDescent="0.25">
      <c r="A15" s="18" t="s">
        <v>309</v>
      </c>
      <c r="B15" s="16"/>
      <c r="C15" s="18" t="s">
        <v>1854</v>
      </c>
      <c r="D15" s="16"/>
      <c r="E15" s="18" t="s">
        <v>2572</v>
      </c>
      <c r="F15" s="16"/>
      <c r="G15" s="18" t="s">
        <v>1117</v>
      </c>
      <c r="H15" s="16"/>
      <c r="I15" s="18" t="s">
        <v>3296</v>
      </c>
      <c r="J15" s="16"/>
      <c r="K15" s="18" t="s">
        <v>4041</v>
      </c>
      <c r="L15" s="16"/>
      <c r="M15" s="18" t="s">
        <v>4762</v>
      </c>
      <c r="N15" s="16"/>
      <c r="O15" s="18" t="s">
        <v>5455</v>
      </c>
      <c r="P15" s="16"/>
      <c r="Q15" s="18" t="s">
        <v>6164</v>
      </c>
      <c r="R15" s="16"/>
      <c r="S15" s="18"/>
      <c r="T15" s="21"/>
    </row>
    <row r="16" spans="1:20" ht="15.95" customHeight="1" x14ac:dyDescent="0.25">
      <c r="A16" s="18" t="s">
        <v>310</v>
      </c>
      <c r="B16" s="16"/>
      <c r="C16" s="18" t="s">
        <v>310</v>
      </c>
      <c r="D16" s="16"/>
      <c r="E16" s="18" t="s">
        <v>2936</v>
      </c>
      <c r="F16" s="16"/>
      <c r="G16" s="18" t="s">
        <v>1470</v>
      </c>
      <c r="H16" s="16"/>
      <c r="I16" s="18" t="s">
        <v>3678</v>
      </c>
      <c r="J16" s="16"/>
      <c r="K16" s="18" t="s">
        <v>4416</v>
      </c>
      <c r="L16" s="16"/>
      <c r="M16" s="18" t="s">
        <v>1470</v>
      </c>
      <c r="N16" s="16"/>
      <c r="O16" s="18" t="s">
        <v>5833</v>
      </c>
      <c r="P16" s="16"/>
      <c r="Q16" s="18" t="s">
        <v>310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311</v>
      </c>
      <c r="B18" s="16"/>
      <c r="C18" s="18" t="s">
        <v>2216</v>
      </c>
      <c r="D18" s="16"/>
      <c r="E18" s="18" t="s">
        <v>2937</v>
      </c>
      <c r="F18" s="16"/>
      <c r="G18" s="18" t="s">
        <v>1471</v>
      </c>
      <c r="H18" s="16"/>
      <c r="I18" s="18" t="s">
        <v>3679</v>
      </c>
      <c r="J18" s="16"/>
      <c r="K18" s="18" t="s">
        <v>4417</v>
      </c>
      <c r="L18" s="16"/>
      <c r="M18" s="18" t="s">
        <v>5085</v>
      </c>
      <c r="N18" s="16"/>
      <c r="O18" s="18" t="s">
        <v>5834</v>
      </c>
      <c r="P18" s="16"/>
      <c r="Q18" s="18" t="s">
        <v>6464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312</v>
      </c>
      <c r="B20" s="16"/>
      <c r="C20" s="18" t="s">
        <v>1881</v>
      </c>
      <c r="D20" s="16"/>
      <c r="E20" s="18" t="s">
        <v>2599</v>
      </c>
      <c r="F20" s="16"/>
      <c r="G20" s="18" t="s">
        <v>1142</v>
      </c>
      <c r="H20" s="16"/>
      <c r="I20" s="18" t="s">
        <v>3324</v>
      </c>
      <c r="J20" s="16"/>
      <c r="K20" s="18" t="s">
        <v>4069</v>
      </c>
      <c r="L20" s="16"/>
      <c r="M20" s="18" t="s">
        <v>4787</v>
      </c>
      <c r="N20" s="16"/>
      <c r="O20" s="18" t="s">
        <v>5483</v>
      </c>
      <c r="P20" s="16"/>
      <c r="Q20" s="18" t="s">
        <v>6185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313</v>
      </c>
      <c r="B22" s="16"/>
      <c r="C22" s="18" t="s">
        <v>2217</v>
      </c>
      <c r="D22" s="16"/>
      <c r="E22" s="18" t="s">
        <v>2938</v>
      </c>
      <c r="F22" s="16"/>
      <c r="G22" s="18" t="s">
        <v>1472</v>
      </c>
      <c r="H22" s="16"/>
      <c r="I22" s="18" t="s">
        <v>3680</v>
      </c>
      <c r="J22" s="16"/>
      <c r="K22" s="18" t="s">
        <v>4418</v>
      </c>
      <c r="L22" s="16"/>
      <c r="M22" s="18" t="s">
        <v>5086</v>
      </c>
      <c r="N22" s="16"/>
      <c r="O22" s="18" t="s">
        <v>5835</v>
      </c>
      <c r="P22" s="16"/>
      <c r="Q22" s="18" t="s">
        <v>6465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314</v>
      </c>
      <c r="B24" s="16"/>
      <c r="C24" s="18" t="s">
        <v>2218</v>
      </c>
      <c r="D24" s="16"/>
      <c r="E24" s="18" t="s">
        <v>2939</v>
      </c>
      <c r="F24" s="16"/>
      <c r="G24" s="18" t="s">
        <v>1473</v>
      </c>
      <c r="H24" s="16"/>
      <c r="I24" s="18" t="s">
        <v>3681</v>
      </c>
      <c r="J24" s="16"/>
      <c r="K24" s="18" t="s">
        <v>4419</v>
      </c>
      <c r="L24" s="16"/>
      <c r="M24" s="18" t="s">
        <v>5087</v>
      </c>
      <c r="N24" s="16"/>
      <c r="O24" s="18" t="s">
        <v>5836</v>
      </c>
      <c r="P24" s="16"/>
      <c r="Q24" s="18" t="s">
        <v>6466</v>
      </c>
      <c r="R24" s="16"/>
      <c r="S24" s="18"/>
      <c r="T24" s="21"/>
    </row>
    <row r="25" spans="1:20" ht="15.95" customHeight="1" x14ac:dyDescent="0.25">
      <c r="A25" s="18" t="s">
        <v>315</v>
      </c>
      <c r="B25" s="16"/>
      <c r="C25" s="18" t="s">
        <v>2219</v>
      </c>
      <c r="D25" s="16"/>
      <c r="E25" s="18" t="s">
        <v>2940</v>
      </c>
      <c r="F25" s="16"/>
      <c r="G25" s="18" t="s">
        <v>1474</v>
      </c>
      <c r="H25" s="16"/>
      <c r="I25" s="18" t="s">
        <v>3682</v>
      </c>
      <c r="J25" s="16"/>
      <c r="K25" s="18" t="s">
        <v>4420</v>
      </c>
      <c r="L25" s="16"/>
      <c r="M25" s="18" t="s">
        <v>5088</v>
      </c>
      <c r="N25" s="16"/>
      <c r="O25" s="18" t="s">
        <v>5837</v>
      </c>
      <c r="P25" s="16"/>
      <c r="Q25" s="18" t="s">
        <v>6467</v>
      </c>
      <c r="R25" s="16"/>
      <c r="S25" s="18"/>
      <c r="T25" s="21"/>
    </row>
    <row r="26" spans="1:20" ht="15.95" customHeight="1" x14ac:dyDescent="0.25">
      <c r="A26" s="18" t="s">
        <v>316</v>
      </c>
      <c r="B26" s="16"/>
      <c r="C26" s="18" t="s">
        <v>2220</v>
      </c>
      <c r="D26" s="16"/>
      <c r="E26" s="18" t="s">
        <v>2941</v>
      </c>
      <c r="F26" s="16"/>
      <c r="G26" s="18" t="s">
        <v>1475</v>
      </c>
      <c r="H26" s="16"/>
      <c r="I26" s="18" t="s">
        <v>3683</v>
      </c>
      <c r="J26" s="16"/>
      <c r="K26" s="18" t="s">
        <v>4421</v>
      </c>
      <c r="L26" s="16"/>
      <c r="M26" s="18" t="s">
        <v>5089</v>
      </c>
      <c r="N26" s="16"/>
      <c r="O26" s="18" t="s">
        <v>5838</v>
      </c>
      <c r="P26" s="16"/>
      <c r="Q26" s="18" t="s">
        <v>6468</v>
      </c>
      <c r="R26" s="16"/>
      <c r="S26" s="18"/>
      <c r="T26" s="21"/>
    </row>
    <row r="27" spans="1:20" ht="15.95" customHeight="1" x14ac:dyDescent="0.25">
      <c r="A27" s="18" t="s">
        <v>317</v>
      </c>
      <c r="B27" s="16"/>
      <c r="C27" s="18" t="s">
        <v>2221</v>
      </c>
      <c r="D27" s="16"/>
      <c r="E27" s="18" t="s">
        <v>2942</v>
      </c>
      <c r="F27" s="16"/>
      <c r="G27" s="18" t="s">
        <v>1476</v>
      </c>
      <c r="H27" s="16"/>
      <c r="I27" s="18" t="s">
        <v>3684</v>
      </c>
      <c r="J27" s="16"/>
      <c r="K27" s="18" t="s">
        <v>4422</v>
      </c>
      <c r="L27" s="16"/>
      <c r="M27" s="18" t="s">
        <v>5090</v>
      </c>
      <c r="N27" s="16"/>
      <c r="O27" s="18" t="s">
        <v>5839</v>
      </c>
      <c r="P27" s="16"/>
      <c r="Q27" s="18" t="s">
        <v>6469</v>
      </c>
      <c r="R27" s="16"/>
      <c r="S27" s="18"/>
      <c r="T27" s="21"/>
    </row>
    <row r="28" spans="1:20" ht="15.95" customHeight="1" x14ac:dyDescent="0.25">
      <c r="A28" s="18" t="s">
        <v>84</v>
      </c>
      <c r="B28" s="16"/>
      <c r="C28" s="18" t="s">
        <v>2222</v>
      </c>
      <c r="D28" s="16"/>
      <c r="E28" s="18" t="s">
        <v>2943</v>
      </c>
      <c r="F28" s="16"/>
      <c r="G28" s="18" t="s">
        <v>1477</v>
      </c>
      <c r="H28" s="16"/>
      <c r="I28" s="18" t="s">
        <v>3685</v>
      </c>
      <c r="J28" s="16"/>
      <c r="K28" s="18" t="s">
        <v>4423</v>
      </c>
      <c r="L28" s="16"/>
      <c r="M28" s="18" t="s">
        <v>5091</v>
      </c>
      <c r="N28" s="16"/>
      <c r="O28" s="18" t="s">
        <v>5840</v>
      </c>
      <c r="P28" s="16"/>
      <c r="Q28" s="18" t="s">
        <v>6470</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318</v>
      </c>
      <c r="B30" s="16"/>
      <c r="C30" s="18" t="s">
        <v>2223</v>
      </c>
      <c r="D30" s="16"/>
      <c r="E30" s="18" t="s">
        <v>2944</v>
      </c>
      <c r="F30" s="16"/>
      <c r="G30" s="18" t="s">
        <v>1478</v>
      </c>
      <c r="H30" s="16"/>
      <c r="I30" s="18" t="s">
        <v>3686</v>
      </c>
      <c r="J30" s="16"/>
      <c r="K30" s="18" t="s">
        <v>4424</v>
      </c>
      <c r="L30" s="16"/>
      <c r="M30" s="18" t="s">
        <v>5092</v>
      </c>
      <c r="N30" s="16"/>
      <c r="O30" s="18" t="s">
        <v>5841</v>
      </c>
      <c r="P30" s="16"/>
      <c r="Q30" s="18" t="s">
        <v>6471</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0" priority="2" stopIfTrue="1">
      <formula>NOT(ISERROR(A3))</formula>
    </cfRule>
  </conditionalFormatting>
  <conditionalFormatting sqref="A3:T51">
    <cfRule type="containsErrors" dxfId="199" priority="1" stopIfTrue="1">
      <formula>ISERROR(A3)</formula>
    </cfRule>
    <cfRule type="notContainsBlanks" dxfId="198"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9" t="s">
        <v>85</v>
      </c>
    </row>
    <row r="3" spans="1:20" ht="15.95" customHeight="1" x14ac:dyDescent="0.25">
      <c r="A3" s="17" t="s">
        <v>484</v>
      </c>
      <c r="B3" s="16" t="str">
        <f>TRIM(_xlfn.TEXTBEFORE(A3, ":"))</f>
        <v>Item Class</v>
      </c>
      <c r="C3" s="17" t="s">
        <v>2224</v>
      </c>
      <c r="D3" s="16" t="str">
        <f>TRIM(_xlfn.TEXTBEFORE(C3, ":"))</f>
        <v>Gegenstandsklasse</v>
      </c>
      <c r="E3" s="17" t="s">
        <v>2945</v>
      </c>
      <c r="F3" s="16" t="str">
        <f>TRIM(_xlfn.TEXTBEFORE(E3, ":"))</f>
        <v>Clase de objeto</v>
      </c>
      <c r="G3" s="17" t="s">
        <v>1479</v>
      </c>
      <c r="H3" s="16" t="str">
        <f>TRIM(_xlfn.TEXTBEFORE(G3, ":"))</f>
        <v>Classe d'objet</v>
      </c>
      <c r="I3" s="17" t="s">
        <v>3687</v>
      </c>
      <c r="J3" s="16" t="str">
        <f>TRIM(_xlfn.TEXTBEFORE(I3, ":"))</f>
        <v>アイテムクラス</v>
      </c>
      <c r="K3" s="17" t="s">
        <v>4425</v>
      </c>
      <c r="L3" s="16" t="str">
        <f>TRIM(_xlfn.TEXTBEFORE(K3, ":"))</f>
        <v>아이템 종류</v>
      </c>
      <c r="M3" s="17" t="s">
        <v>5093</v>
      </c>
      <c r="N3" s="16" t="str">
        <f>TRIM(_xlfn.TEXTBEFORE(M3, ":"))</f>
        <v>Classe do Item</v>
      </c>
      <c r="O3" s="17" t="s">
        <v>5842</v>
      </c>
      <c r="P3" s="16" t="str">
        <f>TRIM(_xlfn.TEXTBEFORE(O3, ":"))</f>
        <v>Класс предмета</v>
      </c>
      <c r="Q3" s="17" t="s">
        <v>6472</v>
      </c>
      <c r="R3" s="16" t="str">
        <f>TRIM(_xlfn.TEXTBEFORE(Q3, ":"))</f>
        <v>ชนิดไอเทม</v>
      </c>
      <c r="S3" s="17"/>
      <c r="T3" s="16" t="e">
        <f>TRIM(_xlfn.TEXTBEFORE(S3, ":"))</f>
        <v>#N/A</v>
      </c>
    </row>
    <row r="4" spans="1:20" ht="15.95" customHeight="1" x14ac:dyDescent="0.25">
      <c r="A4" s="18" t="s">
        <v>485</v>
      </c>
      <c r="B4" s="16" t="str">
        <f>TRIM(_xlfn.TEXTAFTER(A3, ":"))</f>
        <v>Heist Brooches</v>
      </c>
      <c r="C4" s="18" t="s">
        <v>1851</v>
      </c>
      <c r="D4" s="16" t="str">
        <f>TRIM(_xlfn.TEXTAFTER(C3, ":"))</f>
        <v>Heist-Broschen</v>
      </c>
      <c r="E4" s="18" t="s">
        <v>2569</v>
      </c>
      <c r="F4" s="16" t="str">
        <f>TRIM(_xlfn.TEXTAFTER(E3, ":"))</f>
        <v>Broches de Heist</v>
      </c>
      <c r="G4" s="18" t="s">
        <v>1114</v>
      </c>
      <c r="H4" s="16" t="str">
        <f>TRIM(_xlfn.TEXTAFTER(G3, ":"))</f>
        <v>Broches de Malfaiteur</v>
      </c>
      <c r="I4" s="18" t="s">
        <v>3293</v>
      </c>
      <c r="J4" s="16" t="str">
        <f>TRIM(_xlfn.TEXTAFTER(I3, ":"))</f>
        <v>ハイストブローチ</v>
      </c>
      <c r="K4" s="18" t="s">
        <v>4038</v>
      </c>
      <c r="L4" s="16" t="str">
        <f>TRIM(_xlfn.TEXTAFTER(K3, ":"))</f>
        <v>강탈 브로치</v>
      </c>
      <c r="M4" s="18" t="s">
        <v>4759</v>
      </c>
      <c r="N4" s="16" t="str">
        <f>TRIM(_xlfn.TEXTAFTER(M3, ":"))</f>
        <v>Broches Heist</v>
      </c>
      <c r="O4" s="18" t="s">
        <v>5452</v>
      </c>
      <c r="P4" s="16" t="str">
        <f>TRIM(_xlfn.TEXTAFTER(O3, ":"))</f>
        <v>Разбойничьи броши</v>
      </c>
      <c r="Q4" s="18" t="s">
        <v>6163</v>
      </c>
      <c r="R4" s="16" t="str">
        <f>TRIM(_xlfn.TEXTAFTER(Q3, ":"))</f>
        <v>เข็มกลัดกองโจร</v>
      </c>
      <c r="S4" s="18"/>
      <c r="T4" s="16" t="e">
        <f>TRIM(_xlfn.TEXTAFTER(S3, ":"))</f>
        <v>#N/A</v>
      </c>
    </row>
    <row r="5" spans="1:20" ht="15.95" customHeight="1" x14ac:dyDescent="0.25">
      <c r="A5" s="18" t="s">
        <v>486</v>
      </c>
      <c r="B5" s="16" t="str">
        <f>TRIM(_xlfn.TEXTBEFORE(A4, ":"))</f>
        <v>Rarity</v>
      </c>
      <c r="C5" s="18" t="s">
        <v>2225</v>
      </c>
      <c r="D5" s="16" t="str">
        <f>TRIM(_xlfn.TEXTBEFORE(C4, ":"))</f>
        <v>Seltenheit</v>
      </c>
      <c r="E5" s="18" t="s">
        <v>2946</v>
      </c>
      <c r="F5" s="16" t="str">
        <f>TRIM(_xlfn.TEXTBEFORE(E4, ":"))</f>
        <v>Rareza</v>
      </c>
      <c r="G5" s="18" t="s">
        <v>1480</v>
      </c>
      <c r="H5" s="16" t="str">
        <f>TRIM(_xlfn.TEXTBEFORE(G4, ":"))</f>
        <v>Rareté</v>
      </c>
      <c r="I5" s="18" t="s">
        <v>3688</v>
      </c>
      <c r="J5" s="16" t="str">
        <f>TRIM(_xlfn.TEXTBEFORE(I4, ":"))</f>
        <v>レアリティ</v>
      </c>
      <c r="K5" s="18" t="s">
        <v>4426</v>
      </c>
      <c r="L5" s="16" t="str">
        <f>TRIM(_xlfn.TEXTBEFORE(K4, ":"))</f>
        <v>아이템 희귀도</v>
      </c>
      <c r="M5" s="18" t="s">
        <v>5094</v>
      </c>
      <c r="N5" s="16" t="str">
        <f>TRIM(_xlfn.TEXTBEFORE(M4, ":"))</f>
        <v>Raridade</v>
      </c>
      <c r="O5" s="18" t="s">
        <v>5843</v>
      </c>
      <c r="P5" s="16" t="str">
        <f>TRIM(_xlfn.TEXTBEFORE(O4, ":"))</f>
        <v>Редкость</v>
      </c>
      <c r="Q5" s="18" t="s">
        <v>486</v>
      </c>
      <c r="R5" s="16" t="str">
        <f>TRIM(_xlfn.TEXTBEFORE(Q4, ":"))</f>
        <v>ความหายาก</v>
      </c>
      <c r="S5" s="18"/>
      <c r="T5" s="16" t="e">
        <f>TRIM(_xlfn.TEXTBEFORE(S4, ":"))</f>
        <v>#N/A</v>
      </c>
    </row>
    <row r="6" spans="1:20" ht="15.95" customHeight="1" x14ac:dyDescent="0.25">
      <c r="A6" s="18" t="s">
        <v>487</v>
      </c>
      <c r="B6" s="16" t="str">
        <f>TRIM(_xlfn.TEXTAFTER(A4,":"))</f>
        <v>Rare</v>
      </c>
      <c r="C6" s="18" t="s">
        <v>2226</v>
      </c>
      <c r="D6" s="16" t="str">
        <f>TRIM(_xlfn.TEXTAFTER(C4,":"))</f>
        <v>Selten</v>
      </c>
      <c r="E6" s="18" t="s">
        <v>2947</v>
      </c>
      <c r="F6" s="16" t="str">
        <f>TRIM(_xlfn.TEXTAFTER(E4,":"))</f>
        <v>Raro</v>
      </c>
      <c r="G6" s="18" t="s">
        <v>1481</v>
      </c>
      <c r="H6" s="16" t="str">
        <f>TRIM(_xlfn.TEXTAFTER(G4,":"))</f>
        <v>Rare</v>
      </c>
      <c r="I6" s="18" t="s">
        <v>3689</v>
      </c>
      <c r="J6" s="16" t="str">
        <f>TRIM(_xlfn.TEXTAFTER(I4,":"))</f>
        <v>レア</v>
      </c>
      <c r="K6" s="18" t="s">
        <v>4427</v>
      </c>
      <c r="L6" s="16" t="str">
        <f>TRIM(_xlfn.TEXTAFTER(K4,":"))</f>
        <v>희귀</v>
      </c>
      <c r="M6" s="18" t="s">
        <v>5095</v>
      </c>
      <c r="N6" s="16" t="str">
        <f>TRIM(_xlfn.TEXTAFTER(M4,":"))</f>
        <v>Raro</v>
      </c>
      <c r="O6" s="18" t="s">
        <v>5844</v>
      </c>
      <c r="P6" s="16" t="str">
        <f>TRIM(_xlfn.TEXTAFTER(O4,":"))</f>
        <v>Редкий</v>
      </c>
      <c r="Q6" s="18" t="s">
        <v>6473</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16"/>
    </row>
    <row r="11" spans="1:20" ht="15.95" customHeight="1" x14ac:dyDescent="0.25">
      <c r="A11" s="18" t="s">
        <v>489</v>
      </c>
      <c r="B11" s="16"/>
      <c r="C11" s="18" t="s">
        <v>2228</v>
      </c>
      <c r="D11" s="16"/>
      <c r="E11" s="18" t="s">
        <v>2949</v>
      </c>
      <c r="F11" s="16"/>
      <c r="G11" s="18" t="s">
        <v>1483</v>
      </c>
      <c r="H11" s="16"/>
      <c r="I11" s="18" t="s">
        <v>3691</v>
      </c>
      <c r="J11" s="16"/>
      <c r="K11" s="18" t="s">
        <v>4429</v>
      </c>
      <c r="L11" s="16"/>
      <c r="M11" s="18" t="s">
        <v>5097</v>
      </c>
      <c r="N11" s="16"/>
      <c r="O11" s="18" t="s">
        <v>5846</v>
      </c>
      <c r="P11" s="16"/>
      <c r="Q11" s="18" t="s">
        <v>6475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434</v>
      </c>
      <c r="B13" s="16"/>
      <c r="C13" s="18" t="s">
        <v>1700</v>
      </c>
      <c r="D13" s="16"/>
      <c r="E13" s="18" t="s">
        <v>2419</v>
      </c>
      <c r="F13" s="16"/>
      <c r="G13" s="18" t="s">
        <v>968</v>
      </c>
      <c r="H13" s="16"/>
      <c r="I13" s="18" t="s">
        <v>3137</v>
      </c>
      <c r="J13" s="16"/>
      <c r="K13" s="18" t="s">
        <v>3884</v>
      </c>
      <c r="L13" s="16"/>
      <c r="M13" s="18" t="s">
        <v>4613</v>
      </c>
      <c r="N13" s="16"/>
      <c r="O13" s="18" t="s">
        <v>5298</v>
      </c>
      <c r="P13" s="16"/>
      <c r="Q13" s="18" t="s">
        <v>6031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490</v>
      </c>
      <c r="B15" s="16"/>
      <c r="C15" s="18" t="s">
        <v>2229</v>
      </c>
      <c r="D15" s="16"/>
      <c r="E15" s="18" t="s">
        <v>2950</v>
      </c>
      <c r="F15" s="16"/>
      <c r="G15" s="18" t="s">
        <v>1484</v>
      </c>
      <c r="H15" s="16"/>
      <c r="I15" s="18" t="s">
        <v>3692</v>
      </c>
      <c r="J15" s="16"/>
      <c r="K15" s="18" t="s">
        <v>4430</v>
      </c>
      <c r="L15" s="16"/>
      <c r="M15" s="18" t="s">
        <v>5098</v>
      </c>
      <c r="N15" s="16"/>
      <c r="O15" s="18" t="s">
        <v>5847</v>
      </c>
      <c r="P15" s="16"/>
      <c r="Q15" s="18" t="s">
        <v>6476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491</v>
      </c>
      <c r="B17" s="16"/>
      <c r="C17" s="18" t="s">
        <v>2230</v>
      </c>
      <c r="D17" s="16"/>
      <c r="E17" s="18" t="s">
        <v>2951</v>
      </c>
      <c r="F17" s="16"/>
      <c r="G17" s="18" t="s">
        <v>1485</v>
      </c>
      <c r="H17" s="16"/>
      <c r="I17" s="18" t="s">
        <v>3693</v>
      </c>
      <c r="J17" s="16"/>
      <c r="K17" s="18" t="s">
        <v>4431</v>
      </c>
      <c r="L17" s="16"/>
      <c r="M17" s="18" t="s">
        <v>5099</v>
      </c>
      <c r="N17" s="16"/>
      <c r="O17" s="18" t="s">
        <v>5848</v>
      </c>
      <c r="P17" s="16"/>
      <c r="Q17" s="18" t="s">
        <v>6477</v>
      </c>
      <c r="R17" s="16"/>
      <c r="S17" s="18"/>
      <c r="T17" s="21"/>
    </row>
    <row r="18" spans="1:20" ht="15.95" customHeight="1" x14ac:dyDescent="0.25">
      <c r="A18" s="18" t="s">
        <v>492</v>
      </c>
      <c r="B18" s="16"/>
      <c r="C18" s="18" t="s">
        <v>2231</v>
      </c>
      <c r="D18" s="16"/>
      <c r="E18" s="18" t="s">
        <v>2952</v>
      </c>
      <c r="F18" s="16"/>
      <c r="G18" s="18" t="s">
        <v>1486</v>
      </c>
      <c r="H18" s="16"/>
      <c r="I18" s="18" t="s">
        <v>3694</v>
      </c>
      <c r="J18" s="16"/>
      <c r="K18" s="18" t="s">
        <v>4432</v>
      </c>
      <c r="L18" s="16"/>
      <c r="M18" s="18" t="s">
        <v>5100</v>
      </c>
      <c r="N18" s="16"/>
      <c r="O18" s="18" t="s">
        <v>5849</v>
      </c>
      <c r="P18" s="16"/>
      <c r="Q18" s="18" t="s">
        <v>6478</v>
      </c>
      <c r="R18" s="16"/>
      <c r="S18" s="18"/>
      <c r="T18" s="21"/>
    </row>
    <row r="19" spans="1:20" ht="15.95" customHeight="1" x14ac:dyDescent="0.25">
      <c r="A19" s="18" t="s">
        <v>493</v>
      </c>
      <c r="B19" s="16"/>
      <c r="C19" s="18" t="s">
        <v>2232</v>
      </c>
      <c r="D19" s="16"/>
      <c r="E19" s="18" t="s">
        <v>2953</v>
      </c>
      <c r="F19" s="16"/>
      <c r="G19" s="18" t="s">
        <v>1487</v>
      </c>
      <c r="H19" s="16"/>
      <c r="I19" s="18" t="s">
        <v>3695</v>
      </c>
      <c r="J19" s="16"/>
      <c r="K19" s="18" t="s">
        <v>4433</v>
      </c>
      <c r="L19" s="16"/>
      <c r="M19" s="18" t="s">
        <v>5101</v>
      </c>
      <c r="N19" s="16"/>
      <c r="O19" s="18" t="s">
        <v>5850</v>
      </c>
      <c r="P19" s="16"/>
      <c r="Q19" s="18" t="s">
        <v>6479</v>
      </c>
      <c r="R19" s="16"/>
      <c r="S19" s="18"/>
      <c r="T19" s="21"/>
    </row>
    <row r="20" spans="1:20" ht="15.95" customHeight="1" x14ac:dyDescent="0.25">
      <c r="A20" s="18" t="s">
        <v>494</v>
      </c>
      <c r="B20" s="16"/>
      <c r="C20" s="18" t="s">
        <v>2233</v>
      </c>
      <c r="D20" s="16"/>
      <c r="E20" s="18" t="s">
        <v>2954</v>
      </c>
      <c r="F20" s="16"/>
      <c r="G20" s="18" t="s">
        <v>1488</v>
      </c>
      <c r="H20" s="16"/>
      <c r="I20" s="18" t="s">
        <v>3696</v>
      </c>
      <c r="J20" s="16"/>
      <c r="K20" s="18" t="s">
        <v>4434</v>
      </c>
      <c r="L20" s="16"/>
      <c r="M20" s="18" t="s">
        <v>5102</v>
      </c>
      <c r="N20" s="16"/>
      <c r="O20" s="18" t="s">
        <v>5851</v>
      </c>
      <c r="P20" s="16"/>
      <c r="Q20" s="18" t="s">
        <v>6480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7" priority="2" stopIfTrue="1">
      <formula>NOT(ISERROR(A3))</formula>
    </cfRule>
  </conditionalFormatting>
  <conditionalFormatting sqref="A3:T51">
    <cfRule type="containsErrors" dxfId="196" priority="1" stopIfTrue="1">
      <formula>ISERROR(A3)</formula>
    </cfRule>
    <cfRule type="notContainsBlanks" dxfId="195"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727</v>
      </c>
      <c r="B3" s="16" t="str">
        <f>TRIM(_xlfn.TEXTBEFORE(A3, ":"))</f>
        <v>Item Class</v>
      </c>
      <c r="C3" s="17" t="s">
        <v>2235</v>
      </c>
      <c r="D3" s="16" t="str">
        <f>TRIM(_xlfn.TEXTBEFORE(C3, ":"))</f>
        <v>Gegenstandsklasse</v>
      </c>
      <c r="E3" s="17" t="s">
        <v>2956</v>
      </c>
      <c r="F3" s="16" t="str">
        <f>TRIM(_xlfn.TEXTBEFORE(E3, ":"))</f>
        <v>Clase de objeto</v>
      </c>
      <c r="G3" s="17" t="s">
        <v>1490</v>
      </c>
      <c r="H3" s="16" t="str">
        <f>TRIM(_xlfn.TEXTBEFORE(G3, ":"))</f>
        <v>Classe d'objet</v>
      </c>
      <c r="I3" s="17" t="s">
        <v>3698</v>
      </c>
      <c r="J3" s="16" t="str">
        <f>TRIM(_xlfn.TEXTBEFORE(I3, ":"))</f>
        <v>アイテムクラス</v>
      </c>
      <c r="K3" s="17" t="s">
        <v>4436</v>
      </c>
      <c r="L3" s="16" t="str">
        <f>TRIM(_xlfn.TEXTBEFORE(K3, ":"))</f>
        <v>아이템 종류</v>
      </c>
      <c r="M3" s="17" t="s">
        <v>5104</v>
      </c>
      <c r="N3" s="16" t="str">
        <f>TRIM(_xlfn.TEXTBEFORE(M3, ":"))</f>
        <v>Classe do Item</v>
      </c>
      <c r="O3" s="17" t="s">
        <v>5853</v>
      </c>
      <c r="P3" s="16" t="str">
        <f>TRIM(_xlfn.TEXTBEFORE(O3, ":"))</f>
        <v>Класс предмета</v>
      </c>
      <c r="Q3" s="17" t="s">
        <v>6482</v>
      </c>
      <c r="R3" s="16" t="str">
        <f>TRIM(_xlfn.TEXTBEFORE(Q3, ":"))</f>
        <v>ชนิดไอเทม</v>
      </c>
      <c r="S3" s="17"/>
      <c r="T3" s="20" t="e">
        <f>TRIM(_xlfn.TEXTBEFORE(S3, ":"))</f>
        <v>#N/A</v>
      </c>
    </row>
    <row r="4" spans="1:20" ht="15.95" customHeight="1" x14ac:dyDescent="0.25">
      <c r="A4" s="18" t="s">
        <v>485</v>
      </c>
      <c r="B4" s="16" t="str">
        <f>TRIM(_xlfn.TEXTAFTER(A3, ":"))</f>
        <v>Heist Cloaks</v>
      </c>
      <c r="C4" s="18" t="s">
        <v>1851</v>
      </c>
      <c r="D4" s="16" t="str">
        <f>TRIM(_xlfn.TEXTAFTER(C3, ":"))</f>
        <v>Heist-Umhänge</v>
      </c>
      <c r="E4" s="18" t="s">
        <v>2569</v>
      </c>
      <c r="F4" s="16" t="str">
        <f>TRIM(_xlfn.TEXTAFTER(E3, ":"))</f>
        <v>Capas de Heist</v>
      </c>
      <c r="G4" s="18" t="s">
        <v>1114</v>
      </c>
      <c r="H4" s="16" t="str">
        <f>TRIM(_xlfn.TEXTAFTER(G3, ":"))</f>
        <v>Capes de Malfaiteur</v>
      </c>
      <c r="I4" s="18" t="s">
        <v>3293</v>
      </c>
      <c r="J4" s="16" t="str">
        <f>TRIM(_xlfn.TEXTAFTER(I3, ":"))</f>
        <v>ハイストクローク</v>
      </c>
      <c r="K4" s="18" t="s">
        <v>4038</v>
      </c>
      <c r="L4" s="16" t="str">
        <f>TRIM(_xlfn.TEXTAFTER(K3, ":"))</f>
        <v>강탈 망토</v>
      </c>
      <c r="M4" s="18" t="s">
        <v>4759</v>
      </c>
      <c r="N4" s="16" t="str">
        <f>TRIM(_xlfn.TEXTAFTER(M3, ":"))</f>
        <v>Capas Heist</v>
      </c>
      <c r="O4" s="18" t="s">
        <v>5452</v>
      </c>
      <c r="P4" s="16" t="str">
        <f>TRIM(_xlfn.TEXTAFTER(O3, ":"))</f>
        <v>Разбойничьи накидки</v>
      </c>
      <c r="Q4" s="18" t="s">
        <v>6163</v>
      </c>
      <c r="R4" s="16" t="str">
        <f>TRIM(_xlfn.TEXTAFTER(Q3, ":"))</f>
        <v>ผ้าคลุมกองโจร</v>
      </c>
      <c r="S4" s="18"/>
      <c r="T4" s="20" t="e">
        <f>TRIM(_xlfn.TEXTAFTER(S3, ":"))</f>
        <v>#N/A</v>
      </c>
    </row>
    <row r="5" spans="1:20" ht="15.95" customHeight="1" x14ac:dyDescent="0.25">
      <c r="A5" s="18" t="s">
        <v>728</v>
      </c>
      <c r="B5" s="16" t="str">
        <f>TRIM(_xlfn.TEXTBEFORE(A4, ":"))</f>
        <v>Rarity</v>
      </c>
      <c r="C5" s="18" t="s">
        <v>2236</v>
      </c>
      <c r="D5" s="16" t="str">
        <f>TRIM(_xlfn.TEXTBEFORE(C4, ":"))</f>
        <v>Seltenheit</v>
      </c>
      <c r="E5" s="18" t="s">
        <v>2957</v>
      </c>
      <c r="F5" s="16" t="str">
        <f>TRIM(_xlfn.TEXTBEFORE(E4, ":"))</f>
        <v>Rareza</v>
      </c>
      <c r="G5" s="18" t="s">
        <v>1491</v>
      </c>
      <c r="H5" s="16" t="str">
        <f>TRIM(_xlfn.TEXTBEFORE(G4, ":"))</f>
        <v>Rareté</v>
      </c>
      <c r="I5" s="18" t="s">
        <v>3699</v>
      </c>
      <c r="J5" s="16" t="str">
        <f>TRIM(_xlfn.TEXTBEFORE(I4, ":"))</f>
        <v>レアリティ</v>
      </c>
      <c r="K5" s="18" t="s">
        <v>4437</v>
      </c>
      <c r="L5" s="16" t="str">
        <f>TRIM(_xlfn.TEXTBEFORE(K4, ":"))</f>
        <v>아이템 희귀도</v>
      </c>
      <c r="M5" s="18" t="s">
        <v>5105</v>
      </c>
      <c r="N5" s="16" t="str">
        <f>TRIM(_xlfn.TEXTBEFORE(M4, ":"))</f>
        <v>Raridade</v>
      </c>
      <c r="O5" s="18" t="s">
        <v>5854</v>
      </c>
      <c r="P5" s="16" t="str">
        <f>TRIM(_xlfn.TEXTBEFORE(O4, ":"))</f>
        <v>Редкость</v>
      </c>
      <c r="Q5" s="18" t="s">
        <v>728</v>
      </c>
      <c r="R5" s="16" t="str">
        <f>TRIM(_xlfn.TEXTBEFORE(Q4, ":"))</f>
        <v>ความหายาก</v>
      </c>
      <c r="S5" s="18"/>
      <c r="T5" s="20" t="e">
        <f>TRIM(_xlfn.TEXTBEFORE(S4, ":"))</f>
        <v>#N/A</v>
      </c>
    </row>
    <row r="6" spans="1:20" ht="15.95" customHeight="1" x14ac:dyDescent="0.25">
      <c r="A6" s="18" t="s">
        <v>729</v>
      </c>
      <c r="B6" s="16" t="str">
        <f>TRIM(_xlfn.TEXTAFTER(A4,":"))</f>
        <v>Rare</v>
      </c>
      <c r="C6" s="18" t="s">
        <v>2237</v>
      </c>
      <c r="D6" s="16" t="str">
        <f>TRIM(_xlfn.TEXTAFTER(C4,":"))</f>
        <v>Selten</v>
      </c>
      <c r="E6" s="18" t="s">
        <v>2958</v>
      </c>
      <c r="F6" s="16" t="str">
        <f>TRIM(_xlfn.TEXTAFTER(E4,":"))</f>
        <v>Raro</v>
      </c>
      <c r="G6" s="18" t="s">
        <v>1492</v>
      </c>
      <c r="H6" s="16" t="str">
        <f>TRIM(_xlfn.TEXTAFTER(G4,":"))</f>
        <v>Rare</v>
      </c>
      <c r="I6" s="18" t="s">
        <v>3700</v>
      </c>
      <c r="J6" s="16" t="str">
        <f>TRIM(_xlfn.TEXTAFTER(I4,":"))</f>
        <v>レア</v>
      </c>
      <c r="K6" s="18" t="s">
        <v>4438</v>
      </c>
      <c r="L6" s="16" t="str">
        <f>TRIM(_xlfn.TEXTAFTER(K4,":"))</f>
        <v>희귀</v>
      </c>
      <c r="M6" s="18" t="s">
        <v>5106</v>
      </c>
      <c r="N6" s="16" t="str">
        <f>TRIM(_xlfn.TEXTAFTER(M4,":"))</f>
        <v>Raro</v>
      </c>
      <c r="O6" s="18" t="s">
        <v>5855</v>
      </c>
      <c r="P6" s="16" t="str">
        <f>TRIM(_xlfn.TEXTAFTER(O4,":"))</f>
        <v>Редкий</v>
      </c>
      <c r="Q6" s="18" t="s">
        <v>6483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730</v>
      </c>
      <c r="B11" s="16"/>
      <c r="C11" s="18" t="s">
        <v>2238</v>
      </c>
      <c r="D11" s="16"/>
      <c r="E11" s="18" t="s">
        <v>2959</v>
      </c>
      <c r="F11" s="16"/>
      <c r="G11" s="18" t="s">
        <v>1493</v>
      </c>
      <c r="H11" s="16"/>
      <c r="I11" s="18" t="s">
        <v>3701</v>
      </c>
      <c r="J11" s="16"/>
      <c r="K11" s="18" t="s">
        <v>4439</v>
      </c>
      <c r="L11" s="16"/>
      <c r="M11" s="18" t="s">
        <v>5107</v>
      </c>
      <c r="N11" s="16"/>
      <c r="O11" s="18" t="s">
        <v>5856</v>
      </c>
      <c r="P11" s="16"/>
      <c r="Q11" s="18" t="s">
        <v>6484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89</v>
      </c>
      <c r="B13" s="16"/>
      <c r="C13" s="18" t="s">
        <v>1714</v>
      </c>
      <c r="D13" s="16"/>
      <c r="E13" s="18" t="s">
        <v>2433</v>
      </c>
      <c r="F13" s="16"/>
      <c r="G13" s="18" t="s">
        <v>982</v>
      </c>
      <c r="H13" s="16"/>
      <c r="I13" s="18" t="s">
        <v>3151</v>
      </c>
      <c r="J13" s="16"/>
      <c r="K13" s="18" t="s">
        <v>3898</v>
      </c>
      <c r="L13" s="16"/>
      <c r="M13" s="18" t="s">
        <v>4627</v>
      </c>
      <c r="N13" s="16"/>
      <c r="O13" s="18" t="s">
        <v>5312</v>
      </c>
      <c r="P13" s="16"/>
      <c r="Q13" s="18" t="s">
        <v>6044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2239</v>
      </c>
      <c r="D15" s="16"/>
      <c r="E15" s="18" t="s">
        <v>2960</v>
      </c>
      <c r="F15" s="16"/>
      <c r="G15" s="18" t="s">
        <v>1494</v>
      </c>
      <c r="H15" s="16"/>
      <c r="I15" s="18" t="s">
        <v>3702</v>
      </c>
      <c r="J15" s="16"/>
      <c r="K15" s="18" t="s">
        <v>4440</v>
      </c>
      <c r="L15" s="16"/>
      <c r="M15" s="18" t="s">
        <v>5108</v>
      </c>
      <c r="N15" s="16"/>
      <c r="O15" s="18" t="s">
        <v>5857</v>
      </c>
      <c r="P15" s="16"/>
      <c r="Q15" s="18" t="s">
        <v>6485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732</v>
      </c>
      <c r="B17" s="16"/>
      <c r="C17" s="18" t="s">
        <v>2240</v>
      </c>
      <c r="D17" s="16"/>
      <c r="E17" s="18" t="s">
        <v>2961</v>
      </c>
      <c r="F17" s="16"/>
      <c r="G17" s="18" t="s">
        <v>1495</v>
      </c>
      <c r="H17" s="16"/>
      <c r="I17" s="18" t="s">
        <v>3703</v>
      </c>
      <c r="J17" s="16"/>
      <c r="K17" s="18" t="s">
        <v>4441</v>
      </c>
      <c r="L17" s="16"/>
      <c r="M17" s="18" t="s">
        <v>5109</v>
      </c>
      <c r="N17" s="16"/>
      <c r="O17" s="18" t="s">
        <v>5858</v>
      </c>
      <c r="P17" s="16"/>
      <c r="Q17" s="18" t="s">
        <v>6486</v>
      </c>
      <c r="R17" s="16"/>
      <c r="S17" s="18"/>
      <c r="T17" s="20"/>
    </row>
    <row r="18" spans="1:20" ht="15.95" customHeight="1" x14ac:dyDescent="0.25">
      <c r="A18" s="18" t="s">
        <v>733</v>
      </c>
      <c r="B18" s="16"/>
      <c r="C18" s="18" t="s">
        <v>2241</v>
      </c>
      <c r="D18" s="16"/>
      <c r="E18" s="18" t="s">
        <v>2962</v>
      </c>
      <c r="F18" s="16"/>
      <c r="G18" s="18" t="s">
        <v>1496</v>
      </c>
      <c r="H18" s="16"/>
      <c r="I18" s="18" t="s">
        <v>3704</v>
      </c>
      <c r="J18" s="16"/>
      <c r="K18" s="18" t="s">
        <v>4442</v>
      </c>
      <c r="L18" s="16"/>
      <c r="M18" s="18" t="s">
        <v>5110</v>
      </c>
      <c r="N18" s="16"/>
      <c r="O18" s="18" t="s">
        <v>5859</v>
      </c>
      <c r="P18" s="16"/>
      <c r="Q18" s="18" t="s">
        <v>6487</v>
      </c>
      <c r="R18" s="16"/>
      <c r="S18" s="18"/>
      <c r="T18" s="20"/>
    </row>
    <row r="19" spans="1:20" ht="15.95" customHeight="1" x14ac:dyDescent="0.25">
      <c r="A19" s="18" t="s">
        <v>734</v>
      </c>
      <c r="B19" s="16"/>
      <c r="C19" s="18" t="s">
        <v>2242</v>
      </c>
      <c r="D19" s="16"/>
      <c r="E19" s="18" t="s">
        <v>2963</v>
      </c>
      <c r="F19" s="16"/>
      <c r="G19" s="18" t="s">
        <v>1497</v>
      </c>
      <c r="H19" s="16"/>
      <c r="I19" s="18" t="s">
        <v>3705</v>
      </c>
      <c r="J19" s="16"/>
      <c r="K19" s="18" t="s">
        <v>4443</v>
      </c>
      <c r="L19" s="16"/>
      <c r="M19" s="18" t="s">
        <v>5111</v>
      </c>
      <c r="N19" s="16"/>
      <c r="O19" s="18" t="s">
        <v>5860</v>
      </c>
      <c r="P19" s="16"/>
      <c r="Q19" s="18" t="s">
        <v>6488</v>
      </c>
      <c r="R19" s="16"/>
      <c r="S19" s="18"/>
      <c r="T19" s="20"/>
    </row>
    <row r="20" spans="1:20" ht="15.95" customHeight="1" x14ac:dyDescent="0.25">
      <c r="A20" s="18" t="s">
        <v>493</v>
      </c>
      <c r="B20" s="16"/>
      <c r="C20" s="18" t="s">
        <v>2232</v>
      </c>
      <c r="D20" s="16"/>
      <c r="E20" s="18" t="s">
        <v>2953</v>
      </c>
      <c r="F20" s="16"/>
      <c r="G20" s="18" t="s">
        <v>1487</v>
      </c>
      <c r="H20" s="16"/>
      <c r="I20" s="18" t="s">
        <v>3695</v>
      </c>
      <c r="J20" s="16"/>
      <c r="K20" s="18" t="s">
        <v>4433</v>
      </c>
      <c r="L20" s="16"/>
      <c r="M20" s="18" t="s">
        <v>5101</v>
      </c>
      <c r="N20" s="16"/>
      <c r="O20" s="18" t="s">
        <v>5850</v>
      </c>
      <c r="P20" s="16"/>
      <c r="Q20" s="18" t="s">
        <v>6479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4" priority="2" stopIfTrue="1">
      <formula>NOT(ISERROR(A3))</formula>
    </cfRule>
  </conditionalFormatting>
  <conditionalFormatting sqref="A3:T51">
    <cfRule type="containsErrors" dxfId="193" priority="1" stopIfTrue="1">
      <formula>ISERROR(A3)</formula>
    </cfRule>
    <cfRule type="notContainsBlanks" dxfId="192"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9" t="s">
        <v>718</v>
      </c>
      <c r="B3" s="16" t="str">
        <f>TRIM(_xlfn.TEXTBEFORE(A3, ":"))</f>
        <v>Item Class</v>
      </c>
      <c r="C3" s="17" t="s">
        <v>2243</v>
      </c>
      <c r="D3" s="16" t="str">
        <f>TRIM(_xlfn.TEXTBEFORE(C3, ":"))</f>
        <v>Gegenstandsklasse</v>
      </c>
      <c r="E3" s="17" t="s">
        <v>2964</v>
      </c>
      <c r="F3" s="16" t="str">
        <f>TRIM(_xlfn.TEXTBEFORE(E3, ":"))</f>
        <v>Clase de objeto</v>
      </c>
      <c r="G3" s="17" t="s">
        <v>1498</v>
      </c>
      <c r="H3" s="16" t="str">
        <f>TRIM(_xlfn.TEXTBEFORE(G3, ":"))</f>
        <v>Classe d'objet</v>
      </c>
      <c r="I3" s="17" t="s">
        <v>3706</v>
      </c>
      <c r="J3" s="16" t="str">
        <f>TRIM(_xlfn.TEXTBEFORE(I3, ":"))</f>
        <v>アイテムクラス</v>
      </c>
      <c r="K3" s="17" t="s">
        <v>4444</v>
      </c>
      <c r="L3" s="16" t="str">
        <f>TRIM(_xlfn.TEXTBEFORE(K3, ":"))</f>
        <v>아이템 종류</v>
      </c>
      <c r="M3" s="17" t="s">
        <v>5112</v>
      </c>
      <c r="N3" s="16" t="str">
        <f>TRIM(_xlfn.TEXTBEFORE(M3, ":"))</f>
        <v>Classe do Item</v>
      </c>
      <c r="O3" s="17" t="s">
        <v>5861</v>
      </c>
      <c r="P3" s="16" t="str">
        <f>TRIM(_xlfn.TEXTBEFORE(O3, ":"))</f>
        <v>Класс предмета</v>
      </c>
      <c r="Q3" s="17" t="s">
        <v>6489</v>
      </c>
      <c r="R3" s="16" t="str">
        <f>TRIM(_xlfn.TEXTBEFORE(Q3, ":"))</f>
        <v>ชนิดไอเทม</v>
      </c>
      <c r="S3" s="17"/>
      <c r="T3" s="20" t="e">
        <f>TRIM(_xlfn.TEXTBEFORE(S3, ":"))</f>
        <v>#N/A</v>
      </c>
    </row>
    <row r="4" spans="1:20" ht="15.95" customHeight="1" x14ac:dyDescent="0.25">
      <c r="A4" s="18" t="s">
        <v>485</v>
      </c>
      <c r="B4" s="16" t="str">
        <f>TRIM(_xlfn.TEXTAFTER(A3, ":"))</f>
        <v>Heist Gear</v>
      </c>
      <c r="C4" s="18" t="s">
        <v>1851</v>
      </c>
      <c r="D4" s="16" t="str">
        <f>TRIM(_xlfn.TEXTAFTER(C3, ":"))</f>
        <v>Heist-Ausrüstung</v>
      </c>
      <c r="E4" s="18" t="s">
        <v>2569</v>
      </c>
      <c r="F4" s="16" t="str">
        <f>TRIM(_xlfn.TEXTAFTER(E3, ":"))</f>
        <v>Accesorio de Heist</v>
      </c>
      <c r="G4" s="18" t="s">
        <v>1114</v>
      </c>
      <c r="H4" s="16" t="str">
        <f>TRIM(_xlfn.TEXTAFTER(G3, ":"))</f>
        <v>Équipements de Malfaiteur</v>
      </c>
      <c r="I4" s="18" t="s">
        <v>3293</v>
      </c>
      <c r="J4" s="16" t="str">
        <f>TRIM(_xlfn.TEXTAFTER(I3, ":"))</f>
        <v>ハイストギア</v>
      </c>
      <c r="K4" s="18" t="s">
        <v>4038</v>
      </c>
      <c r="L4" s="16" t="str">
        <f>TRIM(_xlfn.TEXTAFTER(K3, ":"))</f>
        <v>강탈 장비</v>
      </c>
      <c r="M4" s="18" t="s">
        <v>4759</v>
      </c>
      <c r="N4" s="16" t="str">
        <f>TRIM(_xlfn.TEXTAFTER(M3, ":"))</f>
        <v>Equipamento Heist</v>
      </c>
      <c r="O4" s="18" t="s">
        <v>5452</v>
      </c>
      <c r="P4" s="16" t="str">
        <f>TRIM(_xlfn.TEXTAFTER(O3, ":"))</f>
        <v>Разбойничьи принадлежности</v>
      </c>
      <c r="Q4" s="18" t="s">
        <v>6163</v>
      </c>
      <c r="R4" s="16" t="str">
        <f>TRIM(_xlfn.TEXTAFTER(Q3, ":"))</f>
        <v>อุปกรณ์สวมใส่กองโจร</v>
      </c>
      <c r="S4" s="18"/>
      <c r="T4" s="20" t="e">
        <f>TRIM(_xlfn.TEXTAFTER(S3, ":"))</f>
        <v>#N/A</v>
      </c>
    </row>
    <row r="5" spans="1:20" ht="15.95" customHeight="1" x14ac:dyDescent="0.25">
      <c r="A5" s="18" t="s">
        <v>719</v>
      </c>
      <c r="B5" s="16" t="str">
        <f>TRIM(_xlfn.TEXTBEFORE(A4, ":"))</f>
        <v>Rarity</v>
      </c>
      <c r="C5" s="18" t="s">
        <v>2244</v>
      </c>
      <c r="D5" s="16" t="str">
        <f>TRIM(_xlfn.TEXTBEFORE(C4, ":"))</f>
        <v>Seltenheit</v>
      </c>
      <c r="E5" s="18" t="s">
        <v>2965</v>
      </c>
      <c r="F5" s="16" t="str">
        <f>TRIM(_xlfn.TEXTBEFORE(E4, ":"))</f>
        <v>Rareza</v>
      </c>
      <c r="G5" s="18" t="s">
        <v>1499</v>
      </c>
      <c r="H5" s="16" t="str">
        <f>TRIM(_xlfn.TEXTBEFORE(G4, ":"))</f>
        <v>Rareté</v>
      </c>
      <c r="I5" s="18" t="s">
        <v>3707</v>
      </c>
      <c r="J5" s="16" t="str">
        <f>TRIM(_xlfn.TEXTBEFORE(I4, ":"))</f>
        <v>レアリティ</v>
      </c>
      <c r="K5" s="18" t="s">
        <v>4445</v>
      </c>
      <c r="L5" s="16" t="str">
        <f>TRIM(_xlfn.TEXTBEFORE(K4, ":"))</f>
        <v>아이템 희귀도</v>
      </c>
      <c r="M5" s="18" t="s">
        <v>5113</v>
      </c>
      <c r="N5" s="16" t="str">
        <f>TRIM(_xlfn.TEXTBEFORE(M4, ":"))</f>
        <v>Raridade</v>
      </c>
      <c r="O5" s="18" t="s">
        <v>5862</v>
      </c>
      <c r="P5" s="16" t="str">
        <f>TRIM(_xlfn.TEXTBEFORE(O4, ":"))</f>
        <v>Редкость</v>
      </c>
      <c r="Q5" s="18" t="s">
        <v>719</v>
      </c>
      <c r="R5" s="16" t="str">
        <f>TRIM(_xlfn.TEXTBEFORE(Q4, ":"))</f>
        <v>ความหายาก</v>
      </c>
      <c r="S5" s="18"/>
      <c r="T5" s="20" t="e">
        <f>TRIM(_xlfn.TEXTBEFORE(S4, ":"))</f>
        <v>#N/A</v>
      </c>
    </row>
    <row r="6" spans="1:20" ht="15.95" customHeight="1" x14ac:dyDescent="0.25">
      <c r="A6" s="18" t="s">
        <v>720</v>
      </c>
      <c r="B6" s="16" t="str">
        <f>TRIM(_xlfn.TEXTAFTER(A4,":"))</f>
        <v>Rare</v>
      </c>
      <c r="C6" s="18" t="s">
        <v>2245</v>
      </c>
      <c r="D6" s="16" t="str">
        <f>TRIM(_xlfn.TEXTAFTER(C4,":"))</f>
        <v>Selten</v>
      </c>
      <c r="E6" s="18" t="s">
        <v>2966</v>
      </c>
      <c r="F6" s="16" t="str">
        <f>TRIM(_xlfn.TEXTAFTER(E4,":"))</f>
        <v>Raro</v>
      </c>
      <c r="G6" s="18" t="s">
        <v>1500</v>
      </c>
      <c r="H6" s="16" t="str">
        <f>TRIM(_xlfn.TEXTAFTER(G4,":"))</f>
        <v>Rare</v>
      </c>
      <c r="I6" s="18" t="s">
        <v>3708</v>
      </c>
      <c r="J6" s="16" t="str">
        <f>TRIM(_xlfn.TEXTAFTER(I4,":"))</f>
        <v>レア</v>
      </c>
      <c r="K6" s="18" t="s">
        <v>4446</v>
      </c>
      <c r="L6" s="16" t="str">
        <f>TRIM(_xlfn.TEXTAFTER(K4,":"))</f>
        <v>희귀</v>
      </c>
      <c r="M6" s="18" t="s">
        <v>5114</v>
      </c>
      <c r="N6" s="16" t="str">
        <f>TRIM(_xlfn.TEXTAFTER(M4,":"))</f>
        <v>Raro</v>
      </c>
      <c r="O6" s="18" t="s">
        <v>5863</v>
      </c>
      <c r="P6" s="16" t="str">
        <f>TRIM(_xlfn.TEXTAFTER(O4,":"))</f>
        <v>Редкий</v>
      </c>
      <c r="Q6" s="18" t="s">
        <v>6490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488</v>
      </c>
      <c r="B8" s="16"/>
      <c r="C8" s="18" t="s">
        <v>2227</v>
      </c>
      <c r="D8" s="16"/>
      <c r="E8" s="18" t="s">
        <v>2948</v>
      </c>
      <c r="F8" s="16"/>
      <c r="G8" s="18" t="s">
        <v>1482</v>
      </c>
      <c r="H8" s="16"/>
      <c r="I8" s="18" t="s">
        <v>3690</v>
      </c>
      <c r="J8" s="16"/>
      <c r="K8" s="18" t="s">
        <v>4428</v>
      </c>
      <c r="L8" s="16"/>
      <c r="M8" s="18" t="s">
        <v>5096</v>
      </c>
      <c r="N8" s="16"/>
      <c r="O8" s="18" t="s">
        <v>5845</v>
      </c>
      <c r="P8" s="16"/>
      <c r="Q8" s="18" t="s">
        <v>6474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489</v>
      </c>
      <c r="B11" s="16"/>
      <c r="C11" s="18" t="s">
        <v>2228</v>
      </c>
      <c r="D11" s="16"/>
      <c r="E11" s="18" t="s">
        <v>2949</v>
      </c>
      <c r="F11" s="16"/>
      <c r="G11" s="18" t="s">
        <v>1483</v>
      </c>
      <c r="H11" s="16"/>
      <c r="I11" s="18" t="s">
        <v>3691</v>
      </c>
      <c r="J11" s="16"/>
      <c r="K11" s="18" t="s">
        <v>4429</v>
      </c>
      <c r="L11" s="16"/>
      <c r="M11" s="18" t="s">
        <v>5097</v>
      </c>
      <c r="N11" s="16"/>
      <c r="O11" s="18" t="s">
        <v>5846</v>
      </c>
      <c r="P11" s="16"/>
      <c r="Q11" s="18" t="s">
        <v>6475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721</v>
      </c>
      <c r="B13" s="16"/>
      <c r="C13" s="18" t="s">
        <v>2246</v>
      </c>
      <c r="D13" s="16"/>
      <c r="E13" s="18" t="s">
        <v>2967</v>
      </c>
      <c r="F13" s="16"/>
      <c r="G13" s="18" t="s">
        <v>1501</v>
      </c>
      <c r="H13" s="16"/>
      <c r="I13" s="18" t="s">
        <v>3709</v>
      </c>
      <c r="J13" s="16"/>
      <c r="K13" s="18" t="s">
        <v>4447</v>
      </c>
      <c r="L13" s="16"/>
      <c r="M13" s="18" t="s">
        <v>5115</v>
      </c>
      <c r="N13" s="16"/>
      <c r="O13" s="18" t="s">
        <v>5864</v>
      </c>
      <c r="P13" s="16"/>
      <c r="Q13" s="18" t="s">
        <v>6491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722</v>
      </c>
      <c r="B15" s="16"/>
      <c r="C15" s="18" t="s">
        <v>2247</v>
      </c>
      <c r="D15" s="16"/>
      <c r="E15" s="18" t="s">
        <v>2968</v>
      </c>
      <c r="F15" s="16"/>
      <c r="G15" s="18" t="s">
        <v>1502</v>
      </c>
      <c r="H15" s="16"/>
      <c r="I15" s="18" t="s">
        <v>3710</v>
      </c>
      <c r="J15" s="16"/>
      <c r="K15" s="18" t="s">
        <v>4448</v>
      </c>
      <c r="L15" s="16"/>
      <c r="M15" s="18" t="s">
        <v>5116</v>
      </c>
      <c r="N15" s="16"/>
      <c r="O15" s="18" t="s">
        <v>5865</v>
      </c>
      <c r="P15" s="16"/>
      <c r="Q15" s="18" t="s">
        <v>6492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723</v>
      </c>
      <c r="B17" s="16"/>
      <c r="C17" s="18" t="s">
        <v>2248</v>
      </c>
      <c r="D17" s="16"/>
      <c r="E17" s="18" t="s">
        <v>2969</v>
      </c>
      <c r="F17" s="16"/>
      <c r="G17" s="18" t="s">
        <v>1503</v>
      </c>
      <c r="H17" s="16"/>
      <c r="I17" s="18" t="s">
        <v>3711</v>
      </c>
      <c r="J17" s="16"/>
      <c r="K17" s="18" t="s">
        <v>4449</v>
      </c>
      <c r="L17" s="16"/>
      <c r="M17" s="18" t="s">
        <v>5117</v>
      </c>
      <c r="N17" s="16"/>
      <c r="O17" s="18" t="s">
        <v>5866</v>
      </c>
      <c r="P17" s="16"/>
      <c r="Q17" s="18" t="s">
        <v>6493</v>
      </c>
      <c r="R17" s="16"/>
      <c r="S17" s="18"/>
      <c r="T17" s="20"/>
    </row>
    <row r="18" spans="1:20" ht="15.95" customHeight="1" x14ac:dyDescent="0.25">
      <c r="A18" s="18" t="s">
        <v>724</v>
      </c>
      <c r="B18" s="16"/>
      <c r="C18" s="18" t="s">
        <v>2249</v>
      </c>
      <c r="D18" s="16"/>
      <c r="E18" s="18" t="s">
        <v>2970</v>
      </c>
      <c r="F18" s="16"/>
      <c r="G18" s="18" t="s">
        <v>1504</v>
      </c>
      <c r="H18" s="16"/>
      <c r="I18" s="18" t="s">
        <v>3712</v>
      </c>
      <c r="J18" s="16"/>
      <c r="K18" s="18" t="s">
        <v>4450</v>
      </c>
      <c r="L18" s="16"/>
      <c r="M18" s="18" t="s">
        <v>5118</v>
      </c>
      <c r="N18" s="16"/>
      <c r="O18" s="18" t="s">
        <v>5867</v>
      </c>
      <c r="P18" s="16"/>
      <c r="Q18" s="18" t="s">
        <v>6494</v>
      </c>
      <c r="R18" s="16"/>
      <c r="S18" s="18"/>
      <c r="T18" s="20"/>
    </row>
    <row r="19" spans="1:20" ht="15.95" customHeight="1" x14ac:dyDescent="0.25">
      <c r="A19" s="18" t="s">
        <v>725</v>
      </c>
      <c r="B19" s="16"/>
      <c r="C19" s="18" t="s">
        <v>2250</v>
      </c>
      <c r="D19" s="16"/>
      <c r="E19" s="18" t="s">
        <v>2971</v>
      </c>
      <c r="F19" s="16"/>
      <c r="G19" s="18" t="s">
        <v>1505</v>
      </c>
      <c r="H19" s="16"/>
      <c r="I19" s="18" t="s">
        <v>3713</v>
      </c>
      <c r="J19" s="16"/>
      <c r="K19" s="18" t="s">
        <v>4451</v>
      </c>
      <c r="L19" s="16"/>
      <c r="M19" s="18" t="s">
        <v>5119</v>
      </c>
      <c r="N19" s="16"/>
      <c r="O19" s="18" t="s">
        <v>5868</v>
      </c>
      <c r="P19" s="16"/>
      <c r="Q19" s="18" t="s">
        <v>6495</v>
      </c>
      <c r="R19" s="16"/>
      <c r="S19" s="18"/>
      <c r="T19" s="20"/>
    </row>
    <row r="20" spans="1:20" ht="15.95" customHeight="1" x14ac:dyDescent="0.25">
      <c r="A20" s="18" t="s">
        <v>726</v>
      </c>
      <c r="B20" s="16"/>
      <c r="C20" s="18" t="s">
        <v>2251</v>
      </c>
      <c r="D20" s="16"/>
      <c r="E20" s="18" t="s">
        <v>2972</v>
      </c>
      <c r="F20" s="16"/>
      <c r="G20" s="18" t="s">
        <v>1506</v>
      </c>
      <c r="H20" s="16"/>
      <c r="I20" s="18" t="s">
        <v>3714</v>
      </c>
      <c r="J20" s="16"/>
      <c r="K20" s="18" t="s">
        <v>4452</v>
      </c>
      <c r="L20" s="16"/>
      <c r="M20" s="18" t="s">
        <v>5120</v>
      </c>
      <c r="N20" s="16"/>
      <c r="O20" s="18" t="s">
        <v>5869</v>
      </c>
      <c r="P20" s="16"/>
      <c r="Q20" s="18" t="s">
        <v>6496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495</v>
      </c>
      <c r="B22" s="16"/>
      <c r="C22" s="18" t="s">
        <v>2234</v>
      </c>
      <c r="D22" s="16"/>
      <c r="E22" s="18" t="s">
        <v>2955</v>
      </c>
      <c r="F22" s="16"/>
      <c r="G22" s="18" t="s">
        <v>1489</v>
      </c>
      <c r="H22" s="16"/>
      <c r="I22" s="18" t="s">
        <v>3697</v>
      </c>
      <c r="J22" s="16"/>
      <c r="K22" s="18" t="s">
        <v>4435</v>
      </c>
      <c r="L22" s="16"/>
      <c r="M22" s="18" t="s">
        <v>5103</v>
      </c>
      <c r="N22" s="16"/>
      <c r="O22" s="18" t="s">
        <v>5852</v>
      </c>
      <c r="P22" s="16"/>
      <c r="Q22" s="18" t="s">
        <v>6481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91" priority="1" stopIfTrue="1" operator="equal">
      <formula>"-"</formula>
    </cfRule>
    <cfRule type="cellIs" dxfId="190" priority="2" operator="between">
      <formula>"(Lowest value)"</formula>
      <formula>0</formula>
    </cfRule>
    <cfRule type="containsBlanks" dxfId="189" priority="3">
      <formula>LEN(TRIM(A3))=0</formula>
    </cfRule>
    <cfRule type="notContainsBlanks" dxfId="188" priority="4">
      <formula>LEN(TRIM(A3))&gt;0</formula>
    </cfRule>
  </conditionalFormatting>
  <conditionalFormatting sqref="B3:T3 A4:T51">
    <cfRule type="containsErrors" dxfId="187" priority="5" stopIfTrue="1">
      <formula>ISERROR(A3)</formula>
    </cfRule>
    <cfRule type="notContainsBlanks" dxfId="186" priority="7">
      <formula>LEN(TRIM(A3))&gt;0</formula>
    </cfRule>
  </conditionalFormatting>
  <conditionalFormatting sqref="C3:C51 E3:E51 G3:G51 I3:I51 K3:K51 M3:M51 O3:O51 Q3:Q51 S3:S51 A4:A51">
    <cfRule type="notContainsErrors" dxfId="185"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735</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t="s">
        <v>5870</v>
      </c>
      <c r="P3" s="16" t="str">
        <f>TRIM(_xlfn.TEXTBEFORE(O3, ":"))</f>
        <v>Класс предмета</v>
      </c>
      <c r="Q3" s="17" t="s">
        <v>6497</v>
      </c>
      <c r="R3" s="16" t="str">
        <f>TRIM(_xlfn.TEXTBEFORE(Q3, ":"))</f>
        <v>ชนิดไอเทม</v>
      </c>
      <c r="S3" s="17"/>
      <c r="T3" s="20" t="e">
        <f>TRIM(_xlfn.TEXTBEFORE(S3, ":"))</f>
        <v>#N/A</v>
      </c>
    </row>
    <row r="4" spans="1:20" ht="15.95" customHeight="1" x14ac:dyDescent="0.25">
      <c r="A4" s="18" t="s">
        <v>554</v>
      </c>
      <c r="B4" s="16" t="str">
        <f>TRIM(_xlfn.TEXTAFTER(A3, ":"))</f>
        <v>Heist Targets</v>
      </c>
      <c r="C4" s="18" t="s">
        <v>1626</v>
      </c>
      <c r="D4" s="16" t="str">
        <f>TRIM(_xlfn.TEXTAFTER(C3, ":"))</f>
        <v>Auftragsziele</v>
      </c>
      <c r="E4" s="18" t="s">
        <v>2294</v>
      </c>
      <c r="F4" s="16" t="str">
        <f>TRIM(_xlfn.TEXTAFTER(E3, ":"))</f>
        <v>Objetivos de Heist</v>
      </c>
      <c r="G4" s="18" t="s">
        <v>849</v>
      </c>
      <c r="H4" s="16" t="str">
        <f>TRIM(_xlfn.TEXTAFTER(G3, ":"))</f>
        <v>Objectifs de Casse</v>
      </c>
      <c r="I4" s="18" t="s">
        <v>3062</v>
      </c>
      <c r="J4" s="16" t="str">
        <f>TRIM(_xlfn.TEXTAFTER(I3, ":"))</f>
        <v>ハイストターゲット</v>
      </c>
      <c r="K4" s="18" t="s">
        <v>3756</v>
      </c>
      <c r="L4" s="16" t="str">
        <f>TRIM(_xlfn.TEXTAFTER(K3, ":"))</f>
        <v>강탈 대상</v>
      </c>
      <c r="M4" s="18" t="s">
        <v>4540</v>
      </c>
      <c r="N4" s="16" t="str">
        <f>TRIM(_xlfn.TEXTAFTER(M3, ":"))</f>
        <v>Alvos Heist</v>
      </c>
      <c r="O4" s="18" t="s">
        <v>5224</v>
      </c>
      <c r="P4" s="16" t="str">
        <f>TRIM(_xlfn.TEXTAFTER(O3, ":"))</f>
        <v>Предметы кражи</v>
      </c>
      <c r="Q4" s="18" t="s">
        <v>5912</v>
      </c>
      <c r="R4" s="16" t="str">
        <f>TRIM(_xlfn.TEXTAFTER(Q3, ":"))</f>
        <v>เป้าหมายโจรกรรม</v>
      </c>
      <c r="S4" s="18"/>
      <c r="T4" s="20" t="e">
        <f>TRIM(_xlfn.TEXTAFTER(S3, ":"))</f>
        <v>#N/A</v>
      </c>
    </row>
    <row r="5" spans="1:20" ht="15.95" customHeight="1" x14ac:dyDescent="0.25">
      <c r="A5" s="18" t="s">
        <v>736</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t="s">
        <v>5871</v>
      </c>
      <c r="P5" s="16" t="str">
        <f>TRIM(_xlfn.TEXTBEFORE(O4, ":"))</f>
        <v>Редкость</v>
      </c>
      <c r="Q5" s="18" t="s">
        <v>6498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737</v>
      </c>
      <c r="B7" s="16"/>
      <c r="C7" s="18" t="s">
        <v>2254</v>
      </c>
      <c r="D7" s="16"/>
      <c r="E7" s="18" t="s">
        <v>2975</v>
      </c>
      <c r="F7" s="16"/>
      <c r="G7" s="18" t="s">
        <v>1509</v>
      </c>
      <c r="H7" s="16"/>
      <c r="I7" s="18" t="s">
        <v>3717</v>
      </c>
      <c r="J7" s="16"/>
      <c r="K7" s="18" t="s">
        <v>4455</v>
      </c>
      <c r="L7" s="16"/>
      <c r="M7" s="18" t="s">
        <v>5123</v>
      </c>
      <c r="N7" s="16"/>
      <c r="O7" s="18" t="s">
        <v>5872</v>
      </c>
      <c r="P7" s="16"/>
      <c r="Q7" s="18" t="s">
        <v>6499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738</v>
      </c>
      <c r="B9" s="16"/>
      <c r="C9" s="18" t="s">
        <v>2255</v>
      </c>
      <c r="D9" s="16"/>
      <c r="E9" s="18" t="s">
        <v>2976</v>
      </c>
      <c r="F9" s="16"/>
      <c r="G9" s="18" t="s">
        <v>1510</v>
      </c>
      <c r="H9" s="16"/>
      <c r="I9" s="18" t="s">
        <v>3718</v>
      </c>
      <c r="J9" s="16"/>
      <c r="K9" s="18" t="s">
        <v>4456</v>
      </c>
      <c r="L9" s="16"/>
      <c r="M9" s="18" t="s">
        <v>5124</v>
      </c>
      <c r="N9" s="16"/>
      <c r="O9" s="18" t="s">
        <v>5873</v>
      </c>
      <c r="P9" s="16"/>
      <c r="Q9" s="18" t="s">
        <v>6500</v>
      </c>
      <c r="R9" s="16"/>
      <c r="S9" s="18"/>
      <c r="T9" s="20"/>
    </row>
    <row r="10" spans="1:20" ht="15.95" customHeight="1" x14ac:dyDescent="0.25">
      <c r="A10" s="18" t="s">
        <v>4</v>
      </c>
      <c r="B10" s="16"/>
      <c r="C10" s="18" t="s">
        <v>4</v>
      </c>
      <c r="D10" s="16"/>
      <c r="E10" s="18" t="s">
        <v>4</v>
      </c>
      <c r="F10" s="16"/>
      <c r="G10" s="18" t="s">
        <v>1511</v>
      </c>
      <c r="H10" s="16"/>
      <c r="I10" s="18" t="s">
        <v>4</v>
      </c>
      <c r="J10" s="16"/>
      <c r="K10" s="18" t="s">
        <v>4</v>
      </c>
      <c r="L10" s="16"/>
      <c r="M10" s="18" t="s">
        <v>4</v>
      </c>
      <c r="N10" s="16"/>
      <c r="O10" s="18" t="s">
        <v>5874</v>
      </c>
      <c r="P10" s="16"/>
      <c r="Q10" s="18" t="s">
        <v>4</v>
      </c>
      <c r="R10" s="16"/>
      <c r="S10" s="18"/>
      <c r="T10" s="20"/>
    </row>
    <row r="11" spans="1:20" ht="15.95" customHeight="1" x14ac:dyDescent="0.25">
      <c r="A11" s="18" t="s">
        <v>739</v>
      </c>
      <c r="B11" s="16"/>
      <c r="C11" s="18" t="s">
        <v>2256</v>
      </c>
      <c r="D11" s="16"/>
      <c r="E11" s="18" t="s">
        <v>2977</v>
      </c>
      <c r="F11" s="16"/>
      <c r="G11" s="18" t="s">
        <v>4</v>
      </c>
      <c r="H11" s="16"/>
      <c r="I11" s="18" t="s">
        <v>3719</v>
      </c>
      <c r="J11" s="16"/>
      <c r="K11" s="18" t="s">
        <v>4457</v>
      </c>
      <c r="L11" s="16"/>
      <c r="M11" s="18" t="s">
        <v>5125</v>
      </c>
      <c r="N11" s="16"/>
      <c r="O11" s="18" t="s">
        <v>4</v>
      </c>
      <c r="P11" s="16"/>
      <c r="Q11" s="18" t="s">
        <v>6501</v>
      </c>
      <c r="R11" s="16"/>
      <c r="S11" s="18"/>
      <c r="T11" s="20"/>
    </row>
    <row r="12" spans="1:20" ht="15.95" customHeight="1" x14ac:dyDescent="0.25">
      <c r="A12" s="18"/>
      <c r="B12" s="16"/>
      <c r="C12" s="18"/>
      <c r="D12" s="16"/>
      <c r="E12" s="18"/>
      <c r="F12" s="16"/>
      <c r="G12" s="18" t="s">
        <v>1512</v>
      </c>
      <c r="H12" s="16"/>
      <c r="I12" s="18"/>
      <c r="J12" s="16"/>
      <c r="K12" s="18"/>
      <c r="L12" s="16"/>
      <c r="M12" s="18"/>
      <c r="N12" s="16"/>
      <c r="O12" s="18" t="s">
        <v>5875</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4" priority="2" stopIfTrue="1">
      <formula>NOT(ISERROR(A3))</formula>
    </cfRule>
  </conditionalFormatting>
  <conditionalFormatting sqref="A3:T51">
    <cfRule type="containsErrors" dxfId="183" priority="1" stopIfTrue="1">
      <formula>ISERROR(A3)</formula>
    </cfRule>
    <cfRule type="notContainsBlanks" dxfId="182"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706</v>
      </c>
      <c r="B3" s="16" t="str">
        <f>TRIM(_xlfn.TEXTBEFORE(A3, ":"))</f>
        <v>Item Class</v>
      </c>
      <c r="C3" s="17" t="s">
        <v>2257</v>
      </c>
      <c r="D3" s="16" t="str">
        <f>TRIM(_xlfn.TEXTBEFORE(C3, ":"))</f>
        <v>Gegenstandsklasse</v>
      </c>
      <c r="E3" s="17" t="s">
        <v>2978</v>
      </c>
      <c r="F3" s="16" t="str">
        <f>TRIM(_xlfn.TEXTBEFORE(E3, ":"))</f>
        <v>Clase de objeto</v>
      </c>
      <c r="G3" s="17" t="s">
        <v>1513</v>
      </c>
      <c r="H3" s="16" t="str">
        <f>TRIM(_xlfn.TEXTBEFORE(G3, ":"))</f>
        <v>Classe d'objet</v>
      </c>
      <c r="I3" s="17" t="s">
        <v>3720</v>
      </c>
      <c r="J3" s="16" t="str">
        <f>TRIM(_xlfn.TEXTBEFORE(I3, ":"))</f>
        <v>アイテムクラス</v>
      </c>
      <c r="K3" s="17" t="s">
        <v>4458</v>
      </c>
      <c r="L3" s="16" t="str">
        <f>TRIM(_xlfn.TEXTBEFORE(K3, ":"))</f>
        <v>아이템 종류</v>
      </c>
      <c r="M3" s="17" t="s">
        <v>5126</v>
      </c>
      <c r="N3" s="16" t="str">
        <f>TRIM(_xlfn.TEXTBEFORE(M3, ":"))</f>
        <v>Classe do Item</v>
      </c>
      <c r="O3" s="17" t="s">
        <v>5876</v>
      </c>
      <c r="P3" s="16" t="str">
        <f>TRIM(_xlfn.TEXTBEFORE(O3, ":"))</f>
        <v>Класс предмета</v>
      </c>
      <c r="Q3" s="17" t="s">
        <v>6502</v>
      </c>
      <c r="R3" s="16" t="str">
        <f>TRIM(_xlfn.TEXTBEFORE(Q3, ":"))</f>
        <v>ชนิดไอเทม</v>
      </c>
      <c r="S3" s="17"/>
      <c r="T3" s="20" t="e">
        <f>TRIM(_xlfn.TEXTBEFORE(S3, ":"))</f>
        <v>#N/A</v>
      </c>
    </row>
    <row r="4" spans="1:20" ht="15.95" customHeight="1" x14ac:dyDescent="0.25">
      <c r="A4" s="18" t="s">
        <v>485</v>
      </c>
      <c r="B4" s="16" t="str">
        <f>TRIM(_xlfn.TEXTAFTER(A3, ":"))</f>
        <v>Heist Tools</v>
      </c>
      <c r="C4" s="18" t="s">
        <v>1851</v>
      </c>
      <c r="D4" s="16" t="str">
        <f>TRIM(_xlfn.TEXTAFTER(C3, ":"))</f>
        <v>Heist-Werkzeug</v>
      </c>
      <c r="E4" s="18" t="s">
        <v>2569</v>
      </c>
      <c r="F4" s="16" t="str">
        <f>TRIM(_xlfn.TEXTAFTER(E3, ":"))</f>
        <v>Herramientas de Heist</v>
      </c>
      <c r="G4" s="18" t="s">
        <v>1114</v>
      </c>
      <c r="H4" s="16" t="str">
        <f>TRIM(_xlfn.TEXTAFTER(G3, ":"))</f>
        <v>Outils de Malfaiteur</v>
      </c>
      <c r="I4" s="18" t="s">
        <v>3293</v>
      </c>
      <c r="J4" s="16" t="str">
        <f>TRIM(_xlfn.TEXTAFTER(I3, ":"))</f>
        <v>ハイストツール</v>
      </c>
      <c r="K4" s="18" t="s">
        <v>4038</v>
      </c>
      <c r="L4" s="16" t="str">
        <f>TRIM(_xlfn.TEXTAFTER(K3, ":"))</f>
        <v>강탈 도구</v>
      </c>
      <c r="M4" s="18" t="s">
        <v>4759</v>
      </c>
      <c r="N4" s="16" t="str">
        <f>TRIM(_xlfn.TEXTAFTER(M3, ":"))</f>
        <v>Ferramentas Heist</v>
      </c>
      <c r="O4" s="18" t="s">
        <v>5452</v>
      </c>
      <c r="P4" s="16" t="str">
        <f>TRIM(_xlfn.TEXTAFTER(O3, ":"))</f>
        <v>Разбойничий инструмент</v>
      </c>
      <c r="Q4" s="18" t="s">
        <v>6163</v>
      </c>
      <c r="R4" s="16" t="str">
        <f>TRIM(_xlfn.TEXTAFTER(Q3, ":"))</f>
        <v>เครื่องมือกองโจร</v>
      </c>
      <c r="S4" s="18"/>
      <c r="T4" s="20" t="e">
        <f>TRIM(_xlfn.TEXTAFTER(S3, ":"))</f>
        <v>#N/A</v>
      </c>
    </row>
    <row r="5" spans="1:20" ht="15.95" customHeight="1" x14ac:dyDescent="0.25">
      <c r="A5" s="18" t="s">
        <v>707</v>
      </c>
      <c r="B5" s="16" t="str">
        <f>TRIM(_xlfn.TEXTBEFORE(A4, ":"))</f>
        <v>Rarity</v>
      </c>
      <c r="C5" s="18" t="s">
        <v>2258</v>
      </c>
      <c r="D5" s="16" t="str">
        <f>TRIM(_xlfn.TEXTBEFORE(C4, ":"))</f>
        <v>Seltenheit</v>
      </c>
      <c r="E5" s="18" t="s">
        <v>2979</v>
      </c>
      <c r="F5" s="16" t="str">
        <f>TRIM(_xlfn.TEXTBEFORE(E4, ":"))</f>
        <v>Rareza</v>
      </c>
      <c r="G5" s="18" t="s">
        <v>1514</v>
      </c>
      <c r="H5" s="16" t="str">
        <f>TRIM(_xlfn.TEXTBEFORE(G4, ":"))</f>
        <v>Rareté</v>
      </c>
      <c r="I5" s="18" t="s">
        <v>3721</v>
      </c>
      <c r="J5" s="16" t="str">
        <f>TRIM(_xlfn.TEXTBEFORE(I4, ":"))</f>
        <v>レアリティ</v>
      </c>
      <c r="K5" s="18" t="s">
        <v>4459</v>
      </c>
      <c r="L5" s="16" t="str">
        <f>TRIM(_xlfn.TEXTBEFORE(K4, ":"))</f>
        <v>아이템 희귀도</v>
      </c>
      <c r="M5" s="18" t="s">
        <v>5127</v>
      </c>
      <c r="N5" s="16" t="str">
        <f>TRIM(_xlfn.TEXTBEFORE(M4, ":"))</f>
        <v>Raridade</v>
      </c>
      <c r="O5" s="18" t="s">
        <v>5877</v>
      </c>
      <c r="P5" s="16" t="str">
        <f>TRIM(_xlfn.TEXTBEFORE(O4, ":"))</f>
        <v>Редкость</v>
      </c>
      <c r="Q5" s="18" t="s">
        <v>707</v>
      </c>
      <c r="R5" s="16" t="str">
        <f>TRIM(_xlfn.TEXTBEFORE(Q4, ":"))</f>
        <v>ความหายาก</v>
      </c>
      <c r="S5" s="18"/>
      <c r="T5" s="20" t="e">
        <f>TRIM(_xlfn.TEXTBEFORE(S4, ":"))</f>
        <v>#N/A</v>
      </c>
    </row>
    <row r="6" spans="1:20" ht="15.95" customHeight="1" x14ac:dyDescent="0.25">
      <c r="A6" s="18" t="s">
        <v>708</v>
      </c>
      <c r="B6" s="16" t="str">
        <f>TRIM(_xlfn.TEXTAFTER(A4,":"))</f>
        <v>Rare</v>
      </c>
      <c r="C6" s="18" t="s">
        <v>2259</v>
      </c>
      <c r="D6" s="16" t="str">
        <f>TRIM(_xlfn.TEXTAFTER(C4,":"))</f>
        <v>Selten</v>
      </c>
      <c r="E6" s="18" t="s">
        <v>2980</v>
      </c>
      <c r="F6" s="16" t="str">
        <f>TRIM(_xlfn.TEXTAFTER(E4,":"))</f>
        <v>Raro</v>
      </c>
      <c r="G6" s="18" t="s">
        <v>1515</v>
      </c>
      <c r="H6" s="16" t="str">
        <f>TRIM(_xlfn.TEXTAFTER(G4,":"))</f>
        <v>Rare</v>
      </c>
      <c r="I6" s="18" t="s">
        <v>3722</v>
      </c>
      <c r="J6" s="16" t="str">
        <f>TRIM(_xlfn.TEXTAFTER(I4,":"))</f>
        <v>レア</v>
      </c>
      <c r="K6" s="18" t="s">
        <v>4460</v>
      </c>
      <c r="L6" s="16" t="str">
        <f>TRIM(_xlfn.TEXTAFTER(K4,":"))</f>
        <v>희귀</v>
      </c>
      <c r="M6" s="18" t="s">
        <v>5128</v>
      </c>
      <c r="N6" s="16" t="str">
        <f>TRIM(_xlfn.TEXTAFTER(M4,":"))</f>
        <v>Raro</v>
      </c>
      <c r="O6" s="18" t="s">
        <v>5878</v>
      </c>
      <c r="P6" s="16" t="str">
        <f>TRIM(_xlfn.TEXTAFTER(O4,":"))</f>
        <v>Редкий</v>
      </c>
      <c r="Q6" s="18" t="s">
        <v>6503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709</v>
      </c>
      <c r="B8" s="16"/>
      <c r="C8" s="18" t="s">
        <v>2260</v>
      </c>
      <c r="D8" s="16"/>
      <c r="E8" s="18" t="s">
        <v>2981</v>
      </c>
      <c r="F8" s="16"/>
      <c r="G8" s="18" t="s">
        <v>1516</v>
      </c>
      <c r="H8" s="16"/>
      <c r="I8" s="18" t="s">
        <v>3723</v>
      </c>
      <c r="J8" s="16"/>
      <c r="K8" s="18" t="s">
        <v>4461</v>
      </c>
      <c r="L8" s="16"/>
      <c r="M8" s="18" t="s">
        <v>5129</v>
      </c>
      <c r="N8" s="16"/>
      <c r="O8" s="18" t="s">
        <v>5879</v>
      </c>
      <c r="P8" s="16"/>
      <c r="Q8" s="18" t="s">
        <v>6504</v>
      </c>
      <c r="R8" s="16"/>
      <c r="S8" s="18"/>
      <c r="T8" s="20"/>
    </row>
    <row r="9" spans="1:20" ht="15.95" customHeight="1" x14ac:dyDescent="0.25">
      <c r="A9" s="18" t="s">
        <v>710</v>
      </c>
      <c r="B9" s="16"/>
      <c r="C9" s="18" t="s">
        <v>2261</v>
      </c>
      <c r="D9" s="16"/>
      <c r="E9" s="18" t="s">
        <v>2982</v>
      </c>
      <c r="F9" s="16"/>
      <c r="G9" s="18" t="s">
        <v>1517</v>
      </c>
      <c r="H9" s="16"/>
      <c r="I9" s="18" t="s">
        <v>3724</v>
      </c>
      <c r="J9" s="16"/>
      <c r="K9" s="18" t="s">
        <v>4462</v>
      </c>
      <c r="L9" s="16"/>
      <c r="M9" s="18" t="s">
        <v>5130</v>
      </c>
      <c r="N9" s="16"/>
      <c r="O9" s="18" t="s">
        <v>5880</v>
      </c>
      <c r="P9" s="16"/>
      <c r="Q9" s="18" t="s">
        <v>6505</v>
      </c>
      <c r="R9" s="16"/>
      <c r="S9" s="18"/>
      <c r="T9" s="20"/>
    </row>
    <row r="10" spans="1:20" ht="15.95" customHeight="1" x14ac:dyDescent="0.25">
      <c r="A10" s="18" t="s">
        <v>711</v>
      </c>
      <c r="B10" s="16"/>
      <c r="C10" s="18" t="s">
        <v>2262</v>
      </c>
      <c r="D10" s="16"/>
      <c r="E10" s="18" t="s">
        <v>2983</v>
      </c>
      <c r="F10" s="16"/>
      <c r="G10" s="18" t="s">
        <v>1518</v>
      </c>
      <c r="H10" s="16"/>
      <c r="I10" s="18" t="s">
        <v>3725</v>
      </c>
      <c r="J10" s="16"/>
      <c r="K10" s="18" t="s">
        <v>4463</v>
      </c>
      <c r="L10" s="16"/>
      <c r="M10" s="18" t="s">
        <v>5131</v>
      </c>
      <c r="N10" s="16"/>
      <c r="O10" s="18" t="s">
        <v>5881</v>
      </c>
      <c r="P10" s="16"/>
      <c r="Q10" s="18" t="s">
        <v>6506</v>
      </c>
      <c r="R10" s="16"/>
      <c r="S10" s="18"/>
      <c r="T10" s="20"/>
    </row>
    <row r="11" spans="1:20" ht="15.95" customHeight="1" x14ac:dyDescent="0.25">
      <c r="A11" s="18" t="s">
        <v>712</v>
      </c>
      <c r="B11" s="16"/>
      <c r="C11" s="18" t="s">
        <v>2263</v>
      </c>
      <c r="D11" s="16"/>
      <c r="E11" s="18" t="s">
        <v>2984</v>
      </c>
      <c r="F11" s="16"/>
      <c r="G11" s="18" t="s">
        <v>1519</v>
      </c>
      <c r="H11" s="16"/>
      <c r="I11" s="18" t="s">
        <v>3726</v>
      </c>
      <c r="J11" s="16"/>
      <c r="K11" s="18" t="s">
        <v>4464</v>
      </c>
      <c r="L11" s="16"/>
      <c r="M11" s="18" t="s">
        <v>5132</v>
      </c>
      <c r="N11" s="16"/>
      <c r="O11" s="18" t="s">
        <v>5882</v>
      </c>
      <c r="P11" s="16"/>
      <c r="Q11" s="18" t="s">
        <v>6507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c r="T13" s="20"/>
    </row>
    <row r="14" spans="1:20" ht="15.95" customHeight="1" x14ac:dyDescent="0.25">
      <c r="A14" s="18" t="s">
        <v>713</v>
      </c>
      <c r="B14" s="16"/>
      <c r="C14" s="18" t="s">
        <v>2264</v>
      </c>
      <c r="D14" s="16"/>
      <c r="E14" s="18" t="s">
        <v>2985</v>
      </c>
      <c r="F14" s="16"/>
      <c r="G14" s="18" t="s">
        <v>1520</v>
      </c>
      <c r="H14" s="16"/>
      <c r="I14" s="18" t="s">
        <v>3727</v>
      </c>
      <c r="J14" s="16"/>
      <c r="K14" s="18" t="s">
        <v>4465</v>
      </c>
      <c r="L14" s="16"/>
      <c r="M14" s="18" t="s">
        <v>5133</v>
      </c>
      <c r="N14" s="16"/>
      <c r="O14" s="18" t="s">
        <v>5883</v>
      </c>
      <c r="P14" s="16"/>
      <c r="Q14" s="18" t="s">
        <v>6508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625</v>
      </c>
      <c r="B16" s="16"/>
      <c r="C16" s="18" t="s">
        <v>1773</v>
      </c>
      <c r="D16" s="16"/>
      <c r="E16" s="18" t="s">
        <v>2492</v>
      </c>
      <c r="F16" s="16"/>
      <c r="G16" s="18" t="s">
        <v>1041</v>
      </c>
      <c r="H16" s="16"/>
      <c r="I16" s="18" t="s">
        <v>3211</v>
      </c>
      <c r="J16" s="16"/>
      <c r="K16" s="18" t="s">
        <v>3957</v>
      </c>
      <c r="L16" s="16"/>
      <c r="M16" s="18" t="s">
        <v>4686</v>
      </c>
      <c r="N16" s="16"/>
      <c r="O16" s="18" t="s">
        <v>5371</v>
      </c>
      <c r="P16" s="16"/>
      <c r="Q16" s="18" t="s">
        <v>6097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714</v>
      </c>
      <c r="B18" s="16"/>
      <c r="C18" s="18" t="s">
        <v>2265</v>
      </c>
      <c r="D18" s="16"/>
      <c r="E18" s="18" t="s">
        <v>2986</v>
      </c>
      <c r="F18" s="16"/>
      <c r="G18" s="18" t="s">
        <v>1521</v>
      </c>
      <c r="H18" s="16"/>
      <c r="I18" s="18" t="s">
        <v>3728</v>
      </c>
      <c r="J18" s="16"/>
      <c r="K18" s="18" t="s">
        <v>4466</v>
      </c>
      <c r="L18" s="16"/>
      <c r="M18" s="18" t="s">
        <v>5134</v>
      </c>
      <c r="N18" s="16"/>
      <c r="O18" s="18" t="s">
        <v>5884</v>
      </c>
      <c r="P18" s="16"/>
      <c r="Q18" s="18" t="s">
        <v>6509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715</v>
      </c>
      <c r="B20" s="16"/>
      <c r="C20" s="18" t="s">
        <v>2266</v>
      </c>
      <c r="D20" s="16"/>
      <c r="E20" s="18" t="s">
        <v>2987</v>
      </c>
      <c r="F20" s="16"/>
      <c r="G20" s="18" t="s">
        <v>1522</v>
      </c>
      <c r="H20" s="16"/>
      <c r="I20" s="18" t="s">
        <v>3729</v>
      </c>
      <c r="J20" s="16"/>
      <c r="K20" s="18" t="s">
        <v>4467</v>
      </c>
      <c r="L20" s="16"/>
      <c r="M20" s="18" t="s">
        <v>5135</v>
      </c>
      <c r="N20" s="16"/>
      <c r="O20" s="18" t="s">
        <v>5885</v>
      </c>
      <c r="P20" s="16"/>
      <c r="Q20" s="18" t="s">
        <v>6510</v>
      </c>
      <c r="R20" s="16"/>
      <c r="S20" s="18"/>
      <c r="T20" s="20"/>
    </row>
    <row r="21" spans="1:20" ht="15.95" customHeight="1" x14ac:dyDescent="0.25">
      <c r="A21" s="18" t="s">
        <v>716</v>
      </c>
      <c r="B21" s="16"/>
      <c r="C21" s="18" t="s">
        <v>2267</v>
      </c>
      <c r="D21" s="16"/>
      <c r="E21" s="18" t="s">
        <v>2988</v>
      </c>
      <c r="F21" s="16"/>
      <c r="G21" s="18" t="s">
        <v>1523</v>
      </c>
      <c r="H21" s="16"/>
      <c r="I21" s="18" t="s">
        <v>3730</v>
      </c>
      <c r="J21" s="16"/>
      <c r="K21" s="18" t="s">
        <v>4468</v>
      </c>
      <c r="L21" s="16"/>
      <c r="M21" s="18" t="s">
        <v>5136</v>
      </c>
      <c r="N21" s="16"/>
      <c r="O21" s="18" t="s">
        <v>5886</v>
      </c>
      <c r="P21" s="16"/>
      <c r="Q21" s="18" t="s">
        <v>6511</v>
      </c>
      <c r="R21" s="16"/>
      <c r="S21" s="18"/>
      <c r="T21" s="20"/>
    </row>
    <row r="22" spans="1:20" ht="15.95" customHeight="1" x14ac:dyDescent="0.25">
      <c r="A22" s="18" t="s">
        <v>717</v>
      </c>
      <c r="B22" s="16"/>
      <c r="C22" s="18" t="s">
        <v>2268</v>
      </c>
      <c r="D22" s="16"/>
      <c r="E22" s="18" t="s">
        <v>2989</v>
      </c>
      <c r="F22" s="16"/>
      <c r="G22" s="18" t="s">
        <v>1524</v>
      </c>
      <c r="H22" s="16"/>
      <c r="I22" s="18" t="s">
        <v>3731</v>
      </c>
      <c r="J22" s="16"/>
      <c r="K22" s="18" t="s">
        <v>4469</v>
      </c>
      <c r="L22" s="16"/>
      <c r="M22" s="18" t="s">
        <v>5137</v>
      </c>
      <c r="N22" s="16"/>
      <c r="O22" s="18" t="s">
        <v>5887</v>
      </c>
      <c r="P22" s="16"/>
      <c r="Q22" s="18" t="s">
        <v>6512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495</v>
      </c>
      <c r="B24" s="16"/>
      <c r="C24" s="18" t="s">
        <v>2234</v>
      </c>
      <c r="D24" s="16"/>
      <c r="E24" s="18" t="s">
        <v>2955</v>
      </c>
      <c r="F24" s="16"/>
      <c r="G24" s="18" t="s">
        <v>1489</v>
      </c>
      <c r="H24" s="16"/>
      <c r="I24" s="18" t="s">
        <v>3697</v>
      </c>
      <c r="J24" s="16"/>
      <c r="K24" s="18" t="s">
        <v>4435</v>
      </c>
      <c r="L24" s="16"/>
      <c r="M24" s="18" t="s">
        <v>5103</v>
      </c>
      <c r="N24" s="16"/>
      <c r="O24" s="18" t="s">
        <v>5852</v>
      </c>
      <c r="P24" s="16"/>
      <c r="Q24" s="18" t="s">
        <v>6481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1" priority="2" stopIfTrue="1">
      <formula>NOT(ISERROR(A3))</formula>
    </cfRule>
  </conditionalFormatting>
  <conditionalFormatting sqref="A3:T51">
    <cfRule type="containsErrors" dxfId="180" priority="1" stopIfTrue="1">
      <formula>ISERROR(A3)</formula>
    </cfRule>
    <cfRule type="notContainsBlanks" dxfId="179"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1527</v>
      </c>
      <c r="B3" s="16" t="str">
        <f>TRIM(_xlfn.TEXTBEFORE(A3, ":"))</f>
        <v>Item Class</v>
      </c>
      <c r="C3" s="17" t="s">
        <v>2269</v>
      </c>
      <c r="D3" s="16" t="str">
        <f>TRIM(_xlfn.TEXTBEFORE(C3, ":"))</f>
        <v>Gegenstandsklasse</v>
      </c>
      <c r="E3" s="17" t="s">
        <v>2990</v>
      </c>
      <c r="F3" s="16" t="str">
        <f>TRIM(_xlfn.TEXTBEFORE(E3, ":"))</f>
        <v>Clase de objeto</v>
      </c>
      <c r="G3" s="17" t="s">
        <v>1546</v>
      </c>
      <c r="H3" s="16" t="str">
        <f>TRIM(_xlfn.TEXTBEFORE(G3, ":"))</f>
        <v>Classe d'objet</v>
      </c>
      <c r="I3" s="17" t="s">
        <v>3732</v>
      </c>
      <c r="J3" s="16" t="str">
        <f>TRIM(_xlfn.TEXTBEFORE(I3, ":"))</f>
        <v>アイテムクラス</v>
      </c>
      <c r="K3" s="17" t="s">
        <v>4470</v>
      </c>
      <c r="L3" s="16" t="str">
        <f>TRIM(_xlfn.TEXTBEFORE(K3, ":"))</f>
        <v>아이템 종류</v>
      </c>
      <c r="M3" s="17" t="s">
        <v>5138</v>
      </c>
      <c r="N3" s="16" t="str">
        <f>TRIM(_xlfn.TEXTBEFORE(M3, ":"))</f>
        <v>Classe do Item</v>
      </c>
      <c r="O3" s="17" t="s">
        <v>5888</v>
      </c>
      <c r="P3" s="16" t="str">
        <f>TRIM(_xlfn.TEXTBEFORE(O3, ":"))</f>
        <v>Класс предмета</v>
      </c>
      <c r="Q3" s="17" t="s">
        <v>6513</v>
      </c>
      <c r="R3" s="16" t="str">
        <f>TRIM(_xlfn.TEXTBEFORE(Q3, ":"))</f>
        <v>ชนิดไอเทม</v>
      </c>
      <c r="S3" s="17"/>
      <c r="T3" s="20" t="e">
        <f>TRIM(_xlfn.TEXTBEFORE(S3, ":"))</f>
        <v>#N/A</v>
      </c>
    </row>
    <row r="4" spans="1:20" ht="15.95" customHeight="1" x14ac:dyDescent="0.25">
      <c r="A4" s="18" t="s">
        <v>485</v>
      </c>
      <c r="B4" s="16" t="str">
        <f>TRIM(_xlfn.TEXTAFTER(A3, ":"))</f>
        <v>Trinkets</v>
      </c>
      <c r="C4" s="18" t="s">
        <v>1851</v>
      </c>
      <c r="D4" s="16" t="str">
        <f>TRIM(_xlfn.TEXTAFTER(C3, ":"))</f>
        <v>Schmuckstücke</v>
      </c>
      <c r="E4" s="18" t="s">
        <v>2569</v>
      </c>
      <c r="F4" s="16" t="str">
        <f>TRIM(_xlfn.TEXTAFTER(E3, ":"))</f>
        <v>Abalorios</v>
      </c>
      <c r="G4" s="18" t="s">
        <v>1114</v>
      </c>
      <c r="H4" s="16" t="str">
        <f>TRIM(_xlfn.TEXTAFTER(G3, ":"))</f>
        <v>Babioles</v>
      </c>
      <c r="I4" s="18" t="s">
        <v>3293</v>
      </c>
      <c r="J4" s="16" t="str">
        <f>TRIM(_xlfn.TEXTAFTER(I3, ":"))</f>
        <v>トリンケット</v>
      </c>
      <c r="K4" s="18" t="s">
        <v>4038</v>
      </c>
      <c r="L4" s="16" t="str">
        <f>TRIM(_xlfn.TEXTAFTER(K3, ":"))</f>
        <v>장신구</v>
      </c>
      <c r="M4" s="18" t="s">
        <v>4759</v>
      </c>
      <c r="N4" s="16" t="str">
        <f>TRIM(_xlfn.TEXTAFTER(M3, ":"))</f>
        <v>Adornos</v>
      </c>
      <c r="O4" s="18" t="s">
        <v>5452</v>
      </c>
      <c r="P4" s="16" t="str">
        <f>TRIM(_xlfn.TEXTAFTER(O3, ":"))</f>
        <v>Украшения</v>
      </c>
      <c r="Q4" s="18" t="s">
        <v>6163</v>
      </c>
      <c r="R4" s="16" t="str">
        <f>TRIM(_xlfn.TEXTAFTER(Q3, ":"))</f>
        <v>เครื่องประดับโจร</v>
      </c>
      <c r="S4" s="18"/>
      <c r="T4" s="20" t="e">
        <f>TRIM(_xlfn.TEXTAFTER(S3, ":"))</f>
        <v>#N/A</v>
      </c>
    </row>
    <row r="5" spans="1:20" ht="15.95" customHeight="1" x14ac:dyDescent="0.25">
      <c r="A5" s="18" t="s">
        <v>1528</v>
      </c>
      <c r="B5" s="16" t="str">
        <f>TRIM(_xlfn.TEXTBEFORE(A4, ":"))</f>
        <v>Rarity</v>
      </c>
      <c r="C5" s="18" t="s">
        <v>2270</v>
      </c>
      <c r="D5" s="16" t="str">
        <f>TRIM(_xlfn.TEXTBEFORE(C4, ":"))</f>
        <v>Seltenheit</v>
      </c>
      <c r="E5" s="18" t="s">
        <v>2991</v>
      </c>
      <c r="F5" s="16" t="str">
        <f>TRIM(_xlfn.TEXTBEFORE(E4, ":"))</f>
        <v>Rareza</v>
      </c>
      <c r="G5" s="18" t="s">
        <v>1547</v>
      </c>
      <c r="H5" s="16" t="str">
        <f>TRIM(_xlfn.TEXTBEFORE(G4, ":"))</f>
        <v>Rareté</v>
      </c>
      <c r="I5" s="18" t="s">
        <v>3733</v>
      </c>
      <c r="J5" s="16" t="str">
        <f>TRIM(_xlfn.TEXTBEFORE(I4, ":"))</f>
        <v>レアリティ</v>
      </c>
      <c r="K5" s="18" t="s">
        <v>4471</v>
      </c>
      <c r="L5" s="16" t="str">
        <f>TRIM(_xlfn.TEXTBEFORE(K4, ":"))</f>
        <v>아이템 희귀도</v>
      </c>
      <c r="M5" s="18" t="s">
        <v>5139</v>
      </c>
      <c r="N5" s="16" t="str">
        <f>TRIM(_xlfn.TEXTBEFORE(M4, ":"))</f>
        <v>Raridade</v>
      </c>
      <c r="O5" s="18" t="s">
        <v>5889</v>
      </c>
      <c r="P5" s="16" t="str">
        <f>TRIM(_xlfn.TEXTBEFORE(O4, ":"))</f>
        <v>Редкость</v>
      </c>
      <c r="Q5" s="18" t="s">
        <v>1528</v>
      </c>
      <c r="R5" s="16" t="str">
        <f>TRIM(_xlfn.TEXTBEFORE(Q4, ":"))</f>
        <v>ความหายาก</v>
      </c>
      <c r="S5" s="18"/>
      <c r="T5" s="20" t="e">
        <f>TRIM(_xlfn.TEXTBEFORE(S4, ":"))</f>
        <v>#N/A</v>
      </c>
    </row>
    <row r="6" spans="1:20" ht="15.95" customHeight="1" x14ac:dyDescent="0.25">
      <c r="A6" s="18" t="s">
        <v>1529</v>
      </c>
      <c r="B6" s="16" t="str">
        <f>TRIM(_xlfn.TEXTAFTER(A4,":"))</f>
        <v>Rare</v>
      </c>
      <c r="C6" s="18" t="s">
        <v>2271</v>
      </c>
      <c r="D6" s="16" t="str">
        <f>TRIM(_xlfn.TEXTAFTER(C4,":"))</f>
        <v>Selten</v>
      </c>
      <c r="E6" s="18" t="s">
        <v>2992</v>
      </c>
      <c r="F6" s="16" t="str">
        <f>TRIM(_xlfn.TEXTAFTER(E4,":"))</f>
        <v>Raro</v>
      </c>
      <c r="G6" s="18" t="s">
        <v>1548</v>
      </c>
      <c r="H6" s="16" t="str">
        <f>TRIM(_xlfn.TEXTAFTER(G4,":"))</f>
        <v>Rare</v>
      </c>
      <c r="I6" s="18" t="s">
        <v>3734</v>
      </c>
      <c r="J6" s="16" t="str">
        <f>TRIM(_xlfn.TEXTAFTER(I4,":"))</f>
        <v>レア</v>
      </c>
      <c r="K6" s="18" t="s">
        <v>4472</v>
      </c>
      <c r="L6" s="16" t="str">
        <f>TRIM(_xlfn.TEXTAFTER(K4,":"))</f>
        <v>희귀</v>
      </c>
      <c r="M6" s="18" t="s">
        <v>5140</v>
      </c>
      <c r="N6" s="16" t="str">
        <f>TRIM(_xlfn.TEXTAFTER(M4,":"))</f>
        <v>Raro</v>
      </c>
      <c r="O6" s="18" t="s">
        <v>5890</v>
      </c>
      <c r="P6" s="16" t="str">
        <f>TRIM(_xlfn.TEXTAFTER(O4,":"))</f>
        <v>Редкий</v>
      </c>
      <c r="Q6" s="18" t="s">
        <v>6514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v>
      </c>
      <c r="B8" s="16"/>
      <c r="C8" s="18" t="s">
        <v>1590</v>
      </c>
      <c r="D8" s="16"/>
      <c r="E8" s="18" t="s">
        <v>2309</v>
      </c>
      <c r="F8" s="16"/>
      <c r="G8" s="18" t="s">
        <v>5</v>
      </c>
      <c r="H8" s="16"/>
      <c r="I8" s="18" t="s">
        <v>3019</v>
      </c>
      <c r="J8" s="16"/>
      <c r="K8" s="18" t="s">
        <v>3773</v>
      </c>
      <c r="L8" s="16"/>
      <c r="M8" s="18" t="s">
        <v>2309</v>
      </c>
      <c r="N8" s="16"/>
      <c r="O8" s="18" t="s">
        <v>5184</v>
      </c>
      <c r="P8" s="16"/>
      <c r="Q8" s="18" t="s">
        <v>5929</v>
      </c>
      <c r="R8" s="16"/>
      <c r="S8" s="18"/>
      <c r="T8" s="20"/>
    </row>
    <row r="9" spans="1:20" ht="15.95" customHeight="1" x14ac:dyDescent="0.25">
      <c r="A9" s="18" t="s">
        <v>1530</v>
      </c>
      <c r="B9" s="16"/>
      <c r="C9" s="18" t="s">
        <v>2272</v>
      </c>
      <c r="D9" s="16"/>
      <c r="E9" s="18" t="s">
        <v>2993</v>
      </c>
      <c r="F9" s="16"/>
      <c r="G9" s="18" t="s">
        <v>1549</v>
      </c>
      <c r="H9" s="16"/>
      <c r="I9" s="18" t="s">
        <v>3735</v>
      </c>
      <c r="J9" s="16"/>
      <c r="K9" s="18" t="s">
        <v>4473</v>
      </c>
      <c r="L9" s="16"/>
      <c r="M9" s="18" t="s">
        <v>5141</v>
      </c>
      <c r="N9" s="16"/>
      <c r="O9" s="18" t="s">
        <v>5891</v>
      </c>
      <c r="P9" s="16"/>
      <c r="Q9" s="18" t="s">
        <v>6515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89</v>
      </c>
      <c r="B11" s="16"/>
      <c r="C11" s="18" t="s">
        <v>1714</v>
      </c>
      <c r="D11" s="16"/>
      <c r="E11" s="18" t="s">
        <v>2433</v>
      </c>
      <c r="F11" s="16"/>
      <c r="G11" s="18" t="s">
        <v>982</v>
      </c>
      <c r="H11" s="16"/>
      <c r="I11" s="18" t="s">
        <v>3151</v>
      </c>
      <c r="J11" s="16"/>
      <c r="K11" s="18" t="s">
        <v>3898</v>
      </c>
      <c r="L11" s="16"/>
      <c r="M11" s="18" t="s">
        <v>4627</v>
      </c>
      <c r="N11" s="16"/>
      <c r="O11" s="18" t="s">
        <v>5312</v>
      </c>
      <c r="P11" s="16"/>
      <c r="Q11" s="18" t="s">
        <v>6044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1531</v>
      </c>
      <c r="B13" s="16"/>
      <c r="C13" s="18" t="s">
        <v>2273</v>
      </c>
      <c r="D13" s="16"/>
      <c r="E13" s="18" t="s">
        <v>2994</v>
      </c>
      <c r="F13" s="16"/>
      <c r="G13" s="18" t="s">
        <v>1550</v>
      </c>
      <c r="H13" s="16"/>
      <c r="I13" s="18" t="s">
        <v>3736</v>
      </c>
      <c r="J13" s="16"/>
      <c r="K13" s="18" t="s">
        <v>4474</v>
      </c>
      <c r="L13" s="16"/>
      <c r="M13" s="18" t="s">
        <v>5142</v>
      </c>
      <c r="N13" s="16"/>
      <c r="O13" s="18" t="s">
        <v>5892</v>
      </c>
      <c r="P13" s="16"/>
      <c r="Q13" s="18" t="s">
        <v>6516</v>
      </c>
      <c r="R13" s="16"/>
      <c r="S13" s="18"/>
      <c r="T13" s="20"/>
    </row>
    <row r="14" spans="1:20" ht="15.95" customHeight="1" x14ac:dyDescent="0.25">
      <c r="A14" s="18" t="s">
        <v>1532</v>
      </c>
      <c r="B14" s="16"/>
      <c r="C14" s="18" t="s">
        <v>2274</v>
      </c>
      <c r="D14" s="16"/>
      <c r="E14" s="18" t="s">
        <v>2995</v>
      </c>
      <c r="F14" s="16"/>
      <c r="G14" s="18" t="s">
        <v>1551</v>
      </c>
      <c r="H14" s="16"/>
      <c r="I14" s="18" t="s">
        <v>3737</v>
      </c>
      <c r="J14" s="16"/>
      <c r="K14" s="18" t="s">
        <v>4475</v>
      </c>
      <c r="L14" s="16"/>
      <c r="M14" s="18" t="s">
        <v>5143</v>
      </c>
      <c r="N14" s="16"/>
      <c r="O14" s="18" t="s">
        <v>5893</v>
      </c>
      <c r="P14" s="16"/>
      <c r="Q14" s="18" t="s">
        <v>6517</v>
      </c>
      <c r="R14" s="16"/>
      <c r="S14" s="18"/>
      <c r="T14" s="20"/>
    </row>
    <row r="15" spans="1:20" ht="15.95" customHeight="1" x14ac:dyDescent="0.25">
      <c r="A15" s="18" t="s">
        <v>1533</v>
      </c>
      <c r="B15" s="16"/>
      <c r="C15" s="18" t="s">
        <v>2275</v>
      </c>
      <c r="D15" s="16"/>
      <c r="E15" s="18" t="s">
        <v>2996</v>
      </c>
      <c r="F15" s="16"/>
      <c r="G15" s="18" t="s">
        <v>1552</v>
      </c>
      <c r="H15" s="16"/>
      <c r="I15" s="18" t="s">
        <v>3738</v>
      </c>
      <c r="J15" s="16"/>
      <c r="K15" s="18" t="s">
        <v>4476</v>
      </c>
      <c r="L15" s="16"/>
      <c r="M15" s="18" t="s">
        <v>5144</v>
      </c>
      <c r="N15" s="16"/>
      <c r="O15" s="18" t="s">
        <v>5894</v>
      </c>
      <c r="P15" s="16"/>
      <c r="Q15" s="18" t="s">
        <v>6518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1534</v>
      </c>
      <c r="B17" s="16"/>
      <c r="C17" s="18" t="s">
        <v>2276</v>
      </c>
      <c r="D17" s="16"/>
      <c r="E17" s="18" t="s">
        <v>2997</v>
      </c>
      <c r="F17" s="16"/>
      <c r="G17" s="18" t="s">
        <v>1553</v>
      </c>
      <c r="H17" s="16"/>
      <c r="I17" s="18" t="s">
        <v>3739</v>
      </c>
      <c r="J17" s="16"/>
      <c r="K17" s="18" t="s">
        <v>4477</v>
      </c>
      <c r="L17" s="16"/>
      <c r="M17" s="18" t="s">
        <v>5145</v>
      </c>
      <c r="N17" s="16"/>
      <c r="O17" s="18" t="s">
        <v>5895</v>
      </c>
      <c r="P17" s="16"/>
      <c r="Q17" s="18" t="s">
        <v>6519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54</v>
      </c>
      <c r="B19" s="16"/>
      <c r="C19" s="18" t="s">
        <v>1612</v>
      </c>
      <c r="D19" s="16"/>
      <c r="E19" s="18" t="s">
        <v>2317</v>
      </c>
      <c r="F19" s="16"/>
      <c r="G19" s="18" t="s">
        <v>886</v>
      </c>
      <c r="H19" s="16"/>
      <c r="I19" s="18" t="s">
        <v>3027</v>
      </c>
      <c r="J19" s="16"/>
      <c r="K19" s="18" t="s">
        <v>3781</v>
      </c>
      <c r="L19" s="16"/>
      <c r="M19" s="18" t="s">
        <v>4511</v>
      </c>
      <c r="N19" s="16"/>
      <c r="O19" s="18" t="s">
        <v>5192</v>
      </c>
      <c r="P19" s="16"/>
      <c r="Q19" s="18" t="s">
        <v>5936</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8" priority="2" stopIfTrue="1">
      <formula>NOT(ISERROR(A3))</formula>
    </cfRule>
  </conditionalFormatting>
  <conditionalFormatting sqref="A3:T51">
    <cfRule type="containsErrors" dxfId="177" priority="1" stopIfTrue="1">
      <formula>ISERROR(A3)</formula>
    </cfRule>
    <cfRule type="notContainsBlanks" dxfId="176"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1535</v>
      </c>
      <c r="B3" s="16" t="str">
        <f>TRIM(_xlfn.TEXTBEFORE(A3, ":"))</f>
        <v>Item Class</v>
      </c>
      <c r="C3" s="17" t="s">
        <v>2277</v>
      </c>
      <c r="D3" s="16" t="str">
        <f>TRIM(_xlfn.TEXTBEFORE(C3, ":"))</f>
        <v>Gegenstandsklasse</v>
      </c>
      <c r="E3" s="17" t="s">
        <v>2998</v>
      </c>
      <c r="F3" s="16" t="str">
        <f>TRIM(_xlfn.TEXTBEFORE(E3, ":"))</f>
        <v>Clase de objeto</v>
      </c>
      <c r="G3" s="17" t="s">
        <v>1554</v>
      </c>
      <c r="H3" s="16" t="str">
        <f>TRIM(_xlfn.TEXTBEFORE(G3, ":"))</f>
        <v>Classe d'objet</v>
      </c>
      <c r="I3" s="17" t="s">
        <v>3740</v>
      </c>
      <c r="J3" s="16" t="str">
        <f>TRIM(_xlfn.TEXTBEFORE(I3, ":"))</f>
        <v>アイテムクラス</v>
      </c>
      <c r="K3" s="17" t="s">
        <v>4478</v>
      </c>
      <c r="L3" s="16" t="str">
        <f>TRIM(_xlfn.TEXTBEFORE(K3, ":"))</f>
        <v>아이템 종류</v>
      </c>
      <c r="M3" s="17" t="s">
        <v>5146</v>
      </c>
      <c r="N3" s="16" t="str">
        <f>TRIM(_xlfn.TEXTBEFORE(M3, ":"))</f>
        <v>Classe do Item</v>
      </c>
      <c r="O3" s="17" t="s">
        <v>5896</v>
      </c>
      <c r="P3" s="16" t="str">
        <f>TRIM(_xlfn.TEXTBEFORE(O3, ":"))</f>
        <v>Класс предмета</v>
      </c>
      <c r="Q3" s="17" t="s">
        <v>6520</v>
      </c>
      <c r="R3" s="16" t="str">
        <f>TRIM(_xlfn.TEXTBEFORE(Q3, ":"))</f>
        <v>ชนิดไอเทม</v>
      </c>
      <c r="S3" s="17"/>
      <c r="T3" s="20" t="e">
        <f>TRIM(_xlfn.TEXTBEFORE(S3, ":"))</f>
        <v>#N/A</v>
      </c>
    </row>
    <row r="4" spans="1:20" ht="15.95" customHeight="1" x14ac:dyDescent="0.25">
      <c r="A4" s="18" t="s">
        <v>81</v>
      </c>
      <c r="B4" s="16" t="str">
        <f>TRIM(_xlfn.TEXTAFTER(A3, ":"))</f>
        <v>Fishing Rods</v>
      </c>
      <c r="C4" s="18" t="s">
        <v>1644</v>
      </c>
      <c r="D4" s="16" t="str">
        <f>TRIM(_xlfn.TEXTAFTER(C3, ":"))</f>
        <v>Angelruten</v>
      </c>
      <c r="E4" s="18" t="s">
        <v>2364</v>
      </c>
      <c r="F4" s="16" t="str">
        <f>TRIM(_xlfn.TEXTAFTER(E3, ":"))</f>
        <v>Cañas de pescar</v>
      </c>
      <c r="G4" s="18" t="s">
        <v>1</v>
      </c>
      <c r="H4" s="16" t="str">
        <f>TRIM(_xlfn.TEXTAFTER(G3, ":"))</f>
        <v>Cannes à pêche</v>
      </c>
      <c r="I4" s="18" t="s">
        <v>3079</v>
      </c>
      <c r="J4" s="16" t="str">
        <f>TRIM(_xlfn.TEXTAFTER(I3, ":"))</f>
        <v>釣り竿</v>
      </c>
      <c r="K4" s="18" t="s">
        <v>3829</v>
      </c>
      <c r="L4" s="16" t="str">
        <f>TRIM(_xlfn.TEXTAFTER(K3, ":"))</f>
        <v>낚싯대</v>
      </c>
      <c r="M4" s="18" t="s">
        <v>4558</v>
      </c>
      <c r="N4" s="16" t="str">
        <f>TRIM(_xlfn.TEXTAFTER(M3, ":"))</f>
        <v>Varas de Pescar</v>
      </c>
      <c r="O4" s="18" t="s">
        <v>5241</v>
      </c>
      <c r="P4" s="16" t="str">
        <f>TRIM(_xlfn.TEXTAFTER(O3, ":"))</f>
        <v>Удочки</v>
      </c>
      <c r="Q4" s="18" t="s">
        <v>5978</v>
      </c>
      <c r="R4" s="16" t="str">
        <f>TRIM(_xlfn.TEXTAFTER(Q3, ":"))</f>
        <v>เบ็ดตกปลา</v>
      </c>
      <c r="S4" s="18"/>
      <c r="T4" s="20" t="e">
        <f>TRIM(_xlfn.TEXTAFTER(S3, ":"))</f>
        <v>#N/A</v>
      </c>
    </row>
    <row r="5" spans="1:20" ht="15.95" customHeight="1" x14ac:dyDescent="0.25">
      <c r="A5" s="18" t="s">
        <v>1536</v>
      </c>
      <c r="B5" s="16" t="str">
        <f>TRIM(_xlfn.TEXTBEFORE(A4, ":"))</f>
        <v>Rarity</v>
      </c>
      <c r="C5" s="18" t="s">
        <v>2278</v>
      </c>
      <c r="D5" s="16" t="str">
        <f>TRIM(_xlfn.TEXTBEFORE(C4, ":"))</f>
        <v>Seltenheit</v>
      </c>
      <c r="E5" s="18" t="s">
        <v>2999</v>
      </c>
      <c r="F5" s="16" t="str">
        <f>TRIM(_xlfn.TEXTBEFORE(E4, ":"))</f>
        <v>Rareza</v>
      </c>
      <c r="G5" s="18" t="s">
        <v>1555</v>
      </c>
      <c r="H5" s="16" t="str">
        <f>TRIM(_xlfn.TEXTBEFORE(G4, ":"))</f>
        <v>Rareté</v>
      </c>
      <c r="I5" s="18" t="s">
        <v>3741</v>
      </c>
      <c r="J5" s="16" t="str">
        <f>TRIM(_xlfn.TEXTBEFORE(I4, ":"))</f>
        <v>レアリティ</v>
      </c>
      <c r="K5" s="18" t="s">
        <v>4479</v>
      </c>
      <c r="L5" s="16" t="str">
        <f>TRIM(_xlfn.TEXTBEFORE(K4, ":"))</f>
        <v>아이템 희귀도</v>
      </c>
      <c r="M5" s="18" t="s">
        <v>5147</v>
      </c>
      <c r="N5" s="16" t="str">
        <f>TRIM(_xlfn.TEXTBEFORE(M4, ":"))</f>
        <v>Raridade</v>
      </c>
      <c r="O5" s="18" t="s">
        <v>5897</v>
      </c>
      <c r="P5" s="16" t="str">
        <f>TRIM(_xlfn.TEXTBEFORE(O4, ":"))</f>
        <v>Редкость</v>
      </c>
      <c r="Q5" s="18" t="s">
        <v>1536</v>
      </c>
      <c r="R5" s="16" t="str">
        <f>TRIM(_xlfn.TEXTBEFORE(Q4, ":"))</f>
        <v>ความหายาก</v>
      </c>
      <c r="S5" s="18"/>
      <c r="T5" s="20" t="e">
        <f>TRIM(_xlfn.TEXTBEFORE(S4, ":"))</f>
        <v>#N/A</v>
      </c>
    </row>
    <row r="6" spans="1:20" ht="15.95" customHeight="1" x14ac:dyDescent="0.25">
      <c r="A6" s="18" t="s">
        <v>1537</v>
      </c>
      <c r="B6" s="16" t="str">
        <f>TRIM(_xlfn.TEXTAFTER(A4,":"))</f>
        <v>Unique</v>
      </c>
      <c r="C6" s="18" t="s">
        <v>2279</v>
      </c>
      <c r="D6" s="16" t="str">
        <f>TRIM(_xlfn.TEXTAFTER(C4,":"))</f>
        <v>Einzigartig</v>
      </c>
      <c r="E6" s="18" t="s">
        <v>3000</v>
      </c>
      <c r="F6" s="16" t="str">
        <f>TRIM(_xlfn.TEXTAFTER(E4,":"))</f>
        <v>Único</v>
      </c>
      <c r="G6" s="18" t="s">
        <v>1556</v>
      </c>
      <c r="H6" s="16" t="str">
        <f>TRIM(_xlfn.TEXTAFTER(G4,":"))</f>
        <v>Unique</v>
      </c>
      <c r="I6" s="18" t="s">
        <v>3742</v>
      </c>
      <c r="J6" s="16" t="str">
        <f>TRIM(_xlfn.TEXTAFTER(I4,":"))</f>
        <v>ユニーク</v>
      </c>
      <c r="K6" s="18" t="s">
        <v>4480</v>
      </c>
      <c r="L6" s="16" t="str">
        <f>TRIM(_xlfn.TEXTAFTER(K4,":"))</f>
        <v>고유</v>
      </c>
      <c r="M6" s="18" t="s">
        <v>5148</v>
      </c>
      <c r="N6" s="16" t="str">
        <f>TRIM(_xlfn.TEXTAFTER(M4,":"))</f>
        <v>Único</v>
      </c>
      <c r="O6" s="18" t="s">
        <v>5898</v>
      </c>
      <c r="P6" s="16" t="str">
        <f>TRIM(_xlfn.TEXTAFTER(O4,":"))</f>
        <v>Уникальный</v>
      </c>
      <c r="Q6" s="18" t="s">
        <v>1537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1537</v>
      </c>
      <c r="B8" s="16"/>
      <c r="C8" s="18" t="s">
        <v>2279</v>
      </c>
      <c r="D8" s="16"/>
      <c r="E8" s="18" t="s">
        <v>3000</v>
      </c>
      <c r="F8" s="16"/>
      <c r="G8" s="18" t="s">
        <v>1556</v>
      </c>
      <c r="H8" s="16"/>
      <c r="I8" s="18" t="s">
        <v>3742</v>
      </c>
      <c r="J8" s="16"/>
      <c r="K8" s="18" t="s">
        <v>4480</v>
      </c>
      <c r="L8" s="16"/>
      <c r="M8" s="18" t="s">
        <v>5148</v>
      </c>
      <c r="N8" s="16"/>
      <c r="O8" s="18" t="s">
        <v>5898</v>
      </c>
      <c r="P8" s="16"/>
      <c r="Q8" s="18" t="s">
        <v>6521</v>
      </c>
      <c r="R8" s="16"/>
      <c r="S8" s="18"/>
      <c r="T8" s="20"/>
    </row>
    <row r="9" spans="1:20" ht="15.95" customHeight="1" x14ac:dyDescent="0.25">
      <c r="A9" s="18" t="s">
        <v>1538</v>
      </c>
      <c r="B9" s="16"/>
      <c r="C9" s="18" t="s">
        <v>2280</v>
      </c>
      <c r="D9" s="16"/>
      <c r="E9" s="18" t="s">
        <v>3001</v>
      </c>
      <c r="F9" s="16"/>
      <c r="G9" s="18" t="s">
        <v>1557</v>
      </c>
      <c r="H9" s="16"/>
      <c r="I9" s="18" t="s">
        <v>3743</v>
      </c>
      <c r="J9" s="16"/>
      <c r="K9" s="18" t="s">
        <v>4481</v>
      </c>
      <c r="L9" s="16"/>
      <c r="M9" s="18" t="s">
        <v>5149</v>
      </c>
      <c r="N9" s="16"/>
      <c r="O9" s="18" t="s">
        <v>5899</v>
      </c>
      <c r="P9" s="16"/>
      <c r="Q9" s="18" t="s">
        <v>6522</v>
      </c>
      <c r="R9" s="16"/>
      <c r="S9" s="18"/>
      <c r="T9" s="20"/>
    </row>
    <row r="10" spans="1:20" ht="15.95" customHeight="1" x14ac:dyDescent="0.25">
      <c r="A10" s="18" t="s">
        <v>186</v>
      </c>
      <c r="B10" s="16"/>
      <c r="C10" s="18" t="s">
        <v>2109</v>
      </c>
      <c r="D10" s="16"/>
      <c r="E10" s="18" t="s">
        <v>2827</v>
      </c>
      <c r="F10" s="16"/>
      <c r="G10" s="18" t="s">
        <v>1365</v>
      </c>
      <c r="H10" s="16"/>
      <c r="I10" s="18" t="s">
        <v>3566</v>
      </c>
      <c r="J10" s="16"/>
      <c r="K10" s="18" t="s">
        <v>4304</v>
      </c>
      <c r="L10" s="16"/>
      <c r="M10" s="18" t="s">
        <v>4985</v>
      </c>
      <c r="N10" s="16"/>
      <c r="O10" s="18" t="s">
        <v>5721</v>
      </c>
      <c r="P10" s="16"/>
      <c r="Q10" s="18" t="s">
        <v>6373</v>
      </c>
      <c r="R10" s="16"/>
      <c r="S10" s="18"/>
      <c r="T10" s="20"/>
    </row>
    <row r="11" spans="1:20" ht="15.95" customHeight="1" x14ac:dyDescent="0.25">
      <c r="A11" s="18" t="s">
        <v>1539</v>
      </c>
      <c r="B11" s="16"/>
      <c r="C11" s="18" t="s">
        <v>2281</v>
      </c>
      <c r="D11" s="16"/>
      <c r="E11" s="18" t="s">
        <v>3002</v>
      </c>
      <c r="F11" s="16"/>
      <c r="G11" s="18" t="s">
        <v>1558</v>
      </c>
      <c r="H11" s="16"/>
      <c r="I11" s="18" t="s">
        <v>3744</v>
      </c>
      <c r="J11" s="16"/>
      <c r="K11" s="18" t="s">
        <v>4482</v>
      </c>
      <c r="L11" s="16"/>
      <c r="M11" s="18" t="s">
        <v>5150</v>
      </c>
      <c r="N11" s="16"/>
      <c r="O11" s="18" t="s">
        <v>5900</v>
      </c>
      <c r="P11" s="16"/>
      <c r="Q11" s="18" t="s">
        <v>6523</v>
      </c>
      <c r="R11" s="16"/>
      <c r="S11" s="18"/>
      <c r="T11" s="20"/>
    </row>
    <row r="12" spans="1:20" ht="15.95" customHeight="1" x14ac:dyDescent="0.25">
      <c r="A12" s="18" t="s">
        <v>227</v>
      </c>
      <c r="B12" s="16"/>
      <c r="C12" s="18" t="s">
        <v>2064</v>
      </c>
      <c r="D12" s="16"/>
      <c r="E12" s="18" t="s">
        <v>2783</v>
      </c>
      <c r="F12" s="16"/>
      <c r="G12" s="18" t="s">
        <v>1318</v>
      </c>
      <c r="H12" s="16"/>
      <c r="I12" s="18" t="s">
        <v>3517</v>
      </c>
      <c r="J12" s="16"/>
      <c r="K12" s="18" t="s">
        <v>4257</v>
      </c>
      <c r="L12" s="16"/>
      <c r="M12" s="18" t="s">
        <v>4942</v>
      </c>
      <c r="N12" s="16"/>
      <c r="O12" s="18" t="s">
        <v>5672</v>
      </c>
      <c r="P12" s="16"/>
      <c r="Q12" s="18" t="s">
        <v>6335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132</v>
      </c>
      <c r="B14" s="16"/>
      <c r="C14" s="18" t="s">
        <v>1841</v>
      </c>
      <c r="D14" s="16"/>
      <c r="E14" s="18" t="s">
        <v>2559</v>
      </c>
      <c r="F14" s="16"/>
      <c r="G14" s="18" t="s">
        <v>1104</v>
      </c>
      <c r="H14" s="16"/>
      <c r="I14" s="18" t="s">
        <v>3283</v>
      </c>
      <c r="J14" s="16"/>
      <c r="K14" s="18" t="s">
        <v>4028</v>
      </c>
      <c r="L14" s="16"/>
      <c r="M14" s="18" t="s">
        <v>4749</v>
      </c>
      <c r="N14" s="16"/>
      <c r="O14" s="18" t="s">
        <v>5442</v>
      </c>
      <c r="P14" s="16"/>
      <c r="Q14" s="18" t="s">
        <v>6153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293</v>
      </c>
      <c r="B16" s="16"/>
      <c r="C16" s="18" t="s">
        <v>1744</v>
      </c>
      <c r="D16" s="16"/>
      <c r="E16" s="18" t="s">
        <v>2463</v>
      </c>
      <c r="F16" s="16"/>
      <c r="G16" s="18" t="s">
        <v>1012</v>
      </c>
      <c r="H16" s="16"/>
      <c r="I16" s="18" t="s">
        <v>3181</v>
      </c>
      <c r="J16" s="16"/>
      <c r="K16" s="18" t="s">
        <v>3928</v>
      </c>
      <c r="L16" s="16"/>
      <c r="M16" s="18" t="s">
        <v>4657</v>
      </c>
      <c r="N16" s="16"/>
      <c r="O16" s="18" t="s">
        <v>5342</v>
      </c>
      <c r="P16" s="16"/>
      <c r="Q16" s="18" t="s">
        <v>6073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1540</v>
      </c>
      <c r="B18" s="16"/>
      <c r="C18" s="18" t="s">
        <v>2282</v>
      </c>
      <c r="D18" s="16"/>
      <c r="E18" s="18" t="s">
        <v>3003</v>
      </c>
      <c r="F18" s="16"/>
      <c r="G18" s="18" t="s">
        <v>1559</v>
      </c>
      <c r="H18" s="16"/>
      <c r="I18" s="18" t="s">
        <v>3745</v>
      </c>
      <c r="J18" s="16"/>
      <c r="K18" s="18" t="s">
        <v>4483</v>
      </c>
      <c r="L18" s="16"/>
      <c r="M18" s="18" t="s">
        <v>5151</v>
      </c>
      <c r="N18" s="16"/>
      <c r="O18" s="18" t="s">
        <v>5901</v>
      </c>
      <c r="P18" s="16"/>
      <c r="Q18" s="18" t="s">
        <v>6524</v>
      </c>
      <c r="R18" s="16"/>
      <c r="S18" s="18"/>
      <c r="T18" s="20"/>
    </row>
    <row r="19" spans="1:20" ht="15.95" customHeight="1" x14ac:dyDescent="0.25">
      <c r="A19" s="18" t="s">
        <v>1541</v>
      </c>
      <c r="B19" s="16"/>
      <c r="C19" s="18" t="s">
        <v>2283</v>
      </c>
      <c r="D19" s="16"/>
      <c r="E19" s="18" t="s">
        <v>3004</v>
      </c>
      <c r="F19" s="16"/>
      <c r="G19" s="18" t="s">
        <v>1560</v>
      </c>
      <c r="H19" s="16"/>
      <c r="I19" s="18" t="s">
        <v>3746</v>
      </c>
      <c r="J19" s="16"/>
      <c r="K19" s="18" t="s">
        <v>4484</v>
      </c>
      <c r="L19" s="16"/>
      <c r="M19" s="18" t="s">
        <v>5152</v>
      </c>
      <c r="N19" s="16"/>
      <c r="O19" s="18" t="s">
        <v>5902</v>
      </c>
      <c r="P19" s="16"/>
      <c r="Q19" s="18" t="s">
        <v>6525</v>
      </c>
      <c r="R19" s="16"/>
      <c r="S19" s="18"/>
      <c r="T19" s="20"/>
    </row>
    <row r="20" spans="1:20" ht="15.95" customHeight="1" x14ac:dyDescent="0.25">
      <c r="A20" s="18" t="s">
        <v>1542</v>
      </c>
      <c r="B20" s="16"/>
      <c r="C20" s="18" t="s">
        <v>2284</v>
      </c>
      <c r="D20" s="16"/>
      <c r="E20" s="18" t="s">
        <v>3005</v>
      </c>
      <c r="F20" s="16"/>
      <c r="G20" s="18" t="s">
        <v>1561</v>
      </c>
      <c r="H20" s="16"/>
      <c r="I20" s="18" t="s">
        <v>3747</v>
      </c>
      <c r="J20" s="16"/>
      <c r="K20" s="18" t="s">
        <v>4485</v>
      </c>
      <c r="L20" s="16"/>
      <c r="M20" s="18" t="s">
        <v>5153</v>
      </c>
      <c r="N20" s="16"/>
      <c r="O20" s="18" t="s">
        <v>5903</v>
      </c>
      <c r="P20" s="16"/>
      <c r="Q20" s="18" t="s">
        <v>6526</v>
      </c>
      <c r="R20" s="16"/>
      <c r="S20" s="18"/>
      <c r="T20" s="20"/>
    </row>
    <row r="21" spans="1:20" ht="15.95" customHeight="1" x14ac:dyDescent="0.25">
      <c r="A21" s="18" t="s">
        <v>1543</v>
      </c>
      <c r="B21" s="16"/>
      <c r="C21" s="18" t="s">
        <v>2285</v>
      </c>
      <c r="D21" s="16"/>
      <c r="E21" s="18" t="s">
        <v>3006</v>
      </c>
      <c r="F21" s="16"/>
      <c r="G21" s="18" t="s">
        <v>1562</v>
      </c>
      <c r="H21" s="16"/>
      <c r="I21" s="18" t="s">
        <v>3748</v>
      </c>
      <c r="J21" s="16"/>
      <c r="K21" s="18" t="s">
        <v>4486</v>
      </c>
      <c r="L21" s="16"/>
      <c r="M21" s="18" t="s">
        <v>5154</v>
      </c>
      <c r="N21" s="16"/>
      <c r="O21" s="18" t="s">
        <v>5904</v>
      </c>
      <c r="P21" s="16"/>
      <c r="Q21" s="18" t="s">
        <v>6527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1544</v>
      </c>
      <c r="B23" s="16"/>
      <c r="C23" s="18" t="s">
        <v>2286</v>
      </c>
      <c r="D23" s="16"/>
      <c r="E23" s="18" t="s">
        <v>3007</v>
      </c>
      <c r="F23" s="16"/>
      <c r="G23" s="18" t="s">
        <v>1563</v>
      </c>
      <c r="H23" s="16"/>
      <c r="I23" s="18" t="s">
        <v>3749</v>
      </c>
      <c r="J23" s="16"/>
      <c r="K23" s="18" t="s">
        <v>4487</v>
      </c>
      <c r="L23" s="16"/>
      <c r="M23" s="18" t="s">
        <v>5155</v>
      </c>
      <c r="N23" s="16"/>
      <c r="O23" s="18" t="s">
        <v>5905</v>
      </c>
      <c r="P23" s="16"/>
      <c r="Q23" s="18" t="s">
        <v>6528</v>
      </c>
      <c r="R23" s="16"/>
      <c r="S23" s="18"/>
      <c r="T23" s="20"/>
    </row>
    <row r="24" spans="1:20" ht="15.95" customHeight="1" x14ac:dyDescent="0.25">
      <c r="A24" s="18" t="s">
        <v>1545</v>
      </c>
      <c r="B24" s="16"/>
      <c r="C24" s="18" t="s">
        <v>2287</v>
      </c>
      <c r="D24" s="16"/>
      <c r="E24" s="18" t="s">
        <v>3008</v>
      </c>
      <c r="F24" s="16"/>
      <c r="G24" s="18" t="s">
        <v>1564</v>
      </c>
      <c r="H24" s="16"/>
      <c r="I24" s="18" t="s">
        <v>3750</v>
      </c>
      <c r="J24" s="16"/>
      <c r="K24" s="18" t="s">
        <v>4488</v>
      </c>
      <c r="L24" s="16"/>
      <c r="M24" s="18" t="s">
        <v>5156</v>
      </c>
      <c r="N24" s="16"/>
      <c r="O24" s="18" t="s">
        <v>5906</v>
      </c>
      <c r="P24" s="16"/>
      <c r="Q24" s="18" t="s">
        <v>6529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5" priority="2" stopIfTrue="1">
      <formula>NOT(ISERROR(A3))</formula>
    </cfRule>
  </conditionalFormatting>
  <conditionalFormatting sqref="A3:T51">
    <cfRule type="containsErrors" dxfId="174" priority="1" stopIfTrue="1">
      <formula>ISERROR(A3)</formula>
    </cfRule>
    <cfRule type="notContainsBlanks" dxfId="173"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6530</v>
      </c>
      <c r="B3" s="16" t="str">
        <f>TRIM(_xlfn.TEXTBEFORE(A3, ":"))</f>
        <v>Item Class</v>
      </c>
      <c r="C3" s="17" t="s">
        <v>6601</v>
      </c>
      <c r="D3" s="16" t="str">
        <f>TRIM(_xlfn.TEXTBEFORE(C3, ":"))</f>
        <v>Gegenstandsklasse</v>
      </c>
      <c r="E3" s="17" t="s">
        <v>6707</v>
      </c>
      <c r="F3" s="16" t="str">
        <f>TRIM(_xlfn.TEXTBEFORE(E3, ":"))</f>
        <v>Clase de objeto</v>
      </c>
      <c r="G3" s="17" t="s">
        <v>6558</v>
      </c>
      <c r="H3" s="16" t="str">
        <f>TRIM(_xlfn.TEXTBEFORE(G3, ":"))</f>
        <v>Classe d'objet</v>
      </c>
      <c r="I3" s="17" t="s">
        <v>6761</v>
      </c>
      <c r="J3" s="16" t="str">
        <f>TRIM(_xlfn.TEXTBEFORE(I3, ":"))</f>
        <v>アイテムクラス</v>
      </c>
      <c r="K3" s="17" t="s">
        <v>6734</v>
      </c>
      <c r="L3" s="16" t="str">
        <f>TRIM(_xlfn.TEXTBEFORE(K3, ":"))</f>
        <v>아이템 종류</v>
      </c>
      <c r="M3" s="17" t="s">
        <v>6628</v>
      </c>
      <c r="N3" s="16" t="str">
        <f>TRIM(_xlfn.TEXTBEFORE(M3, ":"))</f>
        <v>Classe do Item</v>
      </c>
      <c r="O3" s="17" t="s">
        <v>6655</v>
      </c>
      <c r="P3" s="16" t="str">
        <f>TRIM(_xlfn.TEXTBEFORE(O3, ":"))</f>
        <v>Класс предмета</v>
      </c>
      <c r="Q3" s="17" t="s">
        <v>6682</v>
      </c>
      <c r="R3" s="16" t="str">
        <f>TRIM(_xlfn.TEXTBEFORE(Q3, ":"))</f>
        <v>ชนิดไอเทม</v>
      </c>
      <c r="S3" s="17" t="s">
        <v>6533</v>
      </c>
      <c r="T3" s="20" t="str">
        <f>TRIM(_xlfn.TEXTBEFORE(S3, ":"))</f>
        <v/>
      </c>
    </row>
    <row r="4" spans="1:20" ht="15.95" customHeight="1" x14ac:dyDescent="0.25">
      <c r="A4" s="18" t="s">
        <v>471</v>
      </c>
      <c r="B4" s="16" t="str">
        <f>TRIM(_xlfn.TEXTAFTER(A3, ":"))</f>
        <v>Tinctures</v>
      </c>
      <c r="C4" s="18" t="s">
        <v>1682</v>
      </c>
      <c r="D4" s="16" t="str">
        <f>TRIM(_xlfn.TEXTAFTER(C3, ":"))</f>
        <v>Tinkturen</v>
      </c>
      <c r="E4" s="18" t="s">
        <v>2401</v>
      </c>
      <c r="F4" s="16" t="str">
        <f>TRIM(_xlfn.TEXTAFTER(E3, ":"))</f>
        <v>Tinturas</v>
      </c>
      <c r="G4" s="18" t="s">
        <v>949</v>
      </c>
      <c r="H4" s="16" t="str">
        <f>TRIM(_xlfn.TEXTAFTER(G3, ":"))</f>
        <v>Teintures</v>
      </c>
      <c r="I4" s="18" t="s">
        <v>3119</v>
      </c>
      <c r="J4" s="16" t="str">
        <f>TRIM(_xlfn.TEXTAFTER(I3, ":"))</f>
        <v>チンキ</v>
      </c>
      <c r="K4" s="18" t="s">
        <v>3866</v>
      </c>
      <c r="L4" s="16" t="str">
        <f>TRIM(_xlfn.TEXTAFTER(K3, ":"))</f>
        <v>팅크</v>
      </c>
      <c r="M4" s="18" t="s">
        <v>4596</v>
      </c>
      <c r="N4" s="16" t="str">
        <f>TRIM(_xlfn.TEXTAFTER(M3, ":"))</f>
        <v>Tintura</v>
      </c>
      <c r="O4" s="18" t="s">
        <v>5279</v>
      </c>
      <c r="P4" s="16" t="str">
        <f>TRIM(_xlfn.TEXTAFTER(O3, ":"))</f>
        <v>Микстуры</v>
      </c>
      <c r="Q4" s="18" t="s">
        <v>6013</v>
      </c>
      <c r="R4" s="16" t="str">
        <f>TRIM(_xlfn.TEXTAFTER(Q3, ":"))</f>
        <v>ยาเคลือบอาวุธ</v>
      </c>
      <c r="S4" s="18" t="s">
        <v>6533</v>
      </c>
      <c r="T4" s="20" t="str">
        <f>TRIM(_xlfn.TEXTAFTER(S3, ":"))</f>
        <v/>
      </c>
    </row>
    <row r="5" spans="1:20" ht="15.95" customHeight="1" x14ac:dyDescent="0.25">
      <c r="A5" s="18" t="s">
        <v>6534</v>
      </c>
      <c r="B5" s="16" t="str">
        <f>TRIM(_xlfn.TEXTBEFORE(A4, ":"))</f>
        <v>Rarity</v>
      </c>
      <c r="C5" s="18" t="s">
        <v>6602</v>
      </c>
      <c r="D5" s="16" t="str">
        <f>TRIM(_xlfn.TEXTBEFORE(C4, ":"))</f>
        <v>Seltenheit</v>
      </c>
      <c r="E5" s="18" t="s">
        <v>6708</v>
      </c>
      <c r="F5" s="16" t="str">
        <f>TRIM(_xlfn.TEXTBEFORE(E4, ":"))</f>
        <v>Rareza</v>
      </c>
      <c r="G5" s="18" t="s">
        <v>6559</v>
      </c>
      <c r="H5" s="16" t="str">
        <f>TRIM(_xlfn.TEXTBEFORE(G4, ":"))</f>
        <v>Rareté</v>
      </c>
      <c r="I5" s="18" t="s">
        <v>6762</v>
      </c>
      <c r="J5" s="16" t="str">
        <f>TRIM(_xlfn.TEXTBEFORE(I4, ":"))</f>
        <v>レアリティ</v>
      </c>
      <c r="K5" s="18" t="s">
        <v>6735</v>
      </c>
      <c r="L5" s="16" t="str">
        <f>TRIM(_xlfn.TEXTBEFORE(K4, ":"))</f>
        <v>아이템 희귀도</v>
      </c>
      <c r="M5" s="18" t="s">
        <v>6629</v>
      </c>
      <c r="N5" s="16" t="str">
        <f>TRIM(_xlfn.TEXTBEFORE(M4, ":"))</f>
        <v>Raridade</v>
      </c>
      <c r="O5" s="18" t="s">
        <v>6656</v>
      </c>
      <c r="P5" s="16" t="str">
        <f>TRIM(_xlfn.TEXTBEFORE(O4, ":"))</f>
        <v>Редкость</v>
      </c>
      <c r="Q5" s="18" t="s">
        <v>6683</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6535</v>
      </c>
      <c r="B7" s="16"/>
      <c r="C7" s="18" t="s">
        <v>6603</v>
      </c>
      <c r="D7" s="16"/>
      <c r="E7" s="18" t="s">
        <v>6709</v>
      </c>
      <c r="F7" s="16"/>
      <c r="G7" s="18" t="s">
        <v>6560</v>
      </c>
      <c r="H7" s="16"/>
      <c r="I7" s="18" t="s">
        <v>6763</v>
      </c>
      <c r="J7" s="16"/>
      <c r="K7" s="18" t="s">
        <v>6736</v>
      </c>
      <c r="L7" s="16"/>
      <c r="M7" s="18" t="s">
        <v>6630</v>
      </c>
      <c r="N7" s="16"/>
      <c r="O7" s="18" t="s">
        <v>6657</v>
      </c>
      <c r="P7" s="16"/>
      <c r="Q7" s="18" t="s">
        <v>6684</v>
      </c>
      <c r="R7" s="16"/>
      <c r="S7" s="18"/>
      <c r="T7" s="20"/>
    </row>
    <row r="8" spans="1:20" ht="15.95" customHeight="1" x14ac:dyDescent="0.25">
      <c r="A8" s="18" t="s">
        <v>6536</v>
      </c>
      <c r="B8" s="16"/>
      <c r="C8" s="18" t="s">
        <v>6604</v>
      </c>
      <c r="D8" s="16"/>
      <c r="E8" s="18" t="s">
        <v>6710</v>
      </c>
      <c r="F8" s="16"/>
      <c r="G8" s="18" t="s">
        <v>6561</v>
      </c>
      <c r="H8" s="16"/>
      <c r="I8" s="18" t="s">
        <v>6764</v>
      </c>
      <c r="J8" s="16"/>
      <c r="K8" s="18" t="s">
        <v>6737</v>
      </c>
      <c r="L8" s="16"/>
      <c r="M8" s="18" t="s">
        <v>6631</v>
      </c>
      <c r="N8" s="16"/>
      <c r="O8" s="18" t="s">
        <v>6658</v>
      </c>
      <c r="P8" s="16"/>
      <c r="Q8" s="18" t="s">
        <v>6685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82</v>
      </c>
      <c r="B10" s="16"/>
      <c r="C10" s="18" t="s">
        <v>1590</v>
      </c>
      <c r="D10" s="16"/>
      <c r="E10" s="18" t="s">
        <v>2309</v>
      </c>
      <c r="F10" s="16"/>
      <c r="G10" s="18" t="s">
        <v>5</v>
      </c>
      <c r="H10" s="16"/>
      <c r="I10" s="18" t="s">
        <v>3019</v>
      </c>
      <c r="J10" s="16"/>
      <c r="K10" s="18" t="s">
        <v>3773</v>
      </c>
      <c r="L10" s="16"/>
      <c r="M10" s="18" t="s">
        <v>2309</v>
      </c>
      <c r="N10" s="16"/>
      <c r="O10" s="18" t="s">
        <v>5184</v>
      </c>
      <c r="P10" s="16"/>
      <c r="Q10" s="18" t="s">
        <v>5929</v>
      </c>
      <c r="R10" s="16"/>
      <c r="S10" s="18"/>
      <c r="T10" s="20"/>
    </row>
    <row r="11" spans="1:20" ht="15.95" customHeight="1" x14ac:dyDescent="0.25">
      <c r="A11" s="18" t="s">
        <v>6537</v>
      </c>
      <c r="B11" s="16"/>
      <c r="C11" s="18" t="s">
        <v>6605</v>
      </c>
      <c r="D11" s="16"/>
      <c r="E11" s="18" t="s">
        <v>6711</v>
      </c>
      <c r="F11" s="16"/>
      <c r="G11" s="18" t="s">
        <v>6562</v>
      </c>
      <c r="H11" s="16"/>
      <c r="I11" s="18" t="s">
        <v>6765</v>
      </c>
      <c r="J11" s="16"/>
      <c r="K11" s="18" t="s">
        <v>6738</v>
      </c>
      <c r="L11" s="16"/>
      <c r="M11" s="18" t="s">
        <v>6632</v>
      </c>
      <c r="N11" s="16"/>
      <c r="O11" s="18" t="s">
        <v>6659</v>
      </c>
      <c r="P11" s="16"/>
      <c r="Q11" s="18" t="s">
        <v>6686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232</v>
      </c>
      <c r="B13" s="16"/>
      <c r="C13" s="18" t="s">
        <v>1752</v>
      </c>
      <c r="D13" s="16"/>
      <c r="E13" s="18" t="s">
        <v>2471</v>
      </c>
      <c r="F13" s="16"/>
      <c r="G13" s="18" t="s">
        <v>1020</v>
      </c>
      <c r="H13" s="16"/>
      <c r="I13" s="18" t="s">
        <v>3189</v>
      </c>
      <c r="J13" s="16"/>
      <c r="K13" s="18" t="s">
        <v>3936</v>
      </c>
      <c r="L13" s="16"/>
      <c r="M13" s="18" t="s">
        <v>4665</v>
      </c>
      <c r="N13" s="16"/>
      <c r="O13" s="18" t="s">
        <v>5350</v>
      </c>
      <c r="P13" s="16"/>
      <c r="Q13" s="18" t="s">
        <v>6080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6538</v>
      </c>
      <c r="B15" s="16"/>
      <c r="C15" s="18" t="s">
        <v>6606</v>
      </c>
      <c r="D15" s="16"/>
      <c r="E15" s="18" t="s">
        <v>6712</v>
      </c>
      <c r="F15" s="16"/>
      <c r="G15" s="18" t="s">
        <v>6563</v>
      </c>
      <c r="H15" s="16"/>
      <c r="I15" s="18" t="s">
        <v>6766</v>
      </c>
      <c r="J15" s="16"/>
      <c r="K15" s="18" t="s">
        <v>6739</v>
      </c>
      <c r="L15" s="16"/>
      <c r="M15" s="18" t="s">
        <v>6633</v>
      </c>
      <c r="N15" s="16"/>
      <c r="O15" s="18" t="s">
        <v>6660</v>
      </c>
      <c r="P15" s="16"/>
      <c r="Q15" s="18" t="s">
        <v>6687</v>
      </c>
      <c r="R15" s="16"/>
      <c r="S15" s="18"/>
      <c r="T15" s="20"/>
    </row>
    <row r="16" spans="1:20" ht="15.95" customHeight="1" x14ac:dyDescent="0.25">
      <c r="A16" s="18" t="s">
        <v>6539</v>
      </c>
      <c r="B16" s="16"/>
      <c r="C16" s="18" t="s">
        <v>6607</v>
      </c>
      <c r="D16" s="16"/>
      <c r="E16" s="18" t="s">
        <v>6713</v>
      </c>
      <c r="F16" s="16"/>
      <c r="G16" s="18" t="s">
        <v>6564</v>
      </c>
      <c r="H16" s="16"/>
      <c r="I16" s="18" t="s">
        <v>6767</v>
      </c>
      <c r="J16" s="16"/>
      <c r="K16" s="18" t="s">
        <v>6740</v>
      </c>
      <c r="L16" s="16"/>
      <c r="M16" s="18" t="s">
        <v>6634</v>
      </c>
      <c r="N16" s="16"/>
      <c r="O16" s="18" t="s">
        <v>6661</v>
      </c>
      <c r="P16" s="16"/>
      <c r="Q16" s="18" t="s">
        <v>6688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6540</v>
      </c>
      <c r="B18" s="16"/>
      <c r="C18" s="18" t="s">
        <v>6608</v>
      </c>
      <c r="D18" s="16"/>
      <c r="E18" s="18" t="s">
        <v>6714</v>
      </c>
      <c r="F18" s="16"/>
      <c r="G18" s="18" t="s">
        <v>6565</v>
      </c>
      <c r="H18" s="16"/>
      <c r="I18" s="18" t="s">
        <v>6768</v>
      </c>
      <c r="J18" s="16"/>
      <c r="K18" s="18" t="s">
        <v>6741</v>
      </c>
      <c r="L18" s="16"/>
      <c r="M18" s="18" t="s">
        <v>6635</v>
      </c>
      <c r="N18" s="16"/>
      <c r="O18" s="18" t="s">
        <v>6662</v>
      </c>
      <c r="P18" s="16"/>
      <c r="Q18" s="18" t="s">
        <v>6689</v>
      </c>
      <c r="R18" s="16"/>
      <c r="S18" s="18"/>
      <c r="T18" s="20"/>
    </row>
    <row r="19" spans="1:20" ht="15.95" customHeight="1" x14ac:dyDescent="0.25">
      <c r="A19" s="18" t="s">
        <v>6541</v>
      </c>
      <c r="B19" s="16"/>
      <c r="C19" s="18" t="s">
        <v>6609</v>
      </c>
      <c r="D19" s="16"/>
      <c r="E19" s="18" t="s">
        <v>6715</v>
      </c>
      <c r="F19" s="16"/>
      <c r="G19" s="18" t="s">
        <v>6566</v>
      </c>
      <c r="H19" s="16"/>
      <c r="I19" s="18" t="s">
        <v>6769</v>
      </c>
      <c r="J19" s="16"/>
      <c r="K19" s="18" t="s">
        <v>6742</v>
      </c>
      <c r="L19" s="16"/>
      <c r="M19" s="18" t="s">
        <v>6636</v>
      </c>
      <c r="N19" s="16"/>
      <c r="O19" s="18" t="s">
        <v>6663</v>
      </c>
      <c r="P19" s="16"/>
      <c r="Q19" s="18" t="s">
        <v>6690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6542</v>
      </c>
      <c r="B21" s="16"/>
      <c r="C21" s="18" t="s">
        <v>6610</v>
      </c>
      <c r="D21" s="16"/>
      <c r="E21" s="18" t="s">
        <v>6716</v>
      </c>
      <c r="F21" s="16"/>
      <c r="G21" s="18" t="s">
        <v>6567</v>
      </c>
      <c r="H21" s="16"/>
      <c r="I21" s="18" t="s">
        <v>6770</v>
      </c>
      <c r="J21" s="16"/>
      <c r="K21" s="18" t="s">
        <v>6743</v>
      </c>
      <c r="L21" s="16"/>
      <c r="M21" s="18" t="s">
        <v>6637</v>
      </c>
      <c r="N21" s="16"/>
      <c r="O21" s="18" t="s">
        <v>6664</v>
      </c>
      <c r="P21" s="16"/>
      <c r="Q21" s="18" t="s">
        <v>6691</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72" priority="29" stopIfTrue="1">
      <formula>NOT(ISERROR(A3))</formula>
    </cfRule>
  </conditionalFormatting>
  <conditionalFormatting sqref="A3:B4 A5:T51">
    <cfRule type="notContainsBlanks" dxfId="171" priority="30">
      <formula>LEN(TRIM(A3))&gt;0</formula>
    </cfRule>
  </conditionalFormatting>
  <conditionalFormatting sqref="A3:T51">
    <cfRule type="containsErrors" dxfId="170" priority="1" stopIfTrue="1">
      <formula>ISERROR(A3)</formula>
    </cfRule>
  </conditionalFormatting>
  <conditionalFormatting sqref="C3:C51">
    <cfRule type="notContainsErrors" dxfId="169" priority="26" stopIfTrue="1">
      <formula>NOT(ISERROR(C3))</formula>
    </cfRule>
  </conditionalFormatting>
  <conditionalFormatting sqref="C3:D4">
    <cfRule type="notContainsBlanks" dxfId="168" priority="27">
      <formula>LEN(TRIM(C3))&gt;0</formula>
    </cfRule>
  </conditionalFormatting>
  <conditionalFormatting sqref="E3:E51">
    <cfRule type="notContainsErrors" dxfId="167" priority="23" stopIfTrue="1">
      <formula>NOT(ISERROR(E3))</formula>
    </cfRule>
  </conditionalFormatting>
  <conditionalFormatting sqref="E3:F4">
    <cfRule type="notContainsBlanks" dxfId="166" priority="24">
      <formula>LEN(TRIM(E3))&gt;0</formula>
    </cfRule>
  </conditionalFormatting>
  <conditionalFormatting sqref="G3:G51">
    <cfRule type="notContainsErrors" dxfId="165" priority="20" stopIfTrue="1">
      <formula>NOT(ISERROR(G3))</formula>
    </cfRule>
  </conditionalFormatting>
  <conditionalFormatting sqref="G3:H4">
    <cfRule type="notContainsBlanks" dxfId="164" priority="21">
      <formula>LEN(TRIM(G3))&gt;0</formula>
    </cfRule>
  </conditionalFormatting>
  <conditionalFormatting sqref="I3:I51">
    <cfRule type="notContainsErrors" dxfId="163" priority="17" stopIfTrue="1">
      <formula>NOT(ISERROR(I3))</formula>
    </cfRule>
  </conditionalFormatting>
  <conditionalFormatting sqref="I3:J4">
    <cfRule type="notContainsBlanks" dxfId="162" priority="18">
      <formula>LEN(TRIM(I3))&gt;0</formula>
    </cfRule>
  </conditionalFormatting>
  <conditionalFormatting sqref="K3:K51">
    <cfRule type="notContainsErrors" dxfId="161" priority="14" stopIfTrue="1">
      <formula>NOT(ISERROR(K3))</formula>
    </cfRule>
  </conditionalFormatting>
  <conditionalFormatting sqref="K3:L4">
    <cfRule type="notContainsBlanks" dxfId="160" priority="15">
      <formula>LEN(TRIM(K3))&gt;0</formula>
    </cfRule>
  </conditionalFormatting>
  <conditionalFormatting sqref="M3:M51">
    <cfRule type="notContainsErrors" dxfId="159" priority="11" stopIfTrue="1">
      <formula>NOT(ISERROR(M3))</formula>
    </cfRule>
  </conditionalFormatting>
  <conditionalFormatting sqref="M3:N4">
    <cfRule type="notContainsBlanks" dxfId="158" priority="12">
      <formula>LEN(TRIM(M3))&gt;0</formula>
    </cfRule>
  </conditionalFormatting>
  <conditionalFormatting sqref="O3:O51">
    <cfRule type="notContainsErrors" dxfId="157" priority="8" stopIfTrue="1">
      <formula>NOT(ISERROR(O3))</formula>
    </cfRule>
  </conditionalFormatting>
  <conditionalFormatting sqref="O3:P4">
    <cfRule type="notContainsBlanks" dxfId="156" priority="9">
      <formula>LEN(TRIM(O3))&gt;0</formula>
    </cfRule>
  </conditionalFormatting>
  <conditionalFormatting sqref="Q3:Q51">
    <cfRule type="notContainsErrors" dxfId="155" priority="5" stopIfTrue="1">
      <formula>NOT(ISERROR(Q3))</formula>
    </cfRule>
  </conditionalFormatting>
  <conditionalFormatting sqref="Q3:R4">
    <cfRule type="notContainsBlanks" dxfId="154" priority="6">
      <formula>LEN(TRIM(Q3))&gt;0</formula>
    </cfRule>
  </conditionalFormatting>
  <conditionalFormatting sqref="S3:S51">
    <cfRule type="notContainsErrors" dxfId="153" priority="2" stopIfTrue="1">
      <formula>NOT(ISERROR(S3))</formula>
    </cfRule>
  </conditionalFormatting>
  <conditionalFormatting sqref="S3:T4">
    <cfRule type="notContainsBlanks" dxfId="152"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6543</v>
      </c>
      <c r="B3" s="16" t="str">
        <f>TRIM(_xlfn.TEXTBEFORE(A3, ":"))</f>
        <v>Item Class</v>
      </c>
      <c r="C3" s="17" t="s">
        <v>6611</v>
      </c>
      <c r="D3" s="16" t="str">
        <f>TRIM(_xlfn.TEXTBEFORE(C3, ":"))</f>
        <v>Gegenstandsklasse</v>
      </c>
      <c r="E3" s="17" t="s">
        <v>6717</v>
      </c>
      <c r="F3" s="16" t="str">
        <f>TRIM(_xlfn.TEXTBEFORE(E3, ":"))</f>
        <v>Clase de objeto</v>
      </c>
      <c r="G3" s="17" t="s">
        <v>6568</v>
      </c>
      <c r="H3" s="16" t="str">
        <f>TRIM(_xlfn.TEXTBEFORE(G3, ":"))</f>
        <v>Classe d'objet</v>
      </c>
      <c r="I3" s="17" t="s">
        <v>6771</v>
      </c>
      <c r="J3" s="16" t="str">
        <f>TRIM(_xlfn.TEXTBEFORE(I3, ":"))</f>
        <v>アイテムクラス</v>
      </c>
      <c r="K3" s="17" t="s">
        <v>6744</v>
      </c>
      <c r="L3" s="16" t="str">
        <f>TRIM(_xlfn.TEXTBEFORE(K3, ":"))</f>
        <v>아이템 종류</v>
      </c>
      <c r="M3" s="17" t="s">
        <v>6638</v>
      </c>
      <c r="N3" s="16" t="str">
        <f>TRIM(_xlfn.TEXTBEFORE(M3, ":"))</f>
        <v>Classe do Item</v>
      </c>
      <c r="O3" s="17" t="s">
        <v>6665</v>
      </c>
      <c r="P3" s="16" t="str">
        <f>TRIM(_xlfn.TEXTBEFORE(O3, ":"))</f>
        <v>Класс предмета</v>
      </c>
      <c r="Q3" s="17" t="s">
        <v>6692</v>
      </c>
      <c r="R3" s="16" t="str">
        <f>TRIM(_xlfn.TEXTBEFORE(Q3, ":"))</f>
        <v>ชนิดไอเทม</v>
      </c>
      <c r="S3" s="17" t="s">
        <v>6533</v>
      </c>
      <c r="T3" s="20" t="str">
        <f>TRIM(_xlfn.TEXTBEFORE(S3, ":"))</f>
        <v/>
      </c>
    </row>
    <row r="4" spans="1:20" ht="15.95" customHeight="1" x14ac:dyDescent="0.25">
      <c r="A4" s="18" t="s">
        <v>81</v>
      </c>
      <c r="B4" s="16" t="str">
        <f>TRIM(_xlfn.TEXTAFTER(A3, ":"))</f>
        <v>Relics</v>
      </c>
      <c r="C4" s="18" t="s">
        <v>1644</v>
      </c>
      <c r="D4" s="16" t="str">
        <f>TRIM(_xlfn.TEXTAFTER(C3, ":"))</f>
        <v>Relikte</v>
      </c>
      <c r="E4" s="18" t="s">
        <v>2364</v>
      </c>
      <c r="F4" s="16" t="str">
        <f>TRIM(_xlfn.TEXTAFTER(E3, ":"))</f>
        <v>Reliquias</v>
      </c>
      <c r="G4" s="18" t="s">
        <v>1</v>
      </c>
      <c r="H4" s="16" t="str">
        <f>TRIM(_xlfn.TEXTAFTER(G3, ":"))</f>
        <v>Reliques</v>
      </c>
      <c r="I4" s="18" t="s">
        <v>3079</v>
      </c>
      <c r="J4" s="16" t="str">
        <f>TRIM(_xlfn.TEXTAFTER(I3, ":"))</f>
        <v>レリック</v>
      </c>
      <c r="K4" s="18" t="s">
        <v>3829</v>
      </c>
      <c r="L4" s="16" t="str">
        <f>TRIM(_xlfn.TEXTAFTER(K3, ":"))</f>
        <v>유물</v>
      </c>
      <c r="M4" s="18" t="s">
        <v>4558</v>
      </c>
      <c r="N4" s="16" t="str">
        <f>TRIM(_xlfn.TEXTAFTER(M3, ":"))</f>
        <v>Relíquias</v>
      </c>
      <c r="O4" s="18" t="s">
        <v>5241</v>
      </c>
      <c r="P4" s="16" t="str">
        <f>TRIM(_xlfn.TEXTAFTER(O3, ":"))</f>
        <v>Реликвии</v>
      </c>
      <c r="Q4" s="18" t="s">
        <v>5978</v>
      </c>
      <c r="R4" s="16" t="str">
        <f>TRIM(_xlfn.TEXTAFTER(Q3, ":"))</f>
        <v>วัตถุตกทอด</v>
      </c>
      <c r="S4" s="18" t="s">
        <v>6533</v>
      </c>
      <c r="T4" s="20" t="str">
        <f>TRIM(_xlfn.TEXTAFTER(S3, ":"))</f>
        <v/>
      </c>
    </row>
    <row r="5" spans="1:20" ht="15.95" customHeight="1" x14ac:dyDescent="0.25">
      <c r="A5" s="18" t="s">
        <v>6544</v>
      </c>
      <c r="B5" s="16" t="str">
        <f>TRIM(_xlfn.TEXTBEFORE(A4, ":"))</f>
        <v>Rarity</v>
      </c>
      <c r="C5" s="18" t="s">
        <v>6612</v>
      </c>
      <c r="D5" s="16" t="str">
        <f>TRIM(_xlfn.TEXTBEFORE(C4, ":"))</f>
        <v>Seltenheit</v>
      </c>
      <c r="E5" s="18" t="s">
        <v>6718</v>
      </c>
      <c r="F5" s="16" t="str">
        <f>TRIM(_xlfn.TEXTBEFORE(E4, ":"))</f>
        <v>Rareza</v>
      </c>
      <c r="G5" s="18" t="s">
        <v>6569</v>
      </c>
      <c r="H5" s="16" t="str">
        <f>TRIM(_xlfn.TEXTBEFORE(G4, ":"))</f>
        <v>Rareté</v>
      </c>
      <c r="I5" s="18" t="s">
        <v>6772</v>
      </c>
      <c r="J5" s="16" t="str">
        <f>TRIM(_xlfn.TEXTBEFORE(I4, ":"))</f>
        <v>レアリティ</v>
      </c>
      <c r="K5" s="18" t="s">
        <v>6745</v>
      </c>
      <c r="L5" s="16" t="str">
        <f>TRIM(_xlfn.TEXTBEFORE(K4, ":"))</f>
        <v>아이템 희귀도</v>
      </c>
      <c r="M5" s="18" t="s">
        <v>6639</v>
      </c>
      <c r="N5" s="16" t="str">
        <f>TRIM(_xlfn.TEXTBEFORE(M4, ":"))</f>
        <v>Raridade</v>
      </c>
      <c r="O5" s="18" t="s">
        <v>6666</v>
      </c>
      <c r="P5" s="16" t="str">
        <f>TRIM(_xlfn.TEXTBEFORE(O4, ":"))</f>
        <v>Редкость</v>
      </c>
      <c r="Q5" s="18" t="s">
        <v>6544</v>
      </c>
      <c r="R5" s="16" t="str">
        <f>TRIM(_xlfn.TEXTBEFORE(Q4, ":"))</f>
        <v>ความหายาก</v>
      </c>
      <c r="S5" s="18"/>
      <c r="T5" s="20" t="str">
        <f>TRIM(_xlfn.TEXTBEFORE(S4, ":"))</f>
        <v/>
      </c>
    </row>
    <row r="6" spans="1:20" ht="15.95" customHeight="1" x14ac:dyDescent="0.25">
      <c r="A6" s="18" t="s">
        <v>6545</v>
      </c>
      <c r="B6" s="16" t="str">
        <f>TRIM(_xlfn.TEXTAFTER(A4,":"))</f>
        <v>Unique</v>
      </c>
      <c r="C6" s="18" t="s">
        <v>6613</v>
      </c>
      <c r="D6" s="16" t="str">
        <f>TRIM(_xlfn.TEXTAFTER(C4,":"))</f>
        <v>Einzigartig</v>
      </c>
      <c r="E6" s="18" t="s">
        <v>6719</v>
      </c>
      <c r="F6" s="16" t="str">
        <f>TRIM(_xlfn.TEXTAFTER(E4,":"))</f>
        <v>Único</v>
      </c>
      <c r="G6" s="18" t="s">
        <v>6570</v>
      </c>
      <c r="H6" s="16" t="str">
        <f>TRIM(_xlfn.TEXTAFTER(G4,":"))</f>
        <v>Unique</v>
      </c>
      <c r="I6" s="18" t="s">
        <v>6773</v>
      </c>
      <c r="J6" s="16" t="str">
        <f>TRIM(_xlfn.TEXTAFTER(I4,":"))</f>
        <v>ユニーク</v>
      </c>
      <c r="K6" s="18" t="s">
        <v>6746</v>
      </c>
      <c r="L6" s="16" t="str">
        <f>TRIM(_xlfn.TEXTAFTER(K4,":"))</f>
        <v>고유</v>
      </c>
      <c r="M6" s="18" t="s">
        <v>6640</v>
      </c>
      <c r="N6" s="16" t="str">
        <f>TRIM(_xlfn.TEXTAFTER(M4,":"))</f>
        <v>Único</v>
      </c>
      <c r="O6" s="18" t="s">
        <v>6667</v>
      </c>
      <c r="P6" s="16" t="str">
        <f>TRIM(_xlfn.TEXTAFTER(O4,":"))</f>
        <v>Уникальный</v>
      </c>
      <c r="Q6" s="18" t="s">
        <v>6693</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421</v>
      </c>
      <c r="B8" s="16"/>
      <c r="C8" s="18" t="s">
        <v>1791</v>
      </c>
      <c r="D8" s="16"/>
      <c r="E8" s="18" t="s">
        <v>2510</v>
      </c>
      <c r="F8" s="16"/>
      <c r="G8" s="18" t="s">
        <v>7</v>
      </c>
      <c r="H8" s="16"/>
      <c r="I8" s="18" t="s">
        <v>3230</v>
      </c>
      <c r="J8" s="16"/>
      <c r="K8" s="18" t="s">
        <v>3976</v>
      </c>
      <c r="L8" s="16"/>
      <c r="M8" s="18" t="s">
        <v>4703</v>
      </c>
      <c r="N8" s="16"/>
      <c r="O8" s="18" t="s">
        <v>5390</v>
      </c>
      <c r="P8" s="16"/>
      <c r="Q8" s="18" t="s">
        <v>6113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6546</v>
      </c>
      <c r="B10" s="16"/>
      <c r="C10" s="18" t="s">
        <v>6614</v>
      </c>
      <c r="D10" s="16"/>
      <c r="E10" s="18" t="s">
        <v>6720</v>
      </c>
      <c r="F10" s="16"/>
      <c r="G10" s="18" t="s">
        <v>6571</v>
      </c>
      <c r="H10" s="16"/>
      <c r="I10" s="18" t="s">
        <v>6774</v>
      </c>
      <c r="J10" s="16"/>
      <c r="K10" s="18" t="s">
        <v>6747</v>
      </c>
      <c r="L10" s="16"/>
      <c r="M10" s="18" t="s">
        <v>6641</v>
      </c>
      <c r="N10" s="16"/>
      <c r="O10" s="18" t="s">
        <v>6668</v>
      </c>
      <c r="P10" s="16"/>
      <c r="Q10" s="18" t="s">
        <v>6694</v>
      </c>
      <c r="R10" s="16"/>
      <c r="S10" s="18"/>
      <c r="T10" s="20"/>
    </row>
    <row r="11" spans="1:20" ht="15.95" customHeight="1" x14ac:dyDescent="0.25">
      <c r="A11" s="18" t="s">
        <v>6547</v>
      </c>
      <c r="B11" s="16"/>
      <c r="C11" s="18" t="s">
        <v>6615</v>
      </c>
      <c r="D11" s="16"/>
      <c r="E11" s="18" t="s">
        <v>6721</v>
      </c>
      <c r="F11" s="16"/>
      <c r="G11" s="18" t="s">
        <v>6572</v>
      </c>
      <c r="H11" s="16"/>
      <c r="I11" s="18" t="s">
        <v>6775</v>
      </c>
      <c r="J11" s="16"/>
      <c r="K11" s="18" t="s">
        <v>6748</v>
      </c>
      <c r="L11" s="16"/>
      <c r="M11" s="18" t="s">
        <v>6642</v>
      </c>
      <c r="N11" s="16"/>
      <c r="O11" s="18" t="s">
        <v>6669</v>
      </c>
      <c r="P11" s="16"/>
      <c r="Q11" s="18" t="s">
        <v>6695</v>
      </c>
      <c r="R11" s="16"/>
      <c r="S11" s="18"/>
      <c r="T11" s="20"/>
    </row>
    <row r="12" spans="1:20" ht="15.95" customHeight="1" x14ac:dyDescent="0.25">
      <c r="A12" s="18" t="s">
        <v>6548</v>
      </c>
      <c r="B12" s="16"/>
      <c r="C12" s="18" t="s">
        <v>6616</v>
      </c>
      <c r="D12" s="16"/>
      <c r="E12" s="18" t="s">
        <v>6722</v>
      </c>
      <c r="F12" s="16"/>
      <c r="G12" s="18" t="s">
        <v>6573</v>
      </c>
      <c r="H12" s="16"/>
      <c r="I12" s="18" t="s">
        <v>6776</v>
      </c>
      <c r="J12" s="16"/>
      <c r="K12" s="18" t="s">
        <v>6749</v>
      </c>
      <c r="L12" s="16"/>
      <c r="M12" s="18" t="s">
        <v>6643</v>
      </c>
      <c r="N12" s="16"/>
      <c r="O12" s="18" t="s">
        <v>6670</v>
      </c>
      <c r="P12" s="16"/>
      <c r="Q12" s="18" t="s">
        <v>6696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6549</v>
      </c>
      <c r="B14" s="16"/>
      <c r="C14" s="18" t="s">
        <v>6617</v>
      </c>
      <c r="D14" s="16"/>
      <c r="E14" s="18" t="s">
        <v>6723</v>
      </c>
      <c r="F14" s="16"/>
      <c r="G14" s="18" t="s">
        <v>6574</v>
      </c>
      <c r="H14" s="16"/>
      <c r="I14" s="18" t="s">
        <v>6777</v>
      </c>
      <c r="J14" s="16"/>
      <c r="K14" s="18" t="s">
        <v>6750</v>
      </c>
      <c r="L14" s="16"/>
      <c r="M14" s="18" t="s">
        <v>6644</v>
      </c>
      <c r="N14" s="16"/>
      <c r="O14" s="18" t="s">
        <v>6671</v>
      </c>
      <c r="P14" s="16"/>
      <c r="Q14" s="18" t="s">
        <v>6697</v>
      </c>
      <c r="R14" s="16"/>
      <c r="S14" s="18"/>
      <c r="T14" s="20"/>
    </row>
    <row r="15" spans="1:20" ht="15.95" customHeight="1" x14ac:dyDescent="0.25">
      <c r="A15" s="18" t="s">
        <v>4</v>
      </c>
      <c r="B15" s="16"/>
      <c r="C15" s="18" t="s">
        <v>4</v>
      </c>
      <c r="D15" s="16"/>
      <c r="E15" s="18" t="s">
        <v>4</v>
      </c>
      <c r="F15" s="16"/>
      <c r="G15" s="18" t="s">
        <v>6575</v>
      </c>
      <c r="H15" s="16"/>
      <c r="I15" s="18" t="s">
        <v>4</v>
      </c>
      <c r="J15" s="16"/>
      <c r="K15" s="18" t="s">
        <v>4</v>
      </c>
      <c r="L15" s="16"/>
      <c r="M15" s="18" t="s">
        <v>4</v>
      </c>
      <c r="N15" s="16"/>
      <c r="O15" s="18" t="s">
        <v>4</v>
      </c>
      <c r="P15" s="16"/>
      <c r="Q15" s="18" t="s">
        <v>4</v>
      </c>
      <c r="R15" s="16"/>
      <c r="S15" s="18"/>
      <c r="T15" s="20"/>
    </row>
    <row r="16" spans="1:20" ht="15.95" customHeight="1" x14ac:dyDescent="0.25">
      <c r="A16" s="18" t="s">
        <v>6550</v>
      </c>
      <c r="B16" s="16"/>
      <c r="C16" s="18" t="s">
        <v>6618</v>
      </c>
      <c r="D16" s="16"/>
      <c r="E16" s="18" t="s">
        <v>6724</v>
      </c>
      <c r="F16" s="16"/>
      <c r="G16" s="18" t="s">
        <v>6576</v>
      </c>
      <c r="H16" s="16"/>
      <c r="I16" s="18" t="s">
        <v>6778</v>
      </c>
      <c r="J16" s="16"/>
      <c r="K16" s="18" t="s">
        <v>6751</v>
      </c>
      <c r="L16" s="16"/>
      <c r="M16" s="18" t="s">
        <v>6645</v>
      </c>
      <c r="N16" s="16"/>
      <c r="O16" s="18" t="s">
        <v>6672</v>
      </c>
      <c r="P16" s="16"/>
      <c r="Q16" s="18" t="s">
        <v>6698</v>
      </c>
      <c r="R16" s="16"/>
      <c r="S16" s="18"/>
      <c r="T16" s="20"/>
    </row>
    <row r="17" spans="1:20" ht="15.95" customHeight="1" x14ac:dyDescent="0.25">
      <c r="A17" s="18" t="s">
        <v>4</v>
      </c>
      <c r="B17" s="16"/>
      <c r="C17" s="18" t="s">
        <v>4</v>
      </c>
      <c r="D17" s="16"/>
      <c r="E17" s="18" t="s">
        <v>4</v>
      </c>
      <c r="F17" s="16"/>
      <c r="G17" s="18" t="s">
        <v>6577</v>
      </c>
      <c r="H17" s="16"/>
      <c r="I17" s="18" t="s">
        <v>4</v>
      </c>
      <c r="J17" s="16"/>
      <c r="K17" s="18" t="s">
        <v>4</v>
      </c>
      <c r="L17" s="16"/>
      <c r="M17" s="18" t="s">
        <v>4</v>
      </c>
      <c r="N17" s="16"/>
      <c r="O17" s="18" t="s">
        <v>4</v>
      </c>
      <c r="P17" s="16"/>
      <c r="Q17" s="18" t="s">
        <v>4</v>
      </c>
      <c r="R17" s="16"/>
      <c r="S17" s="18"/>
      <c r="T17" s="20"/>
    </row>
    <row r="18" spans="1:20" ht="15.95" customHeight="1" x14ac:dyDescent="0.25">
      <c r="A18" s="18" t="s">
        <v>767</v>
      </c>
      <c r="B18" s="16"/>
      <c r="C18" s="18" t="s">
        <v>1728</v>
      </c>
      <c r="D18" s="16"/>
      <c r="E18" s="18" t="s">
        <v>2447</v>
      </c>
      <c r="F18" s="16"/>
      <c r="G18" s="18" t="s">
        <v>4</v>
      </c>
      <c r="H18" s="16"/>
      <c r="I18" s="18" t="s">
        <v>3165</v>
      </c>
      <c r="J18" s="16"/>
      <c r="K18" s="18" t="s">
        <v>3912</v>
      </c>
      <c r="L18" s="16"/>
      <c r="M18" s="18" t="s">
        <v>4641</v>
      </c>
      <c r="N18" s="16"/>
      <c r="O18" s="18" t="s">
        <v>5326</v>
      </c>
      <c r="P18" s="16"/>
      <c r="Q18" s="18" t="s">
        <v>6058</v>
      </c>
      <c r="R18" s="16"/>
      <c r="S18" s="18"/>
      <c r="T18" s="20"/>
    </row>
    <row r="19" spans="1:20" ht="15.95" customHeight="1" x14ac:dyDescent="0.25">
      <c r="A19" s="18"/>
      <c r="B19" s="16"/>
      <c r="C19" s="18"/>
      <c r="D19" s="16"/>
      <c r="E19" s="18"/>
      <c r="F19" s="16"/>
      <c r="G19" s="18" t="s">
        <v>6578</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996</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1" priority="2" stopIfTrue="1">
      <formula>NOT(ISERROR(A3))</formula>
    </cfRule>
  </conditionalFormatting>
  <conditionalFormatting sqref="A3:T51">
    <cfRule type="containsErrors" dxfId="150" priority="1" stopIfTrue="1">
      <formula>ISERROR(A3)</formula>
    </cfRule>
    <cfRule type="notContainsBlanks" dxfId="149"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6531</v>
      </c>
      <c r="B3" s="16" t="str">
        <f>TRIM(_xlfn.TEXTBEFORE(A3, ":"))</f>
        <v>Item Class</v>
      </c>
      <c r="C3" s="17" t="s">
        <v>6619</v>
      </c>
      <c r="D3" s="16" t="str">
        <f>TRIM(_xlfn.TEXTBEFORE(C3, ":"))</f>
        <v>Gegenstandsklasse</v>
      </c>
      <c r="E3" s="17" t="s">
        <v>6725</v>
      </c>
      <c r="F3" s="16" t="str">
        <f>TRIM(_xlfn.TEXTBEFORE(E3, ":"))</f>
        <v>Clase de objeto</v>
      </c>
      <c r="G3" s="17" t="s">
        <v>6579</v>
      </c>
      <c r="H3" s="16" t="str">
        <f>TRIM(_xlfn.TEXTBEFORE(G3, ":"))</f>
        <v>Classe d'objet</v>
      </c>
      <c r="I3" s="17" t="s">
        <v>6779</v>
      </c>
      <c r="J3" s="16" t="str">
        <f>TRIM(_xlfn.TEXTBEFORE(I3, ":"))</f>
        <v>アイテムクラス</v>
      </c>
      <c r="K3" s="17" t="s">
        <v>6752</v>
      </c>
      <c r="L3" s="16" t="str">
        <f>TRIM(_xlfn.TEXTBEFORE(K3, ":"))</f>
        <v>아이템 종류</v>
      </c>
      <c r="M3" s="17" t="s">
        <v>6646</v>
      </c>
      <c r="N3" s="16" t="str">
        <f>TRIM(_xlfn.TEXTBEFORE(M3, ":"))</f>
        <v>Classe do Item</v>
      </c>
      <c r="O3" s="17" t="s">
        <v>6673</v>
      </c>
      <c r="P3" s="16" t="str">
        <f>TRIM(_xlfn.TEXTBEFORE(O3, ":"))</f>
        <v>Класс предмета</v>
      </c>
      <c r="Q3" s="17" t="s">
        <v>6699</v>
      </c>
      <c r="R3" s="16" t="str">
        <f>TRIM(_xlfn.TEXTBEFORE(Q3, ":"))</f>
        <v>ชนิดไอเทม</v>
      </c>
      <c r="S3" s="17" t="s">
        <v>6533</v>
      </c>
      <c r="T3" s="20" t="str">
        <f>TRIM(_xlfn.TEXTBEFORE(S3, ":"))</f>
        <v/>
      </c>
    </row>
    <row r="4" spans="1:20" ht="15.95" customHeight="1" x14ac:dyDescent="0.25">
      <c r="A4" s="18" t="s">
        <v>554</v>
      </c>
      <c r="B4" s="16" t="str">
        <f>TRIM(_xlfn.TEXTAFTER(A3, ":"))</f>
        <v>Corpses</v>
      </c>
      <c r="C4" s="18" t="s">
        <v>1626</v>
      </c>
      <c r="D4" s="16" t="str">
        <f>TRIM(_xlfn.TEXTAFTER(C3, ":"))</f>
        <v>Leichen</v>
      </c>
      <c r="E4" s="18" t="s">
        <v>2294</v>
      </c>
      <c r="F4" s="16" t="str">
        <f>TRIM(_xlfn.TEXTAFTER(E3, ":"))</f>
        <v>Cadáveres</v>
      </c>
      <c r="G4" s="18" t="s">
        <v>849</v>
      </c>
      <c r="H4" s="16" t="str">
        <f>TRIM(_xlfn.TEXTAFTER(G3, ":"))</f>
        <v>Cadavres</v>
      </c>
      <c r="I4" s="18" t="s">
        <v>3062</v>
      </c>
      <c r="J4" s="16" t="str">
        <f>TRIM(_xlfn.TEXTAFTER(I3, ":"))</f>
        <v>死体</v>
      </c>
      <c r="K4" s="18" t="s">
        <v>3756</v>
      </c>
      <c r="L4" s="16" t="str">
        <f>TRIM(_xlfn.TEXTAFTER(K3, ":"))</f>
        <v>시신</v>
      </c>
      <c r="M4" s="18" t="s">
        <v>4540</v>
      </c>
      <c r="N4" s="16" t="str">
        <f>TRIM(_xlfn.TEXTAFTER(M3, ":"))</f>
        <v>Patuá</v>
      </c>
      <c r="O4" s="18" t="s">
        <v>5224</v>
      </c>
      <c r="P4" s="16" t="str">
        <f>TRIM(_xlfn.TEXTAFTER(O3, ":"))</f>
        <v>Трупы</v>
      </c>
      <c r="Q4" s="18" t="s">
        <v>5912</v>
      </c>
      <c r="R4" s="16" t="str">
        <f>TRIM(_xlfn.TEXTAFTER(Q3, ":"))</f>
        <v>ศพ</v>
      </c>
      <c r="S4" s="18" t="s">
        <v>6533</v>
      </c>
      <c r="T4" s="20" t="str">
        <f>TRIM(_xlfn.TEXTAFTER(S3, ":"))</f>
        <v/>
      </c>
    </row>
    <row r="5" spans="1:20" ht="15.95" customHeight="1" x14ac:dyDescent="0.25">
      <c r="A5" s="18" t="s">
        <v>6551</v>
      </c>
      <c r="B5" s="16" t="str">
        <f>TRIM(_xlfn.TEXTBEFORE(A4, ":"))</f>
        <v>Rarity</v>
      </c>
      <c r="C5" s="18" t="s">
        <v>6620</v>
      </c>
      <c r="D5" s="16" t="str">
        <f>TRIM(_xlfn.TEXTBEFORE(C4, ":"))</f>
        <v>Seltenheit</v>
      </c>
      <c r="E5" s="18" t="s">
        <v>6726</v>
      </c>
      <c r="F5" s="16" t="str">
        <f>TRIM(_xlfn.TEXTBEFORE(E4, ":"))</f>
        <v>Rareza</v>
      </c>
      <c r="G5" s="18" t="s">
        <v>6580</v>
      </c>
      <c r="H5" s="16" t="str">
        <f>TRIM(_xlfn.TEXTBEFORE(G4, ":"))</f>
        <v>Rareté</v>
      </c>
      <c r="I5" s="18" t="s">
        <v>6780</v>
      </c>
      <c r="J5" s="16" t="str">
        <f>TRIM(_xlfn.TEXTBEFORE(I4, ":"))</f>
        <v>レアリティ</v>
      </c>
      <c r="K5" s="18" t="s">
        <v>6753</v>
      </c>
      <c r="L5" s="16" t="str">
        <f>TRIM(_xlfn.TEXTBEFORE(K4, ":"))</f>
        <v>아이템 희귀도</v>
      </c>
      <c r="M5" s="18" t="s">
        <v>6647</v>
      </c>
      <c r="N5" s="16" t="str">
        <f>TRIM(_xlfn.TEXTBEFORE(M4, ":"))</f>
        <v>Raridade</v>
      </c>
      <c r="O5" s="18" t="s">
        <v>6674</v>
      </c>
      <c r="P5" s="16" t="str">
        <f>TRIM(_xlfn.TEXTBEFORE(O4, ":"))</f>
        <v>Редкость</v>
      </c>
      <c r="Q5" s="18" t="s">
        <v>6551</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6552</v>
      </c>
      <c r="B7" s="16"/>
      <c r="C7" s="18" t="s">
        <v>6621</v>
      </c>
      <c r="D7" s="16"/>
      <c r="E7" s="18" t="s">
        <v>6727</v>
      </c>
      <c r="F7" s="16"/>
      <c r="G7" s="18" t="s">
        <v>6581</v>
      </c>
      <c r="H7" s="16"/>
      <c r="I7" s="18" t="s">
        <v>6781</v>
      </c>
      <c r="J7" s="16"/>
      <c r="K7" s="18" t="s">
        <v>6754</v>
      </c>
      <c r="L7" s="16"/>
      <c r="M7" s="18" t="s">
        <v>6648</v>
      </c>
      <c r="N7" s="16"/>
      <c r="O7" s="18" t="s">
        <v>6675</v>
      </c>
      <c r="P7" s="16"/>
      <c r="Q7" s="18" t="s">
        <v>6700</v>
      </c>
      <c r="R7" s="16"/>
      <c r="S7" s="18"/>
      <c r="T7" s="20"/>
    </row>
    <row r="8" spans="1:20" ht="15.95" customHeight="1" x14ac:dyDescent="0.25">
      <c r="A8" s="18" t="s">
        <v>6553</v>
      </c>
      <c r="B8" s="16"/>
      <c r="C8" s="18" t="s">
        <v>6622</v>
      </c>
      <c r="D8" s="16"/>
      <c r="E8" s="18" t="s">
        <v>6728</v>
      </c>
      <c r="F8" s="16"/>
      <c r="G8" s="18" t="s">
        <v>6582</v>
      </c>
      <c r="H8" s="16"/>
      <c r="I8" s="18" t="s">
        <v>6782</v>
      </c>
      <c r="J8" s="16"/>
      <c r="K8" s="18" t="s">
        <v>6755</v>
      </c>
      <c r="L8" s="16"/>
      <c r="M8" s="18" t="s">
        <v>6649</v>
      </c>
      <c r="N8" s="16"/>
      <c r="O8" s="18" t="s">
        <v>6676</v>
      </c>
      <c r="P8" s="16"/>
      <c r="Q8" s="18" t="s">
        <v>6701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255</v>
      </c>
      <c r="B10" s="16"/>
      <c r="C10" s="18" t="s">
        <v>1731</v>
      </c>
      <c r="D10" s="16"/>
      <c r="E10" s="18" t="s">
        <v>2450</v>
      </c>
      <c r="F10" s="16"/>
      <c r="G10" s="18" t="s">
        <v>999</v>
      </c>
      <c r="H10" s="16"/>
      <c r="I10" s="18" t="s">
        <v>3168</v>
      </c>
      <c r="J10" s="16"/>
      <c r="K10" s="18" t="s">
        <v>3915</v>
      </c>
      <c r="L10" s="16"/>
      <c r="M10" s="18" t="s">
        <v>4644</v>
      </c>
      <c r="N10" s="16"/>
      <c r="O10" s="18" t="s">
        <v>5329</v>
      </c>
      <c r="P10" s="16"/>
      <c r="Q10" s="18" t="s">
        <v>6061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6554</v>
      </c>
      <c r="B12" s="16"/>
      <c r="C12" s="18" t="s">
        <v>6623</v>
      </c>
      <c r="D12" s="16"/>
      <c r="E12" s="18" t="s">
        <v>6729</v>
      </c>
      <c r="F12" s="16"/>
      <c r="G12" s="18" t="s">
        <v>6583</v>
      </c>
      <c r="H12" s="16"/>
      <c r="I12" s="18" t="s">
        <v>6783</v>
      </c>
      <c r="J12" s="16"/>
      <c r="K12" s="18" t="s">
        <v>6756</v>
      </c>
      <c r="L12" s="16"/>
      <c r="M12" s="18" t="s">
        <v>6650</v>
      </c>
      <c r="N12" s="16"/>
      <c r="O12" s="18" t="s">
        <v>6677</v>
      </c>
      <c r="P12" s="16"/>
      <c r="Q12" s="18" t="s">
        <v>6702</v>
      </c>
      <c r="R12" s="16"/>
      <c r="S12" s="18"/>
      <c r="T12" s="20"/>
    </row>
    <row r="13" spans="1:20" ht="15.95" customHeight="1" x14ac:dyDescent="0.25">
      <c r="A13" s="18" t="s">
        <v>6555</v>
      </c>
      <c r="B13" s="16"/>
      <c r="C13" s="18" t="s">
        <v>6624</v>
      </c>
      <c r="D13" s="16"/>
      <c r="E13" s="18" t="s">
        <v>6730</v>
      </c>
      <c r="F13" s="16"/>
      <c r="G13" s="18" t="s">
        <v>6584</v>
      </c>
      <c r="H13" s="16"/>
      <c r="I13" s="18" t="s">
        <v>6784</v>
      </c>
      <c r="J13" s="16"/>
      <c r="K13" s="18" t="s">
        <v>6757</v>
      </c>
      <c r="L13" s="16"/>
      <c r="M13" s="18" t="s">
        <v>6651</v>
      </c>
      <c r="N13" s="16"/>
      <c r="O13" s="18" t="s">
        <v>6678</v>
      </c>
      <c r="P13" s="16"/>
      <c r="Q13" s="18" t="s">
        <v>6703</v>
      </c>
      <c r="R13" s="16"/>
      <c r="S13" s="18"/>
      <c r="T13" s="20"/>
    </row>
    <row r="14" spans="1:20" ht="15.95" customHeight="1" x14ac:dyDescent="0.25">
      <c r="A14" s="18" t="s">
        <v>6556</v>
      </c>
      <c r="B14" s="16"/>
      <c r="C14" s="18" t="s">
        <v>6625</v>
      </c>
      <c r="D14" s="16"/>
      <c r="E14" s="18" t="s">
        <v>6731</v>
      </c>
      <c r="F14" s="16"/>
      <c r="G14" s="18" t="s">
        <v>6585</v>
      </c>
      <c r="H14" s="16"/>
      <c r="I14" s="18" t="s">
        <v>6785</v>
      </c>
      <c r="J14" s="16"/>
      <c r="K14" s="18" t="s">
        <v>6758</v>
      </c>
      <c r="L14" s="16"/>
      <c r="M14" s="18" t="s">
        <v>6652</v>
      </c>
      <c r="N14" s="16"/>
      <c r="O14" s="18" t="s">
        <v>6679</v>
      </c>
      <c r="P14" s="16"/>
      <c r="Q14" s="18" t="s">
        <v>6704</v>
      </c>
      <c r="R14" s="16"/>
      <c r="S14" s="18"/>
      <c r="T14" s="20"/>
    </row>
    <row r="15" spans="1:20" ht="15.95" customHeight="1" x14ac:dyDescent="0.25">
      <c r="A15" s="18" t="s">
        <v>6557</v>
      </c>
      <c r="B15" s="16"/>
      <c r="C15" s="18" t="s">
        <v>6626</v>
      </c>
      <c r="D15" s="16"/>
      <c r="E15" s="18" t="s">
        <v>6732</v>
      </c>
      <c r="F15" s="16"/>
      <c r="G15" s="18" t="s">
        <v>6586</v>
      </c>
      <c r="H15" s="16"/>
      <c r="I15" s="18" t="s">
        <v>6786</v>
      </c>
      <c r="J15" s="16"/>
      <c r="K15" s="18" t="s">
        <v>6759</v>
      </c>
      <c r="L15" s="16"/>
      <c r="M15" s="18" t="s">
        <v>6653</v>
      </c>
      <c r="N15" s="16"/>
      <c r="O15" s="18" t="s">
        <v>6680</v>
      </c>
      <c r="P15" s="16"/>
      <c r="Q15" s="18" t="s">
        <v>6705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6532</v>
      </c>
      <c r="B17" s="16"/>
      <c r="C17" s="18" t="s">
        <v>6627</v>
      </c>
      <c r="D17" s="16"/>
      <c r="E17" s="18" t="s">
        <v>6733</v>
      </c>
      <c r="F17" s="16"/>
      <c r="G17" s="18" t="s">
        <v>6587</v>
      </c>
      <c r="H17" s="16"/>
      <c r="I17" s="18" t="s">
        <v>6787</v>
      </c>
      <c r="J17" s="16"/>
      <c r="K17" s="18" t="s">
        <v>6760</v>
      </c>
      <c r="L17" s="16"/>
      <c r="M17" s="18" t="s">
        <v>6654</v>
      </c>
      <c r="N17" s="16"/>
      <c r="O17" s="18" t="s">
        <v>6681</v>
      </c>
      <c r="P17" s="16"/>
      <c r="Q17" s="18" t="s">
        <v>6706</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48" priority="29" stopIfTrue="1">
      <formula>NOT(ISERROR(A3))</formula>
    </cfRule>
  </conditionalFormatting>
  <conditionalFormatting sqref="A3:B4 A5:T51">
    <cfRule type="notContainsBlanks" dxfId="147" priority="30">
      <formula>LEN(TRIM(A3))&gt;0</formula>
    </cfRule>
  </conditionalFormatting>
  <conditionalFormatting sqref="A3:T51">
    <cfRule type="containsErrors" dxfId="146" priority="1" stopIfTrue="1">
      <formula>ISERROR(A3)</formula>
    </cfRule>
  </conditionalFormatting>
  <conditionalFormatting sqref="C3:C4">
    <cfRule type="notContainsBlanks" dxfId="145" priority="3">
      <formula>LEN(TRIM(C3))&gt;0</formula>
    </cfRule>
  </conditionalFormatting>
  <conditionalFormatting sqref="C3:C51">
    <cfRule type="notContainsErrors" dxfId="144" priority="2" stopIfTrue="1">
      <formula>NOT(ISERROR(C3))</formula>
    </cfRule>
  </conditionalFormatting>
  <conditionalFormatting sqref="D3:E4">
    <cfRule type="notContainsBlanks" dxfId="143" priority="6">
      <formula>LEN(TRIM(D3))&gt;0</formula>
    </cfRule>
  </conditionalFormatting>
  <conditionalFormatting sqref="E3:E51">
    <cfRule type="notContainsErrors" dxfId="142" priority="5" stopIfTrue="1">
      <formula>NOT(ISERROR(E3))</formula>
    </cfRule>
  </conditionalFormatting>
  <conditionalFormatting sqref="F3:G4">
    <cfRule type="notContainsBlanks" dxfId="141" priority="9">
      <formula>LEN(TRIM(F3))&gt;0</formula>
    </cfRule>
  </conditionalFormatting>
  <conditionalFormatting sqref="G3:G51">
    <cfRule type="notContainsErrors" dxfId="140" priority="8" stopIfTrue="1">
      <formula>NOT(ISERROR(G3))</formula>
    </cfRule>
  </conditionalFormatting>
  <conditionalFormatting sqref="H3:I4">
    <cfRule type="notContainsBlanks" dxfId="139" priority="12">
      <formula>LEN(TRIM(H3))&gt;0</formula>
    </cfRule>
  </conditionalFormatting>
  <conditionalFormatting sqref="I3:I51">
    <cfRule type="notContainsErrors" dxfId="138" priority="11" stopIfTrue="1">
      <formula>NOT(ISERROR(I3))</formula>
    </cfRule>
  </conditionalFormatting>
  <conditionalFormatting sqref="J3:K4">
    <cfRule type="notContainsBlanks" dxfId="137" priority="15">
      <formula>LEN(TRIM(J3))&gt;0</formula>
    </cfRule>
  </conditionalFormatting>
  <conditionalFormatting sqref="K3:K51">
    <cfRule type="notContainsErrors" dxfId="136" priority="14" stopIfTrue="1">
      <formula>NOT(ISERROR(K3))</formula>
    </cfRule>
  </conditionalFormatting>
  <conditionalFormatting sqref="L3:M4">
    <cfRule type="notContainsBlanks" dxfId="135" priority="18">
      <formula>LEN(TRIM(L3))&gt;0</formula>
    </cfRule>
  </conditionalFormatting>
  <conditionalFormatting sqref="M3:M51">
    <cfRule type="notContainsErrors" dxfId="134" priority="17" stopIfTrue="1">
      <formula>NOT(ISERROR(M3))</formula>
    </cfRule>
  </conditionalFormatting>
  <conditionalFormatting sqref="N3:O4">
    <cfRule type="notContainsBlanks" dxfId="133" priority="21">
      <formula>LEN(TRIM(N3))&gt;0</formula>
    </cfRule>
  </conditionalFormatting>
  <conditionalFormatting sqref="O3:O51">
    <cfRule type="notContainsErrors" dxfId="132" priority="20" stopIfTrue="1">
      <formula>NOT(ISERROR(O3))</formula>
    </cfRule>
  </conditionalFormatting>
  <conditionalFormatting sqref="P3:Q4">
    <cfRule type="notContainsBlanks" dxfId="131" priority="24">
      <formula>LEN(TRIM(P3))&gt;0</formula>
    </cfRule>
  </conditionalFormatting>
  <conditionalFormatting sqref="Q3:Q51">
    <cfRule type="notContainsErrors" dxfId="130" priority="23" stopIfTrue="1">
      <formula>NOT(ISERROR(Q3))</formula>
    </cfRule>
  </conditionalFormatting>
  <conditionalFormatting sqref="R3:T4">
    <cfRule type="notContainsBlanks" dxfId="129" priority="27">
      <formula>LEN(TRIM(R3))&gt;0</formula>
    </cfRule>
  </conditionalFormatting>
  <conditionalFormatting sqref="S3:S51">
    <cfRule type="notContainsErrors" dxfId="128"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3" t="s">
        <v>7816</v>
      </c>
      <c r="T3" s="20" t="str">
        <f>TRIM(_xlfn.TEXTBEFORE(S3, ":"))</f>
        <v>物品種類</v>
      </c>
    </row>
    <row r="4" spans="1:20" ht="15.95" customHeight="1" x14ac:dyDescent="0.25">
      <c r="A4" s="18" t="s">
        <v>471</v>
      </c>
      <c r="B4" s="16" t="str">
        <f>TRIM(_xlfn.TEXTAFTER(A3, ":"))</f>
        <v>Bows</v>
      </c>
      <c r="C4" s="18" t="s">
        <v>1682</v>
      </c>
      <c r="D4" s="16" t="str">
        <f>TRIM(_xlfn.TEXTAFTER(C3, ":"))</f>
        <v>Bögen</v>
      </c>
      <c r="E4" s="18" t="s">
        <v>2401</v>
      </c>
      <c r="F4" s="16" t="str">
        <f>TRIM(_xlfn.TEXTAFTER(E3, ":"))</f>
        <v>Arcos</v>
      </c>
      <c r="G4" s="18" t="s">
        <v>949</v>
      </c>
      <c r="H4" s="16" t="str">
        <f>TRIM(_xlfn.TEXTAFTER(G3, ":"))</f>
        <v>Arcs</v>
      </c>
      <c r="I4" s="18" t="s">
        <v>3119</v>
      </c>
      <c r="J4" s="16" t="str">
        <f>TRIM(_xlfn.TEXTAFTER(I3, ":"))</f>
        <v>弓</v>
      </c>
      <c r="K4" s="18" t="s">
        <v>3866</v>
      </c>
      <c r="L4" s="16" t="str">
        <f>TRIM(_xlfn.TEXTAFTER(K3, ":"))</f>
        <v>활</v>
      </c>
      <c r="M4" s="18" t="s">
        <v>4596</v>
      </c>
      <c r="N4" s="16" t="str">
        <f>TRIM(_xlfn.TEXTAFTER(M3, ":"))</f>
        <v>Arcos</v>
      </c>
      <c r="O4" s="18" t="s">
        <v>5279</v>
      </c>
      <c r="P4" s="16" t="str">
        <f>TRIM(_xlfn.TEXTAFTER(O3, ":"))</f>
        <v>Луки</v>
      </c>
      <c r="Q4" s="18" t="s">
        <v>6013</v>
      </c>
      <c r="R4" s="16" t="str">
        <f>TRIM(_xlfn.TEXTAFTER(Q3, ":"))</f>
        <v>ธนู</v>
      </c>
      <c r="S4" s="18" t="s">
        <v>7495</v>
      </c>
      <c r="T4" s="20" t="str">
        <f>TRIM(_xlfn.TEXTAFTER(S3, ":"))</f>
        <v>弓</v>
      </c>
    </row>
    <row r="5" spans="1:20" ht="15.95" customHeight="1" x14ac:dyDescent="0.25">
      <c r="A5" s="18" t="s">
        <v>6788</v>
      </c>
      <c r="B5" s="16" t="str">
        <f>TRIM(_xlfn.TEXTBEFORE(A4, ":"))</f>
        <v>Rarity</v>
      </c>
      <c r="C5" s="18" t="s">
        <v>6846</v>
      </c>
      <c r="D5" s="16" t="str">
        <f>TRIM(_xlfn.TEXTBEFORE(C4, ":"))</f>
        <v>Seltenheit</v>
      </c>
      <c r="E5" s="18" t="s">
        <v>6956</v>
      </c>
      <c r="F5" s="16" t="str">
        <f>TRIM(_xlfn.TEXTBEFORE(E4, ":"))</f>
        <v>Rareza</v>
      </c>
      <c r="G5" s="18" t="s">
        <v>6819</v>
      </c>
      <c r="H5" s="16" t="str">
        <f>TRIM(_xlfn.TEXTBEFORE(G4, ":"))</f>
        <v>Rareté</v>
      </c>
      <c r="I5" s="18" t="s">
        <v>7014</v>
      </c>
      <c r="J5" s="16" t="str">
        <f>TRIM(_xlfn.TEXTBEFORE(I4, ":"))</f>
        <v>レアリティ</v>
      </c>
      <c r="K5" s="18" t="s">
        <v>6983</v>
      </c>
      <c r="L5" s="16" t="str">
        <f>TRIM(_xlfn.TEXTBEFORE(K4, ":"))</f>
        <v>아이템 희귀도</v>
      </c>
      <c r="M5" s="18" t="s">
        <v>6875</v>
      </c>
      <c r="N5" s="16" t="str">
        <f>TRIM(_xlfn.TEXTBEFORE(M4, ":"))</f>
        <v>Raridade</v>
      </c>
      <c r="O5" s="18" t="s">
        <v>6904</v>
      </c>
      <c r="P5" s="16" t="str">
        <f>TRIM(_xlfn.TEXTBEFORE(O4, ":"))</f>
        <v>Редкость</v>
      </c>
      <c r="Q5" s="18" t="s">
        <v>6788</v>
      </c>
      <c r="R5" s="16" t="str">
        <f>TRIM(_xlfn.TEXTBEFORE(Q4, ":"))</f>
        <v>ความหายาก</v>
      </c>
      <c r="S5" s="18" t="s">
        <v>7817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6789</v>
      </c>
      <c r="B7" s="16"/>
      <c r="C7" s="18" t="s">
        <v>6847</v>
      </c>
      <c r="D7" s="16"/>
      <c r="E7" s="18" t="s">
        <v>6957</v>
      </c>
      <c r="F7" s="16"/>
      <c r="G7" s="18" t="s">
        <v>6820</v>
      </c>
      <c r="H7" s="16"/>
      <c r="I7" s="18" t="s">
        <v>7015</v>
      </c>
      <c r="J7" s="16"/>
      <c r="K7" s="18" t="s">
        <v>6984</v>
      </c>
      <c r="L7" s="16"/>
      <c r="M7" s="18" t="s">
        <v>6876</v>
      </c>
      <c r="N7" s="16"/>
      <c r="O7" s="18" t="s">
        <v>6905</v>
      </c>
      <c r="P7" s="16"/>
      <c r="Q7" s="18" t="s">
        <v>6934</v>
      </c>
      <c r="R7" s="16"/>
      <c r="S7" s="18" t="s">
        <v>7818</v>
      </c>
      <c r="T7" s="20"/>
    </row>
    <row r="8" spans="1:20" ht="15.95" customHeight="1" x14ac:dyDescent="0.25">
      <c r="A8" s="18" t="s">
        <v>6790</v>
      </c>
      <c r="B8" s="16" t="str">
        <f>TRIM(_xlfn.TEXTBEFORE(A8,":"))</f>
        <v>Fire Damage</v>
      </c>
      <c r="C8" s="18" t="s">
        <v>6848</v>
      </c>
      <c r="D8" s="16" t="str">
        <f>TRIM(_xlfn.TEXTBEFORE(C8,":"))</f>
        <v>Feuerschaden</v>
      </c>
      <c r="E8" s="18" t="s">
        <v>6958</v>
      </c>
      <c r="F8" s="16" t="str">
        <f>TRIM(_xlfn.TEXTBEFORE(E8,":"))</f>
        <v>Daño de fuego</v>
      </c>
      <c r="G8" s="18" t="s">
        <v>6821</v>
      </c>
      <c r="H8" s="16" t="str">
        <f>TRIM(_xlfn.TEXTBEFORE(G8,":"))</f>
        <v>Dégâts de feu</v>
      </c>
      <c r="I8" s="18" t="s">
        <v>7016</v>
      </c>
      <c r="J8" s="16" t="str">
        <f>TRIM(_xlfn.TEXTBEFORE(I8,":"))</f>
        <v>火ダメージ</v>
      </c>
      <c r="K8" s="18" t="s">
        <v>6985</v>
      </c>
      <c r="L8" s="16" t="str">
        <f>TRIM(_xlfn.TEXTBEFORE(K8,":"))</f>
        <v>화염 피해</v>
      </c>
      <c r="M8" s="18" t="s">
        <v>6877</v>
      </c>
      <c r="N8" s="16" t="str">
        <f>TRIM(_xlfn.TEXTBEFORE(M8,":"))</f>
        <v>Dano de Fogo</v>
      </c>
      <c r="O8" s="18" t="s">
        <v>6906</v>
      </c>
      <c r="P8" s="16" t="str">
        <f>TRIM(_xlfn.TEXTBEFORE(O8,":"))</f>
        <v>Урон от огня</v>
      </c>
      <c r="Q8" s="18" t="s">
        <v>6935</v>
      </c>
      <c r="R8" s="16" t="str">
        <f>TRIM(_xlfn.TEXTBEFORE(Q8,":"))</f>
        <v>ความเสียหายไฟ</v>
      </c>
      <c r="S8" s="18" t="s">
        <v>7819</v>
      </c>
      <c r="T8" s="16" t="str">
        <f>TRIM(_xlfn.TEXTBEFORE(S8,":"))</f>
        <v>火焰傷害</v>
      </c>
    </row>
    <row r="9" spans="1:20" ht="15.95" customHeight="1" x14ac:dyDescent="0.25">
      <c r="A9" s="18" t="s">
        <v>6791</v>
      </c>
      <c r="B9" s="16" t="str">
        <f>TRIM(_xlfn.TEXTBEFORE(A9,":"))</f>
        <v>Critical Hit Chance</v>
      </c>
      <c r="C9" s="18" t="s">
        <v>2109</v>
      </c>
      <c r="D9" s="16" t="str">
        <f>TRIM(_xlfn.TEXTBEFORE(C9,":"))</f>
        <v>Kritische Trefferchance</v>
      </c>
      <c r="E9" s="18" t="s">
        <v>6959</v>
      </c>
      <c r="F9" s="16" t="str">
        <f>TRIM(_xlfn.TEXTBEFORE(E9,":"))</f>
        <v>Probabilidad de impacto crítico</v>
      </c>
      <c r="G9" s="18" t="s">
        <v>6822</v>
      </c>
      <c r="H9" s="16" t="str">
        <f>TRIM(_xlfn.TEXTBEFORE(G9,":"))</f>
        <v>Chances de Touche critique</v>
      </c>
      <c r="I9" s="18" t="s">
        <v>7017</v>
      </c>
      <c r="J9" s="16" t="str">
        <f>TRIM(_xlfn.TEXTBEFORE(I9,":"))</f>
        <v>クリティカルヒット率</v>
      </c>
      <c r="K9" s="18" t="s">
        <v>6986</v>
      </c>
      <c r="L9" s="16" t="str">
        <f>TRIM(_xlfn.TEXTBEFORE(K9,":"))</f>
        <v>치명타 명중 확률</v>
      </c>
      <c r="M9" s="18" t="s">
        <v>6878</v>
      </c>
      <c r="N9" s="16" t="str">
        <f>TRIM(_xlfn.TEXTBEFORE(M9,":"))</f>
        <v>Chance de Acerto Crítico</v>
      </c>
      <c r="O9" s="18" t="s">
        <v>6907</v>
      </c>
      <c r="P9" s="16" t="str">
        <f>TRIM(_xlfn.TEXTBEFORE(O9,":"))</f>
        <v>Шанс крит. попадания</v>
      </c>
      <c r="Q9" s="18" t="s">
        <v>6936</v>
      </c>
      <c r="R9" s="16" t="str">
        <f>TRIM(_xlfn.TEXTBEFORE(Q9,":"))</f>
        <v>โอกาสปะทะคริติคอล</v>
      </c>
      <c r="S9" s="18" t="s">
        <v>7542</v>
      </c>
      <c r="T9" s="16" t="str">
        <f>TRIM(_xlfn.TEXTBEFORE(S9,":"))</f>
        <v>暴擊率</v>
      </c>
    </row>
    <row r="10" spans="1:20" ht="15.95" customHeight="1" x14ac:dyDescent="0.25">
      <c r="A10" s="18" t="s">
        <v>1539</v>
      </c>
      <c r="B10" s="16"/>
      <c r="C10" s="18" t="s">
        <v>2281</v>
      </c>
      <c r="D10" s="16"/>
      <c r="E10" s="18" t="s">
        <v>3002</v>
      </c>
      <c r="F10" s="16"/>
      <c r="G10" s="18" t="s">
        <v>1558</v>
      </c>
      <c r="H10" s="16"/>
      <c r="I10" s="18" t="s">
        <v>3744</v>
      </c>
      <c r="J10" s="16"/>
      <c r="K10" s="18" t="s">
        <v>4482</v>
      </c>
      <c r="L10" s="16"/>
      <c r="M10" s="18" t="s">
        <v>5150</v>
      </c>
      <c r="N10" s="16"/>
      <c r="O10" s="18" t="s">
        <v>5900</v>
      </c>
      <c r="P10" s="16"/>
      <c r="Q10" s="18" t="s">
        <v>6523</v>
      </c>
      <c r="R10" s="16"/>
      <c r="S10" s="18" t="s">
        <v>7820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790</v>
      </c>
      <c r="B13" s="16"/>
      <c r="C13" s="18" t="s">
        <v>1866</v>
      </c>
      <c r="D13" s="16"/>
      <c r="E13" s="18" t="s">
        <v>2584</v>
      </c>
      <c r="F13" s="16"/>
      <c r="G13" s="18" t="s">
        <v>1129</v>
      </c>
      <c r="H13" s="16"/>
      <c r="I13" s="18" t="s">
        <v>3308</v>
      </c>
      <c r="J13" s="16"/>
      <c r="K13" s="18" t="s">
        <v>4053</v>
      </c>
      <c r="L13" s="16"/>
      <c r="M13" s="18" t="s">
        <v>4774</v>
      </c>
      <c r="N13" s="16"/>
      <c r="O13" s="18" t="s">
        <v>5467</v>
      </c>
      <c r="P13" s="16"/>
      <c r="Q13" s="18" t="s">
        <v>6174</v>
      </c>
      <c r="R13" s="16"/>
      <c r="S13" s="18" t="s">
        <v>7821</v>
      </c>
      <c r="T13" s="20"/>
    </row>
    <row r="14" spans="1:20" ht="15.95" customHeight="1" x14ac:dyDescent="0.25">
      <c r="A14" s="18" t="s">
        <v>6792</v>
      </c>
      <c r="B14" s="16"/>
      <c r="C14" s="18" t="s">
        <v>6849</v>
      </c>
      <c r="D14" s="16"/>
      <c r="E14" s="18" t="s">
        <v>6879</v>
      </c>
      <c r="F14" s="16"/>
      <c r="G14" s="18" t="s">
        <v>6792</v>
      </c>
      <c r="H14" s="16"/>
      <c r="I14" s="18" t="s">
        <v>7018</v>
      </c>
      <c r="J14" s="16"/>
      <c r="K14" s="18" t="s">
        <v>6987</v>
      </c>
      <c r="L14" s="16"/>
      <c r="M14" s="18" t="s">
        <v>6879</v>
      </c>
      <c r="N14" s="16"/>
      <c r="O14" s="18" t="s">
        <v>6908</v>
      </c>
      <c r="P14" s="16"/>
      <c r="Q14" s="18" t="s">
        <v>6792</v>
      </c>
      <c r="R14" s="16"/>
      <c r="S14" s="18" t="s">
        <v>7822</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6793</v>
      </c>
      <c r="B16" s="16"/>
      <c r="C16" s="18" t="s">
        <v>6850</v>
      </c>
      <c r="D16" s="16"/>
      <c r="E16" s="18" t="s">
        <v>6960</v>
      </c>
      <c r="F16" s="16"/>
      <c r="G16" s="18" t="s">
        <v>6823</v>
      </c>
      <c r="H16" s="16"/>
      <c r="I16" s="18" t="s">
        <v>7019</v>
      </c>
      <c r="J16" s="16"/>
      <c r="K16" s="18" t="s">
        <v>6988</v>
      </c>
      <c r="L16" s="16"/>
      <c r="M16" s="18" t="s">
        <v>6880</v>
      </c>
      <c r="N16" s="16"/>
      <c r="O16" s="18" t="s">
        <v>6909</v>
      </c>
      <c r="P16" s="16"/>
      <c r="Q16" s="18" t="s">
        <v>6937</v>
      </c>
      <c r="R16" s="16"/>
      <c r="S16" s="18" t="s">
        <v>7823</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6851</v>
      </c>
      <c r="D18" s="16"/>
      <c r="E18" s="18" t="s">
        <v>6961</v>
      </c>
      <c r="F18" s="16"/>
      <c r="G18" s="18" t="s">
        <v>6824</v>
      </c>
      <c r="H18" s="16"/>
      <c r="I18" s="18" t="s">
        <v>7020</v>
      </c>
      <c r="J18" s="16"/>
      <c r="K18" s="18" t="s">
        <v>6989</v>
      </c>
      <c r="L18" s="16"/>
      <c r="M18" s="18" t="s">
        <v>6881</v>
      </c>
      <c r="N18" s="16"/>
      <c r="O18" s="18" t="s">
        <v>6910</v>
      </c>
      <c r="P18" s="16"/>
      <c r="Q18" s="18" t="s">
        <v>6938</v>
      </c>
      <c r="R18" s="16"/>
      <c r="S18" s="18" t="s">
        <v>7824</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6795</v>
      </c>
      <c r="B20" s="16"/>
      <c r="C20" s="18" t="s">
        <v>6852</v>
      </c>
      <c r="D20" s="16"/>
      <c r="E20" s="18" t="s">
        <v>6962</v>
      </c>
      <c r="F20" s="16"/>
      <c r="G20" s="18" t="s">
        <v>6825</v>
      </c>
      <c r="H20" s="16"/>
      <c r="I20" s="18" t="s">
        <v>7021</v>
      </c>
      <c r="J20" s="16"/>
      <c r="K20" s="18" t="s">
        <v>6990</v>
      </c>
      <c r="L20" s="16"/>
      <c r="M20" s="18" t="s">
        <v>6882</v>
      </c>
      <c r="N20" s="16"/>
      <c r="O20" s="18" t="s">
        <v>6911</v>
      </c>
      <c r="P20" s="16"/>
      <c r="Q20" s="18" t="s">
        <v>6939</v>
      </c>
      <c r="R20" s="16"/>
      <c r="S20" s="18" t="s">
        <v>7825</v>
      </c>
      <c r="T20" s="20"/>
    </row>
    <row r="21" spans="1:20" ht="15.95" customHeight="1" x14ac:dyDescent="0.25">
      <c r="A21" s="18" t="s">
        <v>6796</v>
      </c>
      <c r="B21" s="16"/>
      <c r="C21" s="18" t="s">
        <v>6853</v>
      </c>
      <c r="D21" s="16"/>
      <c r="E21" s="18" t="s">
        <v>6963</v>
      </c>
      <c r="F21" s="16"/>
      <c r="G21" s="18" t="s">
        <v>6826</v>
      </c>
      <c r="H21" s="16"/>
      <c r="I21" s="18" t="s">
        <v>7022</v>
      </c>
      <c r="J21" s="16"/>
      <c r="K21" s="18" t="s">
        <v>6991</v>
      </c>
      <c r="L21" s="16"/>
      <c r="M21" s="18" t="s">
        <v>6883</v>
      </c>
      <c r="N21" s="16"/>
      <c r="O21" s="18" t="s">
        <v>6912</v>
      </c>
      <c r="P21" s="16"/>
      <c r="Q21" s="18" t="s">
        <v>6940</v>
      </c>
      <c r="R21" s="16"/>
      <c r="S21" s="18" t="s">
        <v>7826</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27" priority="51" stopIfTrue="1">
      <formula>NOT(ISERROR(A3))</formula>
    </cfRule>
  </conditionalFormatting>
  <conditionalFormatting sqref="A3:R3 A4:T7 A8:A9 C8:C9 E8:E9 G8:G9 I8:I9 K8:K9 M8:M9 O8:O9 Q8:Q9 S8:S9 A10:T51 T3">
    <cfRule type="notContainsBlanks" dxfId="126" priority="52">
      <formula>LEN(TRIM(A3))&gt;0</formula>
    </cfRule>
  </conditionalFormatting>
  <conditionalFormatting sqref="A4:T8 A3:R3 T3">
    <cfRule type="containsErrors" dxfId="125" priority="32" stopIfTrue="1">
      <formula>ISERROR(A3)</formula>
    </cfRule>
  </conditionalFormatting>
  <conditionalFormatting sqref="A9:T51">
    <cfRule type="containsErrors" dxfId="124" priority="1" stopIfTrue="1">
      <formula>ISERROR(A9)</formula>
    </cfRule>
  </conditionalFormatting>
  <conditionalFormatting sqref="B8">
    <cfRule type="notContainsBlanks" dxfId="123" priority="49">
      <formula>LEN(TRIM(B8))&gt;0</formula>
    </cfRule>
  </conditionalFormatting>
  <conditionalFormatting sqref="B9">
    <cfRule type="notContainsBlanks" dxfId="122" priority="31">
      <formula>LEN(TRIM(B9))&gt;0</formula>
    </cfRule>
  </conditionalFormatting>
  <conditionalFormatting sqref="D8">
    <cfRule type="notContainsBlanks" dxfId="121" priority="47">
      <formula>LEN(TRIM(D8))&gt;0</formula>
    </cfRule>
  </conditionalFormatting>
  <conditionalFormatting sqref="D9">
    <cfRule type="notContainsBlanks" dxfId="120" priority="29">
      <formula>LEN(TRIM(D9))&gt;0</formula>
    </cfRule>
  </conditionalFormatting>
  <conditionalFormatting sqref="F8">
    <cfRule type="notContainsBlanks" dxfId="119" priority="45">
      <formula>LEN(TRIM(F8))&gt;0</formula>
    </cfRule>
  </conditionalFormatting>
  <conditionalFormatting sqref="F9">
    <cfRule type="notContainsBlanks" dxfId="118" priority="27">
      <formula>LEN(TRIM(F9))&gt;0</formula>
    </cfRule>
  </conditionalFormatting>
  <conditionalFormatting sqref="H8">
    <cfRule type="notContainsBlanks" dxfId="117" priority="43">
      <formula>LEN(TRIM(H8))&gt;0</formula>
    </cfRule>
  </conditionalFormatting>
  <conditionalFormatting sqref="H9">
    <cfRule type="notContainsBlanks" dxfId="116" priority="25">
      <formula>LEN(TRIM(H9))&gt;0</formula>
    </cfRule>
  </conditionalFormatting>
  <conditionalFormatting sqref="J8">
    <cfRule type="notContainsBlanks" dxfId="115" priority="41">
      <formula>LEN(TRIM(J8))&gt;0</formula>
    </cfRule>
  </conditionalFormatting>
  <conditionalFormatting sqref="J9">
    <cfRule type="notContainsBlanks" dxfId="114" priority="23">
      <formula>LEN(TRIM(J9))&gt;0</formula>
    </cfRule>
  </conditionalFormatting>
  <conditionalFormatting sqref="L8">
    <cfRule type="notContainsBlanks" dxfId="113" priority="39">
      <formula>LEN(TRIM(L8))&gt;0</formula>
    </cfRule>
  </conditionalFormatting>
  <conditionalFormatting sqref="L9">
    <cfRule type="notContainsBlanks" dxfId="112" priority="21">
      <formula>LEN(TRIM(L9))&gt;0</formula>
    </cfRule>
  </conditionalFormatting>
  <conditionalFormatting sqref="N8">
    <cfRule type="notContainsBlanks" dxfId="111" priority="37">
      <formula>LEN(TRIM(N8))&gt;0</formula>
    </cfRule>
  </conditionalFormatting>
  <conditionalFormatting sqref="N9">
    <cfRule type="notContainsBlanks" dxfId="110" priority="19">
      <formula>LEN(TRIM(N9))&gt;0</formula>
    </cfRule>
  </conditionalFormatting>
  <conditionalFormatting sqref="P8">
    <cfRule type="notContainsBlanks" dxfId="109" priority="35">
      <formula>LEN(TRIM(P8))&gt;0</formula>
    </cfRule>
  </conditionalFormatting>
  <conditionalFormatting sqref="P9">
    <cfRule type="notContainsBlanks" dxfId="108" priority="17">
      <formula>LEN(TRIM(P9))&gt;0</formula>
    </cfRule>
  </conditionalFormatting>
  <conditionalFormatting sqref="R8">
    <cfRule type="notContainsBlanks" dxfId="107" priority="33">
      <formula>LEN(TRIM(R8))&gt;0</formula>
    </cfRule>
  </conditionalFormatting>
  <conditionalFormatting sqref="R9">
    <cfRule type="notContainsBlanks" dxfId="106" priority="15">
      <formula>LEN(TRIM(R9))&gt;0</formula>
    </cfRule>
  </conditionalFormatting>
  <conditionalFormatting sqref="S3">
    <cfRule type="containsErrors" dxfId="105" priority="4" stopIfTrue="1">
      <formula>ISERROR(S3)</formula>
    </cfRule>
    <cfRule type="containsBlanks" dxfId="104" priority="5" stopIfTrue="1">
      <formula>LEN(TRIM(S3))=0</formula>
    </cfRule>
    <cfRule type="cellIs" dxfId="103" priority="6" stopIfTrue="1" operator="equal">
      <formula>"-"</formula>
    </cfRule>
    <cfRule type="cellIs" dxfId="102" priority="7" operator="between">
      <formula>"(Lowest value)"</formula>
      <formula>0</formula>
    </cfRule>
    <cfRule type="notContainsBlanks" dxfId="101" priority="8">
      <formula>LEN(TRIM(S3))&gt;0</formula>
    </cfRule>
  </conditionalFormatting>
  <conditionalFormatting sqref="T8:T9">
    <cfRule type="notContainsBlanks" dxfId="100"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6797</v>
      </c>
      <c r="B3" s="16" t="str">
        <f>TRIM(_xlfn.TEXTBEFORE(A3, ":"))</f>
        <v>Item Class</v>
      </c>
      <c r="C3" s="17" t="s">
        <v>6854</v>
      </c>
      <c r="D3" s="16" t="str">
        <f>TRIM(_xlfn.TEXTBEFORE(C3, ":"))</f>
        <v>Gegenstandsklasse</v>
      </c>
      <c r="E3" s="17" t="s">
        <v>6964</v>
      </c>
      <c r="F3" s="16" t="str">
        <f>TRIM(_xlfn.TEXTBEFORE(E3, ":"))</f>
        <v>Clase de objeto</v>
      </c>
      <c r="G3" s="17" t="s">
        <v>6827</v>
      </c>
      <c r="H3" s="16" t="str">
        <f>TRIM(_xlfn.TEXTBEFORE(G3, ":"))</f>
        <v>Classe d'objet</v>
      </c>
      <c r="I3" s="17" t="s">
        <v>7023</v>
      </c>
      <c r="J3" s="16" t="str">
        <f>TRIM(_xlfn.TEXTBEFORE(I3, ":"))</f>
        <v>アイテムクラス</v>
      </c>
      <c r="K3" s="17" t="s">
        <v>6992</v>
      </c>
      <c r="L3" s="16" t="str">
        <f>TRIM(_xlfn.TEXTBEFORE(K3, ":"))</f>
        <v>아이템 종류</v>
      </c>
      <c r="M3" s="17" t="s">
        <v>4936</v>
      </c>
      <c r="N3" s="16" t="str">
        <f>TRIM(_xlfn.TEXTBEFORE(M3, ":"))</f>
        <v>Classe do Item</v>
      </c>
      <c r="O3" s="17" t="s">
        <v>6913</v>
      </c>
      <c r="P3" s="16" t="str">
        <f>TRIM(_xlfn.TEXTBEFORE(O3, ":"))</f>
        <v>Класс предмета</v>
      </c>
      <c r="Q3" s="17" t="s">
        <v>6941</v>
      </c>
      <c r="R3" s="16" t="str">
        <f>TRIM(_xlfn.TEXTBEFORE(Q3, ":"))</f>
        <v>ชนิดไอเทม</v>
      </c>
      <c r="S3" s="17" t="s">
        <v>7552</v>
      </c>
      <c r="T3" s="20" t="str">
        <f>TRIM(_xlfn.TEXTBEFORE(S3, ":"))</f>
        <v>物品種類</v>
      </c>
    </row>
    <row r="4" spans="1:20" ht="15.95" customHeight="1" x14ac:dyDescent="0.25">
      <c r="A4" s="18" t="s">
        <v>471</v>
      </c>
      <c r="B4" s="16" t="str">
        <f>TRIM(_xlfn.TEXTAFTER(A3, ":"))</f>
        <v>Quarterstaves</v>
      </c>
      <c r="C4" s="18" t="s">
        <v>1682</v>
      </c>
      <c r="D4" s="16" t="str">
        <f>TRIM(_xlfn.TEXTAFTER(C3, ":"))</f>
        <v>Kampfstäbe</v>
      </c>
      <c r="E4" s="18" t="s">
        <v>2401</v>
      </c>
      <c r="F4" s="16" t="str">
        <f>TRIM(_xlfn.TEXTAFTER(E3, ":"))</f>
        <v>Bastones</v>
      </c>
      <c r="G4" s="18" t="s">
        <v>949</v>
      </c>
      <c r="H4" s="16" t="str">
        <f>TRIM(_xlfn.TEXTAFTER(G3, ":"))</f>
        <v>Bâtons de combat</v>
      </c>
      <c r="I4" s="18" t="s">
        <v>3119</v>
      </c>
      <c r="J4" s="16" t="str">
        <f>TRIM(_xlfn.TEXTAFTER(I3, ":"))</f>
        <v>クォータースタッフ</v>
      </c>
      <c r="K4" s="18" t="s">
        <v>3866</v>
      </c>
      <c r="L4" s="16" t="str">
        <f>TRIM(_xlfn.TEXTAFTER(K3, ":"))</f>
        <v>육척봉</v>
      </c>
      <c r="M4" s="18" t="s">
        <v>4596</v>
      </c>
      <c r="N4" s="16" t="str">
        <f>TRIM(_xlfn.TEXTAFTER(M3, ":"))</f>
        <v>Cajados</v>
      </c>
      <c r="O4" s="18" t="s">
        <v>5279</v>
      </c>
      <c r="P4" s="16" t="str">
        <f>TRIM(_xlfn.TEXTAFTER(O3, ":"))</f>
        <v>Боевые посохи</v>
      </c>
      <c r="Q4" s="18" t="s">
        <v>6013</v>
      </c>
      <c r="R4" s="16" t="str">
        <f>TRIM(_xlfn.TEXTAFTER(Q3, ":"))</f>
        <v>ไม้พลองวรยุทธ์</v>
      </c>
      <c r="S4" s="18" t="s">
        <v>7495</v>
      </c>
      <c r="T4" s="20" t="str">
        <f>TRIM(_xlfn.TEXTAFTER(S3, ":"))</f>
        <v>征戰長杖</v>
      </c>
    </row>
    <row r="5" spans="1:20" ht="15.95" customHeight="1" x14ac:dyDescent="0.25">
      <c r="A5" s="18" t="s">
        <v>6798</v>
      </c>
      <c r="B5" s="16" t="str">
        <f>TRIM(_xlfn.TEXTBEFORE(A4, ":"))</f>
        <v>Rarity</v>
      </c>
      <c r="C5" s="18" t="s">
        <v>6855</v>
      </c>
      <c r="D5" s="16" t="str">
        <f>TRIM(_xlfn.TEXTBEFORE(C4, ":"))</f>
        <v>Seltenheit</v>
      </c>
      <c r="E5" s="18" t="s">
        <v>6965</v>
      </c>
      <c r="F5" s="16" t="str">
        <f>TRIM(_xlfn.TEXTBEFORE(E4, ":"))</f>
        <v>Rareza</v>
      </c>
      <c r="G5" s="18" t="s">
        <v>6828</v>
      </c>
      <c r="H5" s="16" t="str">
        <f>TRIM(_xlfn.TEXTBEFORE(G4, ":"))</f>
        <v>Rareté</v>
      </c>
      <c r="I5" s="18" t="s">
        <v>7024</v>
      </c>
      <c r="J5" s="16" t="str">
        <f>TRIM(_xlfn.TEXTBEFORE(I4, ":"))</f>
        <v>レアリティ</v>
      </c>
      <c r="K5" s="18" t="s">
        <v>6993</v>
      </c>
      <c r="L5" s="16" t="str">
        <f>TRIM(_xlfn.TEXTBEFORE(K4, ":"))</f>
        <v>아이템 희귀도</v>
      </c>
      <c r="M5" s="18" t="s">
        <v>6884</v>
      </c>
      <c r="N5" s="16" t="str">
        <f>TRIM(_xlfn.TEXTBEFORE(M4, ":"))</f>
        <v>Raridade</v>
      </c>
      <c r="O5" s="18" t="s">
        <v>6914</v>
      </c>
      <c r="P5" s="16" t="str">
        <f>TRIM(_xlfn.TEXTBEFORE(O4, ":"))</f>
        <v>Редкость</v>
      </c>
      <c r="Q5" s="18" t="s">
        <v>6798</v>
      </c>
      <c r="R5" s="16" t="str">
        <f>TRIM(_xlfn.TEXTBEFORE(Q4, ":"))</f>
        <v>ความหายาก</v>
      </c>
      <c r="S5" s="18" t="s">
        <v>7827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6799</v>
      </c>
      <c r="B7" s="16"/>
      <c r="C7" s="18" t="s">
        <v>6856</v>
      </c>
      <c r="D7" s="16"/>
      <c r="E7" s="18" t="s">
        <v>6966</v>
      </c>
      <c r="F7" s="16"/>
      <c r="G7" s="18" t="s">
        <v>6829</v>
      </c>
      <c r="H7" s="16"/>
      <c r="I7" s="18" t="s">
        <v>7025</v>
      </c>
      <c r="J7" s="16"/>
      <c r="K7" s="18" t="s">
        <v>6994</v>
      </c>
      <c r="L7" s="16"/>
      <c r="M7" s="18" t="s">
        <v>6885</v>
      </c>
      <c r="N7" s="16"/>
      <c r="O7" s="18" t="s">
        <v>6915</v>
      </c>
      <c r="P7" s="16"/>
      <c r="Q7" s="18" t="s">
        <v>6942</v>
      </c>
      <c r="R7" s="16"/>
      <c r="S7" s="18" t="s">
        <v>7828</v>
      </c>
      <c r="T7" s="20"/>
    </row>
    <row r="8" spans="1:20" ht="15.95" customHeight="1" x14ac:dyDescent="0.25">
      <c r="A8" s="18" t="s">
        <v>6800</v>
      </c>
      <c r="B8" s="16" t="str">
        <f>TRIM(_xlfn.TEXTBEFORE(A8,":"))</f>
        <v>Cold Damage</v>
      </c>
      <c r="C8" s="18" t="s">
        <v>6857</v>
      </c>
      <c r="D8" s="16" t="str">
        <f>TRIM(_xlfn.TEXTBEFORE(C8,":"))</f>
        <v>Kälteschaden</v>
      </c>
      <c r="E8" s="18" t="s">
        <v>6967</v>
      </c>
      <c r="F8" s="16" t="str">
        <f>TRIM(_xlfn.TEXTBEFORE(E8,":"))</f>
        <v>Daño de hielo</v>
      </c>
      <c r="G8" s="18" t="s">
        <v>6830</v>
      </c>
      <c r="H8" s="16" t="str">
        <f>TRIM(_xlfn.TEXTBEFORE(G8,":"))</f>
        <v>Dégâts de froid</v>
      </c>
      <c r="I8" s="18" t="s">
        <v>7026</v>
      </c>
      <c r="J8" s="16" t="str">
        <f>TRIM(_xlfn.TEXTBEFORE(I8,":"))</f>
        <v>冷気ダメージ</v>
      </c>
      <c r="K8" s="18" t="s">
        <v>6995</v>
      </c>
      <c r="L8" s="16" t="str">
        <f>TRIM(_xlfn.TEXTBEFORE(K8,":"))</f>
        <v>냉기 피해</v>
      </c>
      <c r="M8" s="18" t="s">
        <v>6886</v>
      </c>
      <c r="N8" s="16" t="str">
        <f>TRIM(_xlfn.TEXTBEFORE(M8,":"))</f>
        <v>Dano de Gelo</v>
      </c>
      <c r="O8" s="18" t="s">
        <v>6916</v>
      </c>
      <c r="P8" s="16" t="str">
        <f>TRIM(_xlfn.TEXTBEFORE(O8,":"))</f>
        <v>Урон от холода</v>
      </c>
      <c r="Q8" s="18" t="s">
        <v>6943</v>
      </c>
      <c r="R8" s="16" t="str">
        <f>TRIM(_xlfn.TEXTBEFORE(Q8,":"))</f>
        <v>ความเสียหายน้ำแข็ง</v>
      </c>
      <c r="S8" s="18" t="s">
        <v>7829</v>
      </c>
      <c r="T8" s="16" t="str">
        <f>TRIM(_xlfn.TEXTBEFORE(S8,":"))</f>
        <v>冰冷傷害</v>
      </c>
    </row>
    <row r="9" spans="1:20" ht="15.95" customHeight="1" x14ac:dyDescent="0.25">
      <c r="A9" s="18" t="s">
        <v>6801</v>
      </c>
      <c r="B9" s="16"/>
      <c r="C9" s="18" t="s">
        <v>6858</v>
      </c>
      <c r="D9" s="16"/>
      <c r="E9" s="18" t="s">
        <v>6968</v>
      </c>
      <c r="F9" s="16"/>
      <c r="G9" s="18" t="s">
        <v>6831</v>
      </c>
      <c r="H9" s="16"/>
      <c r="I9" s="18" t="s">
        <v>7027</v>
      </c>
      <c r="J9" s="16"/>
      <c r="K9" s="18" t="s">
        <v>6996</v>
      </c>
      <c r="L9" s="16"/>
      <c r="M9" s="18" t="s">
        <v>6887</v>
      </c>
      <c r="N9" s="16"/>
      <c r="O9" s="18" t="s">
        <v>6917</v>
      </c>
      <c r="P9" s="16"/>
      <c r="Q9" s="18" t="s">
        <v>6944</v>
      </c>
      <c r="R9" s="16"/>
      <c r="S9" s="18" t="s">
        <v>7555</v>
      </c>
      <c r="T9" s="20"/>
    </row>
    <row r="10" spans="1:20" ht="15.95" customHeight="1" x14ac:dyDescent="0.25">
      <c r="A10" s="18" t="s">
        <v>6802</v>
      </c>
      <c r="B10" s="16"/>
      <c r="C10" s="18" t="s">
        <v>6859</v>
      </c>
      <c r="D10" s="16"/>
      <c r="E10" s="18" t="s">
        <v>6969</v>
      </c>
      <c r="F10" s="16"/>
      <c r="G10" s="18" t="s">
        <v>6832</v>
      </c>
      <c r="H10" s="16"/>
      <c r="I10" s="18" t="s">
        <v>7028</v>
      </c>
      <c r="J10" s="16"/>
      <c r="K10" s="18" t="s">
        <v>6997</v>
      </c>
      <c r="L10" s="16"/>
      <c r="M10" s="18" t="s">
        <v>6888</v>
      </c>
      <c r="N10" s="16"/>
      <c r="O10" s="18" t="s">
        <v>6918</v>
      </c>
      <c r="P10" s="16"/>
      <c r="Q10" s="18" t="s">
        <v>6945</v>
      </c>
      <c r="R10" s="16"/>
      <c r="S10" s="18" t="s">
        <v>7556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790</v>
      </c>
      <c r="B13" s="16"/>
      <c r="C13" s="18" t="s">
        <v>1866</v>
      </c>
      <c r="D13" s="16"/>
      <c r="E13" s="18" t="s">
        <v>2584</v>
      </c>
      <c r="F13" s="16"/>
      <c r="G13" s="18" t="s">
        <v>1129</v>
      </c>
      <c r="H13" s="16"/>
      <c r="I13" s="18" t="s">
        <v>3308</v>
      </c>
      <c r="J13" s="16"/>
      <c r="K13" s="18" t="s">
        <v>4053</v>
      </c>
      <c r="L13" s="16"/>
      <c r="M13" s="18" t="s">
        <v>4774</v>
      </c>
      <c r="N13" s="16"/>
      <c r="O13" s="18" t="s">
        <v>5467</v>
      </c>
      <c r="P13" s="16"/>
      <c r="Q13" s="18" t="s">
        <v>6174</v>
      </c>
      <c r="R13" s="16"/>
      <c r="S13" s="18" t="s">
        <v>7821</v>
      </c>
      <c r="T13" s="20"/>
    </row>
    <row r="14" spans="1:20" ht="15.95" customHeight="1" x14ac:dyDescent="0.25">
      <c r="A14" s="18" t="s">
        <v>6803</v>
      </c>
      <c r="B14" s="16"/>
      <c r="C14" s="18" t="s">
        <v>6860</v>
      </c>
      <c r="D14" s="16"/>
      <c r="E14" s="18" t="s">
        <v>6889</v>
      </c>
      <c r="F14" s="16"/>
      <c r="G14" s="18" t="s">
        <v>6803</v>
      </c>
      <c r="H14" s="16"/>
      <c r="I14" s="18" t="s">
        <v>7029</v>
      </c>
      <c r="J14" s="16"/>
      <c r="K14" s="18" t="s">
        <v>6998</v>
      </c>
      <c r="L14" s="16"/>
      <c r="M14" s="18" t="s">
        <v>6889</v>
      </c>
      <c r="N14" s="16"/>
      <c r="O14" s="18" t="s">
        <v>6919</v>
      </c>
      <c r="P14" s="16"/>
      <c r="Q14" s="18" t="s">
        <v>6803</v>
      </c>
      <c r="R14" s="16"/>
      <c r="S14" s="18" t="s">
        <v>7830</v>
      </c>
      <c r="T14" s="20"/>
    </row>
    <row r="15" spans="1:20" ht="15.95" customHeight="1" x14ac:dyDescent="0.25">
      <c r="A15" s="18" t="s">
        <v>6804</v>
      </c>
      <c r="B15" s="16"/>
      <c r="C15" s="18" t="s">
        <v>6804</v>
      </c>
      <c r="D15" s="16"/>
      <c r="E15" s="18" t="s">
        <v>6804</v>
      </c>
      <c r="F15" s="16"/>
      <c r="G15" s="18" t="s">
        <v>6804</v>
      </c>
      <c r="H15" s="16"/>
      <c r="I15" s="18" t="s">
        <v>7030</v>
      </c>
      <c r="J15" s="16"/>
      <c r="K15" s="18" t="s">
        <v>6999</v>
      </c>
      <c r="L15" s="16"/>
      <c r="M15" s="18" t="s">
        <v>6804</v>
      </c>
      <c r="N15" s="16"/>
      <c r="O15" s="18" t="s">
        <v>6920</v>
      </c>
      <c r="P15" s="16"/>
      <c r="Q15" s="18" t="s">
        <v>6804</v>
      </c>
      <c r="R15" s="16"/>
      <c r="S15" s="18" t="s">
        <v>7831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6793</v>
      </c>
      <c r="B17" s="16"/>
      <c r="C17" s="18" t="s">
        <v>6850</v>
      </c>
      <c r="D17" s="16"/>
      <c r="E17" s="18" t="s">
        <v>6960</v>
      </c>
      <c r="F17" s="16"/>
      <c r="G17" s="18" t="s">
        <v>6823</v>
      </c>
      <c r="H17" s="16"/>
      <c r="I17" s="18" t="s">
        <v>7019</v>
      </c>
      <c r="J17" s="16"/>
      <c r="K17" s="18" t="s">
        <v>6988</v>
      </c>
      <c r="L17" s="16"/>
      <c r="M17" s="18" t="s">
        <v>6880</v>
      </c>
      <c r="N17" s="16"/>
      <c r="O17" s="18" t="s">
        <v>6909</v>
      </c>
      <c r="P17" s="16"/>
      <c r="Q17" s="18" t="s">
        <v>6937</v>
      </c>
      <c r="R17" s="16"/>
      <c r="S17" s="18" t="s">
        <v>7823</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6805</v>
      </c>
      <c r="B19" s="16"/>
      <c r="C19" s="18" t="s">
        <v>6861</v>
      </c>
      <c r="D19" s="16"/>
      <c r="E19" s="18" t="s">
        <v>6970</v>
      </c>
      <c r="F19" s="16"/>
      <c r="G19" s="18" t="s">
        <v>6833</v>
      </c>
      <c r="H19" s="16"/>
      <c r="I19" s="18" t="s">
        <v>7031</v>
      </c>
      <c r="J19" s="16"/>
      <c r="K19" s="18" t="s">
        <v>7000</v>
      </c>
      <c r="L19" s="16"/>
      <c r="M19" s="18" t="s">
        <v>6890</v>
      </c>
      <c r="N19" s="16"/>
      <c r="O19" s="18" t="s">
        <v>6921</v>
      </c>
      <c r="P19" s="16"/>
      <c r="Q19" s="18" t="s">
        <v>6946</v>
      </c>
      <c r="R19" s="16"/>
      <c r="S19" s="18" t="s">
        <v>7832</v>
      </c>
      <c r="T19" s="20"/>
    </row>
    <row r="20" spans="1:20" ht="15.95" customHeight="1" x14ac:dyDescent="0.25">
      <c r="A20" s="18" t="s">
        <v>6806</v>
      </c>
      <c r="B20" s="16"/>
      <c r="C20" s="18" t="s">
        <v>6862</v>
      </c>
      <c r="D20" s="16"/>
      <c r="E20" s="18" t="s">
        <v>6971</v>
      </c>
      <c r="F20" s="16"/>
      <c r="G20" s="18" t="s">
        <v>6834</v>
      </c>
      <c r="H20" s="16"/>
      <c r="I20" s="18" t="s">
        <v>7032</v>
      </c>
      <c r="J20" s="16"/>
      <c r="K20" s="18" t="s">
        <v>7001</v>
      </c>
      <c r="L20" s="16"/>
      <c r="M20" s="18" t="s">
        <v>6891</v>
      </c>
      <c r="N20" s="16"/>
      <c r="O20" s="18" t="s">
        <v>6922</v>
      </c>
      <c r="P20" s="16"/>
      <c r="Q20" s="18" t="s">
        <v>6947</v>
      </c>
      <c r="R20" s="16"/>
      <c r="S20" s="18" t="s">
        <v>7833</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1" stopIfTrue="1">
      <formula>NOT(ISERROR(A3))</formula>
    </cfRule>
  </conditionalFormatting>
  <conditionalFormatting sqref="A3:T7 A8 C8 E8 G8 I8 K8 M8 O8 Q8 S8:T8 A9:T51">
    <cfRule type="notContainsBlanks" dxfId="98" priority="22">
      <formula>LEN(TRIM(A3))&gt;0</formula>
    </cfRule>
  </conditionalFormatting>
  <conditionalFormatting sqref="A3:T51">
    <cfRule type="containsErrors" dxfId="97" priority="2" stopIfTrue="1">
      <formula>ISERROR(A3)</formula>
    </cfRule>
  </conditionalFormatting>
  <conditionalFormatting sqref="B8">
    <cfRule type="notContainsBlanks" dxfId="96" priority="19">
      <formula>LEN(TRIM(B8))&gt;0</formula>
    </cfRule>
  </conditionalFormatting>
  <conditionalFormatting sqref="D8">
    <cfRule type="notContainsBlanks" dxfId="95" priority="17">
      <formula>LEN(TRIM(D8))&gt;0</formula>
    </cfRule>
  </conditionalFormatting>
  <conditionalFormatting sqref="F8">
    <cfRule type="notContainsBlanks" dxfId="94" priority="15">
      <formula>LEN(TRIM(F8))&gt;0</formula>
    </cfRule>
  </conditionalFormatting>
  <conditionalFormatting sqref="H8">
    <cfRule type="notContainsBlanks" dxfId="93" priority="13">
      <formula>LEN(TRIM(H8))&gt;0</formula>
    </cfRule>
  </conditionalFormatting>
  <conditionalFormatting sqref="J8">
    <cfRule type="notContainsBlanks" dxfId="92" priority="11">
      <formula>LEN(TRIM(J8))&gt;0</formula>
    </cfRule>
  </conditionalFormatting>
  <conditionalFormatting sqref="L8">
    <cfRule type="notContainsBlanks" dxfId="91" priority="9">
      <formula>LEN(TRIM(L8))&gt;0</formula>
    </cfRule>
  </conditionalFormatting>
  <conditionalFormatting sqref="N8">
    <cfRule type="notContainsBlanks" dxfId="90" priority="7">
      <formula>LEN(TRIM(N8))&gt;0</formula>
    </cfRule>
  </conditionalFormatting>
  <conditionalFormatting sqref="P8">
    <cfRule type="notContainsBlanks" dxfId="89" priority="5">
      <formula>LEN(TRIM(P8))&gt;0</formula>
    </cfRule>
  </conditionalFormatting>
  <conditionalFormatting sqref="R8">
    <cfRule type="notContainsBlanks" dxfId="88" priority="3">
      <formula>LEN(TRIM(R8))&gt;0</formula>
    </cfRule>
  </conditionalFormatting>
  <conditionalFormatting sqref="T8">
    <cfRule type="notContainsBlanks" dxfId="87"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7" t="s">
        <v>7816</v>
      </c>
      <c r="T3" s="20" t="str">
        <f>TRIM(_xlfn.TEXTBEFORE(S3, ":"))</f>
        <v>物品種類</v>
      </c>
    </row>
    <row r="4" spans="1:20" ht="15.95" customHeight="1" x14ac:dyDescent="0.25">
      <c r="A4" s="18" t="s">
        <v>485</v>
      </c>
      <c r="B4" s="16" t="str">
        <f>TRIM(_xlfn.TEXTAFTER(A3, ":"))</f>
        <v>Bows</v>
      </c>
      <c r="C4" s="18" t="s">
        <v>1851</v>
      </c>
      <c r="D4" s="16" t="str">
        <f>TRIM(_xlfn.TEXTAFTER(C3, ":"))</f>
        <v>Bögen</v>
      </c>
      <c r="E4" s="18" t="s">
        <v>2569</v>
      </c>
      <c r="F4" s="16" t="str">
        <f>TRIM(_xlfn.TEXTAFTER(E3, ":"))</f>
        <v>Arcos</v>
      </c>
      <c r="G4" s="18" t="s">
        <v>1114</v>
      </c>
      <c r="H4" s="16" t="str">
        <f>TRIM(_xlfn.TEXTAFTER(G3, ":"))</f>
        <v>Arcs</v>
      </c>
      <c r="I4" s="18" t="s">
        <v>3293</v>
      </c>
      <c r="J4" s="16" t="str">
        <f>TRIM(_xlfn.TEXTAFTER(I3, ":"))</f>
        <v>弓</v>
      </c>
      <c r="K4" s="18" t="s">
        <v>4038</v>
      </c>
      <c r="L4" s="16" t="str">
        <f>TRIM(_xlfn.TEXTAFTER(K3, ":"))</f>
        <v>활</v>
      </c>
      <c r="M4" s="18" t="s">
        <v>4759</v>
      </c>
      <c r="N4" s="16" t="str">
        <f>TRIM(_xlfn.TEXTAFTER(M3, ":"))</f>
        <v>Arcos</v>
      </c>
      <c r="O4" s="18" t="s">
        <v>5452</v>
      </c>
      <c r="P4" s="16" t="str">
        <f>TRIM(_xlfn.TEXTAFTER(O3, ":"))</f>
        <v>Луки</v>
      </c>
      <c r="Q4" s="18" t="s">
        <v>6163</v>
      </c>
      <c r="R4" s="16" t="str">
        <f>TRIM(_xlfn.TEXTAFTER(Q3, ":"))</f>
        <v>ธนู</v>
      </c>
      <c r="S4" s="18" t="s">
        <v>7563</v>
      </c>
      <c r="T4" s="20" t="str">
        <f>TRIM(_xlfn.TEXTAFTER(S3, ":"))</f>
        <v>弓</v>
      </c>
    </row>
    <row r="5" spans="1:20" ht="15.95" customHeight="1" x14ac:dyDescent="0.25">
      <c r="A5" s="18" t="s">
        <v>6807</v>
      </c>
      <c r="B5" s="16" t="str">
        <f>TRIM(_xlfn.TEXTBEFORE(A4, ":"))</f>
        <v>Rarity</v>
      </c>
      <c r="C5" s="18" t="s">
        <v>6863</v>
      </c>
      <c r="D5" s="16" t="str">
        <f>TRIM(_xlfn.TEXTBEFORE(C4, ":"))</f>
        <v>Seltenheit</v>
      </c>
      <c r="E5" s="18" t="s">
        <v>6972</v>
      </c>
      <c r="F5" s="16" t="str">
        <f>TRIM(_xlfn.TEXTBEFORE(E4, ":"))</f>
        <v>Rareza</v>
      </c>
      <c r="G5" s="18" t="s">
        <v>6835</v>
      </c>
      <c r="H5" s="16" t="str">
        <f>TRIM(_xlfn.TEXTBEFORE(G4, ":"))</f>
        <v>Rareté</v>
      </c>
      <c r="I5" s="18" t="s">
        <v>7033</v>
      </c>
      <c r="J5" s="16" t="str">
        <f>TRIM(_xlfn.TEXTBEFORE(I4, ":"))</f>
        <v>レアリティ</v>
      </c>
      <c r="K5" s="18" t="s">
        <v>7002</v>
      </c>
      <c r="L5" s="16" t="str">
        <f>TRIM(_xlfn.TEXTBEFORE(K4, ":"))</f>
        <v>아이템 희귀도</v>
      </c>
      <c r="M5" s="18" t="s">
        <v>6892</v>
      </c>
      <c r="N5" s="16" t="str">
        <f>TRIM(_xlfn.TEXTBEFORE(M4, ":"))</f>
        <v>Raridade</v>
      </c>
      <c r="O5" s="18" t="s">
        <v>6923</v>
      </c>
      <c r="P5" s="16" t="str">
        <f>TRIM(_xlfn.TEXTBEFORE(O4, ":"))</f>
        <v>Редкость</v>
      </c>
      <c r="Q5" s="18" t="s">
        <v>6807</v>
      </c>
      <c r="R5" s="16" t="str">
        <f>TRIM(_xlfn.TEXTBEFORE(Q4, ":"))</f>
        <v>ความหายาก</v>
      </c>
      <c r="S5" s="18" t="s">
        <v>7834</v>
      </c>
      <c r="T5" s="20" t="str">
        <f>TRIM(_xlfn.TEXTBEFORE(S4, ":"))</f>
        <v>稀有度</v>
      </c>
    </row>
    <row r="6" spans="1:20" ht="15.95" customHeight="1" x14ac:dyDescent="0.25">
      <c r="A6" s="18" t="s">
        <v>6808</v>
      </c>
      <c r="B6" s="16" t="str">
        <f>TRIM(_xlfn.TEXTAFTER(A4,":"))</f>
        <v>Rare</v>
      </c>
      <c r="C6" s="18" t="s">
        <v>6864</v>
      </c>
      <c r="D6" s="16" t="str">
        <f>TRIM(_xlfn.TEXTAFTER(C4,":"))</f>
        <v>Selten</v>
      </c>
      <c r="E6" s="18" t="s">
        <v>6973</v>
      </c>
      <c r="F6" s="16" t="str">
        <f>TRIM(_xlfn.TEXTAFTER(E4,":"))</f>
        <v>Raro</v>
      </c>
      <c r="G6" s="18" t="s">
        <v>6836</v>
      </c>
      <c r="H6" s="16" t="str">
        <f>TRIM(_xlfn.TEXTAFTER(G4,":"))</f>
        <v>Rare</v>
      </c>
      <c r="I6" s="18" t="s">
        <v>7034</v>
      </c>
      <c r="J6" s="16" t="str">
        <f>TRIM(_xlfn.TEXTAFTER(I4,":"))</f>
        <v>レア</v>
      </c>
      <c r="K6" s="18" t="s">
        <v>7003</v>
      </c>
      <c r="L6" s="16" t="str">
        <f>TRIM(_xlfn.TEXTAFTER(K4,":"))</f>
        <v>희귀</v>
      </c>
      <c r="M6" s="18" t="s">
        <v>6893</v>
      </c>
      <c r="N6" s="16" t="str">
        <f>TRIM(_xlfn.TEXTAFTER(M4,":"))</f>
        <v>Raro</v>
      </c>
      <c r="O6" s="18" t="s">
        <v>6808</v>
      </c>
      <c r="P6" s="16" t="str">
        <f>TRIM(_xlfn.TEXTAFTER(O4,":"))</f>
        <v>Редкий</v>
      </c>
      <c r="Q6" s="18" t="s">
        <v>6808</v>
      </c>
      <c r="R6" s="16" t="str">
        <f>TRIM(_xlfn.TEXTAFTER(Q4,":"))</f>
        <v>แรร์</v>
      </c>
      <c r="S6" s="18" t="s">
        <v>7835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6789</v>
      </c>
      <c r="B8" s="16"/>
      <c r="C8" s="18" t="s">
        <v>6847</v>
      </c>
      <c r="D8" s="16"/>
      <c r="E8" s="18" t="s">
        <v>6957</v>
      </c>
      <c r="F8" s="16"/>
      <c r="G8" s="18" t="s">
        <v>6820</v>
      </c>
      <c r="H8" s="16"/>
      <c r="I8" s="18" t="s">
        <v>7015</v>
      </c>
      <c r="J8" s="16"/>
      <c r="K8" s="18" t="s">
        <v>6984</v>
      </c>
      <c r="L8" s="16"/>
      <c r="M8" s="18" t="s">
        <v>6876</v>
      </c>
      <c r="N8" s="16"/>
      <c r="O8" s="18" t="s">
        <v>6905</v>
      </c>
      <c r="P8" s="16"/>
      <c r="Q8" s="18" t="s">
        <v>6934</v>
      </c>
      <c r="R8" s="16"/>
      <c r="S8" s="18" t="s">
        <v>7818</v>
      </c>
      <c r="T8" s="20"/>
    </row>
    <row r="9" spans="1:20" ht="15.95" customHeight="1" x14ac:dyDescent="0.25">
      <c r="A9" s="18" t="s">
        <v>6809</v>
      </c>
      <c r="B9" s="16" t="str">
        <f>TRIM(_xlfn.TEXTBEFORE(A9,":"))</f>
        <v>Lightning Damage</v>
      </c>
      <c r="C9" s="18" t="s">
        <v>6865</v>
      </c>
      <c r="D9" s="16" t="str">
        <f>TRIM(_xlfn.TEXTBEFORE(C9,":"))</f>
        <v>Blitzschaden</v>
      </c>
      <c r="E9" s="18" t="s">
        <v>6974</v>
      </c>
      <c r="F9" s="16" t="str">
        <f>TRIM(_xlfn.TEXTBEFORE(E9,":"))</f>
        <v>Daño de rayo</v>
      </c>
      <c r="G9" s="18" t="s">
        <v>6837</v>
      </c>
      <c r="H9" s="16" t="str">
        <f>TRIM(_xlfn.TEXTBEFORE(G9,":"))</f>
        <v>Dégâts de foudre</v>
      </c>
      <c r="I9" s="18" t="s">
        <v>7035</v>
      </c>
      <c r="J9" s="16" t="str">
        <f>TRIM(_xlfn.TEXTBEFORE(I9,":"))</f>
        <v>雷ダメージ</v>
      </c>
      <c r="K9" s="18" t="s">
        <v>7004</v>
      </c>
      <c r="L9" s="16" t="str">
        <f>TRIM(_xlfn.TEXTBEFORE(K9,":"))</f>
        <v>번개 피해</v>
      </c>
      <c r="M9" s="18" t="s">
        <v>6894</v>
      </c>
      <c r="N9" s="16" t="str">
        <f>TRIM(_xlfn.TEXTBEFORE(M9,":"))</f>
        <v>Dano de Raio</v>
      </c>
      <c r="O9" s="18" t="s">
        <v>6924</v>
      </c>
      <c r="P9" s="16" t="str">
        <f>TRIM(_xlfn.TEXTBEFORE(O9,":"))</f>
        <v>Урон от молнии</v>
      </c>
      <c r="Q9" s="18" t="s">
        <v>6948</v>
      </c>
      <c r="R9" s="16" t="str">
        <f>TRIM(_xlfn.TEXTBEFORE(Q9,":"))</f>
        <v>ความเสียหายน้ำสายฟ้า</v>
      </c>
      <c r="S9" s="18" t="s">
        <v>7836</v>
      </c>
      <c r="T9" s="16" t="str">
        <f>TRIM(_xlfn.TEXTBEFORE(S9,":"))</f>
        <v>閃電傷害</v>
      </c>
    </row>
    <row r="10" spans="1:20" ht="15.95" customHeight="1" x14ac:dyDescent="0.25">
      <c r="A10" s="18" t="s">
        <v>6791</v>
      </c>
      <c r="B10" s="16"/>
      <c r="C10" s="18" t="s">
        <v>2109</v>
      </c>
      <c r="D10" s="16"/>
      <c r="E10" s="18" t="s">
        <v>6959</v>
      </c>
      <c r="F10" s="16"/>
      <c r="G10" s="18" t="s">
        <v>6822</v>
      </c>
      <c r="H10" s="16"/>
      <c r="I10" s="18" t="s">
        <v>7017</v>
      </c>
      <c r="J10" s="16"/>
      <c r="K10" s="18" t="s">
        <v>6986</v>
      </c>
      <c r="L10" s="16"/>
      <c r="M10" s="18" t="s">
        <v>6878</v>
      </c>
      <c r="N10" s="16"/>
      <c r="O10" s="18" t="s">
        <v>6907</v>
      </c>
      <c r="P10" s="16"/>
      <c r="Q10" s="18" t="s">
        <v>6936</v>
      </c>
      <c r="R10" s="16"/>
      <c r="S10" s="18" t="s">
        <v>7542</v>
      </c>
      <c r="T10" s="20"/>
    </row>
    <row r="11" spans="1:20" ht="15.95" customHeight="1" x14ac:dyDescent="0.25">
      <c r="A11" s="18" t="s">
        <v>289</v>
      </c>
      <c r="B11" s="16"/>
      <c r="C11" s="18" t="s">
        <v>2200</v>
      </c>
      <c r="D11" s="16"/>
      <c r="E11" s="18" t="s">
        <v>2919</v>
      </c>
      <c r="F11" s="16"/>
      <c r="G11" s="18" t="s">
        <v>1453</v>
      </c>
      <c r="H11" s="16"/>
      <c r="I11" s="18" t="s">
        <v>3661</v>
      </c>
      <c r="J11" s="16"/>
      <c r="K11" s="18" t="s">
        <v>4399</v>
      </c>
      <c r="L11" s="16"/>
      <c r="M11" s="18" t="s">
        <v>5069</v>
      </c>
      <c r="N11" s="16"/>
      <c r="O11" s="18" t="s">
        <v>5816</v>
      </c>
      <c r="P11" s="16"/>
      <c r="Q11" s="18" t="s">
        <v>6450</v>
      </c>
      <c r="R11" s="16"/>
      <c r="S11" s="18" t="s">
        <v>7837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v>
      </c>
      <c r="B13" s="16"/>
      <c r="C13" s="18" t="s">
        <v>1590</v>
      </c>
      <c r="D13" s="16"/>
      <c r="E13" s="18" t="s">
        <v>2309</v>
      </c>
      <c r="F13" s="16"/>
      <c r="G13" s="18" t="s">
        <v>5</v>
      </c>
      <c r="H13" s="16"/>
      <c r="I13" s="18" t="s">
        <v>3019</v>
      </c>
      <c r="J13" s="16"/>
      <c r="K13" s="18" t="s">
        <v>3773</v>
      </c>
      <c r="L13" s="16"/>
      <c r="M13" s="18" t="s">
        <v>2309</v>
      </c>
      <c r="N13" s="16"/>
      <c r="O13" s="18" t="s">
        <v>5184</v>
      </c>
      <c r="P13" s="16"/>
      <c r="Q13" s="18" t="s">
        <v>5929</v>
      </c>
      <c r="R13" s="16"/>
      <c r="S13" s="18" t="s">
        <v>7498</v>
      </c>
      <c r="T13" s="20"/>
    </row>
    <row r="14" spans="1:20" ht="15.95" customHeight="1" x14ac:dyDescent="0.25">
      <c r="A14" s="18" t="s">
        <v>790</v>
      </c>
      <c r="B14" s="16"/>
      <c r="C14" s="18" t="s">
        <v>1866</v>
      </c>
      <c r="D14" s="16"/>
      <c r="E14" s="18" t="s">
        <v>2584</v>
      </c>
      <c r="F14" s="16"/>
      <c r="G14" s="18" t="s">
        <v>1129</v>
      </c>
      <c r="H14" s="16"/>
      <c r="I14" s="18" t="s">
        <v>3308</v>
      </c>
      <c r="J14" s="16"/>
      <c r="K14" s="18" t="s">
        <v>4053</v>
      </c>
      <c r="L14" s="16"/>
      <c r="M14" s="18" t="s">
        <v>4774</v>
      </c>
      <c r="N14" s="16"/>
      <c r="O14" s="18" t="s">
        <v>5467</v>
      </c>
      <c r="P14" s="16"/>
      <c r="Q14" s="18" t="s">
        <v>6174</v>
      </c>
      <c r="R14" s="16"/>
      <c r="S14" s="18" t="s">
        <v>7821</v>
      </c>
      <c r="T14" s="20"/>
    </row>
    <row r="15" spans="1:20" ht="15.95" customHeight="1" x14ac:dyDescent="0.25">
      <c r="A15" s="18" t="s">
        <v>6792</v>
      </c>
      <c r="B15" s="16"/>
      <c r="C15" s="18" t="s">
        <v>6849</v>
      </c>
      <c r="D15" s="16"/>
      <c r="E15" s="18" t="s">
        <v>6879</v>
      </c>
      <c r="F15" s="16"/>
      <c r="G15" s="18" t="s">
        <v>6792</v>
      </c>
      <c r="H15" s="16"/>
      <c r="I15" s="18" t="s">
        <v>7018</v>
      </c>
      <c r="J15" s="16"/>
      <c r="K15" s="18" t="s">
        <v>6987</v>
      </c>
      <c r="L15" s="16"/>
      <c r="M15" s="18" t="s">
        <v>6879</v>
      </c>
      <c r="N15" s="16"/>
      <c r="O15" s="18" t="s">
        <v>6908</v>
      </c>
      <c r="P15" s="16"/>
      <c r="Q15" s="18" t="s">
        <v>6792</v>
      </c>
      <c r="R15" s="16"/>
      <c r="S15" s="18" t="s">
        <v>7822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640</v>
      </c>
      <c r="B17" s="16"/>
      <c r="C17" s="18" t="s">
        <v>1758</v>
      </c>
      <c r="D17" s="16"/>
      <c r="E17" s="18" t="s">
        <v>2477</v>
      </c>
      <c r="F17" s="16"/>
      <c r="G17" s="18" t="s">
        <v>1026</v>
      </c>
      <c r="H17" s="16"/>
      <c r="I17" s="18" t="s">
        <v>3195</v>
      </c>
      <c r="J17" s="16"/>
      <c r="K17" s="18" t="s">
        <v>3942</v>
      </c>
      <c r="L17" s="16"/>
      <c r="M17" s="18" t="s">
        <v>4671</v>
      </c>
      <c r="N17" s="16"/>
      <c r="O17" s="18" t="s">
        <v>5356</v>
      </c>
      <c r="P17" s="16"/>
      <c r="Q17" s="18" t="s">
        <v>6085</v>
      </c>
      <c r="R17" s="16"/>
      <c r="S17" s="18" t="s">
        <v>7529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6794</v>
      </c>
      <c r="B19" s="16"/>
      <c r="C19" s="18" t="s">
        <v>6851</v>
      </c>
      <c r="D19" s="16"/>
      <c r="E19" s="18" t="s">
        <v>6961</v>
      </c>
      <c r="F19" s="16"/>
      <c r="G19" s="18" t="s">
        <v>6824</v>
      </c>
      <c r="H19" s="16"/>
      <c r="I19" s="18" t="s">
        <v>7020</v>
      </c>
      <c r="J19" s="16"/>
      <c r="K19" s="18" t="s">
        <v>6989</v>
      </c>
      <c r="L19" s="16"/>
      <c r="M19" s="18" t="s">
        <v>6881</v>
      </c>
      <c r="N19" s="16"/>
      <c r="O19" s="18" t="s">
        <v>6910</v>
      </c>
      <c r="P19" s="16"/>
      <c r="Q19" s="18" t="s">
        <v>6938</v>
      </c>
      <c r="R19" s="16"/>
      <c r="S19" s="18" t="s">
        <v>7824</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6810</v>
      </c>
      <c r="B21" s="16"/>
      <c r="C21" s="18" t="s">
        <v>6866</v>
      </c>
      <c r="D21" s="16"/>
      <c r="E21" s="18" t="s">
        <v>6975</v>
      </c>
      <c r="F21" s="16"/>
      <c r="G21" s="18" t="s">
        <v>6838</v>
      </c>
      <c r="H21" s="16"/>
      <c r="I21" s="18" t="s">
        <v>7036</v>
      </c>
      <c r="J21" s="16"/>
      <c r="K21" s="18" t="s">
        <v>7005</v>
      </c>
      <c r="L21" s="16"/>
      <c r="M21" s="18" t="s">
        <v>6895</v>
      </c>
      <c r="N21" s="16"/>
      <c r="O21" s="18" t="s">
        <v>6925</v>
      </c>
      <c r="P21" s="16"/>
      <c r="Q21" s="18" t="s">
        <v>6949</v>
      </c>
      <c r="R21" s="16"/>
      <c r="S21" s="18" t="s">
        <v>7838</v>
      </c>
      <c r="T21" s="20"/>
    </row>
    <row r="22" spans="1:20" ht="15.95" customHeight="1" x14ac:dyDescent="0.25">
      <c r="A22" s="18" t="s">
        <v>297</v>
      </c>
      <c r="B22" s="16"/>
      <c r="C22" s="18" t="s">
        <v>2204</v>
      </c>
      <c r="D22" s="16"/>
      <c r="E22" s="18" t="s">
        <v>2924</v>
      </c>
      <c r="F22" s="16"/>
      <c r="G22" s="18" t="s">
        <v>1458</v>
      </c>
      <c r="H22" s="16"/>
      <c r="I22" s="18" t="s">
        <v>3666</v>
      </c>
      <c r="J22" s="16"/>
      <c r="K22" s="18" t="s">
        <v>4404</v>
      </c>
      <c r="L22" s="16"/>
      <c r="M22" s="18" t="s">
        <v>5073</v>
      </c>
      <c r="N22" s="16"/>
      <c r="O22" s="18" t="s">
        <v>5821</v>
      </c>
      <c r="P22" s="16"/>
      <c r="Q22" s="18" t="s">
        <v>6454</v>
      </c>
      <c r="R22" s="16"/>
      <c r="S22" s="18" t="s">
        <v>7839</v>
      </c>
      <c r="T22" s="20"/>
    </row>
    <row r="23" spans="1:20" ht="15.95" customHeight="1" x14ac:dyDescent="0.25">
      <c r="A23" s="18" t="s">
        <v>6811</v>
      </c>
      <c r="B23" s="16"/>
      <c r="C23" s="18" t="s">
        <v>6867</v>
      </c>
      <c r="D23" s="16"/>
      <c r="E23" s="18" t="s">
        <v>6976</v>
      </c>
      <c r="F23" s="16"/>
      <c r="G23" s="18" t="s">
        <v>6839</v>
      </c>
      <c r="H23" s="16"/>
      <c r="I23" s="18" t="s">
        <v>7037</v>
      </c>
      <c r="J23" s="16"/>
      <c r="K23" s="18" t="s">
        <v>7006</v>
      </c>
      <c r="L23" s="16"/>
      <c r="M23" s="18" t="s">
        <v>6896</v>
      </c>
      <c r="N23" s="16"/>
      <c r="O23" s="18" t="s">
        <v>6926</v>
      </c>
      <c r="P23" s="16"/>
      <c r="Q23" s="18" t="s">
        <v>6950</v>
      </c>
      <c r="R23" s="16"/>
      <c r="S23" s="18" t="s">
        <v>7840</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1" stopIfTrue="1">
      <formula>NOT(ISERROR(A3))</formula>
    </cfRule>
  </conditionalFormatting>
  <conditionalFormatting sqref="A3:T8 A9 C9 E9 G9 I9 K9 M9 O9 Q9 S9:T9 A10:T51">
    <cfRule type="notContainsBlanks" dxfId="85" priority="22">
      <formula>LEN(TRIM(A3))&gt;0</formula>
    </cfRule>
  </conditionalFormatting>
  <conditionalFormatting sqref="A3:T51">
    <cfRule type="containsErrors" dxfId="84" priority="2" stopIfTrue="1">
      <formula>ISERROR(A3)</formula>
    </cfRule>
  </conditionalFormatting>
  <conditionalFormatting sqref="B9">
    <cfRule type="notContainsBlanks" dxfId="83" priority="19">
      <formula>LEN(TRIM(B9))&gt;0</formula>
    </cfRule>
  </conditionalFormatting>
  <conditionalFormatting sqref="D9">
    <cfRule type="notContainsBlanks" dxfId="82" priority="17">
      <formula>LEN(TRIM(D9))&gt;0</formula>
    </cfRule>
  </conditionalFormatting>
  <conditionalFormatting sqref="F9">
    <cfRule type="notContainsBlanks" dxfId="81" priority="15">
      <formula>LEN(TRIM(F9))&gt;0</formula>
    </cfRule>
  </conditionalFormatting>
  <conditionalFormatting sqref="H9">
    <cfRule type="notContainsBlanks" dxfId="80" priority="13">
      <formula>LEN(TRIM(H9))&gt;0</formula>
    </cfRule>
  </conditionalFormatting>
  <conditionalFormatting sqref="J9">
    <cfRule type="notContainsBlanks" dxfId="79" priority="11">
      <formula>LEN(TRIM(J9))&gt;0</formula>
    </cfRule>
  </conditionalFormatting>
  <conditionalFormatting sqref="L9">
    <cfRule type="notContainsBlanks" dxfId="78" priority="9">
      <formula>LEN(TRIM(L9))&gt;0</formula>
    </cfRule>
  </conditionalFormatting>
  <conditionalFormatting sqref="N9">
    <cfRule type="notContainsBlanks" dxfId="77" priority="7">
      <formula>LEN(TRIM(N9))&gt;0</formula>
    </cfRule>
  </conditionalFormatting>
  <conditionalFormatting sqref="P9">
    <cfRule type="notContainsBlanks" dxfId="76" priority="5">
      <formula>LEN(TRIM(P9))&gt;0</formula>
    </cfRule>
  </conditionalFormatting>
  <conditionalFormatting sqref="R9">
    <cfRule type="notContainsBlanks" dxfId="75" priority="3">
      <formula>LEN(TRIM(R9))&gt;0</formula>
    </cfRule>
  </conditionalFormatting>
  <conditionalFormatting sqref="T9">
    <cfRule type="notContainsBlanks" dxfId="74"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340</v>
      </c>
      <c r="B3" s="16" t="str">
        <f>TRIM(_xlfn.TEXTBEFORE(A3, ":"))</f>
        <v>Item Class</v>
      </c>
      <c r="C3" s="17" t="s">
        <v>1962</v>
      </c>
      <c r="D3" s="16" t="str">
        <f>TRIM(_xlfn.TEXTBEFORE(C3, ":"))</f>
        <v>Gegenstandsklasse</v>
      </c>
      <c r="E3" s="17" t="s">
        <v>2683</v>
      </c>
      <c r="F3" s="16" t="str">
        <f>TRIM(_xlfn.TEXTBEFORE(E3, ":"))</f>
        <v>Clase de objeto</v>
      </c>
      <c r="G3" s="17" t="s">
        <v>1219</v>
      </c>
      <c r="H3" s="16" t="str">
        <f>TRIM(_xlfn.TEXTBEFORE(G3, ":"))</f>
        <v>Classe d'objet</v>
      </c>
      <c r="I3" s="17" t="s">
        <v>3410</v>
      </c>
      <c r="J3" s="16" t="str">
        <f>TRIM(_xlfn.TEXTBEFORE(I3, ":"))</f>
        <v>アイテムクラス</v>
      </c>
      <c r="K3" s="17" t="s">
        <v>4154</v>
      </c>
      <c r="L3" s="16" t="str">
        <f>TRIM(_xlfn.TEXTBEFORE(K3, ":"))</f>
        <v>아이템 종류</v>
      </c>
      <c r="M3" s="17" t="s">
        <v>4863</v>
      </c>
      <c r="N3" s="16" t="str">
        <f>TRIM(_xlfn.TEXTBEFORE(M3, ":"))</f>
        <v>Classe do Item</v>
      </c>
      <c r="O3" s="17" t="s">
        <v>5568</v>
      </c>
      <c r="P3" s="16" t="str">
        <f>TRIM(_xlfn.TEXTBEFORE(O3, ":"))</f>
        <v>Класс предмета</v>
      </c>
      <c r="Q3" s="17" t="s">
        <v>6253</v>
      </c>
      <c r="R3" s="16" t="str">
        <f>TRIM(_xlfn.TEXTBEFORE(Q3, ":"))</f>
        <v>ชนิดไอเทม</v>
      </c>
      <c r="S3" s="16" t="s">
        <v>7816</v>
      </c>
      <c r="T3" s="20" t="str">
        <f>TRIM(_xlfn.TEXTBEFORE(S3, ":"))</f>
        <v>物品種類</v>
      </c>
    </row>
    <row r="4" spans="1:20" ht="15.95" customHeight="1" x14ac:dyDescent="0.25">
      <c r="A4" s="18" t="s">
        <v>471</v>
      </c>
      <c r="B4" s="16" t="str">
        <f>TRIM(_xlfn.TEXTAFTER(A3, ":"))</f>
        <v>Bows</v>
      </c>
      <c r="C4" s="18" t="s">
        <v>1682</v>
      </c>
      <c r="D4" s="16" t="str">
        <f>TRIM(_xlfn.TEXTAFTER(C3, ":"))</f>
        <v>Bögen</v>
      </c>
      <c r="E4" s="18" t="s">
        <v>2401</v>
      </c>
      <c r="F4" s="16" t="str">
        <f>TRIM(_xlfn.TEXTAFTER(E3, ":"))</f>
        <v>Arcos</v>
      </c>
      <c r="G4" s="18" t="s">
        <v>949</v>
      </c>
      <c r="H4" s="16" t="str">
        <f>TRIM(_xlfn.TEXTAFTER(G3, ":"))</f>
        <v>Arcs</v>
      </c>
      <c r="I4" s="18" t="s">
        <v>3119</v>
      </c>
      <c r="J4" s="16" t="str">
        <f>TRIM(_xlfn.TEXTAFTER(I3, ":"))</f>
        <v>弓</v>
      </c>
      <c r="K4" s="18" t="s">
        <v>3866</v>
      </c>
      <c r="L4" s="16" t="str">
        <f>TRIM(_xlfn.TEXTAFTER(K3, ":"))</f>
        <v>활</v>
      </c>
      <c r="M4" s="18" t="s">
        <v>4596</v>
      </c>
      <c r="N4" s="16" t="str">
        <f>TRIM(_xlfn.TEXTAFTER(M3, ":"))</f>
        <v>Arcos</v>
      </c>
      <c r="O4" s="18" t="s">
        <v>5279</v>
      </c>
      <c r="P4" s="16" t="str">
        <f>TRIM(_xlfn.TEXTAFTER(O3, ":"))</f>
        <v>Луки</v>
      </c>
      <c r="Q4" s="18" t="s">
        <v>6013</v>
      </c>
      <c r="R4" s="16" t="str">
        <f>TRIM(_xlfn.TEXTAFTER(Q3, ":"))</f>
        <v>ธนู</v>
      </c>
      <c r="S4" s="16" t="s">
        <v>7495</v>
      </c>
      <c r="T4" s="20" t="str">
        <f>TRIM(_xlfn.TEXTAFTER(S3, ":"))</f>
        <v>弓</v>
      </c>
    </row>
    <row r="5" spans="1:20" ht="15.95" customHeight="1" x14ac:dyDescent="0.25">
      <c r="A5" s="18" t="s">
        <v>6812</v>
      </c>
      <c r="B5" s="16" t="str">
        <f>TRIM(_xlfn.TEXTBEFORE(A4, ":"))</f>
        <v>Rarity</v>
      </c>
      <c r="C5" s="18" t="s">
        <v>6868</v>
      </c>
      <c r="D5" s="16" t="str">
        <f>TRIM(_xlfn.TEXTBEFORE(C4, ":"))</f>
        <v>Seltenheit</v>
      </c>
      <c r="E5" s="18" t="s">
        <v>6977</v>
      </c>
      <c r="F5" s="16" t="str">
        <f>TRIM(_xlfn.TEXTBEFORE(E4, ":"))</f>
        <v>Rareza</v>
      </c>
      <c r="G5" s="18" t="s">
        <v>6840</v>
      </c>
      <c r="H5" s="16" t="str">
        <f>TRIM(_xlfn.TEXTBEFORE(G4, ":"))</f>
        <v>Rareté</v>
      </c>
      <c r="I5" s="18" t="s">
        <v>7038</v>
      </c>
      <c r="J5" s="16" t="str">
        <f>TRIM(_xlfn.TEXTBEFORE(I4, ":"))</f>
        <v>レアリティ</v>
      </c>
      <c r="K5" s="18" t="s">
        <v>7007</v>
      </c>
      <c r="L5" s="16" t="str">
        <f>TRIM(_xlfn.TEXTBEFORE(K4, ":"))</f>
        <v>아이템 희귀도</v>
      </c>
      <c r="M5" s="18" t="s">
        <v>6897</v>
      </c>
      <c r="N5" s="16" t="str">
        <f>TRIM(_xlfn.TEXTBEFORE(M4, ":"))</f>
        <v>Raridade</v>
      </c>
      <c r="O5" s="18" t="s">
        <v>6927</v>
      </c>
      <c r="P5" s="16" t="str">
        <f>TRIM(_xlfn.TEXTBEFORE(O4, ":"))</f>
        <v>Редкость</v>
      </c>
      <c r="Q5" s="18" t="s">
        <v>6812</v>
      </c>
      <c r="R5" s="16" t="str">
        <f>TRIM(_xlfn.TEXTBEFORE(Q4, ":"))</f>
        <v>ความหายาก</v>
      </c>
      <c r="S5" s="18" t="s">
        <v>7841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6813</v>
      </c>
      <c r="B7" s="16" t="str">
        <f>TRIM(_xlfn.TEXTBEFORE(A7,":"))</f>
        <v>Chaos Damage</v>
      </c>
      <c r="C7" s="18" t="s">
        <v>6869</v>
      </c>
      <c r="D7" s="16" t="str">
        <f>TRIM(_xlfn.TEXTBEFORE(C7,":"))</f>
        <v>Chaosschaden</v>
      </c>
      <c r="E7" s="18" t="s">
        <v>6978</v>
      </c>
      <c r="F7" s="16" t="str">
        <f>TRIM(_xlfn.TEXTBEFORE(E7,":"))</f>
        <v>Daño de caos</v>
      </c>
      <c r="G7" s="18" t="s">
        <v>6841</v>
      </c>
      <c r="H7" s="16" t="str">
        <f>TRIM(_xlfn.TEXTBEFORE(G7,":"))</f>
        <v>Dégâts de Chaos</v>
      </c>
      <c r="I7" s="18" t="s">
        <v>7039</v>
      </c>
      <c r="J7" s="16" t="str">
        <f>TRIM(_xlfn.TEXTBEFORE(I7,":"))</f>
        <v>混沌ダメージ</v>
      </c>
      <c r="K7" s="18" t="s">
        <v>7008</v>
      </c>
      <c r="L7" s="16" t="str">
        <f>TRIM(_xlfn.TEXTBEFORE(K7,":"))</f>
        <v>카오스 피해</v>
      </c>
      <c r="M7" s="18" t="s">
        <v>6898</v>
      </c>
      <c r="N7" s="16" t="str">
        <f>TRIM(_xlfn.TEXTBEFORE(M7,":"))</f>
        <v>Dano de Caos</v>
      </c>
      <c r="O7" s="18" t="s">
        <v>6928</v>
      </c>
      <c r="P7" s="16" t="str">
        <f>TRIM(_xlfn.TEXTBEFORE(O7,":"))</f>
        <v>Урон хаосом</v>
      </c>
      <c r="Q7" s="18" t="s">
        <v>6951</v>
      </c>
      <c r="R7" s="16" t="str">
        <f>TRIM(_xlfn.TEXTBEFORE(Q7,":"))</f>
        <v>ความเสียหายเคออส</v>
      </c>
      <c r="S7" s="18" t="s">
        <v>7842</v>
      </c>
      <c r="T7" s="20"/>
    </row>
    <row r="8" spans="1:20" ht="15.95" customHeight="1" x14ac:dyDescent="0.25">
      <c r="A8" s="18" t="s">
        <v>6791</v>
      </c>
      <c r="B8" s="16"/>
      <c r="C8" s="18" t="s">
        <v>2109</v>
      </c>
      <c r="D8" s="16"/>
      <c r="E8" s="18" t="s">
        <v>6959</v>
      </c>
      <c r="F8" s="16"/>
      <c r="G8" s="18" t="s">
        <v>6822</v>
      </c>
      <c r="H8" s="16"/>
      <c r="I8" s="18" t="s">
        <v>7017</v>
      </c>
      <c r="J8" s="16"/>
      <c r="K8" s="18" t="s">
        <v>6986</v>
      </c>
      <c r="L8" s="16"/>
      <c r="M8" s="18" t="s">
        <v>6878</v>
      </c>
      <c r="N8" s="16"/>
      <c r="O8" s="18" t="s">
        <v>6907</v>
      </c>
      <c r="P8" s="16"/>
      <c r="Q8" s="18" t="s">
        <v>6936</v>
      </c>
      <c r="R8" s="16"/>
      <c r="S8" s="18" t="s">
        <v>7542</v>
      </c>
      <c r="T8" s="20"/>
    </row>
    <row r="9" spans="1:20" ht="15.95" customHeight="1" x14ac:dyDescent="0.25">
      <c r="A9" s="18" t="s">
        <v>1539</v>
      </c>
      <c r="B9" s="16"/>
      <c r="C9" s="18" t="s">
        <v>2281</v>
      </c>
      <c r="D9" s="16"/>
      <c r="E9" s="18" t="s">
        <v>3002</v>
      </c>
      <c r="F9" s="16"/>
      <c r="G9" s="18" t="s">
        <v>1558</v>
      </c>
      <c r="H9" s="16"/>
      <c r="I9" s="18" t="s">
        <v>3744</v>
      </c>
      <c r="J9" s="16"/>
      <c r="K9" s="18" t="s">
        <v>4482</v>
      </c>
      <c r="L9" s="16"/>
      <c r="M9" s="18" t="s">
        <v>5150</v>
      </c>
      <c r="N9" s="16"/>
      <c r="O9" s="18" t="s">
        <v>5900</v>
      </c>
      <c r="P9" s="16"/>
      <c r="Q9" s="18" t="s">
        <v>6523</v>
      </c>
      <c r="R9" s="16"/>
      <c r="S9" s="18" t="s">
        <v>7820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t="s">
        <v>7498</v>
      </c>
      <c r="T11" s="20"/>
    </row>
    <row r="12" spans="1:20" ht="15.95" customHeight="1" x14ac:dyDescent="0.25">
      <c r="A12" s="18" t="s">
        <v>6814</v>
      </c>
      <c r="B12" s="16"/>
      <c r="C12" s="18" t="s">
        <v>6870</v>
      </c>
      <c r="D12" s="16"/>
      <c r="E12" s="18" t="s">
        <v>6979</v>
      </c>
      <c r="F12" s="16"/>
      <c r="G12" s="18" t="s">
        <v>6842</v>
      </c>
      <c r="H12" s="16"/>
      <c r="I12" s="18" t="s">
        <v>7040</v>
      </c>
      <c r="J12" s="16"/>
      <c r="K12" s="18" t="s">
        <v>7009</v>
      </c>
      <c r="L12" s="16"/>
      <c r="M12" s="18" t="s">
        <v>6899</v>
      </c>
      <c r="N12" s="16"/>
      <c r="O12" s="18" t="s">
        <v>6929</v>
      </c>
      <c r="P12" s="16"/>
      <c r="Q12" s="18" t="s">
        <v>6952</v>
      </c>
      <c r="R12" s="16"/>
      <c r="S12" s="18" t="s">
        <v>7569</v>
      </c>
      <c r="T12" s="20"/>
    </row>
    <row r="13" spans="1:20" ht="15.95" customHeight="1" x14ac:dyDescent="0.25">
      <c r="A13" s="18" t="s">
        <v>6815</v>
      </c>
      <c r="B13" s="16"/>
      <c r="C13" s="18" t="s">
        <v>6871</v>
      </c>
      <c r="D13" s="16"/>
      <c r="E13" s="18" t="s">
        <v>6900</v>
      </c>
      <c r="F13" s="16"/>
      <c r="G13" s="18" t="s">
        <v>6815</v>
      </c>
      <c r="H13" s="16"/>
      <c r="I13" s="18" t="s">
        <v>7041</v>
      </c>
      <c r="J13" s="16"/>
      <c r="K13" s="18" t="s">
        <v>7010</v>
      </c>
      <c r="L13" s="16"/>
      <c r="M13" s="18" t="s">
        <v>6900</v>
      </c>
      <c r="N13" s="16"/>
      <c r="O13" s="18" t="s">
        <v>6930</v>
      </c>
      <c r="P13" s="16"/>
      <c r="Q13" s="18" t="s">
        <v>6815</v>
      </c>
      <c r="R13" s="16"/>
      <c r="S13" s="18" t="s">
        <v>7843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6793</v>
      </c>
      <c r="B15" s="16"/>
      <c r="C15" s="18" t="s">
        <v>6850</v>
      </c>
      <c r="D15" s="16"/>
      <c r="E15" s="18" t="s">
        <v>6960</v>
      </c>
      <c r="F15" s="16"/>
      <c r="G15" s="18" t="s">
        <v>6823</v>
      </c>
      <c r="H15" s="16"/>
      <c r="I15" s="18" t="s">
        <v>7019</v>
      </c>
      <c r="J15" s="16"/>
      <c r="K15" s="18" t="s">
        <v>6988</v>
      </c>
      <c r="L15" s="16"/>
      <c r="M15" s="18" t="s">
        <v>6880</v>
      </c>
      <c r="N15" s="16"/>
      <c r="O15" s="18" t="s">
        <v>6909</v>
      </c>
      <c r="P15" s="16"/>
      <c r="Q15" s="18" t="s">
        <v>6937</v>
      </c>
      <c r="R15" s="16"/>
      <c r="S15" s="18" t="s">
        <v>7823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6816</v>
      </c>
      <c r="B17" s="16"/>
      <c r="C17" s="18" t="s">
        <v>6872</v>
      </c>
      <c r="D17" s="16"/>
      <c r="E17" s="18" t="s">
        <v>6980</v>
      </c>
      <c r="F17" s="16"/>
      <c r="G17" s="18" t="s">
        <v>6843</v>
      </c>
      <c r="H17" s="16"/>
      <c r="I17" s="18" t="s">
        <v>7042</v>
      </c>
      <c r="J17" s="16"/>
      <c r="K17" s="18" t="s">
        <v>7011</v>
      </c>
      <c r="L17" s="16"/>
      <c r="M17" s="18" t="s">
        <v>6901</v>
      </c>
      <c r="N17" s="16"/>
      <c r="O17" s="18" t="s">
        <v>6931</v>
      </c>
      <c r="P17" s="16"/>
      <c r="Q17" s="18" t="s">
        <v>6953</v>
      </c>
      <c r="R17" s="16"/>
      <c r="S17" s="18" t="s">
        <v>7844</v>
      </c>
      <c r="T17" s="20"/>
    </row>
    <row r="18" spans="1:20" ht="15.95" customHeight="1" x14ac:dyDescent="0.25">
      <c r="A18" s="18" t="s">
        <v>6817</v>
      </c>
      <c r="B18" s="16"/>
      <c r="C18" s="18" t="s">
        <v>6873</v>
      </c>
      <c r="D18" s="16"/>
      <c r="E18" s="18" t="s">
        <v>6981</v>
      </c>
      <c r="F18" s="16"/>
      <c r="G18" s="18" t="s">
        <v>6844</v>
      </c>
      <c r="H18" s="16"/>
      <c r="I18" s="18" t="s">
        <v>7043</v>
      </c>
      <c r="J18" s="16"/>
      <c r="K18" s="18" t="s">
        <v>7012</v>
      </c>
      <c r="L18" s="16"/>
      <c r="M18" s="18" t="s">
        <v>6902</v>
      </c>
      <c r="N18" s="16"/>
      <c r="O18" s="18" t="s">
        <v>6932</v>
      </c>
      <c r="P18" s="16"/>
      <c r="Q18" s="18" t="s">
        <v>6954</v>
      </c>
      <c r="R18" s="16"/>
      <c r="S18" s="18" t="s">
        <v>7845</v>
      </c>
      <c r="T18" s="20"/>
    </row>
    <row r="19" spans="1:20" ht="15.95" customHeight="1" x14ac:dyDescent="0.25">
      <c r="A19" s="18" t="s">
        <v>6818</v>
      </c>
      <c r="B19" s="16"/>
      <c r="C19" s="18" t="s">
        <v>6874</v>
      </c>
      <c r="D19" s="16"/>
      <c r="E19" s="18" t="s">
        <v>6982</v>
      </c>
      <c r="F19" s="16"/>
      <c r="G19" s="18" t="s">
        <v>6845</v>
      </c>
      <c r="H19" s="16"/>
      <c r="I19" s="18" t="s">
        <v>7044</v>
      </c>
      <c r="J19" s="16"/>
      <c r="K19" s="18" t="s">
        <v>7013</v>
      </c>
      <c r="L19" s="16"/>
      <c r="M19" s="18" t="s">
        <v>6903</v>
      </c>
      <c r="N19" s="16"/>
      <c r="O19" s="18" t="s">
        <v>6933</v>
      </c>
      <c r="P19" s="16"/>
      <c r="Q19" s="18" t="s">
        <v>6955</v>
      </c>
      <c r="R19" s="16"/>
      <c r="S19" s="18" t="s">
        <v>7846</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73" priority="28" stopIfTrue="1">
      <formula>NOT(ISERROR(A3))</formula>
    </cfRule>
  </conditionalFormatting>
  <conditionalFormatting sqref="A3:R4 A5:T6 A7 C7 E7 G7 I7 K7 M7 O7 Q7 S7:T7 A8:T51">
    <cfRule type="notContainsBlanks" dxfId="72" priority="29">
      <formula>LEN(TRIM(A3))&gt;0</formula>
    </cfRule>
  </conditionalFormatting>
  <conditionalFormatting sqref="A3:T51">
    <cfRule type="containsErrors" dxfId="71" priority="1" stopIfTrue="1">
      <formula>ISERROR(A3)</formula>
    </cfRule>
  </conditionalFormatting>
  <conditionalFormatting sqref="B7">
    <cfRule type="notContainsBlanks" dxfId="70" priority="26">
      <formula>LEN(TRIM(B7))&gt;0</formula>
    </cfRule>
  </conditionalFormatting>
  <conditionalFormatting sqref="D7">
    <cfRule type="notContainsBlanks" dxfId="69" priority="24">
      <formula>LEN(TRIM(D7))&gt;0</formula>
    </cfRule>
  </conditionalFormatting>
  <conditionalFormatting sqref="F7">
    <cfRule type="notContainsBlanks" dxfId="68" priority="22">
      <formula>LEN(TRIM(F7))&gt;0</formula>
    </cfRule>
  </conditionalFormatting>
  <conditionalFormatting sqref="H7">
    <cfRule type="notContainsBlanks" dxfId="67" priority="20">
      <formula>LEN(TRIM(H7))&gt;0</formula>
    </cfRule>
  </conditionalFormatting>
  <conditionalFormatting sqref="J7">
    <cfRule type="notContainsBlanks" dxfId="66" priority="18">
      <formula>LEN(TRIM(J7))&gt;0</formula>
    </cfRule>
  </conditionalFormatting>
  <conditionalFormatting sqref="L7">
    <cfRule type="notContainsBlanks" dxfId="65" priority="16">
      <formula>LEN(TRIM(L7))&gt;0</formula>
    </cfRule>
  </conditionalFormatting>
  <conditionalFormatting sqref="N7">
    <cfRule type="notContainsBlanks" dxfId="64" priority="14">
      <formula>LEN(TRIM(N7))&gt;0</formula>
    </cfRule>
  </conditionalFormatting>
  <conditionalFormatting sqref="P7">
    <cfRule type="notContainsBlanks" dxfId="63" priority="12">
      <formula>LEN(TRIM(P7))&gt;0</formula>
    </cfRule>
  </conditionalFormatting>
  <conditionalFormatting sqref="R7">
    <cfRule type="notContainsBlanks" dxfId="62" priority="10">
      <formula>LEN(TRIM(R7))&gt;0</formula>
    </cfRule>
  </conditionalFormatting>
  <conditionalFormatting sqref="S3:T4">
    <cfRule type="notContainsBlanks" dxfId="61"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0" priority="2" stopIfTrue="1">
      <formula>NOT(ISERROR(A3))</formula>
    </cfRule>
  </conditionalFormatting>
  <conditionalFormatting sqref="A3:T51">
    <cfRule type="containsErrors" dxfId="59" priority="1" stopIfTrue="1">
      <formula>ISERROR(A3)</formula>
    </cfRule>
    <cfRule type="notContainsBlanks" dxfId="58"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dimension ref="A1:T51"/>
  <sheetViews>
    <sheetView workbookViewId="0">
      <selection activeCell="I3" sqref="I3:I16"/>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7053</v>
      </c>
      <c r="B3" s="16" t="str">
        <f>TRIM(_xlfn.TEXTBEFORE(A3, ":"))</f>
        <v>Item Class</v>
      </c>
      <c r="C3" s="17" t="s">
        <v>7213</v>
      </c>
      <c r="D3" s="16" t="str">
        <f>TRIM(_xlfn.TEXTBEFORE(C3, ":"))</f>
        <v>Gegenstandsklasse</v>
      </c>
      <c r="E3" s="17" t="s">
        <v>7590</v>
      </c>
      <c r="F3" s="16" t="str">
        <f>TRIM(_xlfn.TEXTBEFORE(E3, ":"))</f>
        <v>Clase de objeto</v>
      </c>
      <c r="G3" s="17" t="s">
        <v>7140</v>
      </c>
      <c r="H3" s="16" t="str">
        <f>TRIM(_xlfn.TEXTBEFORE(G3, ":"))</f>
        <v>Classe d'objet</v>
      </c>
      <c r="I3" s="17" t="s">
        <v>7738</v>
      </c>
      <c r="J3" s="16" t="str">
        <f>TRIM(_xlfn.TEXTBEFORE(I3, ":"))</f>
        <v>アイテムクラス</v>
      </c>
      <c r="K3" s="17" t="s">
        <v>7661</v>
      </c>
      <c r="L3" s="16" t="str">
        <f>TRIM(_xlfn.TEXTBEFORE(K3, ":"))</f>
        <v>아이템 종류</v>
      </c>
      <c r="M3" s="17" t="s">
        <v>7283</v>
      </c>
      <c r="N3" s="16" t="str">
        <f>TRIM(_xlfn.TEXTBEFORE(M3, ":"))</f>
        <v>Classe do Item</v>
      </c>
      <c r="O3" s="17" t="s">
        <v>7355</v>
      </c>
      <c r="P3" s="16" t="str">
        <f>TRIM(_xlfn.TEXTBEFORE(O3, ":"))</f>
        <v>Класс предмета</v>
      </c>
      <c r="Q3" s="17" t="s">
        <v>7429</v>
      </c>
      <c r="R3" s="16" t="str">
        <f>TRIM(_xlfn.TEXTBEFORE(Q3, ":"))</f>
        <v>ชนิดไอเทม</v>
      </c>
      <c r="S3" s="17" t="s">
        <v>7494</v>
      </c>
      <c r="T3" s="20" t="str">
        <f>TRIM(_xlfn.TEXTBEFORE(S3, ":"))</f>
        <v>物品種類</v>
      </c>
    </row>
    <row r="4" spans="1:20" ht="15.95" customHeight="1" x14ac:dyDescent="0.25">
      <c r="A4" s="18" t="s">
        <v>471</v>
      </c>
      <c r="B4" s="16" t="str">
        <f>TRIM(_xlfn.TEXTAFTER(A3, ":"))</f>
        <v>Foci</v>
      </c>
      <c r="C4" s="18" t="s">
        <v>1682</v>
      </c>
      <c r="D4" s="16" t="str">
        <f>TRIM(_xlfn.TEXTAFTER(C3, ":"))</f>
        <v>Fokusse</v>
      </c>
      <c r="E4" s="18" t="s">
        <v>2401</v>
      </c>
      <c r="F4" s="16" t="str">
        <f>TRIM(_xlfn.TEXTAFTER(E3, ":"))</f>
        <v>Focos</v>
      </c>
      <c r="G4" s="18" t="s">
        <v>949</v>
      </c>
      <c r="H4" s="16" t="str">
        <f>TRIM(_xlfn.TEXTAFTER(G3, ":"))</f>
        <v>Focus</v>
      </c>
      <c r="I4" s="18" t="s">
        <v>3119</v>
      </c>
      <c r="J4" s="16" t="str">
        <f>TRIM(_xlfn.TEXTAFTER(I3, ":"))</f>
        <v>フォーカス</v>
      </c>
      <c r="K4" s="18" t="s">
        <v>3866</v>
      </c>
      <c r="L4" s="16" t="str">
        <f>TRIM(_xlfn.TEXTAFTER(K3, ":"))</f>
        <v>집중구</v>
      </c>
      <c r="M4" s="18" t="s">
        <v>4596</v>
      </c>
      <c r="N4" s="16" t="str">
        <f>TRIM(_xlfn.TEXTAFTER(M3, ":"))</f>
        <v>Focos</v>
      </c>
      <c r="O4" s="18" t="s">
        <v>5279</v>
      </c>
      <c r="P4" s="16" t="str">
        <f>TRIM(_xlfn.TEXTAFTER(O3, ":"))</f>
        <v>Фокусы</v>
      </c>
      <c r="Q4" s="18" t="s">
        <v>6013</v>
      </c>
      <c r="R4" s="16" t="str">
        <f>TRIM(_xlfn.TEXTAFTER(Q3, ":"))</f>
        <v>โฟกัส</v>
      </c>
      <c r="S4" s="18" t="s">
        <v>7495</v>
      </c>
      <c r="T4" s="20" t="str">
        <f>TRIM(_xlfn.TEXTAFTER(S3, ":"))</f>
        <v>法器</v>
      </c>
    </row>
    <row r="5" spans="1:20" ht="15.95" customHeight="1" x14ac:dyDescent="0.25">
      <c r="A5" s="18" t="s">
        <v>7054</v>
      </c>
      <c r="B5" s="16" t="str">
        <f>TRIM(_xlfn.TEXTBEFORE(A4, ":"))</f>
        <v>Rarity</v>
      </c>
      <c r="C5" s="18" t="s">
        <v>7214</v>
      </c>
      <c r="D5" s="16" t="str">
        <f>TRIM(_xlfn.TEXTBEFORE(C4, ":"))</f>
        <v>Seltenheit</v>
      </c>
      <c r="E5" s="18" t="s">
        <v>7591</v>
      </c>
      <c r="F5" s="16" t="str">
        <f>TRIM(_xlfn.TEXTBEFORE(E4, ":"))</f>
        <v>Rareza</v>
      </c>
      <c r="G5" s="18" t="s">
        <v>7141</v>
      </c>
      <c r="H5" s="16" t="str">
        <f>TRIM(_xlfn.TEXTBEFORE(G4, ":"))</f>
        <v>Rareté</v>
      </c>
      <c r="I5" s="18" t="s">
        <v>7739</v>
      </c>
      <c r="J5" s="16" t="str">
        <f>TRIM(_xlfn.TEXTBEFORE(I4, ":"))</f>
        <v>レアリティ</v>
      </c>
      <c r="K5" s="18" t="s">
        <v>7662</v>
      </c>
      <c r="L5" s="16" t="str">
        <f>TRIM(_xlfn.TEXTBEFORE(K4, ":"))</f>
        <v>아이템 희귀도</v>
      </c>
      <c r="M5" s="18" t="s">
        <v>7284</v>
      </c>
      <c r="N5" s="16" t="str">
        <f>TRIM(_xlfn.TEXTBEFORE(M4, ":"))</f>
        <v>Raridade</v>
      </c>
      <c r="O5" s="18" t="s">
        <v>7356</v>
      </c>
      <c r="P5" s="16" t="str">
        <f>TRIM(_xlfn.TEXTBEFORE(O4, ":"))</f>
        <v>Редкость</v>
      </c>
      <c r="Q5" s="18" t="s">
        <v>7054</v>
      </c>
      <c r="R5" s="16" t="str">
        <f>TRIM(_xlfn.TEXTBEFORE(Q4, ":"))</f>
        <v>ความหายาก</v>
      </c>
      <c r="S5" s="18" t="s">
        <v>7496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7055</v>
      </c>
      <c r="B7" s="16"/>
      <c r="C7" s="18" t="s">
        <v>7215</v>
      </c>
      <c r="D7" s="16"/>
      <c r="E7" s="18" t="s">
        <v>7592</v>
      </c>
      <c r="F7" s="16"/>
      <c r="G7" s="18" t="s">
        <v>7142</v>
      </c>
      <c r="H7" s="16"/>
      <c r="I7" s="18" t="s">
        <v>7740</v>
      </c>
      <c r="J7" s="16"/>
      <c r="K7" s="18" t="s">
        <v>7663</v>
      </c>
      <c r="L7" s="16"/>
      <c r="M7" s="18" t="s">
        <v>7285</v>
      </c>
      <c r="N7" s="16"/>
      <c r="O7" s="18" t="s">
        <v>7357</v>
      </c>
      <c r="P7" s="16"/>
      <c r="Q7" s="18" t="s">
        <v>7430</v>
      </c>
      <c r="R7" s="16"/>
      <c r="S7" s="18" t="s">
        <v>7497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82</v>
      </c>
      <c r="B9" s="16"/>
      <c r="C9" s="18" t="s">
        <v>1590</v>
      </c>
      <c r="D9" s="16"/>
      <c r="E9" s="18" t="s">
        <v>2309</v>
      </c>
      <c r="F9" s="16"/>
      <c r="G9" s="18" t="s">
        <v>5</v>
      </c>
      <c r="H9" s="16"/>
      <c r="I9" s="18" t="s">
        <v>3019</v>
      </c>
      <c r="J9" s="16"/>
      <c r="K9" s="18" t="s">
        <v>3773</v>
      </c>
      <c r="L9" s="16"/>
      <c r="M9" s="18" t="s">
        <v>2309</v>
      </c>
      <c r="N9" s="16"/>
      <c r="O9" s="18" t="s">
        <v>5184</v>
      </c>
      <c r="P9" s="16"/>
      <c r="Q9" s="18" t="s">
        <v>5929</v>
      </c>
      <c r="R9" s="16"/>
      <c r="S9" s="18" t="s">
        <v>7498</v>
      </c>
      <c r="T9" s="20"/>
    </row>
    <row r="10" spans="1:20" ht="15.95" customHeight="1" x14ac:dyDescent="0.25">
      <c r="A10" s="18" t="s">
        <v>7056</v>
      </c>
      <c r="B10" s="16"/>
      <c r="C10" s="18" t="s">
        <v>7216</v>
      </c>
      <c r="D10" s="16"/>
      <c r="E10" s="18" t="s">
        <v>7593</v>
      </c>
      <c r="F10" s="16"/>
      <c r="G10" s="18" t="s">
        <v>7143</v>
      </c>
      <c r="H10" s="16"/>
      <c r="I10" s="18" t="s">
        <v>7741</v>
      </c>
      <c r="J10" s="16"/>
      <c r="K10" s="18" t="s">
        <v>7664</v>
      </c>
      <c r="L10" s="16"/>
      <c r="M10" s="18" t="s">
        <v>7286</v>
      </c>
      <c r="N10" s="16"/>
      <c r="O10" s="18" t="s">
        <v>7358</v>
      </c>
      <c r="P10" s="16"/>
      <c r="Q10" s="18" t="s">
        <v>7431</v>
      </c>
      <c r="R10" s="16"/>
      <c r="S10" s="18" t="s">
        <v>7499</v>
      </c>
      <c r="T10" s="20"/>
    </row>
    <row r="11" spans="1:20" ht="15.95" customHeight="1" x14ac:dyDescent="0.25">
      <c r="A11" s="18" t="s">
        <v>7057</v>
      </c>
      <c r="B11" s="16"/>
      <c r="C11" s="18" t="s">
        <v>7057</v>
      </c>
      <c r="D11" s="16"/>
      <c r="E11" s="18" t="s">
        <v>7057</v>
      </c>
      <c r="F11" s="16"/>
      <c r="G11" s="18" t="s">
        <v>7057</v>
      </c>
      <c r="H11" s="16"/>
      <c r="I11" s="18" t="s">
        <v>7742</v>
      </c>
      <c r="J11" s="16"/>
      <c r="K11" s="18" t="s">
        <v>7665</v>
      </c>
      <c r="L11" s="16"/>
      <c r="M11" s="18" t="s">
        <v>7057</v>
      </c>
      <c r="N11" s="16"/>
      <c r="O11" s="18" t="s">
        <v>7359</v>
      </c>
      <c r="P11" s="16"/>
      <c r="Q11" s="18" t="s">
        <v>7057</v>
      </c>
      <c r="R11" s="16"/>
      <c r="S11" s="18" t="s">
        <v>7500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293</v>
      </c>
      <c r="B13" s="16"/>
      <c r="C13" s="18" t="s">
        <v>1744</v>
      </c>
      <c r="D13" s="16"/>
      <c r="E13" s="18" t="s">
        <v>2463</v>
      </c>
      <c r="F13" s="16"/>
      <c r="G13" s="18" t="s">
        <v>1012</v>
      </c>
      <c r="H13" s="16"/>
      <c r="I13" s="18" t="s">
        <v>3181</v>
      </c>
      <c r="J13" s="16"/>
      <c r="K13" s="18" t="s">
        <v>3928</v>
      </c>
      <c r="L13" s="16"/>
      <c r="M13" s="18" t="s">
        <v>4657</v>
      </c>
      <c r="N13" s="16"/>
      <c r="O13" s="18" t="s">
        <v>5342</v>
      </c>
      <c r="P13" s="16"/>
      <c r="Q13" s="18" t="s">
        <v>6073</v>
      </c>
      <c r="R13" s="16"/>
      <c r="S13" s="18" t="s">
        <v>7501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7058</v>
      </c>
      <c r="B15" s="16"/>
      <c r="C15" s="18" t="s">
        <v>7217</v>
      </c>
      <c r="D15" s="16"/>
      <c r="E15" s="18" t="s">
        <v>7594</v>
      </c>
      <c r="F15" s="16"/>
      <c r="G15" s="18" t="s">
        <v>7144</v>
      </c>
      <c r="H15" s="16"/>
      <c r="I15" s="18" t="s">
        <v>7743</v>
      </c>
      <c r="J15" s="16"/>
      <c r="K15" s="18" t="s">
        <v>7666</v>
      </c>
      <c r="L15" s="16"/>
      <c r="M15" s="18" t="s">
        <v>7287</v>
      </c>
      <c r="N15" s="16"/>
      <c r="O15" s="18" t="s">
        <v>7360</v>
      </c>
      <c r="P15" s="16"/>
      <c r="Q15" s="18" t="s">
        <v>7432</v>
      </c>
      <c r="R15" s="16"/>
      <c r="S15" s="18" t="s">
        <v>7502</v>
      </c>
      <c r="T15" s="20"/>
    </row>
    <row r="16" spans="1:20" ht="15.95" customHeight="1" x14ac:dyDescent="0.25">
      <c r="A16" s="18" t="s">
        <v>7059</v>
      </c>
      <c r="B16" s="16"/>
      <c r="C16" s="18" t="s">
        <v>7218</v>
      </c>
      <c r="D16" s="16"/>
      <c r="E16" s="18" t="s">
        <v>7595</v>
      </c>
      <c r="F16" s="16"/>
      <c r="G16" s="18" t="s">
        <v>7145</v>
      </c>
      <c r="H16" s="16"/>
      <c r="I16" s="18" t="s">
        <v>7744</v>
      </c>
      <c r="J16" s="16"/>
      <c r="K16" s="18" t="s">
        <v>7667</v>
      </c>
      <c r="L16" s="16"/>
      <c r="M16" s="18" t="s">
        <v>7288</v>
      </c>
      <c r="N16" s="16"/>
      <c r="O16" s="18" t="s">
        <v>7361</v>
      </c>
      <c r="P16" s="16"/>
      <c r="Q16" s="18" t="s">
        <v>7433</v>
      </c>
      <c r="R16" s="16"/>
      <c r="S16" s="18" t="s">
        <v>7503</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 priority="2" stopIfTrue="1">
      <formula>NOT(ISERROR(A3))</formula>
    </cfRule>
  </conditionalFormatting>
  <conditionalFormatting sqref="A3:T51">
    <cfRule type="containsErrors" dxfId="56" priority="1" stopIfTrue="1">
      <formula>ISERROR(A3)</formula>
    </cfRule>
    <cfRule type="notContainsBlanks" dxfId="55"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7096</v>
      </c>
      <c r="B3" s="16" t="str">
        <f>TRIM(_xlfn.TEXTBEFORE(A3, ":"))</f>
        <v>Item Class</v>
      </c>
      <c r="C3" s="17" t="s">
        <v>7219</v>
      </c>
      <c r="D3" s="16" t="str">
        <f>TRIM(_xlfn.TEXTBEFORE(C3, ":"))</f>
        <v>Gegenstandsklasse</v>
      </c>
      <c r="E3" s="17" t="s">
        <v>7596</v>
      </c>
      <c r="F3" s="16" t="str">
        <f>TRIM(_xlfn.TEXTBEFORE(E3, ":"))</f>
        <v>Clase de objeto</v>
      </c>
      <c r="G3" s="17" t="s">
        <v>7146</v>
      </c>
      <c r="H3" s="16" t="str">
        <f>TRIM(_xlfn.TEXTBEFORE(G3, ":"))</f>
        <v>Classe d'objet</v>
      </c>
      <c r="I3" s="17" t="s">
        <v>7745</v>
      </c>
      <c r="J3" s="16" t="str">
        <f>TRIM(_xlfn.TEXTBEFORE(I3, ":"))</f>
        <v>アイテムクラス</v>
      </c>
      <c r="K3" s="17" t="s">
        <v>7668</v>
      </c>
      <c r="L3" s="16" t="str">
        <f>TRIM(_xlfn.TEXTBEFORE(K3, ":"))</f>
        <v>아이템 종류</v>
      </c>
      <c r="M3" s="17" t="s">
        <v>7289</v>
      </c>
      <c r="N3" s="16" t="str">
        <f>TRIM(_xlfn.TEXTBEFORE(M3, ":"))</f>
        <v>Classe do Item</v>
      </c>
      <c r="O3" s="17" t="s">
        <v>7362</v>
      </c>
      <c r="P3" s="16" t="str">
        <f>TRIM(_xlfn.TEXTBEFORE(O3, ":"))</f>
        <v>Класс предмета</v>
      </c>
      <c r="Q3" s="17" t="s">
        <v>7434</v>
      </c>
      <c r="R3" s="16" t="str">
        <f>TRIM(_xlfn.TEXTBEFORE(Q3, ":"))</f>
        <v>ชนิดไอเทม</v>
      </c>
      <c r="S3" s="17" t="s">
        <v>7504</v>
      </c>
      <c r="T3" s="20" t="str">
        <f>TRIM(_xlfn.TEXTBEFORE(S3, ":"))</f>
        <v>物品種類</v>
      </c>
    </row>
    <row r="4" spans="1:20" ht="15.95" customHeight="1" x14ac:dyDescent="0.25">
      <c r="A4" s="18" t="s">
        <v>554</v>
      </c>
      <c r="B4" s="16" t="str">
        <f>TRIM(_xlfn.TEXTAFTER(A3, ":"))</f>
        <v>Socketable</v>
      </c>
      <c r="C4" s="18" t="s">
        <v>1626</v>
      </c>
      <c r="D4" s="16" t="str">
        <f>TRIM(_xlfn.TEXTAFTER(C3, ":"))</f>
        <v>Einfassbar</v>
      </c>
      <c r="E4" s="18" t="s">
        <v>2294</v>
      </c>
      <c r="F4" s="16" t="str">
        <f>TRIM(_xlfn.TEXTAFTER(E3, ":"))</f>
        <v>Engarzable</v>
      </c>
      <c r="G4" s="18" t="s">
        <v>849</v>
      </c>
      <c r="H4" s="16" t="str">
        <f>TRIM(_xlfn.TEXTAFTER(G3, ":"))</f>
        <v>Enchâssable</v>
      </c>
      <c r="I4" s="18" t="s">
        <v>3062</v>
      </c>
      <c r="J4" s="16" t="str">
        <f>TRIM(_xlfn.TEXTAFTER(I3, ":"))</f>
        <v>ソケット可能</v>
      </c>
      <c r="K4" s="18" t="s">
        <v>3756</v>
      </c>
      <c r="L4" s="16" t="str">
        <f>TRIM(_xlfn.TEXTAFTER(K3, ":"))</f>
        <v>홈에 장착 가능</v>
      </c>
      <c r="M4" s="18" t="s">
        <v>4540</v>
      </c>
      <c r="N4" s="16" t="str">
        <f>TRIM(_xlfn.TEXTAFTER(M3, ":"))</f>
        <v>Encaixável</v>
      </c>
      <c r="O4" s="18" t="s">
        <v>5224</v>
      </c>
      <c r="P4" s="16" t="str">
        <f>TRIM(_xlfn.TEXTAFTER(O3, ":"))</f>
        <v>Размещаемое</v>
      </c>
      <c r="Q4" s="18" t="s">
        <v>5912</v>
      </c>
      <c r="R4" s="16" t="str">
        <f>TRIM(_xlfn.TEXTAFTER(Q3, ":"))</f>
        <v>ไอเทมใส่รู</v>
      </c>
      <c r="S4" s="18" t="s">
        <v>7505</v>
      </c>
      <c r="T4" s="20" t="str">
        <f>TRIM(_xlfn.TEXTAFTER(S3, ":"))</f>
        <v>可鑲嵌</v>
      </c>
    </row>
    <row r="5" spans="1:20" ht="15.95" customHeight="1" x14ac:dyDescent="0.25">
      <c r="A5" s="18" t="s">
        <v>7097</v>
      </c>
      <c r="B5" s="16" t="str">
        <f>TRIM(_xlfn.TEXTBEFORE(A4, ":"))</f>
        <v>Rarity</v>
      </c>
      <c r="C5" s="18" t="s">
        <v>7220</v>
      </c>
      <c r="D5" s="16" t="str">
        <f>TRIM(_xlfn.TEXTBEFORE(C4, ":"))</f>
        <v>Seltenheit</v>
      </c>
      <c r="E5" s="18" t="s">
        <v>7597</v>
      </c>
      <c r="F5" s="16" t="str">
        <f>TRIM(_xlfn.TEXTBEFORE(E4, ":"))</f>
        <v>Rareza</v>
      </c>
      <c r="G5" s="18" t="s">
        <v>7147</v>
      </c>
      <c r="H5" s="16" t="str">
        <f>TRIM(_xlfn.TEXTBEFORE(G4, ":"))</f>
        <v>Rareté</v>
      </c>
      <c r="I5" s="18" t="s">
        <v>7746</v>
      </c>
      <c r="J5" s="16" t="str">
        <f>TRIM(_xlfn.TEXTBEFORE(I4, ":"))</f>
        <v>レアリティ</v>
      </c>
      <c r="K5" s="18" t="s">
        <v>7669</v>
      </c>
      <c r="L5" s="16" t="str">
        <f>TRIM(_xlfn.TEXTBEFORE(K4, ":"))</f>
        <v>아이템 희귀도</v>
      </c>
      <c r="M5" s="18" t="s">
        <v>7290</v>
      </c>
      <c r="N5" s="16" t="str">
        <f>TRIM(_xlfn.TEXTBEFORE(M4, ":"))</f>
        <v>Raridade</v>
      </c>
      <c r="O5" s="18" t="s">
        <v>7363</v>
      </c>
      <c r="P5" s="16" t="str">
        <f>TRIM(_xlfn.TEXTBEFORE(O4, ":"))</f>
        <v>Редкость</v>
      </c>
      <c r="Q5" s="18" t="s">
        <v>7435</v>
      </c>
      <c r="R5" s="16" t="str">
        <f>TRIM(_xlfn.TEXTBEFORE(Q4, ":"))</f>
        <v>ความหายาก</v>
      </c>
      <c r="S5" s="18" t="s">
        <v>7506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586</v>
      </c>
      <c r="B7" s="16"/>
      <c r="C7" s="18" t="s">
        <v>1633</v>
      </c>
      <c r="D7" s="16"/>
      <c r="E7" s="18" t="s">
        <v>2354</v>
      </c>
      <c r="F7" s="16"/>
      <c r="G7" s="18" t="s">
        <v>902</v>
      </c>
      <c r="H7" s="16"/>
      <c r="I7" s="18" t="s">
        <v>3069</v>
      </c>
      <c r="J7" s="16"/>
      <c r="K7" s="18" t="s">
        <v>3819</v>
      </c>
      <c r="L7" s="16"/>
      <c r="M7" s="18" t="s">
        <v>4547</v>
      </c>
      <c r="N7" s="16"/>
      <c r="O7" s="18" t="s">
        <v>5231</v>
      </c>
      <c r="P7" s="16"/>
      <c r="Q7" s="18" t="s">
        <v>5970</v>
      </c>
      <c r="R7" s="16"/>
      <c r="S7" s="18" t="s">
        <v>7507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7098</v>
      </c>
      <c r="B9" s="16"/>
      <c r="C9" s="18" t="s">
        <v>7221</v>
      </c>
      <c r="D9" s="16"/>
      <c r="E9" s="18" t="s">
        <v>7598</v>
      </c>
      <c r="F9" s="16"/>
      <c r="G9" s="18" t="s">
        <v>7148</v>
      </c>
      <c r="H9" s="16"/>
      <c r="I9" s="18" t="s">
        <v>7747</v>
      </c>
      <c r="J9" s="16"/>
      <c r="K9" s="18" t="s">
        <v>7670</v>
      </c>
      <c r="L9" s="16"/>
      <c r="M9" s="18" t="s">
        <v>7291</v>
      </c>
      <c r="N9" s="16"/>
      <c r="O9" s="18" t="s">
        <v>7364</v>
      </c>
      <c r="P9" s="16"/>
      <c r="Q9" s="18" t="s">
        <v>7436</v>
      </c>
      <c r="R9" s="16"/>
      <c r="S9" s="18" t="s">
        <v>7508</v>
      </c>
      <c r="T9" s="20"/>
    </row>
    <row r="10" spans="1:20" ht="15.95" customHeight="1" x14ac:dyDescent="0.25">
      <c r="A10" s="18" t="s">
        <v>7099</v>
      </c>
      <c r="B10" s="16"/>
      <c r="C10" s="18" t="s">
        <v>7222</v>
      </c>
      <c r="D10" s="16"/>
      <c r="E10" s="18" t="s">
        <v>7599</v>
      </c>
      <c r="F10" s="16"/>
      <c r="G10" s="18" t="s">
        <v>7149</v>
      </c>
      <c r="H10" s="16"/>
      <c r="I10" s="18" t="s">
        <v>7748</v>
      </c>
      <c r="J10" s="16"/>
      <c r="K10" s="18" t="s">
        <v>7671</v>
      </c>
      <c r="L10" s="16"/>
      <c r="M10" s="18" t="s">
        <v>7292</v>
      </c>
      <c r="N10" s="16"/>
      <c r="O10" s="18" t="s">
        <v>7365</v>
      </c>
      <c r="P10" s="16"/>
      <c r="Q10" s="18" t="s">
        <v>7437</v>
      </c>
      <c r="R10" s="16"/>
      <c r="S10" s="18" t="s">
        <v>7509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7100</v>
      </c>
      <c r="B12" s="16"/>
      <c r="C12" s="18" t="s">
        <v>7223</v>
      </c>
      <c r="D12" s="16"/>
      <c r="E12" s="18" t="s">
        <v>7600</v>
      </c>
      <c r="F12" s="16"/>
      <c r="G12" s="18" t="s">
        <v>7150</v>
      </c>
      <c r="H12" s="16"/>
      <c r="I12" s="18" t="s">
        <v>7749</v>
      </c>
      <c r="J12" s="16"/>
      <c r="K12" s="18" t="s">
        <v>7672</v>
      </c>
      <c r="L12" s="16"/>
      <c r="M12" s="18" t="s">
        <v>7293</v>
      </c>
      <c r="N12" s="16"/>
      <c r="O12" s="18" t="s">
        <v>7366</v>
      </c>
      <c r="P12" s="16"/>
      <c r="Q12" s="18" t="s">
        <v>7438</v>
      </c>
      <c r="R12" s="16"/>
      <c r="S12" s="18" t="s">
        <v>7510</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7077</v>
      </c>
      <c r="B3" s="16" t="str">
        <f>TRIM(_xlfn.TEXTBEFORE(A3, ":"))</f>
        <v>Item Class</v>
      </c>
      <c r="C3" s="17" t="s">
        <v>7224</v>
      </c>
      <c r="D3" s="16" t="str">
        <f>TRIM(_xlfn.TEXTBEFORE(C3, ":"))</f>
        <v>Gegenstandsklasse</v>
      </c>
      <c r="E3" s="17" t="s">
        <v>7601</v>
      </c>
      <c r="F3" s="16" t="str">
        <f>TRIM(_xlfn.TEXTBEFORE(E3, ":"))</f>
        <v>Clase de objeto</v>
      </c>
      <c r="G3" s="17" t="s">
        <v>7151</v>
      </c>
      <c r="H3" s="16" t="str">
        <f>TRIM(_xlfn.TEXTBEFORE(G3, ":"))</f>
        <v>Classe d'objet</v>
      </c>
      <c r="I3" s="17" t="s">
        <v>7750</v>
      </c>
      <c r="J3" s="16" t="str">
        <f>TRIM(_xlfn.TEXTBEFORE(I3, ":"))</f>
        <v>アイテムクラス</v>
      </c>
      <c r="K3" s="17" t="s">
        <v>7673</v>
      </c>
      <c r="L3" s="16" t="str">
        <f>TRIM(_xlfn.TEXTBEFORE(K3, ":"))</f>
        <v>아이템 종류</v>
      </c>
      <c r="M3" s="17" t="s">
        <v>7294</v>
      </c>
      <c r="N3" s="16" t="str">
        <f>TRIM(_xlfn.TEXTBEFORE(M3, ":"))</f>
        <v>Classe do Item</v>
      </c>
      <c r="O3" s="17" t="s">
        <v>7367</v>
      </c>
      <c r="P3" s="16" t="str">
        <f>TRIM(_xlfn.TEXTBEFORE(O3, ":"))</f>
        <v>Класс предмета</v>
      </c>
      <c r="Q3" s="17" t="s">
        <v>7439</v>
      </c>
      <c r="R3" s="16" t="str">
        <f>TRIM(_xlfn.TEXTBEFORE(Q3, ":"))</f>
        <v>ชนิดไอเทม</v>
      </c>
      <c r="S3" s="17" t="s">
        <v>7511</v>
      </c>
      <c r="T3" s="20" t="str">
        <f>TRIM(_xlfn.TEXTBEFORE(S3, ":"))</f>
        <v>物品種類</v>
      </c>
    </row>
    <row r="4" spans="1:20" ht="15.95" customHeight="1" x14ac:dyDescent="0.25">
      <c r="A4" s="18" t="s">
        <v>497</v>
      </c>
      <c r="B4" s="16" t="str">
        <f>TRIM(_xlfn.TEXTAFTER(A3, ":"))</f>
        <v>Waystones</v>
      </c>
      <c r="C4" s="18" t="s">
        <v>1653</v>
      </c>
      <c r="D4" s="16" t="str">
        <f>TRIM(_xlfn.TEXTAFTER(C3, ":"))</f>
        <v>Wegsteine</v>
      </c>
      <c r="E4" s="18" t="s">
        <v>2373</v>
      </c>
      <c r="F4" s="16" t="str">
        <f>TRIM(_xlfn.TEXTAFTER(E3, ":"))</f>
        <v>Piedras guía</v>
      </c>
      <c r="G4" s="18" t="s">
        <v>920</v>
      </c>
      <c r="H4" s="16" t="str">
        <f>TRIM(_xlfn.TEXTAFTER(G3, ":"))</f>
        <v>Pierres de téléportation</v>
      </c>
      <c r="I4" s="18" t="s">
        <v>3088</v>
      </c>
      <c r="J4" s="16" t="str">
        <f>TRIM(_xlfn.TEXTAFTER(I3, ":"))</f>
        <v>ウェイストーン</v>
      </c>
      <c r="K4" s="18" t="s">
        <v>3838</v>
      </c>
      <c r="L4" s="16" t="str">
        <f>TRIM(_xlfn.TEXTAFTER(K3, ":"))</f>
        <v>경로석</v>
      </c>
      <c r="M4" s="18" t="s">
        <v>4567</v>
      </c>
      <c r="N4" s="16" t="str">
        <f>TRIM(_xlfn.TEXTAFTER(M3, ":"))</f>
        <v>Pedras Guia</v>
      </c>
      <c r="O4" s="18" t="s">
        <v>5250</v>
      </c>
      <c r="P4" s="16" t="str">
        <f>TRIM(_xlfn.TEXTAFTER(O3, ":"))</f>
        <v>Путевые камни</v>
      </c>
      <c r="Q4" s="18" t="s">
        <v>5987</v>
      </c>
      <c r="R4" s="16" t="str">
        <f>TRIM(_xlfn.TEXTAFTER(Q3, ":"))</f>
        <v>ศิลานำทาง</v>
      </c>
      <c r="S4" s="18" t="s">
        <v>7512</v>
      </c>
      <c r="T4" s="20" t="str">
        <f>TRIM(_xlfn.TEXTAFTER(S3, ":"))</f>
        <v>換界石</v>
      </c>
    </row>
    <row r="5" spans="1:20" ht="15.95" customHeight="1" x14ac:dyDescent="0.25">
      <c r="A5" s="18" t="s">
        <v>7078</v>
      </c>
      <c r="B5" s="16" t="str">
        <f>TRIM(_xlfn.TEXTBEFORE(A4, ":"))</f>
        <v>Rarity</v>
      </c>
      <c r="C5" s="18" t="s">
        <v>7225</v>
      </c>
      <c r="D5" s="16" t="str">
        <f>TRIM(_xlfn.TEXTBEFORE(C4, ":"))</f>
        <v>Seltenheit</v>
      </c>
      <c r="E5" s="18" t="s">
        <v>7602</v>
      </c>
      <c r="F5" s="16" t="str">
        <f>TRIM(_xlfn.TEXTBEFORE(E4, ":"))</f>
        <v>Rareza</v>
      </c>
      <c r="G5" s="18" t="s">
        <v>7152</v>
      </c>
      <c r="H5" s="16" t="str">
        <f>TRIM(_xlfn.TEXTBEFORE(G4, ":"))</f>
        <v>Rareté</v>
      </c>
      <c r="I5" s="18" t="s">
        <v>7751</v>
      </c>
      <c r="J5" s="16" t="str">
        <f>TRIM(_xlfn.TEXTBEFORE(I4, ":"))</f>
        <v>レアリティ</v>
      </c>
      <c r="K5" s="18" t="s">
        <v>7674</v>
      </c>
      <c r="L5" s="16" t="str">
        <f>TRIM(_xlfn.TEXTBEFORE(K4, ":"))</f>
        <v>아이템 희귀도</v>
      </c>
      <c r="M5" s="18" t="s">
        <v>7295</v>
      </c>
      <c r="N5" s="16" t="str">
        <f>TRIM(_xlfn.TEXTBEFORE(M4, ":"))</f>
        <v>Raridade</v>
      </c>
      <c r="O5" s="18" t="s">
        <v>7368</v>
      </c>
      <c r="P5" s="16" t="str">
        <f>TRIM(_xlfn.TEXTBEFORE(O4, ":"))</f>
        <v>Редкость</v>
      </c>
      <c r="Q5" s="18" t="s">
        <v>7440</v>
      </c>
      <c r="R5" s="16" t="str">
        <f>TRIM(_xlfn.TEXTBEFORE(Q4, ":"))</f>
        <v>ความหายาก</v>
      </c>
      <c r="S5" s="18" t="s">
        <v>7513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7079</v>
      </c>
      <c r="B7" s="16"/>
      <c r="C7" s="18" t="s">
        <v>7226</v>
      </c>
      <c r="D7" s="16"/>
      <c r="E7" s="18" t="s">
        <v>7603</v>
      </c>
      <c r="F7" s="16"/>
      <c r="G7" s="18" t="s">
        <v>7153</v>
      </c>
      <c r="H7" s="16"/>
      <c r="I7" s="18" t="s">
        <v>7752</v>
      </c>
      <c r="J7" s="16"/>
      <c r="K7" s="18" t="s">
        <v>7675</v>
      </c>
      <c r="L7" s="16"/>
      <c r="M7" s="18" t="s">
        <v>7296</v>
      </c>
      <c r="N7" s="16"/>
      <c r="O7" s="18" t="s">
        <v>7369</v>
      </c>
      <c r="P7" s="16"/>
      <c r="Q7" s="18" t="s">
        <v>7441</v>
      </c>
      <c r="R7" s="16"/>
      <c r="S7" s="18" t="s">
        <v>7514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192</v>
      </c>
      <c r="B9" s="16"/>
      <c r="C9" s="18" t="s">
        <v>2114</v>
      </c>
      <c r="D9" s="16"/>
      <c r="E9" s="18" t="s">
        <v>2833</v>
      </c>
      <c r="F9" s="16"/>
      <c r="G9" s="18" t="s">
        <v>1370</v>
      </c>
      <c r="H9" s="16"/>
      <c r="I9" s="18" t="s">
        <v>3572</v>
      </c>
      <c r="J9" s="16"/>
      <c r="K9" s="18" t="s">
        <v>4310</v>
      </c>
      <c r="L9" s="16"/>
      <c r="M9" s="18" t="s">
        <v>4989</v>
      </c>
      <c r="N9" s="16"/>
      <c r="O9" s="18" t="s">
        <v>5727</v>
      </c>
      <c r="P9" s="16"/>
      <c r="Q9" s="18" t="s">
        <v>6377</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7080</v>
      </c>
      <c r="B11" s="16"/>
      <c r="C11" s="18" t="s">
        <v>7227</v>
      </c>
      <c r="D11" s="16"/>
      <c r="E11" s="18" t="s">
        <v>7604</v>
      </c>
      <c r="F11" s="16"/>
      <c r="G11" s="18" t="s">
        <v>7154</v>
      </c>
      <c r="H11" s="16"/>
      <c r="I11" s="18" t="s">
        <v>7753</v>
      </c>
      <c r="J11" s="16"/>
      <c r="K11" s="18" t="s">
        <v>7676</v>
      </c>
      <c r="L11" s="16"/>
      <c r="M11" s="18" t="s">
        <v>7297</v>
      </c>
      <c r="N11" s="16"/>
      <c r="O11" s="18" t="s">
        <v>7370</v>
      </c>
      <c r="P11" s="16"/>
      <c r="Q11" s="18" t="s">
        <v>7442</v>
      </c>
      <c r="R11" s="16"/>
      <c r="S11" s="18" t="s">
        <v>7516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51" priority="5" stopIfTrue="1">
      <formula>NOT(ISERROR(A3))</formula>
    </cfRule>
  </conditionalFormatting>
  <conditionalFormatting sqref="A3:B12 D3:T12 A13:T51">
    <cfRule type="notContainsBlanks" dxfId="50" priority="6">
      <formula>LEN(TRIM(A3))&gt;0</formula>
    </cfRule>
  </conditionalFormatting>
  <conditionalFormatting sqref="A3:T51">
    <cfRule type="containsErrors" dxfId="49" priority="1" stopIfTrue="1">
      <formula>ISERROR(A3)</formula>
    </cfRule>
  </conditionalFormatting>
  <conditionalFormatting sqref="C3:C12">
    <cfRule type="notContainsBlanks" dxfId="48" priority="3">
      <formula>LEN(TRIM(C3))&gt;0</formula>
    </cfRule>
  </conditionalFormatting>
  <conditionalFormatting sqref="C3:C51">
    <cfRule type="notContainsErrors" dxfId="47"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dimension ref="A1:T51"/>
  <sheetViews>
    <sheetView workbookViewId="0">
      <selection activeCell="I3" sqref="I3:I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7081</v>
      </c>
      <c r="B3" s="16" t="str">
        <f>TRIM(_xlfn.TEXTBEFORE(A3, ":"))</f>
        <v>Item Class</v>
      </c>
      <c r="C3" s="17" t="s">
        <v>7228</v>
      </c>
      <c r="D3" s="16" t="str">
        <f>TRIM(_xlfn.TEXTBEFORE(C3, ":"))</f>
        <v>Gegenstandsklasse</v>
      </c>
      <c r="E3" s="17" t="s">
        <v>7605</v>
      </c>
      <c r="F3" s="16" t="str">
        <f>TRIM(_xlfn.TEXTBEFORE(E3, ":"))</f>
        <v>Clase de objeto</v>
      </c>
      <c r="G3" s="17" t="s">
        <v>7155</v>
      </c>
      <c r="H3" s="16" t="str">
        <f>TRIM(_xlfn.TEXTBEFORE(G3, ":"))</f>
        <v>Classe d'objet</v>
      </c>
      <c r="I3" s="17" t="s">
        <v>7754</v>
      </c>
      <c r="J3" s="16" t="str">
        <f>TRIM(_xlfn.TEXTBEFORE(I3, ":"))</f>
        <v>アイテムクラス</v>
      </c>
      <c r="K3" s="17" t="s">
        <v>7677</v>
      </c>
      <c r="L3" s="16" t="str">
        <f>TRIM(_xlfn.TEXTBEFORE(K3, ":"))</f>
        <v>아이템 종류</v>
      </c>
      <c r="M3" s="17" t="s">
        <v>7298</v>
      </c>
      <c r="N3" s="16" t="str">
        <f>TRIM(_xlfn.TEXTBEFORE(M3, ":"))</f>
        <v>Classe do Item</v>
      </c>
      <c r="O3" s="17" t="s">
        <v>7371</v>
      </c>
      <c r="P3" s="16" t="str">
        <f>TRIM(_xlfn.TEXTBEFORE(O3, ":"))</f>
        <v>Класс предмета</v>
      </c>
      <c r="Q3" s="17" t="s">
        <v>7443</v>
      </c>
      <c r="R3" s="16" t="str">
        <f>TRIM(_xlfn.TEXTBEFORE(Q3, ":"))</f>
        <v>ชนิดไอเทม</v>
      </c>
      <c r="S3" s="17" t="s">
        <v>7517</v>
      </c>
      <c r="T3" s="20" t="str">
        <f>TRIM(_xlfn.TEXTBEFORE(S3, ":"))</f>
        <v>物品種類</v>
      </c>
    </row>
    <row r="4" spans="1:20" ht="15.95" customHeight="1" x14ac:dyDescent="0.25">
      <c r="A4" s="18" t="s">
        <v>554</v>
      </c>
      <c r="B4" s="16" t="str">
        <f>TRIM(_xlfn.TEXTAFTER(A3, ":"))</f>
        <v>Trial Coins</v>
      </c>
      <c r="C4" s="18" t="s">
        <v>1626</v>
      </c>
      <c r="D4" s="16" t="str">
        <f>TRIM(_xlfn.TEXTAFTER(C3, ":"))</f>
        <v>Prüfungsmünzen</v>
      </c>
      <c r="E4" s="18" t="s">
        <v>2294</v>
      </c>
      <c r="F4" s="16" t="str">
        <f>TRIM(_xlfn.TEXTAFTER(E3, ":"))</f>
        <v>Monedas de la prueba</v>
      </c>
      <c r="G4" s="18" t="s">
        <v>849</v>
      </c>
      <c r="H4" s="16" t="str">
        <f>TRIM(_xlfn.TEXTAFTER(G3, ":"))</f>
        <v>Pièces de l'Épreuve</v>
      </c>
      <c r="I4" s="18" t="s">
        <v>3062</v>
      </c>
      <c r="J4" s="16" t="str">
        <f>TRIM(_xlfn.TEXTAFTER(I3, ":"))</f>
        <v>試練のコイン</v>
      </c>
      <c r="K4" s="18" t="s">
        <v>3756</v>
      </c>
      <c r="L4" s="16" t="str">
        <f>TRIM(_xlfn.TEXTAFTER(K3, ":"))</f>
        <v>시련 주화</v>
      </c>
      <c r="M4" s="18" t="s">
        <v>4540</v>
      </c>
      <c r="N4" s="16" t="str">
        <f>TRIM(_xlfn.TEXTAFTER(M3, ":"))</f>
        <v>Moedas da Provação</v>
      </c>
      <c r="O4" s="18" t="s">
        <v>5224</v>
      </c>
      <c r="P4" s="16" t="str">
        <f>TRIM(_xlfn.TEXTAFTER(O3, ":"))</f>
        <v>Монеты Испытания</v>
      </c>
      <c r="Q4" s="18" t="s">
        <v>5912</v>
      </c>
      <c r="R4" s="16" t="str">
        <f>TRIM(_xlfn.TEXTAFTER(Q3, ":"))</f>
        <v>เหรียญบททดสอบ</v>
      </c>
      <c r="S4" s="18" t="s">
        <v>7505</v>
      </c>
      <c r="T4" s="20" t="str">
        <f>TRIM(_xlfn.TEXTAFTER(S3, ":"))</f>
        <v>試煉代幣</v>
      </c>
    </row>
    <row r="5" spans="1:20" ht="15.95" customHeight="1" x14ac:dyDescent="0.25">
      <c r="A5" s="18" t="s">
        <v>7082</v>
      </c>
      <c r="B5" s="16" t="str">
        <f>TRIM(_xlfn.TEXTBEFORE(A4, ":"))</f>
        <v>Rarity</v>
      </c>
      <c r="C5" s="18" t="s">
        <v>7229</v>
      </c>
      <c r="D5" s="16" t="str">
        <f>TRIM(_xlfn.TEXTBEFORE(C4, ":"))</f>
        <v>Seltenheit</v>
      </c>
      <c r="E5" s="18" t="s">
        <v>7606</v>
      </c>
      <c r="F5" s="16" t="str">
        <f>TRIM(_xlfn.TEXTBEFORE(E4, ":"))</f>
        <v>Rareza</v>
      </c>
      <c r="G5" s="18" t="s">
        <v>7156</v>
      </c>
      <c r="H5" s="16" t="str">
        <f>TRIM(_xlfn.TEXTBEFORE(G4, ":"))</f>
        <v>Rareté</v>
      </c>
      <c r="I5" s="18" t="s">
        <v>7755</v>
      </c>
      <c r="J5" s="16" t="str">
        <f>TRIM(_xlfn.TEXTBEFORE(I4, ":"))</f>
        <v>レアリティ</v>
      </c>
      <c r="K5" s="18" t="s">
        <v>7678</v>
      </c>
      <c r="L5" s="16" t="str">
        <f>TRIM(_xlfn.TEXTBEFORE(K4, ":"))</f>
        <v>아이템 희귀도</v>
      </c>
      <c r="M5" s="18" t="s">
        <v>7299</v>
      </c>
      <c r="N5" s="16" t="str">
        <f>TRIM(_xlfn.TEXTBEFORE(M4, ":"))</f>
        <v>Raridade</v>
      </c>
      <c r="O5" s="18" t="s">
        <v>7372</v>
      </c>
      <c r="P5" s="16" t="str">
        <f>TRIM(_xlfn.TEXTBEFORE(O4, ":"))</f>
        <v>Редкость</v>
      </c>
      <c r="Q5" s="18" t="s">
        <v>7444</v>
      </c>
      <c r="R5" s="16" t="str">
        <f>TRIM(_xlfn.TEXTBEFORE(Q4, ":"))</f>
        <v>ความหายาก</v>
      </c>
      <c r="S5" s="18" t="s">
        <v>7518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7083</v>
      </c>
      <c r="B7" s="16"/>
      <c r="C7" s="18" t="s">
        <v>7230</v>
      </c>
      <c r="D7" s="16"/>
      <c r="E7" s="18" t="s">
        <v>7607</v>
      </c>
      <c r="F7" s="16"/>
      <c r="G7" s="18" t="s">
        <v>7157</v>
      </c>
      <c r="H7" s="16"/>
      <c r="I7" s="18" t="s">
        <v>7756</v>
      </c>
      <c r="J7" s="16"/>
      <c r="K7" s="18" t="s">
        <v>7679</v>
      </c>
      <c r="L7" s="16"/>
      <c r="M7" s="18" t="s">
        <v>7300</v>
      </c>
      <c r="N7" s="16"/>
      <c r="O7" s="18" t="s">
        <v>7373</v>
      </c>
      <c r="P7" s="16"/>
      <c r="Q7" s="18" t="s">
        <v>7445</v>
      </c>
      <c r="R7" s="16"/>
      <c r="S7" s="18" t="s">
        <v>7519</v>
      </c>
      <c r="T7" s="20"/>
    </row>
    <row r="8" spans="1:20" ht="15.95" customHeight="1" x14ac:dyDescent="0.25">
      <c r="A8" s="18" t="s">
        <v>7084</v>
      </c>
      <c r="B8" s="16"/>
      <c r="C8" s="18" t="s">
        <v>7231</v>
      </c>
      <c r="D8" s="16"/>
      <c r="E8" s="18" t="s">
        <v>7608</v>
      </c>
      <c r="F8" s="16"/>
      <c r="G8" s="18" t="s">
        <v>7158</v>
      </c>
      <c r="H8" s="16"/>
      <c r="I8" s="18" t="s">
        <v>7757</v>
      </c>
      <c r="J8" s="16"/>
      <c r="K8" s="18" t="s">
        <v>7680</v>
      </c>
      <c r="L8" s="16"/>
      <c r="M8" s="18" t="s">
        <v>7301</v>
      </c>
      <c r="N8" s="16"/>
      <c r="O8" s="18" t="s">
        <v>7374</v>
      </c>
      <c r="P8" s="16"/>
      <c r="Q8" s="18" t="s">
        <v>7446</v>
      </c>
      <c r="R8" s="16"/>
      <c r="S8" s="18" t="s">
        <v>7520</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7085</v>
      </c>
      <c r="B10" s="16"/>
      <c r="C10" s="18" t="s">
        <v>7232</v>
      </c>
      <c r="D10" s="16"/>
      <c r="E10" s="18" t="s">
        <v>7609</v>
      </c>
      <c r="F10" s="16"/>
      <c r="G10" s="18" t="s">
        <v>7159</v>
      </c>
      <c r="H10" s="16"/>
      <c r="I10" s="18" t="s">
        <v>7758</v>
      </c>
      <c r="J10" s="16"/>
      <c r="K10" s="18" t="s">
        <v>7681</v>
      </c>
      <c r="L10" s="16"/>
      <c r="M10" s="18" t="s">
        <v>7302</v>
      </c>
      <c r="N10" s="16"/>
      <c r="O10" s="18" t="s">
        <v>7375</v>
      </c>
      <c r="P10" s="16"/>
      <c r="Q10" s="18" t="s">
        <v>7447</v>
      </c>
      <c r="R10" s="16"/>
      <c r="S10" s="18" t="s">
        <v>7521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7086</v>
      </c>
      <c r="B12" s="16"/>
      <c r="C12" s="18" t="s">
        <v>7233</v>
      </c>
      <c r="D12" s="16"/>
      <c r="E12" s="18" t="s">
        <v>7610</v>
      </c>
      <c r="F12" s="16"/>
      <c r="G12" s="18" t="s">
        <v>7160</v>
      </c>
      <c r="H12" s="16"/>
      <c r="I12" s="18" t="s">
        <v>7759</v>
      </c>
      <c r="J12" s="16"/>
      <c r="K12" s="18" t="s">
        <v>7682</v>
      </c>
      <c r="L12" s="16"/>
      <c r="M12" s="18" t="s">
        <v>7303</v>
      </c>
      <c r="N12" s="16"/>
      <c r="O12" s="18" t="s">
        <v>7376</v>
      </c>
      <c r="P12" s="16"/>
      <c r="Q12" s="18" t="s">
        <v>7448</v>
      </c>
      <c r="R12" s="16"/>
      <c r="S12" s="18" t="s">
        <v>7522</v>
      </c>
      <c r="T12" s="20"/>
    </row>
    <row r="13" spans="1:20" ht="15.95" customHeight="1" x14ac:dyDescent="0.25">
      <c r="A13" s="18" t="s">
        <v>4</v>
      </c>
      <c r="B13" s="16"/>
      <c r="C13" s="18" t="s">
        <v>4</v>
      </c>
      <c r="D13" s="16"/>
      <c r="E13" s="18" t="s">
        <v>4</v>
      </c>
      <c r="F13" s="16"/>
      <c r="G13" s="18" t="s">
        <v>7161</v>
      </c>
      <c r="H13" s="16"/>
      <c r="I13" s="18" t="s">
        <v>7760</v>
      </c>
      <c r="J13" s="16"/>
      <c r="K13" s="18" t="s">
        <v>4</v>
      </c>
      <c r="L13" s="16"/>
      <c r="M13" s="18" t="s">
        <v>4</v>
      </c>
      <c r="N13" s="16"/>
      <c r="O13" s="18" t="s">
        <v>7377</v>
      </c>
      <c r="P13" s="16"/>
      <c r="Q13" s="18" t="s">
        <v>4</v>
      </c>
      <c r="R13" s="16"/>
      <c r="S13" s="18" t="s">
        <v>7523</v>
      </c>
      <c r="T13" s="20"/>
    </row>
    <row r="14" spans="1:20" ht="15.95" customHeight="1" x14ac:dyDescent="0.25">
      <c r="A14" s="18" t="s">
        <v>7087</v>
      </c>
      <c r="B14" s="16"/>
      <c r="C14" s="18" t="s">
        <v>7234</v>
      </c>
      <c r="D14" s="16"/>
      <c r="E14" s="18" t="s">
        <v>7611</v>
      </c>
      <c r="F14" s="16"/>
      <c r="G14" s="18" t="s">
        <v>4</v>
      </c>
      <c r="H14" s="16"/>
      <c r="I14" s="18" t="s">
        <v>4</v>
      </c>
      <c r="J14" s="16"/>
      <c r="K14" s="18" t="s">
        <v>7683</v>
      </c>
      <c r="L14" s="16"/>
      <c r="M14" s="18" t="s">
        <v>7304</v>
      </c>
      <c r="N14" s="16"/>
      <c r="O14" s="18" t="s">
        <v>4</v>
      </c>
      <c r="P14" s="16"/>
      <c r="Q14" s="18" t="s">
        <v>7449</v>
      </c>
      <c r="R14" s="16"/>
      <c r="S14" s="18" t="s">
        <v>4</v>
      </c>
      <c r="T14" s="20"/>
    </row>
    <row r="15" spans="1:20" ht="15.95" customHeight="1" x14ac:dyDescent="0.25">
      <c r="A15" s="18"/>
      <c r="B15" s="16"/>
      <c r="C15" s="18"/>
      <c r="D15" s="16"/>
      <c r="E15" s="18"/>
      <c r="F15" s="16"/>
      <c r="G15" s="18" t="s">
        <v>7162</v>
      </c>
      <c r="H15" s="16"/>
      <c r="I15" s="18" t="s">
        <v>7761</v>
      </c>
      <c r="J15" s="16"/>
      <c r="K15" s="18"/>
      <c r="L15" s="16"/>
      <c r="M15" s="18"/>
      <c r="N15" s="16"/>
      <c r="O15" s="18" t="s">
        <v>7378</v>
      </c>
      <c r="P15" s="16"/>
      <c r="Q15" s="18"/>
      <c r="R15" s="16"/>
      <c r="S15" s="18" t="s">
        <v>7524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46" priority="5" stopIfTrue="1">
      <formula>NOT(ISERROR(A3))</formula>
    </cfRule>
  </conditionalFormatting>
  <conditionalFormatting sqref="A3:B12 D3:T12 A13:T51">
    <cfRule type="notContainsBlanks" dxfId="45" priority="6">
      <formula>LEN(TRIM(A3))&gt;0</formula>
    </cfRule>
  </conditionalFormatting>
  <conditionalFormatting sqref="A3:T51">
    <cfRule type="containsErrors" dxfId="44" priority="1" stopIfTrue="1">
      <formula>ISERROR(A3)</formula>
    </cfRule>
  </conditionalFormatting>
  <conditionalFormatting sqref="C3:C12">
    <cfRule type="notContainsBlanks" dxfId="43" priority="3">
      <formula>LEN(TRIM(C3))&gt;0</formula>
    </cfRule>
  </conditionalFormatting>
  <conditionalFormatting sqref="C3:C51">
    <cfRule type="notContainsErrors" dxfId="42"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7088</v>
      </c>
      <c r="B3" s="16" t="str">
        <f>TRIM(_xlfn.TEXTBEFORE(A3, ":"))</f>
        <v>Item Class</v>
      </c>
      <c r="C3" s="17" t="s">
        <v>7235</v>
      </c>
      <c r="D3" s="16" t="str">
        <f>TRIM(_xlfn.TEXTBEFORE(C3, ":"))</f>
        <v>Gegenstandsklasse</v>
      </c>
      <c r="E3" s="17" t="s">
        <v>7612</v>
      </c>
      <c r="F3" s="16" t="str">
        <f>TRIM(_xlfn.TEXTBEFORE(E3, ":"))</f>
        <v>Clase de objeto</v>
      </c>
      <c r="G3" s="17" t="s">
        <v>7163</v>
      </c>
      <c r="H3" s="16" t="str">
        <f>TRIM(_xlfn.TEXTBEFORE(G3, ":"))</f>
        <v>Classe d'objet</v>
      </c>
      <c r="I3" s="17" t="s">
        <v>7762</v>
      </c>
      <c r="J3" s="16" t="str">
        <f>TRIM(_xlfn.TEXTBEFORE(I3, ":"))</f>
        <v>アイテムクラス</v>
      </c>
      <c r="K3" s="17" t="s">
        <v>7684</v>
      </c>
      <c r="L3" s="16" t="str">
        <f>TRIM(_xlfn.TEXTBEFORE(K3, ":"))</f>
        <v>아이템 종류</v>
      </c>
      <c r="M3" s="17" t="s">
        <v>7305</v>
      </c>
      <c r="N3" s="16" t="str">
        <f>TRIM(_xlfn.TEXTBEFORE(M3, ":"))</f>
        <v>Classe do Item</v>
      </c>
      <c r="O3" s="17" t="s">
        <v>7379</v>
      </c>
      <c r="P3" s="16" t="str">
        <f>TRIM(_xlfn.TEXTBEFORE(O3, ":"))</f>
        <v>Класс предмета</v>
      </c>
      <c r="Q3" s="17" t="s">
        <v>7450</v>
      </c>
      <c r="R3" s="16" t="str">
        <f>TRIM(_xlfn.TEXTBEFORE(Q3, ":"))</f>
        <v>ชนิดไอเทม</v>
      </c>
      <c r="S3" s="17" t="s">
        <v>7525</v>
      </c>
      <c r="T3" s="20" t="str">
        <f>TRIM(_xlfn.TEXTBEFORE(S3, ":"))</f>
        <v>物品種類</v>
      </c>
    </row>
    <row r="4" spans="1:20" ht="15.95" customHeight="1" x14ac:dyDescent="0.25">
      <c r="A4" s="18" t="s">
        <v>554</v>
      </c>
      <c r="B4" s="16" t="str">
        <f>TRIM(_xlfn.TEXTAFTER(A3, ":"))</f>
        <v>Inscribed Ultimatum</v>
      </c>
      <c r="C4" s="18" t="s">
        <v>1626</v>
      </c>
      <c r="D4" s="16" t="str">
        <f>TRIM(_xlfn.TEXTAFTER(C3, ":"))</f>
        <v>Inschrift des Ultimatums</v>
      </c>
      <c r="E4" s="18" t="s">
        <v>2294</v>
      </c>
      <c r="F4" s="16" t="str">
        <f>TRIM(_xlfn.TEXTAFTER(E3, ":"))</f>
        <v>Ultimátum inscrito</v>
      </c>
      <c r="G4" s="18" t="s">
        <v>849</v>
      </c>
      <c r="H4" s="16" t="str">
        <f>TRIM(_xlfn.TEXTAFTER(G3, ":"))</f>
        <v>Ultimatum gravé</v>
      </c>
      <c r="I4" s="18" t="s">
        <v>3062</v>
      </c>
      <c r="J4" s="16" t="str">
        <f>TRIM(_xlfn.TEXTAFTER(I3, ":"))</f>
        <v>刻印されたアルティメイタム</v>
      </c>
      <c r="K4" s="18" t="s">
        <v>3756</v>
      </c>
      <c r="L4" s="16" t="str">
        <f>TRIM(_xlfn.TEXTAFTER(K3, ":"))</f>
        <v>새겨진 결전</v>
      </c>
      <c r="M4" s="18" t="s">
        <v>4540</v>
      </c>
      <c r="N4" s="16" t="str">
        <f>TRIM(_xlfn.TEXTAFTER(M3, ":"))</f>
        <v>Ultimato Talhado</v>
      </c>
      <c r="O4" s="18" t="s">
        <v>5224</v>
      </c>
      <c r="P4" s="16" t="str">
        <f>TRIM(_xlfn.TEXTAFTER(O3, ":"))</f>
        <v>Начертанные Ультиматумы</v>
      </c>
      <c r="Q4" s="18" t="s">
        <v>5912</v>
      </c>
      <c r="R4" s="16" t="str">
        <f>TRIM(_xlfn.TEXTAFTER(Q3, ":"))</f>
        <v>คำขาดจารึก</v>
      </c>
      <c r="S4" s="18" t="s">
        <v>7505</v>
      </c>
      <c r="T4" s="20" t="str">
        <f>TRIM(_xlfn.TEXTAFTER(S3, ":"))</f>
        <v>最後通牒雕刻</v>
      </c>
    </row>
    <row r="5" spans="1:20" ht="15.95" customHeight="1" x14ac:dyDescent="0.25">
      <c r="A5" s="18" t="s">
        <v>7089</v>
      </c>
      <c r="B5" s="16" t="str">
        <f>TRIM(_xlfn.TEXTBEFORE(A4, ":"))</f>
        <v>Rarity</v>
      </c>
      <c r="C5" s="18" t="s">
        <v>7236</v>
      </c>
      <c r="D5" s="16" t="str">
        <f>TRIM(_xlfn.TEXTBEFORE(C4, ":"))</f>
        <v>Seltenheit</v>
      </c>
      <c r="E5" s="18" t="s">
        <v>7613</v>
      </c>
      <c r="F5" s="16" t="str">
        <f>TRIM(_xlfn.TEXTBEFORE(E4, ":"))</f>
        <v>Rareza</v>
      </c>
      <c r="G5" s="18" t="s">
        <v>7164</v>
      </c>
      <c r="H5" s="16" t="str">
        <f>TRIM(_xlfn.TEXTBEFORE(G4, ":"))</f>
        <v>Rareté</v>
      </c>
      <c r="I5" s="18" t="s">
        <v>7763</v>
      </c>
      <c r="J5" s="16" t="str">
        <f>TRIM(_xlfn.TEXTBEFORE(I4, ":"))</f>
        <v>レアリティ</v>
      </c>
      <c r="K5" s="18" t="s">
        <v>7685</v>
      </c>
      <c r="L5" s="16" t="str">
        <f>TRIM(_xlfn.TEXTBEFORE(K4, ":"))</f>
        <v>아이템 희귀도</v>
      </c>
      <c r="M5" s="18" t="s">
        <v>7306</v>
      </c>
      <c r="N5" s="16" t="str">
        <f>TRIM(_xlfn.TEXTBEFORE(M4, ":"))</f>
        <v>Raridade</v>
      </c>
      <c r="O5" s="18" t="s">
        <v>7089</v>
      </c>
      <c r="P5" s="16" t="str">
        <f>TRIM(_xlfn.TEXTBEFORE(O4, ":"))</f>
        <v>Редкость</v>
      </c>
      <c r="Q5" s="18" t="s">
        <v>7451</v>
      </c>
      <c r="R5" s="16" t="str">
        <f>TRIM(_xlfn.TEXTBEFORE(Q4, ":"))</f>
        <v>ความหายาก</v>
      </c>
      <c r="S5" s="18" t="s">
        <v>7526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7090</v>
      </c>
      <c r="B7" s="16"/>
      <c r="C7" s="18" t="s">
        <v>7237</v>
      </c>
      <c r="D7" s="16"/>
      <c r="E7" s="18" t="s">
        <v>7614</v>
      </c>
      <c r="F7" s="16"/>
      <c r="G7" s="18" t="s">
        <v>7165</v>
      </c>
      <c r="H7" s="16"/>
      <c r="I7" s="18" t="s">
        <v>7764</v>
      </c>
      <c r="J7" s="16"/>
      <c r="K7" s="18" t="s">
        <v>7686</v>
      </c>
      <c r="L7" s="16"/>
      <c r="M7" s="18" t="s">
        <v>7307</v>
      </c>
      <c r="N7" s="16"/>
      <c r="O7" s="18" t="s">
        <v>7380</v>
      </c>
      <c r="P7" s="16"/>
      <c r="Q7" s="18" t="s">
        <v>7452</v>
      </c>
      <c r="R7" s="16"/>
      <c r="S7" s="18" t="s">
        <v>7527</v>
      </c>
      <c r="T7" s="20"/>
    </row>
    <row r="8" spans="1:20" ht="15.95" customHeight="1" x14ac:dyDescent="0.25">
      <c r="A8" s="18" t="s">
        <v>7091</v>
      </c>
      <c r="B8" s="16"/>
      <c r="C8" s="18" t="s">
        <v>7238</v>
      </c>
      <c r="D8" s="16"/>
      <c r="E8" s="18" t="s">
        <v>7615</v>
      </c>
      <c r="F8" s="16"/>
      <c r="G8" s="18" t="s">
        <v>7166</v>
      </c>
      <c r="H8" s="16"/>
      <c r="I8" s="18" t="s">
        <v>7765</v>
      </c>
      <c r="J8" s="16"/>
      <c r="K8" s="18" t="s">
        <v>7687</v>
      </c>
      <c r="L8" s="16"/>
      <c r="M8" s="18" t="s">
        <v>7308</v>
      </c>
      <c r="N8" s="16"/>
      <c r="O8" s="18" t="s">
        <v>7381</v>
      </c>
      <c r="P8" s="16"/>
      <c r="Q8" s="18" t="s">
        <v>7453</v>
      </c>
      <c r="R8" s="16"/>
      <c r="S8" s="18" t="s">
        <v>7528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640</v>
      </c>
      <c r="B10" s="16"/>
      <c r="C10" s="18" t="s">
        <v>1758</v>
      </c>
      <c r="D10" s="16"/>
      <c r="E10" s="18" t="s">
        <v>2477</v>
      </c>
      <c r="F10" s="16"/>
      <c r="G10" s="18" t="s">
        <v>1026</v>
      </c>
      <c r="H10" s="16"/>
      <c r="I10" s="18" t="s">
        <v>3195</v>
      </c>
      <c r="J10" s="16"/>
      <c r="K10" s="18" t="s">
        <v>3942</v>
      </c>
      <c r="L10" s="16"/>
      <c r="M10" s="18" t="s">
        <v>4671</v>
      </c>
      <c r="N10" s="16"/>
      <c r="O10" s="18" t="s">
        <v>5356</v>
      </c>
      <c r="P10" s="16"/>
      <c r="Q10" s="18" t="s">
        <v>6085</v>
      </c>
      <c r="R10" s="16"/>
      <c r="S10" s="18" t="s">
        <v>7529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7092</v>
      </c>
      <c r="B12" s="16"/>
      <c r="C12" s="18" t="s">
        <v>7239</v>
      </c>
      <c r="D12" s="16"/>
      <c r="E12" s="18" t="s">
        <v>7616</v>
      </c>
      <c r="F12" s="16"/>
      <c r="G12" s="18" t="s">
        <v>7167</v>
      </c>
      <c r="H12" s="16"/>
      <c r="I12" s="18" t="s">
        <v>7766</v>
      </c>
      <c r="J12" s="16"/>
      <c r="K12" s="18" t="s">
        <v>7688</v>
      </c>
      <c r="L12" s="16"/>
      <c r="M12" s="18" t="s">
        <v>7309</v>
      </c>
      <c r="N12" s="16"/>
      <c r="O12" s="18" t="s">
        <v>7382</v>
      </c>
      <c r="P12" s="16"/>
      <c r="Q12" s="18" t="s">
        <v>7454</v>
      </c>
      <c r="R12" s="16"/>
      <c r="S12" s="18" t="s">
        <v>7530</v>
      </c>
      <c r="T12" s="20"/>
    </row>
    <row r="13" spans="1:20" ht="15.95" customHeight="1" x14ac:dyDescent="0.25">
      <c r="A13" s="18" t="s">
        <v>7093</v>
      </c>
      <c r="B13" s="16"/>
      <c r="C13" s="18" t="s">
        <v>4</v>
      </c>
      <c r="D13" s="16"/>
      <c r="E13" s="18" t="s">
        <v>7617</v>
      </c>
      <c r="F13" s="16"/>
      <c r="G13" s="18" t="s">
        <v>7168</v>
      </c>
      <c r="H13" s="16"/>
      <c r="I13" s="18" t="s">
        <v>7767</v>
      </c>
      <c r="J13" s="16"/>
      <c r="K13" s="18" t="s">
        <v>7689</v>
      </c>
      <c r="L13" s="16"/>
      <c r="M13" s="18" t="s">
        <v>4</v>
      </c>
      <c r="N13" s="16"/>
      <c r="O13" s="18" t="s">
        <v>7383</v>
      </c>
      <c r="P13" s="16"/>
      <c r="Q13" s="18" t="s">
        <v>7455</v>
      </c>
      <c r="R13" s="16"/>
      <c r="S13" s="18" t="s">
        <v>7531</v>
      </c>
      <c r="T13" s="20"/>
    </row>
    <row r="14" spans="1:20" ht="15.95" customHeight="1" x14ac:dyDescent="0.25">
      <c r="A14" s="18" t="s">
        <v>7094</v>
      </c>
      <c r="B14" s="16"/>
      <c r="C14" s="18" t="s">
        <v>7240</v>
      </c>
      <c r="D14" s="16"/>
      <c r="E14" s="18" t="s">
        <v>7618</v>
      </c>
      <c r="F14" s="16"/>
      <c r="G14" s="18" t="s">
        <v>7169</v>
      </c>
      <c r="H14" s="16"/>
      <c r="I14" s="18" t="s">
        <v>7768</v>
      </c>
      <c r="J14" s="16"/>
      <c r="K14" s="18" t="s">
        <v>7690</v>
      </c>
      <c r="L14" s="16"/>
      <c r="M14" s="18" t="s">
        <v>7310</v>
      </c>
      <c r="N14" s="16"/>
      <c r="O14" s="18" t="s">
        <v>7384</v>
      </c>
      <c r="P14" s="16"/>
      <c r="Q14" s="18" t="s">
        <v>7456</v>
      </c>
      <c r="R14" s="16"/>
      <c r="S14" s="18" t="s">
        <v>7532</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7095</v>
      </c>
      <c r="B16" s="16"/>
      <c r="C16" s="18"/>
      <c r="D16" s="16"/>
      <c r="E16" s="18" t="s">
        <v>7619</v>
      </c>
      <c r="F16" s="16"/>
      <c r="G16" s="18" t="s">
        <v>7170</v>
      </c>
      <c r="H16" s="16"/>
      <c r="I16" s="18" t="s">
        <v>4</v>
      </c>
      <c r="J16" s="16"/>
      <c r="K16" s="18" t="s">
        <v>7691</v>
      </c>
      <c r="L16" s="16"/>
      <c r="M16" s="18"/>
      <c r="N16" s="16"/>
      <c r="O16" s="18" t="s">
        <v>7385</v>
      </c>
      <c r="P16" s="16"/>
      <c r="Q16" s="18" t="s">
        <v>7457</v>
      </c>
      <c r="R16" s="16"/>
      <c r="S16" s="18" t="s">
        <v>7533</v>
      </c>
      <c r="T16" s="20"/>
    </row>
    <row r="17" spans="1:20" ht="15.95" customHeight="1" x14ac:dyDescent="0.25">
      <c r="A17" s="18"/>
      <c r="B17" s="16"/>
      <c r="C17" s="18"/>
      <c r="D17" s="16"/>
      <c r="E17" s="18"/>
      <c r="F17" s="16"/>
      <c r="G17" s="18"/>
      <c r="H17" s="16"/>
      <c r="I17" s="18" t="s">
        <v>7769</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41" priority="5" stopIfTrue="1">
      <formula>NOT(ISERROR(A3))</formula>
    </cfRule>
  </conditionalFormatting>
  <conditionalFormatting sqref="A3:B12 D3:T12 A13:T51">
    <cfRule type="notContainsBlanks" dxfId="40" priority="6">
      <formula>LEN(TRIM(A3))&gt;0</formula>
    </cfRule>
  </conditionalFormatting>
  <conditionalFormatting sqref="A3:T51">
    <cfRule type="containsErrors" dxfId="39" priority="1" stopIfTrue="1">
      <formula>ISERROR(A3)</formula>
    </cfRule>
  </conditionalFormatting>
  <conditionalFormatting sqref="C3:C12">
    <cfRule type="notContainsBlanks" dxfId="38" priority="3">
      <formula>LEN(TRIM(C3))&gt;0</formula>
    </cfRule>
  </conditionalFormatting>
  <conditionalFormatting sqref="C3:C51">
    <cfRule type="notContainsErrors" dxfId="37"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7101</v>
      </c>
      <c r="B3" s="16" t="str">
        <f>TRIM(_xlfn.TEXTBEFORE(A3, ":"))</f>
        <v>Item Class</v>
      </c>
      <c r="C3" s="17" t="s">
        <v>7241</v>
      </c>
      <c r="D3" s="16" t="str">
        <f>TRIM(_xlfn.TEXTBEFORE(C3, ":"))</f>
        <v>Gegenstandsklasse</v>
      </c>
      <c r="E3" s="17" t="s">
        <v>7620</v>
      </c>
      <c r="F3" s="16" t="str">
        <f>TRIM(_xlfn.TEXTBEFORE(E3, ":"))</f>
        <v>Clase de objeto</v>
      </c>
      <c r="G3" s="17" t="s">
        <v>7171</v>
      </c>
      <c r="H3" s="16" t="str">
        <f>TRIM(_xlfn.TEXTBEFORE(G3, ":"))</f>
        <v>Classe d'objet</v>
      </c>
      <c r="I3" s="17" t="s">
        <v>7770</v>
      </c>
      <c r="J3" s="16" t="str">
        <f>TRIM(_xlfn.TEXTBEFORE(I3, ":"))</f>
        <v>アイテムクラス</v>
      </c>
      <c r="K3" s="17" t="s">
        <v>7692</v>
      </c>
      <c r="L3" s="16" t="str">
        <f>TRIM(_xlfn.TEXTBEFORE(K3, ":"))</f>
        <v>아이템 종류</v>
      </c>
      <c r="M3" s="17" t="s">
        <v>7311</v>
      </c>
      <c r="N3" s="16" t="str">
        <f>TRIM(_xlfn.TEXTBEFORE(M3, ":"))</f>
        <v>Classe do Item</v>
      </c>
      <c r="O3" s="17" t="s">
        <v>7386</v>
      </c>
      <c r="P3" s="16" t="str">
        <f>TRIM(_xlfn.TEXTBEFORE(O3, ":"))</f>
        <v>Класс предмета</v>
      </c>
      <c r="Q3" s="17" t="s">
        <v>7458</v>
      </c>
      <c r="R3" s="16" t="str">
        <f>TRIM(_xlfn.TEXTBEFORE(Q3, ":"))</f>
        <v>ชนิดไอเทม</v>
      </c>
      <c r="S3" s="17" t="s">
        <v>7534</v>
      </c>
      <c r="T3" s="20" t="str">
        <f>TRIM(_xlfn.TEXTBEFORE(S3, ":"))</f>
        <v>物品種類</v>
      </c>
    </row>
    <row r="4" spans="1:20" ht="15.95" customHeight="1" x14ac:dyDescent="0.25">
      <c r="A4" s="18" t="s">
        <v>497</v>
      </c>
      <c r="B4" s="16" t="str">
        <f>TRIM(_xlfn.TEXTAFTER(A3, ":"))</f>
        <v>Tablet</v>
      </c>
      <c r="C4" s="18" t="s">
        <v>1653</v>
      </c>
      <c r="D4" s="16" t="str">
        <f>TRIM(_xlfn.TEXTAFTER(C3, ":"))</f>
        <v>Tafel</v>
      </c>
      <c r="E4" s="18" t="s">
        <v>2373</v>
      </c>
      <c r="F4" s="16" t="str">
        <f>TRIM(_xlfn.TEXTAFTER(E3, ":"))</f>
        <v>Tablilla</v>
      </c>
      <c r="G4" s="18" t="s">
        <v>920</v>
      </c>
      <c r="H4" s="16" t="str">
        <f>TRIM(_xlfn.TEXTAFTER(G3, ":"))</f>
        <v>Tablette</v>
      </c>
      <c r="I4" s="18" t="s">
        <v>3088</v>
      </c>
      <c r="J4" s="16" t="str">
        <f>TRIM(_xlfn.TEXTAFTER(I3, ":"))</f>
        <v>石板</v>
      </c>
      <c r="K4" s="18" t="s">
        <v>3838</v>
      </c>
      <c r="L4" s="16" t="str">
        <f>TRIM(_xlfn.TEXTAFTER(K3, ":"))</f>
        <v>서판</v>
      </c>
      <c r="M4" s="18" t="s">
        <v>4567</v>
      </c>
      <c r="N4" s="16" t="str">
        <f>TRIM(_xlfn.TEXTAFTER(M3, ":"))</f>
        <v>Tábua</v>
      </c>
      <c r="O4" s="18" t="s">
        <v>5250</v>
      </c>
      <c r="P4" s="16" t="str">
        <f>TRIM(_xlfn.TEXTAFTER(O3, ":"))</f>
        <v>Плитки</v>
      </c>
      <c r="Q4" s="18" t="s">
        <v>5987</v>
      </c>
      <c r="R4" s="16" t="str">
        <f>TRIM(_xlfn.TEXTAFTER(Q3, ":"))</f>
        <v>แผ่นหิน</v>
      </c>
      <c r="S4" s="18" t="s">
        <v>7512</v>
      </c>
      <c r="T4" s="20" t="str">
        <f>TRIM(_xlfn.TEXTAFTER(S3, ":"))</f>
        <v>面板</v>
      </c>
    </row>
    <row r="5" spans="1:20" ht="15.95" customHeight="1" x14ac:dyDescent="0.25">
      <c r="A5" s="18" t="s">
        <v>7102</v>
      </c>
      <c r="B5" s="16" t="str">
        <f>TRIM(_xlfn.TEXTBEFORE(A4, ":"))</f>
        <v>Rarity</v>
      </c>
      <c r="C5" s="18" t="s">
        <v>7242</v>
      </c>
      <c r="D5" s="16" t="str">
        <f>TRIM(_xlfn.TEXTBEFORE(C4, ":"))</f>
        <v>Seltenheit</v>
      </c>
      <c r="E5" s="18" t="s">
        <v>7621</v>
      </c>
      <c r="F5" s="16" t="str">
        <f>TRIM(_xlfn.TEXTBEFORE(E4, ":"))</f>
        <v>Rareza</v>
      </c>
      <c r="G5" s="18" t="s">
        <v>7172</v>
      </c>
      <c r="H5" s="16" t="str">
        <f>TRIM(_xlfn.TEXTBEFORE(G4, ":"))</f>
        <v>Rareté</v>
      </c>
      <c r="I5" s="18" t="s">
        <v>7771</v>
      </c>
      <c r="J5" s="16" t="str">
        <f>TRIM(_xlfn.TEXTBEFORE(I4, ":"))</f>
        <v>レアリティ</v>
      </c>
      <c r="K5" s="18" t="s">
        <v>7693</v>
      </c>
      <c r="L5" s="16" t="str">
        <f>TRIM(_xlfn.TEXTBEFORE(K4, ":"))</f>
        <v>아이템 희귀도</v>
      </c>
      <c r="M5" s="18" t="s">
        <v>7312</v>
      </c>
      <c r="N5" s="16" t="str">
        <f>TRIM(_xlfn.TEXTBEFORE(M4, ":"))</f>
        <v>Raridade</v>
      </c>
      <c r="O5" s="18" t="s">
        <v>7387</v>
      </c>
      <c r="P5" s="16" t="str">
        <f>TRIM(_xlfn.TEXTBEFORE(O4, ":"))</f>
        <v>Редкость</v>
      </c>
      <c r="Q5" s="18" t="s">
        <v>7459</v>
      </c>
      <c r="R5" s="16" t="str">
        <f>TRIM(_xlfn.TEXTBEFORE(Q4, ":"))</f>
        <v>ความหายาก</v>
      </c>
      <c r="S5" s="18" t="s">
        <v>7535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625</v>
      </c>
      <c r="B7" s="16"/>
      <c r="C7" s="18" t="s">
        <v>1773</v>
      </c>
      <c r="D7" s="16"/>
      <c r="E7" s="18" t="s">
        <v>2492</v>
      </c>
      <c r="F7" s="16"/>
      <c r="G7" s="18" t="s">
        <v>1041</v>
      </c>
      <c r="H7" s="16"/>
      <c r="I7" s="18" t="s">
        <v>3211</v>
      </c>
      <c r="J7" s="16"/>
      <c r="K7" s="18" t="s">
        <v>3957</v>
      </c>
      <c r="L7" s="16"/>
      <c r="M7" s="18" t="s">
        <v>4686</v>
      </c>
      <c r="N7" s="16"/>
      <c r="O7" s="18" t="s">
        <v>5371</v>
      </c>
      <c r="P7" s="16"/>
      <c r="Q7" s="18" t="s">
        <v>6097</v>
      </c>
      <c r="R7" s="16"/>
      <c r="S7" s="18" t="s">
        <v>7536</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7103</v>
      </c>
      <c r="B9" s="16"/>
      <c r="C9" s="18" t="s">
        <v>7243</v>
      </c>
      <c r="D9" s="16"/>
      <c r="E9" s="18" t="s">
        <v>7622</v>
      </c>
      <c r="F9" s="16"/>
      <c r="G9" s="18" t="s">
        <v>7173</v>
      </c>
      <c r="H9" s="16"/>
      <c r="I9" s="18" t="s">
        <v>7772</v>
      </c>
      <c r="J9" s="16"/>
      <c r="K9" s="18" t="s">
        <v>7694</v>
      </c>
      <c r="L9" s="16"/>
      <c r="M9" s="18" t="s">
        <v>7313</v>
      </c>
      <c r="N9" s="16"/>
      <c r="O9" s="18" t="s">
        <v>7388</v>
      </c>
      <c r="P9" s="16"/>
      <c r="Q9" s="18" t="s">
        <v>7460</v>
      </c>
      <c r="R9" s="16"/>
      <c r="S9" s="18" t="s">
        <v>7537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7104</v>
      </c>
      <c r="B11" s="16"/>
      <c r="C11" s="18" t="s">
        <v>7244</v>
      </c>
      <c r="D11" s="16"/>
      <c r="E11" s="18" t="s">
        <v>7623</v>
      </c>
      <c r="F11" s="16"/>
      <c r="G11" s="18" t="s">
        <v>7174</v>
      </c>
      <c r="H11" s="16"/>
      <c r="I11" s="18" t="s">
        <v>7773</v>
      </c>
      <c r="J11" s="16"/>
      <c r="K11" s="18" t="s">
        <v>7695</v>
      </c>
      <c r="L11" s="16"/>
      <c r="M11" s="18" t="s">
        <v>7314</v>
      </c>
      <c r="N11" s="16"/>
      <c r="O11" s="18" t="s">
        <v>7389</v>
      </c>
      <c r="P11" s="16"/>
      <c r="Q11" s="18" t="s">
        <v>7461</v>
      </c>
      <c r="R11" s="16"/>
      <c r="S11" s="18" t="s">
        <v>7538</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6" priority="5" stopIfTrue="1">
      <formula>NOT(ISERROR(A3))</formula>
    </cfRule>
  </conditionalFormatting>
  <conditionalFormatting sqref="A3:B12 D3:T12 A13:T51">
    <cfRule type="notContainsBlanks" dxfId="35" priority="6">
      <formula>LEN(TRIM(A3))&gt;0</formula>
    </cfRule>
  </conditionalFormatting>
  <conditionalFormatting sqref="A3:T51">
    <cfRule type="containsErrors" dxfId="34" priority="1" stopIfTrue="1">
      <formula>ISERROR(A3)</formula>
    </cfRule>
  </conditionalFormatting>
  <conditionalFormatting sqref="C3:C12">
    <cfRule type="notContainsBlanks" dxfId="33" priority="3">
      <formula>LEN(TRIM(C3))&gt;0</formula>
    </cfRule>
  </conditionalFormatting>
  <conditionalFormatting sqref="C3:C51">
    <cfRule type="notContainsErrors" dxfId="32"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7060</v>
      </c>
      <c r="B3" s="16" t="str">
        <f>TRIM(_xlfn.TEXTBEFORE(A3, ":"))</f>
        <v>Item Class</v>
      </c>
      <c r="C3" s="17" t="s">
        <v>7245</v>
      </c>
      <c r="D3" s="16" t="str">
        <f>TRIM(_xlfn.TEXTBEFORE(C3, ":"))</f>
        <v>Gegenstandsklasse</v>
      </c>
      <c r="E3" s="17" t="s">
        <v>7624</v>
      </c>
      <c r="F3" s="16" t="str">
        <f>TRIM(_xlfn.TEXTBEFORE(E3, ":"))</f>
        <v>Clase de objeto</v>
      </c>
      <c r="G3" s="17" t="s">
        <v>7175</v>
      </c>
      <c r="H3" s="16" t="str">
        <f>TRIM(_xlfn.TEXTBEFORE(G3, ":"))</f>
        <v>Classe d'objet</v>
      </c>
      <c r="I3" s="17" t="s">
        <v>7774</v>
      </c>
      <c r="J3" s="16" t="str">
        <f>TRIM(_xlfn.TEXTBEFORE(I3, ":"))</f>
        <v>アイテムクラス</v>
      </c>
      <c r="K3" s="17" t="s">
        <v>7696</v>
      </c>
      <c r="L3" s="16" t="str">
        <f>TRIM(_xlfn.TEXTBEFORE(K3, ":"))</f>
        <v>아이템 종류</v>
      </c>
      <c r="M3" s="17" t="s">
        <v>7315</v>
      </c>
      <c r="N3" s="16" t="str">
        <f>TRIM(_xlfn.TEXTBEFORE(M3, ":"))</f>
        <v>Classe do Item</v>
      </c>
      <c r="O3" s="17" t="s">
        <v>7390</v>
      </c>
      <c r="P3" s="16" t="str">
        <f>TRIM(_xlfn.TEXTBEFORE(O3, ":"))</f>
        <v>Класс предмета</v>
      </c>
      <c r="Q3" s="17" t="s">
        <v>7462</v>
      </c>
      <c r="R3" s="16" t="str">
        <f>TRIM(_xlfn.TEXTBEFORE(Q3, ":"))</f>
        <v>ชนิดไอเทม</v>
      </c>
      <c r="S3" s="17" t="s">
        <v>7539</v>
      </c>
      <c r="T3" s="20" t="str">
        <f>TRIM(_xlfn.TEXTBEFORE(S3, ":"))</f>
        <v>物品種類</v>
      </c>
    </row>
    <row r="4" spans="1:20" ht="15.95" customHeight="1" x14ac:dyDescent="0.25">
      <c r="A4" s="18" t="s">
        <v>471</v>
      </c>
      <c r="B4" s="16" t="str">
        <f>TRIM(_xlfn.TEXTAFTER(A3, ":"))</f>
        <v>Crossbows</v>
      </c>
      <c r="C4" s="18" t="s">
        <v>1682</v>
      </c>
      <c r="D4" s="16" t="str">
        <f>TRIM(_xlfn.TEXTAFTER(C3, ":"))</f>
        <v>Armbrüste</v>
      </c>
      <c r="E4" s="18" t="s">
        <v>2401</v>
      </c>
      <c r="F4" s="16" t="str">
        <f>TRIM(_xlfn.TEXTAFTER(E3, ":"))</f>
        <v>Ballestas</v>
      </c>
      <c r="G4" s="18" t="s">
        <v>949</v>
      </c>
      <c r="H4" s="16" t="str">
        <f>TRIM(_xlfn.TEXTAFTER(G3, ":"))</f>
        <v>Arbalètes</v>
      </c>
      <c r="I4" s="18" t="s">
        <v>3119</v>
      </c>
      <c r="J4" s="16" t="str">
        <f>TRIM(_xlfn.TEXTAFTER(I3, ":"))</f>
        <v>クロスボウ</v>
      </c>
      <c r="K4" s="18" t="s">
        <v>3866</v>
      </c>
      <c r="L4" s="16" t="str">
        <f>TRIM(_xlfn.TEXTAFTER(K3, ":"))</f>
        <v>쇠뇌</v>
      </c>
      <c r="M4" s="18" t="s">
        <v>4596</v>
      </c>
      <c r="N4" s="16" t="str">
        <f>TRIM(_xlfn.TEXTAFTER(M3, ":"))</f>
        <v>Bestas</v>
      </c>
      <c r="O4" s="18" t="s">
        <v>5279</v>
      </c>
      <c r="P4" s="16" t="str">
        <f>TRIM(_xlfn.TEXTAFTER(O3, ":"))</f>
        <v>Самострелы</v>
      </c>
      <c r="Q4" s="18" t="s">
        <v>6013</v>
      </c>
      <c r="R4" s="16" t="str">
        <f>TRIM(_xlfn.TEXTAFTER(Q3, ":"))</f>
        <v>หน้าไม้</v>
      </c>
      <c r="S4" s="18" t="s">
        <v>7495</v>
      </c>
      <c r="T4" s="20" t="str">
        <f>TRIM(_xlfn.TEXTAFTER(S3, ":"))</f>
        <v>十字弓</v>
      </c>
    </row>
    <row r="5" spans="1:20" ht="15.95" customHeight="1" x14ac:dyDescent="0.25">
      <c r="A5" s="18" t="s">
        <v>7061</v>
      </c>
      <c r="B5" s="16" t="str">
        <f>TRIM(_xlfn.TEXTBEFORE(A4, ":"))</f>
        <v>Rarity</v>
      </c>
      <c r="C5" s="18" t="s">
        <v>7246</v>
      </c>
      <c r="D5" s="16" t="str">
        <f>TRIM(_xlfn.TEXTBEFORE(C4, ":"))</f>
        <v>Seltenheit</v>
      </c>
      <c r="E5" s="18" t="s">
        <v>7625</v>
      </c>
      <c r="F5" s="16" t="str">
        <f>TRIM(_xlfn.TEXTBEFORE(E4, ":"))</f>
        <v>Rareza</v>
      </c>
      <c r="G5" s="18" t="s">
        <v>7176</v>
      </c>
      <c r="H5" s="16" t="str">
        <f>TRIM(_xlfn.TEXTBEFORE(G4, ":"))</f>
        <v>Rareté</v>
      </c>
      <c r="I5" s="18" t="s">
        <v>7775</v>
      </c>
      <c r="J5" s="16" t="str">
        <f>TRIM(_xlfn.TEXTBEFORE(I4, ":"))</f>
        <v>レアリティ</v>
      </c>
      <c r="K5" s="18" t="s">
        <v>7697</v>
      </c>
      <c r="L5" s="16" t="str">
        <f>TRIM(_xlfn.TEXTBEFORE(K4, ":"))</f>
        <v>아이템 희귀도</v>
      </c>
      <c r="M5" s="18" t="s">
        <v>7316</v>
      </c>
      <c r="N5" s="16" t="str">
        <f>TRIM(_xlfn.TEXTBEFORE(M4, ":"))</f>
        <v>Raridade</v>
      </c>
      <c r="O5" s="18" t="s">
        <v>7391</v>
      </c>
      <c r="P5" s="16" t="str">
        <f>TRIM(_xlfn.TEXTBEFORE(O4, ":"))</f>
        <v>Редкость</v>
      </c>
      <c r="Q5" s="18" t="s">
        <v>7061</v>
      </c>
      <c r="R5" s="16" t="str">
        <f>TRIM(_xlfn.TEXTBEFORE(Q4, ":"))</f>
        <v>ความหายาก</v>
      </c>
      <c r="S5" s="18" t="s">
        <v>7540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7062</v>
      </c>
      <c r="B7" s="16"/>
      <c r="C7" s="18" t="s">
        <v>7247</v>
      </c>
      <c r="D7" s="16"/>
      <c r="E7" s="18" t="s">
        <v>7626</v>
      </c>
      <c r="F7" s="16"/>
      <c r="G7" s="18" t="s">
        <v>7177</v>
      </c>
      <c r="H7" s="16"/>
      <c r="I7" s="18" t="s">
        <v>7776</v>
      </c>
      <c r="J7" s="16"/>
      <c r="K7" s="18" t="s">
        <v>7698</v>
      </c>
      <c r="L7" s="16"/>
      <c r="M7" s="18" t="s">
        <v>7317</v>
      </c>
      <c r="N7" s="16"/>
      <c r="O7" s="18" t="s">
        <v>7392</v>
      </c>
      <c r="P7" s="16"/>
      <c r="Q7" s="18" t="s">
        <v>7463</v>
      </c>
      <c r="R7" s="16"/>
      <c r="S7" s="18" t="s">
        <v>7541</v>
      </c>
      <c r="T7" s="20"/>
    </row>
    <row r="8" spans="1:20" ht="15.95" customHeight="1" x14ac:dyDescent="0.25">
      <c r="A8" s="18" t="s">
        <v>6791</v>
      </c>
      <c r="B8" s="16"/>
      <c r="C8" s="18" t="s">
        <v>2109</v>
      </c>
      <c r="D8" s="16"/>
      <c r="E8" s="18" t="s">
        <v>6959</v>
      </c>
      <c r="F8" s="16"/>
      <c r="G8" s="18" t="s">
        <v>6822</v>
      </c>
      <c r="H8" s="16"/>
      <c r="I8" s="18" t="s">
        <v>7017</v>
      </c>
      <c r="J8" s="16"/>
      <c r="K8" s="18" t="s">
        <v>6986</v>
      </c>
      <c r="L8" s="16"/>
      <c r="M8" s="18" t="s">
        <v>6878</v>
      </c>
      <c r="N8" s="16"/>
      <c r="O8" s="18" t="s">
        <v>6907</v>
      </c>
      <c r="P8" s="16"/>
      <c r="Q8" s="18" t="s">
        <v>6936</v>
      </c>
      <c r="R8" s="16"/>
      <c r="S8" s="18" t="s">
        <v>7542</v>
      </c>
      <c r="T8" s="20"/>
    </row>
    <row r="9" spans="1:20" ht="15.95" customHeight="1" x14ac:dyDescent="0.25">
      <c r="A9" s="18" t="s">
        <v>7063</v>
      </c>
      <c r="B9" s="16"/>
      <c r="C9" s="18" t="s">
        <v>7248</v>
      </c>
      <c r="D9" s="16"/>
      <c r="E9" s="18" t="s">
        <v>7627</v>
      </c>
      <c r="F9" s="16"/>
      <c r="G9" s="18" t="s">
        <v>7178</v>
      </c>
      <c r="H9" s="16"/>
      <c r="I9" s="18" t="s">
        <v>7777</v>
      </c>
      <c r="J9" s="16"/>
      <c r="K9" s="18" t="s">
        <v>7699</v>
      </c>
      <c r="L9" s="16"/>
      <c r="M9" s="18" t="s">
        <v>7318</v>
      </c>
      <c r="N9" s="16"/>
      <c r="O9" s="18" t="s">
        <v>7393</v>
      </c>
      <c r="P9" s="16"/>
      <c r="Q9" s="18" t="s">
        <v>7464</v>
      </c>
      <c r="R9" s="16"/>
      <c r="S9" s="18" t="s">
        <v>7543</v>
      </c>
      <c r="T9" s="20"/>
    </row>
    <row r="10" spans="1:20" ht="15.95" customHeight="1" x14ac:dyDescent="0.25">
      <c r="A10" s="18" t="s">
        <v>7064</v>
      </c>
      <c r="B10" s="16"/>
      <c r="C10" s="18" t="s">
        <v>7249</v>
      </c>
      <c r="D10" s="16"/>
      <c r="E10" s="18" t="s">
        <v>7628</v>
      </c>
      <c r="F10" s="16"/>
      <c r="G10" s="18" t="s">
        <v>7179</v>
      </c>
      <c r="H10" s="16"/>
      <c r="I10" s="18" t="s">
        <v>7778</v>
      </c>
      <c r="J10" s="16"/>
      <c r="K10" s="18" t="s">
        <v>7700</v>
      </c>
      <c r="L10" s="16"/>
      <c r="M10" s="18" t="s">
        <v>7319</v>
      </c>
      <c r="N10" s="16"/>
      <c r="O10" s="18" t="s">
        <v>7394</v>
      </c>
      <c r="P10" s="16"/>
      <c r="Q10" s="18" t="s">
        <v>7465</v>
      </c>
      <c r="R10" s="16"/>
      <c r="S10" s="18" t="s">
        <v>7544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108</v>
      </c>
      <c r="B13" s="16"/>
      <c r="C13" s="18" t="s">
        <v>1591</v>
      </c>
      <c r="D13" s="16"/>
      <c r="E13" s="18" t="s">
        <v>2338</v>
      </c>
      <c r="F13" s="16"/>
      <c r="G13" s="18" t="s">
        <v>865</v>
      </c>
      <c r="H13" s="16"/>
      <c r="I13" s="18" t="s">
        <v>3052</v>
      </c>
      <c r="J13" s="16"/>
      <c r="K13" s="18" t="s">
        <v>3803</v>
      </c>
      <c r="L13" s="16"/>
      <c r="M13" s="18" t="s">
        <v>4531</v>
      </c>
      <c r="N13" s="16"/>
      <c r="O13" s="18" t="s">
        <v>5214</v>
      </c>
      <c r="P13" s="16"/>
      <c r="Q13" s="18" t="s">
        <v>5956</v>
      </c>
      <c r="R13" s="16"/>
      <c r="S13" s="18" t="s">
        <v>7545</v>
      </c>
      <c r="T13" s="20"/>
    </row>
    <row r="14" spans="1:20" ht="15.95" customHeight="1" x14ac:dyDescent="0.25">
      <c r="A14" s="18" t="s">
        <v>7065</v>
      </c>
      <c r="B14" s="16"/>
      <c r="C14" s="18" t="s">
        <v>7065</v>
      </c>
      <c r="D14" s="16"/>
      <c r="E14" s="18" t="s">
        <v>7629</v>
      </c>
      <c r="F14" s="16"/>
      <c r="G14" s="18" t="s">
        <v>7180</v>
      </c>
      <c r="H14" s="16"/>
      <c r="I14" s="18" t="s">
        <v>7779</v>
      </c>
      <c r="J14" s="16"/>
      <c r="K14" s="18" t="s">
        <v>7701</v>
      </c>
      <c r="L14" s="16"/>
      <c r="M14" s="18" t="s">
        <v>7180</v>
      </c>
      <c r="N14" s="16"/>
      <c r="O14" s="18" t="s">
        <v>7395</v>
      </c>
      <c r="P14" s="16"/>
      <c r="Q14" s="18" t="s">
        <v>7065</v>
      </c>
      <c r="R14" s="16"/>
      <c r="S14" s="18" t="s">
        <v>7546</v>
      </c>
      <c r="T14" s="20"/>
    </row>
    <row r="15" spans="1:20" ht="15.95" customHeight="1" x14ac:dyDescent="0.25">
      <c r="A15" s="18" t="s">
        <v>7066</v>
      </c>
      <c r="B15" s="16"/>
      <c r="C15" s="18" t="s">
        <v>7250</v>
      </c>
      <c r="D15" s="16"/>
      <c r="E15" s="18" t="s">
        <v>7320</v>
      </c>
      <c r="F15" s="16"/>
      <c r="G15" s="18" t="s">
        <v>7066</v>
      </c>
      <c r="H15" s="16"/>
      <c r="I15" s="18" t="s">
        <v>7780</v>
      </c>
      <c r="J15" s="16"/>
      <c r="K15" s="18" t="s">
        <v>7702</v>
      </c>
      <c r="L15" s="16"/>
      <c r="M15" s="18" t="s">
        <v>7320</v>
      </c>
      <c r="N15" s="16"/>
      <c r="O15" s="18" t="s">
        <v>7396</v>
      </c>
      <c r="P15" s="16"/>
      <c r="Q15" s="18" t="s">
        <v>7066</v>
      </c>
      <c r="R15" s="16"/>
      <c r="S15" s="18" t="s">
        <v>7547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434</v>
      </c>
      <c r="B17" s="16"/>
      <c r="C17" s="18" t="s">
        <v>1700</v>
      </c>
      <c r="D17" s="16"/>
      <c r="E17" s="18" t="s">
        <v>2419</v>
      </c>
      <c r="F17" s="16"/>
      <c r="G17" s="18" t="s">
        <v>968</v>
      </c>
      <c r="H17" s="16"/>
      <c r="I17" s="18" t="s">
        <v>3137</v>
      </c>
      <c r="J17" s="16"/>
      <c r="K17" s="18" t="s">
        <v>3884</v>
      </c>
      <c r="L17" s="16"/>
      <c r="M17" s="18" t="s">
        <v>4613</v>
      </c>
      <c r="N17" s="16"/>
      <c r="O17" s="18" t="s">
        <v>5298</v>
      </c>
      <c r="P17" s="16"/>
      <c r="Q17" s="18" t="s">
        <v>6031</v>
      </c>
      <c r="R17" s="16"/>
      <c r="S17" s="18" t="s">
        <v>7548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7067</v>
      </c>
      <c r="B19" s="16"/>
      <c r="C19" s="18" t="s">
        <v>7251</v>
      </c>
      <c r="D19" s="16"/>
      <c r="E19" s="18" t="s">
        <v>7630</v>
      </c>
      <c r="F19" s="16"/>
      <c r="G19" s="18" t="s">
        <v>7181</v>
      </c>
      <c r="H19" s="16"/>
      <c r="I19" s="18" t="s">
        <v>7781</v>
      </c>
      <c r="J19" s="16"/>
      <c r="K19" s="18" t="s">
        <v>7703</v>
      </c>
      <c r="L19" s="16"/>
      <c r="M19" s="18" t="s">
        <v>7321</v>
      </c>
      <c r="N19" s="16"/>
      <c r="O19" s="18" t="s">
        <v>7397</v>
      </c>
      <c r="P19" s="16"/>
      <c r="Q19" s="18" t="s">
        <v>7466</v>
      </c>
      <c r="R19" s="16"/>
      <c r="S19" s="18" t="s">
        <v>7549</v>
      </c>
      <c r="T19" s="20"/>
    </row>
    <row r="20" spans="1:20" ht="15.95" customHeight="1" x14ac:dyDescent="0.25">
      <c r="A20" s="18" t="s">
        <v>7068</v>
      </c>
      <c r="B20" s="16"/>
      <c r="C20" s="18" t="s">
        <v>7252</v>
      </c>
      <c r="D20" s="16"/>
      <c r="E20" s="18" t="s">
        <v>7631</v>
      </c>
      <c r="F20" s="16"/>
      <c r="G20" s="18" t="s">
        <v>7182</v>
      </c>
      <c r="H20" s="16"/>
      <c r="I20" s="18" t="s">
        <v>7782</v>
      </c>
      <c r="J20" s="16"/>
      <c r="K20" s="18" t="s">
        <v>7704</v>
      </c>
      <c r="L20" s="16"/>
      <c r="M20" s="18" t="s">
        <v>7322</v>
      </c>
      <c r="N20" s="16"/>
      <c r="O20" s="18" t="s">
        <v>7398</v>
      </c>
      <c r="P20" s="16"/>
      <c r="Q20" s="18" t="s">
        <v>7467</v>
      </c>
      <c r="R20" s="16"/>
      <c r="S20" s="18" t="s">
        <v>7550</v>
      </c>
      <c r="T20" s="20"/>
    </row>
    <row r="21" spans="1:20" ht="15.95" customHeight="1" x14ac:dyDescent="0.25">
      <c r="A21" s="18" t="s">
        <v>7069</v>
      </c>
      <c r="B21" s="16"/>
      <c r="C21" s="18" t="s">
        <v>7253</v>
      </c>
      <c r="D21" s="16"/>
      <c r="E21" s="18" t="s">
        <v>7632</v>
      </c>
      <c r="F21" s="16"/>
      <c r="G21" s="18" t="s">
        <v>7183</v>
      </c>
      <c r="H21" s="16"/>
      <c r="I21" s="18" t="s">
        <v>7783</v>
      </c>
      <c r="J21" s="16"/>
      <c r="K21" s="18" t="s">
        <v>7705</v>
      </c>
      <c r="L21" s="16"/>
      <c r="M21" s="18" t="s">
        <v>7323</v>
      </c>
      <c r="N21" s="16"/>
      <c r="O21" s="18" t="s">
        <v>7399</v>
      </c>
      <c r="P21" s="16"/>
      <c r="Q21" s="18" t="s">
        <v>7468</v>
      </c>
      <c r="R21" s="16"/>
      <c r="S21" s="18" t="s">
        <v>7551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31" priority="5" stopIfTrue="1">
      <formula>NOT(ISERROR(A3))</formula>
    </cfRule>
  </conditionalFormatting>
  <conditionalFormatting sqref="A3:B12 D3:T12 A13:T51">
    <cfRule type="notContainsBlanks" dxfId="30" priority="6">
      <formula>LEN(TRIM(A3))&gt;0</formula>
    </cfRule>
  </conditionalFormatting>
  <conditionalFormatting sqref="A3:T51">
    <cfRule type="containsErrors" dxfId="29" priority="1" stopIfTrue="1">
      <formula>ISERROR(A3)</formula>
    </cfRule>
  </conditionalFormatting>
  <conditionalFormatting sqref="C3:C12">
    <cfRule type="notContainsBlanks" dxfId="28" priority="3">
      <formula>LEN(TRIM(C3))&gt;0</formula>
    </cfRule>
  </conditionalFormatting>
  <conditionalFormatting sqref="C3:C51">
    <cfRule type="notContainsErrors" dxfId="27"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dimension ref="A1:T51"/>
  <sheetViews>
    <sheetView workbookViewId="0">
      <selection activeCell="I3" sqref="I3:I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6797</v>
      </c>
      <c r="B3" s="16" t="str">
        <f>TRIM(_xlfn.TEXTBEFORE(A3, ":"))</f>
        <v>Item Class</v>
      </c>
      <c r="C3" s="17" t="s">
        <v>6854</v>
      </c>
      <c r="D3" s="16" t="str">
        <f>TRIM(_xlfn.TEXTBEFORE(C3, ":"))</f>
        <v>Gegenstandsklasse</v>
      </c>
      <c r="E3" s="17" t="s">
        <v>6964</v>
      </c>
      <c r="F3" s="16" t="str">
        <f>TRIM(_xlfn.TEXTBEFORE(E3, ":"))</f>
        <v>Clase de objeto</v>
      </c>
      <c r="G3" s="17" t="s">
        <v>6827</v>
      </c>
      <c r="H3" s="16" t="str">
        <f>TRIM(_xlfn.TEXTBEFORE(G3, ":"))</f>
        <v>Classe d'objet</v>
      </c>
      <c r="I3" s="17" t="s">
        <v>7023</v>
      </c>
      <c r="J3" s="16" t="str">
        <f>TRIM(_xlfn.TEXTBEFORE(I3, ":"))</f>
        <v>アイテムクラス</v>
      </c>
      <c r="K3" s="17" t="s">
        <v>6992</v>
      </c>
      <c r="L3" s="16" t="str">
        <f>TRIM(_xlfn.TEXTBEFORE(K3, ":"))</f>
        <v>아이템 종류</v>
      </c>
      <c r="M3" s="17" t="s">
        <v>4936</v>
      </c>
      <c r="N3" s="16" t="str">
        <f>TRIM(_xlfn.TEXTBEFORE(M3, ":"))</f>
        <v>Classe do Item</v>
      </c>
      <c r="O3" s="17" t="s">
        <v>6913</v>
      </c>
      <c r="P3" s="16" t="str">
        <f>TRIM(_xlfn.TEXTBEFORE(O3, ":"))</f>
        <v>Класс предмета</v>
      </c>
      <c r="Q3" s="17" t="s">
        <v>6941</v>
      </c>
      <c r="R3" s="16" t="str">
        <f>TRIM(_xlfn.TEXTBEFORE(Q3, ":"))</f>
        <v>ชนิดไอเทม</v>
      </c>
      <c r="S3" s="17" t="s">
        <v>7552</v>
      </c>
      <c r="T3" s="20" t="str">
        <f>TRIM(_xlfn.TEXTBEFORE(S3, ":"))</f>
        <v>物品種類</v>
      </c>
    </row>
    <row r="4" spans="1:20" ht="15.95" customHeight="1" x14ac:dyDescent="0.25">
      <c r="A4" s="18" t="s">
        <v>471</v>
      </c>
      <c r="B4" s="16" t="str">
        <f>TRIM(_xlfn.TEXTAFTER(A3, ":"))</f>
        <v>Quarterstaves</v>
      </c>
      <c r="C4" s="18" t="s">
        <v>1682</v>
      </c>
      <c r="D4" s="16" t="str">
        <f>TRIM(_xlfn.TEXTAFTER(C3, ":"))</f>
        <v>Kampfstäbe</v>
      </c>
      <c r="E4" s="18" t="s">
        <v>2401</v>
      </c>
      <c r="F4" s="16" t="str">
        <f>TRIM(_xlfn.TEXTAFTER(E3, ":"))</f>
        <v>Bastones</v>
      </c>
      <c r="G4" s="18" t="s">
        <v>949</v>
      </c>
      <c r="H4" s="16" t="str">
        <f>TRIM(_xlfn.TEXTAFTER(G3, ":"))</f>
        <v>Bâtons de combat</v>
      </c>
      <c r="I4" s="18" t="s">
        <v>3119</v>
      </c>
      <c r="J4" s="16" t="str">
        <f>TRIM(_xlfn.TEXTAFTER(I3, ":"))</f>
        <v>クォータースタッフ</v>
      </c>
      <c r="K4" s="18" t="s">
        <v>3866</v>
      </c>
      <c r="L4" s="16" t="str">
        <f>TRIM(_xlfn.TEXTAFTER(K3, ":"))</f>
        <v>육척봉</v>
      </c>
      <c r="M4" s="18" t="s">
        <v>4596</v>
      </c>
      <c r="N4" s="16" t="str">
        <f>TRIM(_xlfn.TEXTAFTER(M3, ":"))</f>
        <v>Cajados</v>
      </c>
      <c r="O4" s="18" t="s">
        <v>5279</v>
      </c>
      <c r="P4" s="16" t="str">
        <f>TRIM(_xlfn.TEXTAFTER(O3, ":"))</f>
        <v>Боевые посохи</v>
      </c>
      <c r="Q4" s="18" t="s">
        <v>6013</v>
      </c>
      <c r="R4" s="16" t="str">
        <f>TRIM(_xlfn.TEXTAFTER(Q3, ":"))</f>
        <v>ไม้พลองวรยุทธ์</v>
      </c>
      <c r="S4" s="18" t="s">
        <v>7495</v>
      </c>
      <c r="T4" s="20" t="str">
        <f>TRIM(_xlfn.TEXTAFTER(S3, ":"))</f>
        <v>征戰長杖</v>
      </c>
    </row>
    <row r="5" spans="1:20" ht="15.95" customHeight="1" x14ac:dyDescent="0.25">
      <c r="A5" s="18" t="s">
        <v>7070</v>
      </c>
      <c r="B5" s="16" t="str">
        <f>TRIM(_xlfn.TEXTBEFORE(A4, ":"))</f>
        <v>Rarity</v>
      </c>
      <c r="C5" s="18" t="s">
        <v>7254</v>
      </c>
      <c r="D5" s="16" t="str">
        <f>TRIM(_xlfn.TEXTBEFORE(C4, ":"))</f>
        <v>Seltenheit</v>
      </c>
      <c r="E5" s="18" t="s">
        <v>7633</v>
      </c>
      <c r="F5" s="16" t="str">
        <f>TRIM(_xlfn.TEXTBEFORE(E4, ":"))</f>
        <v>Rareza</v>
      </c>
      <c r="G5" s="18" t="s">
        <v>7184</v>
      </c>
      <c r="H5" s="16" t="str">
        <f>TRIM(_xlfn.TEXTBEFORE(G4, ":"))</f>
        <v>Rareté</v>
      </c>
      <c r="I5" s="18" t="s">
        <v>7784</v>
      </c>
      <c r="J5" s="16" t="str">
        <f>TRIM(_xlfn.TEXTBEFORE(I4, ":"))</f>
        <v>レアリティ</v>
      </c>
      <c r="K5" s="18" t="s">
        <v>7706</v>
      </c>
      <c r="L5" s="16" t="str">
        <f>TRIM(_xlfn.TEXTBEFORE(K4, ":"))</f>
        <v>아이템 희귀도</v>
      </c>
      <c r="M5" s="18" t="s">
        <v>7324</v>
      </c>
      <c r="N5" s="16" t="str">
        <f>TRIM(_xlfn.TEXTBEFORE(M4, ":"))</f>
        <v>Raridade</v>
      </c>
      <c r="O5" s="18" t="s">
        <v>7400</v>
      </c>
      <c r="P5" s="16" t="str">
        <f>TRIM(_xlfn.TEXTBEFORE(O4, ":"))</f>
        <v>Редкость</v>
      </c>
      <c r="Q5" s="18" t="s">
        <v>7070</v>
      </c>
      <c r="R5" s="16" t="str">
        <f>TRIM(_xlfn.TEXTBEFORE(Q4, ":"))</f>
        <v>ความหายาก</v>
      </c>
      <c r="S5" s="18" t="s">
        <v>7553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7071</v>
      </c>
      <c r="B7" s="16"/>
      <c r="C7" s="18" t="s">
        <v>7255</v>
      </c>
      <c r="D7" s="16"/>
      <c r="E7" s="18" t="s">
        <v>7634</v>
      </c>
      <c r="F7" s="16"/>
      <c r="G7" s="18" t="s">
        <v>7185</v>
      </c>
      <c r="H7" s="16"/>
      <c r="I7" s="18" t="s">
        <v>7785</v>
      </c>
      <c r="J7" s="16"/>
      <c r="K7" s="18" t="s">
        <v>7707</v>
      </c>
      <c r="L7" s="16"/>
      <c r="M7" s="18" t="s">
        <v>7325</v>
      </c>
      <c r="N7" s="16"/>
      <c r="O7" s="18" t="s">
        <v>7401</v>
      </c>
      <c r="P7" s="16"/>
      <c r="Q7" s="18" t="s">
        <v>7469</v>
      </c>
      <c r="R7" s="16"/>
      <c r="S7" s="18" t="s">
        <v>7554</v>
      </c>
      <c r="T7" s="20"/>
    </row>
    <row r="8" spans="1:20" ht="15.95" customHeight="1" x14ac:dyDescent="0.25">
      <c r="A8" s="18" t="s">
        <v>6801</v>
      </c>
      <c r="B8" s="16"/>
      <c r="C8" s="18" t="s">
        <v>6858</v>
      </c>
      <c r="D8" s="16"/>
      <c r="E8" s="18" t="s">
        <v>6968</v>
      </c>
      <c r="F8" s="16"/>
      <c r="G8" s="18" t="s">
        <v>6831</v>
      </c>
      <c r="H8" s="16"/>
      <c r="I8" s="18" t="s">
        <v>7027</v>
      </c>
      <c r="J8" s="16"/>
      <c r="K8" s="18" t="s">
        <v>6996</v>
      </c>
      <c r="L8" s="16"/>
      <c r="M8" s="18" t="s">
        <v>6887</v>
      </c>
      <c r="N8" s="16"/>
      <c r="O8" s="18" t="s">
        <v>6917</v>
      </c>
      <c r="P8" s="16"/>
      <c r="Q8" s="18" t="s">
        <v>6944</v>
      </c>
      <c r="R8" s="16"/>
      <c r="S8" s="18" t="s">
        <v>7555</v>
      </c>
      <c r="T8" s="20"/>
    </row>
    <row r="9" spans="1:20" ht="15.95" customHeight="1" x14ac:dyDescent="0.25">
      <c r="A9" s="18" t="s">
        <v>6802</v>
      </c>
      <c r="B9" s="16"/>
      <c r="C9" s="18" t="s">
        <v>6859</v>
      </c>
      <c r="D9" s="16"/>
      <c r="E9" s="18" t="s">
        <v>6969</v>
      </c>
      <c r="F9" s="16"/>
      <c r="G9" s="18" t="s">
        <v>6832</v>
      </c>
      <c r="H9" s="16"/>
      <c r="I9" s="18" t="s">
        <v>7028</v>
      </c>
      <c r="J9" s="16"/>
      <c r="K9" s="18" t="s">
        <v>6997</v>
      </c>
      <c r="L9" s="16"/>
      <c r="M9" s="18" t="s">
        <v>6888</v>
      </c>
      <c r="N9" s="16"/>
      <c r="O9" s="18" t="s">
        <v>6918</v>
      </c>
      <c r="P9" s="16"/>
      <c r="Q9" s="18" t="s">
        <v>6945</v>
      </c>
      <c r="R9" s="16"/>
      <c r="S9" s="18" t="s">
        <v>7556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v>
      </c>
      <c r="B11" s="16"/>
      <c r="C11" s="18" t="s">
        <v>1590</v>
      </c>
      <c r="D11" s="16"/>
      <c r="E11" s="18" t="s">
        <v>2309</v>
      </c>
      <c r="F11" s="16"/>
      <c r="G11" s="18" t="s">
        <v>5</v>
      </c>
      <c r="H11" s="16"/>
      <c r="I11" s="18" t="s">
        <v>3019</v>
      </c>
      <c r="J11" s="16"/>
      <c r="K11" s="18" t="s">
        <v>3773</v>
      </c>
      <c r="L11" s="16"/>
      <c r="M11" s="18" t="s">
        <v>2309</v>
      </c>
      <c r="N11" s="16"/>
      <c r="O11" s="18" t="s">
        <v>5184</v>
      </c>
      <c r="P11" s="16"/>
      <c r="Q11" s="18" t="s">
        <v>5929</v>
      </c>
      <c r="R11" s="16"/>
      <c r="S11" s="18" t="s">
        <v>7498</v>
      </c>
      <c r="T11" s="20"/>
    </row>
    <row r="12" spans="1:20" ht="15.95" customHeight="1" x14ac:dyDescent="0.25">
      <c r="A12" s="18" t="s">
        <v>7072</v>
      </c>
      <c r="B12" s="16"/>
      <c r="C12" s="18" t="s">
        <v>7256</v>
      </c>
      <c r="D12" s="16"/>
      <c r="E12" s="18" t="s">
        <v>7635</v>
      </c>
      <c r="F12" s="16"/>
      <c r="G12" s="18" t="s">
        <v>7186</v>
      </c>
      <c r="H12" s="16"/>
      <c r="I12" s="18" t="s">
        <v>7786</v>
      </c>
      <c r="J12" s="16"/>
      <c r="K12" s="18" t="s">
        <v>7708</v>
      </c>
      <c r="L12" s="16"/>
      <c r="M12" s="18" t="s">
        <v>7326</v>
      </c>
      <c r="N12" s="16"/>
      <c r="O12" s="18" t="s">
        <v>7402</v>
      </c>
      <c r="P12" s="16"/>
      <c r="Q12" s="18" t="s">
        <v>7470</v>
      </c>
      <c r="R12" s="16"/>
      <c r="S12" s="18" t="s">
        <v>7557</v>
      </c>
      <c r="T12" s="20"/>
    </row>
    <row r="13" spans="1:20" ht="15.95" customHeight="1" x14ac:dyDescent="0.25">
      <c r="A13" s="18" t="s">
        <v>7073</v>
      </c>
      <c r="B13" s="16"/>
      <c r="C13" s="18" t="s">
        <v>7257</v>
      </c>
      <c r="D13" s="16"/>
      <c r="E13" s="18" t="s">
        <v>7327</v>
      </c>
      <c r="F13" s="16"/>
      <c r="G13" s="18" t="s">
        <v>7073</v>
      </c>
      <c r="H13" s="16"/>
      <c r="I13" s="18" t="s">
        <v>7787</v>
      </c>
      <c r="J13" s="16"/>
      <c r="K13" s="18" t="s">
        <v>7709</v>
      </c>
      <c r="L13" s="16"/>
      <c r="M13" s="18" t="s">
        <v>7327</v>
      </c>
      <c r="N13" s="16"/>
      <c r="O13" s="18" t="s">
        <v>7403</v>
      </c>
      <c r="P13" s="16"/>
      <c r="Q13" s="18" t="s">
        <v>7073</v>
      </c>
      <c r="R13" s="16"/>
      <c r="S13" s="18" t="s">
        <v>7558</v>
      </c>
      <c r="T13" s="20"/>
    </row>
    <row r="14" spans="1:20" ht="15.95" customHeight="1" x14ac:dyDescent="0.25">
      <c r="A14" s="18" t="s">
        <v>7074</v>
      </c>
      <c r="B14" s="16"/>
      <c r="C14" s="18" t="s">
        <v>7074</v>
      </c>
      <c r="D14" s="16"/>
      <c r="E14" s="18" t="s">
        <v>7074</v>
      </c>
      <c r="F14" s="16"/>
      <c r="G14" s="18" t="s">
        <v>7074</v>
      </c>
      <c r="H14" s="16"/>
      <c r="I14" s="18" t="s">
        <v>7788</v>
      </c>
      <c r="J14" s="16"/>
      <c r="K14" s="18" t="s">
        <v>7710</v>
      </c>
      <c r="L14" s="16"/>
      <c r="M14" s="18" t="s">
        <v>7074</v>
      </c>
      <c r="N14" s="16"/>
      <c r="O14" s="18" t="s">
        <v>7404</v>
      </c>
      <c r="P14" s="16"/>
      <c r="Q14" s="18" t="s">
        <v>7074</v>
      </c>
      <c r="R14" s="16"/>
      <c r="S14" s="18" t="s">
        <v>7559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434</v>
      </c>
      <c r="B16" s="16"/>
      <c r="C16" s="18" t="s">
        <v>1700</v>
      </c>
      <c r="D16" s="16"/>
      <c r="E16" s="18" t="s">
        <v>2419</v>
      </c>
      <c r="F16" s="16"/>
      <c r="G16" s="18" t="s">
        <v>968</v>
      </c>
      <c r="H16" s="16"/>
      <c r="I16" s="18" t="s">
        <v>3137</v>
      </c>
      <c r="J16" s="16"/>
      <c r="K16" s="18" t="s">
        <v>3884</v>
      </c>
      <c r="L16" s="16"/>
      <c r="M16" s="18" t="s">
        <v>4613</v>
      </c>
      <c r="N16" s="16"/>
      <c r="O16" s="18" t="s">
        <v>5298</v>
      </c>
      <c r="P16" s="16"/>
      <c r="Q16" s="18" t="s">
        <v>6031</v>
      </c>
      <c r="R16" s="16"/>
      <c r="S16" s="18" t="s">
        <v>7548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7075</v>
      </c>
      <c r="B18" s="16"/>
      <c r="C18" s="18" t="s">
        <v>7258</v>
      </c>
      <c r="D18" s="16"/>
      <c r="E18" s="18" t="s">
        <v>7636</v>
      </c>
      <c r="F18" s="16"/>
      <c r="G18" s="18" t="s">
        <v>7187</v>
      </c>
      <c r="H18" s="16"/>
      <c r="I18" s="18" t="s">
        <v>7789</v>
      </c>
      <c r="J18" s="16"/>
      <c r="K18" s="18" t="s">
        <v>7711</v>
      </c>
      <c r="L18" s="16"/>
      <c r="M18" s="18" t="s">
        <v>7328</v>
      </c>
      <c r="N18" s="16"/>
      <c r="O18" s="18" t="s">
        <v>7405</v>
      </c>
      <c r="P18" s="16"/>
      <c r="Q18" s="18" t="s">
        <v>7471</v>
      </c>
      <c r="R18" s="16"/>
      <c r="S18" s="18" t="s">
        <v>7560</v>
      </c>
      <c r="T18" s="20"/>
    </row>
    <row r="19" spans="1:20" ht="15.95" customHeight="1" x14ac:dyDescent="0.25">
      <c r="A19" s="18" t="s">
        <v>7076</v>
      </c>
      <c r="B19" s="16"/>
      <c r="C19" s="18" t="s">
        <v>7259</v>
      </c>
      <c r="D19" s="16"/>
      <c r="E19" s="18" t="s">
        <v>7637</v>
      </c>
      <c r="F19" s="16"/>
      <c r="G19" s="18" t="s">
        <v>7188</v>
      </c>
      <c r="H19" s="16"/>
      <c r="I19" s="18" t="s">
        <v>7790</v>
      </c>
      <c r="J19" s="16"/>
      <c r="K19" s="18" t="s">
        <v>7712</v>
      </c>
      <c r="L19" s="16"/>
      <c r="M19" s="18" t="s">
        <v>7329</v>
      </c>
      <c r="N19" s="16"/>
      <c r="O19" s="18" t="s">
        <v>7406</v>
      </c>
      <c r="P19" s="16"/>
      <c r="Q19" s="18" t="s">
        <v>7472</v>
      </c>
      <c r="R19" s="16"/>
      <c r="S19" s="18" t="s">
        <v>7561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26" priority="8" stopIfTrue="1">
      <formula>NOT(ISERROR(A3))</formula>
    </cfRule>
  </conditionalFormatting>
  <conditionalFormatting sqref="A3:B12 D3:T12 A13:T51">
    <cfRule type="notContainsBlanks" dxfId="25" priority="9">
      <formula>LEN(TRIM(A3))&gt;0</formula>
    </cfRule>
  </conditionalFormatting>
  <conditionalFormatting sqref="A3:T51">
    <cfRule type="containsErrors" dxfId="24" priority="1" stopIfTrue="1">
      <formula>ISERROR(A3)</formula>
    </cfRule>
  </conditionalFormatting>
  <conditionalFormatting sqref="C3:C12">
    <cfRule type="notContainsBlanks" dxfId="23" priority="3">
      <formula>LEN(TRIM(C3))&gt;0</formula>
    </cfRule>
  </conditionalFormatting>
  <conditionalFormatting sqref="C3:C51">
    <cfRule type="notContainsErrors" dxfId="22"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dimension ref="A1:T51"/>
  <sheetViews>
    <sheetView workbookViewId="0">
      <selection activeCell="I3" sqref="I3:I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456</v>
      </c>
      <c r="B3" s="16" t="str">
        <f>TRIM(_xlfn.TEXTBEFORE(A3, ":"))</f>
        <v>Item Class</v>
      </c>
      <c r="C3" s="17" t="s">
        <v>1814</v>
      </c>
      <c r="D3" s="16" t="str">
        <f>TRIM(_xlfn.TEXTBEFORE(C3, ":"))</f>
        <v>Gegenstandsklasse</v>
      </c>
      <c r="E3" s="17" t="s">
        <v>2532</v>
      </c>
      <c r="F3" s="16" t="str">
        <f>TRIM(_xlfn.TEXTBEFORE(E3, ":"))</f>
        <v>Clase de objeto</v>
      </c>
      <c r="G3" s="17" t="s">
        <v>1080</v>
      </c>
      <c r="H3" s="16" t="str">
        <f>TRIM(_xlfn.TEXTBEFORE(G3, ":"))</f>
        <v>Classe d'objet</v>
      </c>
      <c r="I3" s="17" t="s">
        <v>3255</v>
      </c>
      <c r="J3" s="16" t="str">
        <f>TRIM(_xlfn.TEXTBEFORE(I3, ":"))</f>
        <v>アイテムクラス</v>
      </c>
      <c r="K3" s="17" t="s">
        <v>4000</v>
      </c>
      <c r="L3" s="16" t="str">
        <f>TRIM(_xlfn.TEXTBEFORE(K3, ":"))</f>
        <v>아이템 종류</v>
      </c>
      <c r="M3" s="17" t="s">
        <v>4724</v>
      </c>
      <c r="N3" s="16" t="str">
        <f>TRIM(_xlfn.TEXTBEFORE(M3, ":"))</f>
        <v>Classe do Item</v>
      </c>
      <c r="O3" s="17" t="s">
        <v>5414</v>
      </c>
      <c r="P3" s="16" t="str">
        <f>TRIM(_xlfn.TEXTBEFORE(O3, ":"))</f>
        <v>Класс предмета</v>
      </c>
      <c r="Q3" s="17" t="s">
        <v>6132</v>
      </c>
      <c r="R3" s="16" t="str">
        <f>TRIM(_xlfn.TEXTBEFORE(Q3, ":"))</f>
        <v>ชนิดไอเทม</v>
      </c>
      <c r="S3" s="17" t="s">
        <v>7562</v>
      </c>
      <c r="T3" s="20" t="str">
        <f>TRIM(_xlfn.TEXTBEFORE(S3, ":"))</f>
        <v>物品種類</v>
      </c>
    </row>
    <row r="4" spans="1:20" ht="15.95" customHeight="1" x14ac:dyDescent="0.25">
      <c r="A4" s="18" t="s">
        <v>485</v>
      </c>
      <c r="B4" s="16" t="str">
        <f>TRIM(_xlfn.TEXTAFTER(A3, ":"))</f>
        <v>Shields</v>
      </c>
      <c r="C4" s="18" t="s">
        <v>1851</v>
      </c>
      <c r="D4" s="16" t="str">
        <f>TRIM(_xlfn.TEXTAFTER(C3, ":"))</f>
        <v>Schilde</v>
      </c>
      <c r="E4" s="18" t="s">
        <v>2569</v>
      </c>
      <c r="F4" s="16" t="str">
        <f>TRIM(_xlfn.TEXTAFTER(E3, ":"))</f>
        <v>Escudos</v>
      </c>
      <c r="G4" s="18" t="s">
        <v>1114</v>
      </c>
      <c r="H4" s="16" t="str">
        <f>TRIM(_xlfn.TEXTAFTER(G3, ":"))</f>
        <v>Boucliers</v>
      </c>
      <c r="I4" s="18" t="s">
        <v>3293</v>
      </c>
      <c r="J4" s="16" t="str">
        <f>TRIM(_xlfn.TEXTAFTER(I3, ":"))</f>
        <v>盾</v>
      </c>
      <c r="K4" s="18" t="s">
        <v>4038</v>
      </c>
      <c r="L4" s="16" t="str">
        <f>TRIM(_xlfn.TEXTAFTER(K3, ":"))</f>
        <v>방패</v>
      </c>
      <c r="M4" s="18" t="s">
        <v>4759</v>
      </c>
      <c r="N4" s="16" t="str">
        <f>TRIM(_xlfn.TEXTAFTER(M3, ":"))</f>
        <v>Escudos</v>
      </c>
      <c r="O4" s="18" t="s">
        <v>5452</v>
      </c>
      <c r="P4" s="16" t="str">
        <f>TRIM(_xlfn.TEXTAFTER(O3, ":"))</f>
        <v>Щиты</v>
      </c>
      <c r="Q4" s="18" t="s">
        <v>6163</v>
      </c>
      <c r="R4" s="16" t="str">
        <f>TRIM(_xlfn.TEXTAFTER(Q3, ":"))</f>
        <v>โล่</v>
      </c>
      <c r="S4" s="18" t="s">
        <v>7563</v>
      </c>
      <c r="T4" s="20" t="str">
        <f>TRIM(_xlfn.TEXTAFTER(S3, ":"))</f>
        <v>盾</v>
      </c>
    </row>
    <row r="5" spans="1:20" ht="15.95" customHeight="1" x14ac:dyDescent="0.25">
      <c r="A5" s="18" t="s">
        <v>7111</v>
      </c>
      <c r="B5" s="16" t="str">
        <f>TRIM(_xlfn.TEXTBEFORE(A4, ":"))</f>
        <v>Rarity</v>
      </c>
      <c r="C5" s="18" t="s">
        <v>7260</v>
      </c>
      <c r="D5" s="16" t="str">
        <f>TRIM(_xlfn.TEXTBEFORE(C4, ":"))</f>
        <v>Seltenheit</v>
      </c>
      <c r="E5" s="18" t="s">
        <v>7638</v>
      </c>
      <c r="F5" s="16" t="str">
        <f>TRIM(_xlfn.TEXTBEFORE(E4, ":"))</f>
        <v>Rareza</v>
      </c>
      <c r="G5" s="18" t="s">
        <v>7189</v>
      </c>
      <c r="H5" s="16" t="str">
        <f>TRIM(_xlfn.TEXTBEFORE(G4, ":"))</f>
        <v>Rareté</v>
      </c>
      <c r="I5" s="18" t="s">
        <v>7791</v>
      </c>
      <c r="J5" s="16" t="str">
        <f>TRIM(_xlfn.TEXTBEFORE(I4, ":"))</f>
        <v>レアリティ</v>
      </c>
      <c r="K5" s="18" t="s">
        <v>7713</v>
      </c>
      <c r="L5" s="16" t="str">
        <f>TRIM(_xlfn.TEXTBEFORE(K4, ":"))</f>
        <v>아이템 희귀도</v>
      </c>
      <c r="M5" s="18" t="s">
        <v>7330</v>
      </c>
      <c r="N5" s="16" t="str">
        <f>TRIM(_xlfn.TEXTBEFORE(M4, ":"))</f>
        <v>Raridade</v>
      </c>
      <c r="O5" s="18" t="s">
        <v>7407</v>
      </c>
      <c r="P5" s="16" t="str">
        <f>TRIM(_xlfn.TEXTBEFORE(O4, ":"))</f>
        <v>Редкость</v>
      </c>
      <c r="Q5" s="18" t="s">
        <v>7111</v>
      </c>
      <c r="R5" s="16" t="str">
        <f>TRIM(_xlfn.TEXTBEFORE(Q4, ":"))</f>
        <v>ความหายาก</v>
      </c>
      <c r="S5" s="18" t="s">
        <v>7564</v>
      </c>
      <c r="T5" s="20" t="str">
        <f>TRIM(_xlfn.TEXTBEFORE(S4, ":"))</f>
        <v>稀有度</v>
      </c>
    </row>
    <row r="6" spans="1:20" ht="15.95" customHeight="1" x14ac:dyDescent="0.25">
      <c r="A6" s="18" t="s">
        <v>7112</v>
      </c>
      <c r="B6" s="16" t="str">
        <f>TRIM(_xlfn.TEXTAFTER(A4,":"))</f>
        <v>Rare</v>
      </c>
      <c r="C6" s="18" t="s">
        <v>7261</v>
      </c>
      <c r="D6" s="16" t="str">
        <f>TRIM(_xlfn.TEXTAFTER(C4,":"))</f>
        <v>Selten</v>
      </c>
      <c r="E6" s="18" t="s">
        <v>7639</v>
      </c>
      <c r="F6" s="16" t="str">
        <f>TRIM(_xlfn.TEXTAFTER(E4,":"))</f>
        <v>Raro</v>
      </c>
      <c r="G6" s="18" t="s">
        <v>7190</v>
      </c>
      <c r="H6" s="16" t="str">
        <f>TRIM(_xlfn.TEXTAFTER(G4,":"))</f>
        <v>Rare</v>
      </c>
      <c r="I6" s="18" t="s">
        <v>7792</v>
      </c>
      <c r="J6" s="16" t="str">
        <f>TRIM(_xlfn.TEXTAFTER(I4,":"))</f>
        <v>レア</v>
      </c>
      <c r="K6" s="18" t="s">
        <v>7714</v>
      </c>
      <c r="L6" s="16" t="str">
        <f>TRIM(_xlfn.TEXTAFTER(K4,":"))</f>
        <v>희귀</v>
      </c>
      <c r="M6" s="18" t="s">
        <v>7331</v>
      </c>
      <c r="N6" s="16" t="str">
        <f>TRIM(_xlfn.TEXTAFTER(M4,":"))</f>
        <v>Raro</v>
      </c>
      <c r="O6" s="18" t="s">
        <v>7112</v>
      </c>
      <c r="P6" s="16" t="str">
        <f>TRIM(_xlfn.TEXTAFTER(O4,":"))</f>
        <v>Редкий</v>
      </c>
      <c r="Q6" s="18" t="s">
        <v>7112</v>
      </c>
      <c r="R6" s="16" t="str">
        <f>TRIM(_xlfn.TEXTAFTER(Q4,":"))</f>
        <v>แรร์</v>
      </c>
      <c r="S6" s="18" t="s">
        <v>7565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7113</v>
      </c>
      <c r="B8" s="16" t="str">
        <f>TRIM(_xlfn.TEXTBEFORE(A8,":"))</f>
        <v>Block chance</v>
      </c>
      <c r="C8" s="18" t="s">
        <v>7262</v>
      </c>
      <c r="D8" s="16" t="str">
        <f>TRIM(_xlfn.TEXTBEFORE(C8,":"))</f>
        <v>Blockchance</v>
      </c>
      <c r="E8" s="18" t="s">
        <v>7640</v>
      </c>
      <c r="F8" s="16" t="str">
        <f>TRIM(_xlfn.TEXTBEFORE(E8,":"))</f>
        <v>Probabilidad de bloqueo</v>
      </c>
      <c r="G8" s="18" t="s">
        <v>7191</v>
      </c>
      <c r="H8" s="16" t="str">
        <f>TRIM(_xlfn.TEXTBEFORE(G8,":"))</f>
        <v>Chances de Blocage</v>
      </c>
      <c r="I8" s="18" t="s">
        <v>7793</v>
      </c>
      <c r="J8" s="16" t="str">
        <f>TRIM(_xlfn.TEXTBEFORE(I8,":"))</f>
        <v>ブロック率</v>
      </c>
      <c r="K8" s="18" t="s">
        <v>7715</v>
      </c>
      <c r="L8" s="16" t="str">
        <f>TRIM(_xlfn.TEXTBEFORE(K8,":"))</f>
        <v>막기 확률</v>
      </c>
      <c r="M8" s="18" t="s">
        <v>7332</v>
      </c>
      <c r="N8" s="16" t="str">
        <f>TRIM(_xlfn.TEXTBEFORE(M8,":"))</f>
        <v>Chance de Bloqueio</v>
      </c>
      <c r="O8" s="18" t="s">
        <v>7408</v>
      </c>
      <c r="P8" s="16" t="str">
        <f>TRIM(_xlfn.TEXTBEFORE(O8,":"))</f>
        <v>Шанс блока</v>
      </c>
      <c r="Q8" s="18" t="s">
        <v>7473</v>
      </c>
      <c r="R8" s="16" t="str">
        <f>TRIM(_xlfn.TEXTBEFORE(Q8,":"))</f>
        <v>โอกาสบล็อค</v>
      </c>
      <c r="S8" s="18" t="s">
        <v>7566</v>
      </c>
      <c r="T8" s="16" t="str">
        <f>TRIM(_xlfn.TEXTBEFORE(S8,":"))</f>
        <v>格擋機率</v>
      </c>
    </row>
    <row r="9" spans="1:20" ht="15.95" customHeight="1" x14ac:dyDescent="0.25">
      <c r="A9" s="18" t="s">
        <v>7114</v>
      </c>
      <c r="B9" s="16"/>
      <c r="C9" s="18" t="s">
        <v>7263</v>
      </c>
      <c r="D9" s="16"/>
      <c r="E9" s="18" t="s">
        <v>7333</v>
      </c>
      <c r="F9" s="16"/>
      <c r="G9" s="18" t="s">
        <v>7192</v>
      </c>
      <c r="H9" s="16"/>
      <c r="I9" s="18" t="s">
        <v>7794</v>
      </c>
      <c r="J9" s="16"/>
      <c r="K9" s="18" t="s">
        <v>7716</v>
      </c>
      <c r="L9" s="16"/>
      <c r="M9" s="18" t="s">
        <v>7333</v>
      </c>
      <c r="N9" s="16"/>
      <c r="O9" s="18" t="s">
        <v>7409</v>
      </c>
      <c r="P9" s="16"/>
      <c r="Q9" s="18" t="s">
        <v>7474</v>
      </c>
      <c r="R9" s="16"/>
      <c r="S9" s="18" t="s">
        <v>7567</v>
      </c>
      <c r="T9" s="20"/>
    </row>
    <row r="10" spans="1:20" ht="15.95" customHeight="1" x14ac:dyDescent="0.25">
      <c r="A10" s="18" t="s">
        <v>7115</v>
      </c>
      <c r="B10" s="16"/>
      <c r="C10" s="18" t="s">
        <v>7264</v>
      </c>
      <c r="D10" s="16"/>
      <c r="E10" s="18" t="s">
        <v>7641</v>
      </c>
      <c r="F10" s="16"/>
      <c r="G10" s="18" t="s">
        <v>7193</v>
      </c>
      <c r="H10" s="16"/>
      <c r="I10" s="18" t="s">
        <v>7795</v>
      </c>
      <c r="J10" s="16"/>
      <c r="K10" s="18" t="s">
        <v>7717</v>
      </c>
      <c r="L10" s="16"/>
      <c r="M10" s="18" t="s">
        <v>7334</v>
      </c>
      <c r="N10" s="16"/>
      <c r="O10" s="18" t="s">
        <v>7410</v>
      </c>
      <c r="P10" s="16"/>
      <c r="Q10" s="18" t="s">
        <v>7475</v>
      </c>
      <c r="R10" s="16"/>
      <c r="S10" s="18" t="s">
        <v>7568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v>
      </c>
      <c r="B12" s="16"/>
      <c r="C12" s="18" t="s">
        <v>1590</v>
      </c>
      <c r="D12" s="16"/>
      <c r="E12" s="18" t="s">
        <v>2309</v>
      </c>
      <c r="F12" s="16"/>
      <c r="G12" s="18" t="s">
        <v>5</v>
      </c>
      <c r="H12" s="16"/>
      <c r="I12" s="18" t="s">
        <v>3019</v>
      </c>
      <c r="J12" s="16"/>
      <c r="K12" s="18" t="s">
        <v>3773</v>
      </c>
      <c r="L12" s="16"/>
      <c r="M12" s="18" t="s">
        <v>2309</v>
      </c>
      <c r="N12" s="16"/>
      <c r="O12" s="18" t="s">
        <v>5184</v>
      </c>
      <c r="P12" s="16"/>
      <c r="Q12" s="18" t="s">
        <v>5929</v>
      </c>
      <c r="R12" s="16"/>
      <c r="S12" s="18" t="s">
        <v>7498</v>
      </c>
      <c r="T12" s="20"/>
    </row>
    <row r="13" spans="1:20" ht="15.95" customHeight="1" x14ac:dyDescent="0.25">
      <c r="A13" s="18" t="s">
        <v>6814</v>
      </c>
      <c r="B13" s="16"/>
      <c r="C13" s="18" t="s">
        <v>6870</v>
      </c>
      <c r="D13" s="16"/>
      <c r="E13" s="18" t="s">
        <v>6979</v>
      </c>
      <c r="F13" s="16"/>
      <c r="G13" s="18" t="s">
        <v>6842</v>
      </c>
      <c r="H13" s="16"/>
      <c r="I13" s="18" t="s">
        <v>7040</v>
      </c>
      <c r="J13" s="16"/>
      <c r="K13" s="18" t="s">
        <v>7009</v>
      </c>
      <c r="L13" s="16"/>
      <c r="M13" s="18" t="s">
        <v>6899</v>
      </c>
      <c r="N13" s="16"/>
      <c r="O13" s="18" t="s">
        <v>6929</v>
      </c>
      <c r="P13" s="16"/>
      <c r="Q13" s="18" t="s">
        <v>6952</v>
      </c>
      <c r="R13" s="16"/>
      <c r="S13" s="18" t="s">
        <v>7569</v>
      </c>
      <c r="T13" s="20"/>
    </row>
    <row r="14" spans="1:20" ht="15.95" customHeight="1" x14ac:dyDescent="0.25">
      <c r="A14" s="18" t="s">
        <v>7116</v>
      </c>
      <c r="B14" s="16"/>
      <c r="C14" s="18" t="s">
        <v>7116</v>
      </c>
      <c r="D14" s="16"/>
      <c r="E14" s="18" t="s">
        <v>7642</v>
      </c>
      <c r="F14" s="16"/>
      <c r="G14" s="18" t="s">
        <v>7194</v>
      </c>
      <c r="H14" s="16"/>
      <c r="I14" s="18" t="s">
        <v>7796</v>
      </c>
      <c r="J14" s="16"/>
      <c r="K14" s="18" t="s">
        <v>7718</v>
      </c>
      <c r="L14" s="16"/>
      <c r="M14" s="18" t="s">
        <v>7194</v>
      </c>
      <c r="N14" s="16"/>
      <c r="O14" s="18" t="s">
        <v>7411</v>
      </c>
      <c r="P14" s="16"/>
      <c r="Q14" s="18" t="s">
        <v>7116</v>
      </c>
      <c r="R14" s="16"/>
      <c r="S14" s="18" t="s">
        <v>7570</v>
      </c>
      <c r="T14" s="20"/>
    </row>
    <row r="15" spans="1:20" ht="15.95" customHeight="1" x14ac:dyDescent="0.25">
      <c r="A15" s="18" t="s">
        <v>7117</v>
      </c>
      <c r="B15" s="16"/>
      <c r="C15" s="18" t="s">
        <v>7265</v>
      </c>
      <c r="D15" s="16"/>
      <c r="E15" s="18" t="s">
        <v>7335</v>
      </c>
      <c r="F15" s="16"/>
      <c r="G15" s="18" t="s">
        <v>7117</v>
      </c>
      <c r="H15" s="16"/>
      <c r="I15" s="18" t="s">
        <v>7797</v>
      </c>
      <c r="J15" s="16"/>
      <c r="K15" s="18" t="s">
        <v>7719</v>
      </c>
      <c r="L15" s="16"/>
      <c r="M15" s="18" t="s">
        <v>7335</v>
      </c>
      <c r="N15" s="16"/>
      <c r="O15" s="18" t="s">
        <v>7412</v>
      </c>
      <c r="P15" s="16"/>
      <c r="Q15" s="18" t="s">
        <v>7117</v>
      </c>
      <c r="R15" s="16"/>
      <c r="S15" s="18" t="s">
        <v>7571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293</v>
      </c>
      <c r="B17" s="16"/>
      <c r="C17" s="18" t="s">
        <v>1744</v>
      </c>
      <c r="D17" s="16"/>
      <c r="E17" s="18" t="s">
        <v>2463</v>
      </c>
      <c r="F17" s="16"/>
      <c r="G17" s="18" t="s">
        <v>1012</v>
      </c>
      <c r="H17" s="16"/>
      <c r="I17" s="18" t="s">
        <v>3181</v>
      </c>
      <c r="J17" s="16"/>
      <c r="K17" s="18" t="s">
        <v>3928</v>
      </c>
      <c r="L17" s="16"/>
      <c r="M17" s="18" t="s">
        <v>4657</v>
      </c>
      <c r="N17" s="16"/>
      <c r="O17" s="18" t="s">
        <v>5342</v>
      </c>
      <c r="P17" s="16"/>
      <c r="Q17" s="18" t="s">
        <v>6073</v>
      </c>
      <c r="R17" s="16"/>
      <c r="S17" s="18" t="s">
        <v>7501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7118</v>
      </c>
      <c r="B19" s="16"/>
      <c r="C19" s="18" t="s">
        <v>7266</v>
      </c>
      <c r="D19" s="16"/>
      <c r="E19" s="18" t="s">
        <v>7643</v>
      </c>
      <c r="F19" s="16"/>
      <c r="G19" s="18" t="s">
        <v>7195</v>
      </c>
      <c r="H19" s="16"/>
      <c r="I19" s="18" t="s">
        <v>7798</v>
      </c>
      <c r="J19" s="16"/>
      <c r="K19" s="18" t="s">
        <v>7720</v>
      </c>
      <c r="L19" s="16"/>
      <c r="M19" s="18" t="s">
        <v>7336</v>
      </c>
      <c r="N19" s="16"/>
      <c r="O19" s="18" t="s">
        <v>7413</v>
      </c>
      <c r="P19" s="16"/>
      <c r="Q19" s="18" t="s">
        <v>7476</v>
      </c>
      <c r="R19" s="16"/>
      <c r="S19" s="18" t="s">
        <v>7572</v>
      </c>
      <c r="T19" s="20"/>
    </row>
    <row r="20" spans="1:20" ht="15.95" customHeight="1" x14ac:dyDescent="0.25">
      <c r="A20" s="18" t="s">
        <v>7119</v>
      </c>
      <c r="B20" s="16"/>
      <c r="C20" s="18" t="s">
        <v>7267</v>
      </c>
      <c r="D20" s="16"/>
      <c r="E20" s="18" t="s">
        <v>7644</v>
      </c>
      <c r="F20" s="16"/>
      <c r="G20" s="18" t="s">
        <v>7196</v>
      </c>
      <c r="H20" s="16"/>
      <c r="I20" s="18" t="s">
        <v>7799</v>
      </c>
      <c r="J20" s="16"/>
      <c r="K20" s="18" t="s">
        <v>7721</v>
      </c>
      <c r="L20" s="16"/>
      <c r="M20" s="18" t="s">
        <v>7337</v>
      </c>
      <c r="N20" s="16"/>
      <c r="O20" s="18" t="s">
        <v>7414</v>
      </c>
      <c r="P20" s="16"/>
      <c r="Q20" s="18" t="s">
        <v>7477</v>
      </c>
      <c r="R20" s="16"/>
      <c r="S20" s="18" t="s">
        <v>7573</v>
      </c>
      <c r="T20" s="20"/>
    </row>
    <row r="21" spans="1:20" ht="15.95" customHeight="1" x14ac:dyDescent="0.25">
      <c r="A21" s="18" t="s">
        <v>7120</v>
      </c>
      <c r="B21" s="16"/>
      <c r="C21" s="18" t="s">
        <v>7268</v>
      </c>
      <c r="D21" s="16"/>
      <c r="E21" s="18" t="s">
        <v>7645</v>
      </c>
      <c r="F21" s="16"/>
      <c r="G21" s="18" t="s">
        <v>7197</v>
      </c>
      <c r="H21" s="16"/>
      <c r="I21" s="18" t="s">
        <v>7800</v>
      </c>
      <c r="J21" s="16"/>
      <c r="K21" s="18" t="s">
        <v>7722</v>
      </c>
      <c r="L21" s="16"/>
      <c r="M21" s="18" t="s">
        <v>7338</v>
      </c>
      <c r="N21" s="16"/>
      <c r="O21" s="18" t="s">
        <v>7415</v>
      </c>
      <c r="P21" s="16"/>
      <c r="Q21" s="18" t="s">
        <v>7478</v>
      </c>
      <c r="R21" s="16"/>
      <c r="S21" s="18" t="s">
        <v>7574</v>
      </c>
      <c r="T21" s="20"/>
    </row>
    <row r="22" spans="1:20" ht="15.95" customHeight="1" x14ac:dyDescent="0.25">
      <c r="A22" s="18" t="s">
        <v>7121</v>
      </c>
      <c r="B22" s="16"/>
      <c r="C22" s="18" t="s">
        <v>7269</v>
      </c>
      <c r="D22" s="16"/>
      <c r="E22" s="18" t="s">
        <v>7646</v>
      </c>
      <c r="F22" s="16"/>
      <c r="G22" s="18" t="s">
        <v>7198</v>
      </c>
      <c r="H22" s="16"/>
      <c r="I22" s="18" t="s">
        <v>7801</v>
      </c>
      <c r="J22" s="16"/>
      <c r="K22" s="18" t="s">
        <v>7723</v>
      </c>
      <c r="L22" s="16"/>
      <c r="M22" s="18" t="s">
        <v>7339</v>
      </c>
      <c r="N22" s="16"/>
      <c r="O22" s="18" t="s">
        <v>7416</v>
      </c>
      <c r="P22" s="16"/>
      <c r="Q22" s="18" t="s">
        <v>7479</v>
      </c>
      <c r="R22" s="16"/>
      <c r="S22" s="18" t="s">
        <v>7575</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4" stopIfTrue="1">
      <formula>NOT(ISERROR(A3))</formula>
    </cfRule>
  </conditionalFormatting>
  <conditionalFormatting sqref="A3:T7 A8 C8 E8 G8 I8 K8 M8 O8 Q8 S8 A9:T51">
    <cfRule type="notContainsBlanks" dxfId="20" priority="25">
      <formula>LEN(TRIM(A3))&gt;0</formula>
    </cfRule>
  </conditionalFormatting>
  <conditionalFormatting sqref="A3:T51">
    <cfRule type="containsErrors" dxfId="19" priority="1" stopIfTrue="1">
      <formula>ISERROR(A3)</formula>
    </cfRule>
  </conditionalFormatting>
  <conditionalFormatting sqref="B8">
    <cfRule type="notContainsBlanks" dxfId="18" priority="22">
      <formula>LEN(TRIM(B8))&gt;0</formula>
    </cfRule>
  </conditionalFormatting>
  <conditionalFormatting sqref="D8">
    <cfRule type="notContainsBlanks" dxfId="17" priority="20">
      <formula>LEN(TRIM(D8))&gt;0</formula>
    </cfRule>
  </conditionalFormatting>
  <conditionalFormatting sqref="F8">
    <cfRule type="notContainsBlanks" dxfId="16" priority="18">
      <formula>LEN(TRIM(F8))&gt;0</formula>
    </cfRule>
  </conditionalFormatting>
  <conditionalFormatting sqref="H8">
    <cfRule type="notContainsBlanks" dxfId="15" priority="16">
      <formula>LEN(TRIM(H8))&gt;0</formula>
    </cfRule>
  </conditionalFormatting>
  <conditionalFormatting sqref="J8">
    <cfRule type="notContainsBlanks" dxfId="14" priority="14">
      <formula>LEN(TRIM(J8))&gt;0</formula>
    </cfRule>
  </conditionalFormatting>
  <conditionalFormatting sqref="L8">
    <cfRule type="notContainsBlanks" dxfId="13" priority="12">
      <formula>LEN(TRIM(L8))&gt;0</formula>
    </cfRule>
  </conditionalFormatting>
  <conditionalFormatting sqref="N8">
    <cfRule type="notContainsBlanks" dxfId="12" priority="10">
      <formula>LEN(TRIM(N8))&gt;0</formula>
    </cfRule>
  </conditionalFormatting>
  <conditionalFormatting sqref="P8">
    <cfRule type="notContainsBlanks" dxfId="11" priority="8">
      <formula>LEN(TRIM(P8))&gt;0</formula>
    </cfRule>
  </conditionalFormatting>
  <conditionalFormatting sqref="R8">
    <cfRule type="notContainsBlanks" dxfId="10" priority="6">
      <formula>LEN(TRIM(R8))&gt;0</formula>
    </cfRule>
  </conditionalFormatting>
  <conditionalFormatting sqref="T8">
    <cfRule type="notContainsBlanks" dxfId="9"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7123</v>
      </c>
      <c r="B3" s="16" t="str">
        <f>TRIM(_xlfn.TEXTBEFORE(A3, ":"))</f>
        <v>Item Class</v>
      </c>
      <c r="C3" s="17" t="s">
        <v>7270</v>
      </c>
      <c r="D3" s="16" t="str">
        <f>TRIM(_xlfn.TEXTBEFORE(C3, ":"))</f>
        <v>Gegenstandsklasse</v>
      </c>
      <c r="E3" s="17" t="s">
        <v>7647</v>
      </c>
      <c r="F3" s="16" t="str">
        <f>TRIM(_xlfn.TEXTBEFORE(E3, ":"))</f>
        <v>Clase de objeto</v>
      </c>
      <c r="G3" s="17" t="s">
        <v>7199</v>
      </c>
      <c r="H3" s="16" t="str">
        <f>TRIM(_xlfn.TEXTBEFORE(G3, ":"))</f>
        <v>Classe d'objet</v>
      </c>
      <c r="I3" s="17" t="s">
        <v>7802</v>
      </c>
      <c r="J3" s="16" t="str">
        <f>TRIM(_xlfn.TEXTBEFORE(I3, ":"))</f>
        <v>アイテムクラス</v>
      </c>
      <c r="K3" s="17" t="s">
        <v>7724</v>
      </c>
      <c r="L3" s="16" t="str">
        <f>TRIM(_xlfn.TEXTBEFORE(K3, ":"))</f>
        <v>아이템 종류</v>
      </c>
      <c r="M3" s="17" t="s">
        <v>7340</v>
      </c>
      <c r="N3" s="16" t="str">
        <f>TRIM(_xlfn.TEXTBEFORE(M3, ":"))</f>
        <v>Classe do Item</v>
      </c>
      <c r="O3" s="17" t="s">
        <v>7417</v>
      </c>
      <c r="P3" s="16" t="str">
        <f>TRIM(_xlfn.TEXTBEFORE(O3, ":"))</f>
        <v>Класс предмета</v>
      </c>
      <c r="Q3" s="17" t="s">
        <v>7480</v>
      </c>
      <c r="R3" s="16" t="str">
        <f>TRIM(_xlfn.TEXTBEFORE(Q3, ":"))</f>
        <v>ชนิดไอเทม</v>
      </c>
      <c r="S3" s="17" t="s">
        <v>7576</v>
      </c>
      <c r="T3" s="20" t="str">
        <f>TRIM(_xlfn.TEXTBEFORE(S3, ":"))</f>
        <v>物品種類</v>
      </c>
    </row>
    <row r="4" spans="1:20" ht="15.95" customHeight="1" x14ac:dyDescent="0.25">
      <c r="A4" s="18" t="s">
        <v>497</v>
      </c>
      <c r="B4" s="16" t="str">
        <f>TRIM(_xlfn.TEXTAFTER(A3, ":"))</f>
        <v>Breachstones</v>
      </c>
      <c r="C4" s="18" t="s">
        <v>1653</v>
      </c>
      <c r="D4" s="16" t="str">
        <f>TRIM(_xlfn.TEXTAFTER(C3, ":"))</f>
        <v>Riss-Steine</v>
      </c>
      <c r="E4" s="18" t="s">
        <v>2373</v>
      </c>
      <c r="F4" s="16" t="str">
        <f>TRIM(_xlfn.TEXTAFTER(E3, ":"))</f>
        <v>Piedras de fisura</v>
      </c>
      <c r="G4" s="18" t="s">
        <v>920</v>
      </c>
      <c r="H4" s="16" t="str">
        <f>TRIM(_xlfn.TEXTAFTER(G3, ":"))</f>
        <v>Pierres de Brèche</v>
      </c>
      <c r="I4" s="18" t="s">
        <v>3088</v>
      </c>
      <c r="J4" s="16" t="str">
        <f>TRIM(_xlfn.TEXTAFTER(I3, ":"))</f>
        <v>ブリーチストーン</v>
      </c>
      <c r="K4" s="18" t="s">
        <v>3838</v>
      </c>
      <c r="L4" s="16" t="str">
        <f>TRIM(_xlfn.TEXTAFTER(K3, ":"))</f>
        <v>균열석</v>
      </c>
      <c r="M4" s="18" t="s">
        <v>4567</v>
      </c>
      <c r="N4" s="16" t="str">
        <f>TRIM(_xlfn.TEXTAFTER(M3, ":"))</f>
        <v>Pedras de Fenda</v>
      </c>
      <c r="O4" s="18" t="s">
        <v>5250</v>
      </c>
      <c r="P4" s="16" t="str">
        <f>TRIM(_xlfn.TEXTAFTER(O3, ":"))</f>
        <v>Камни Разлома</v>
      </c>
      <c r="Q4" s="18" t="s">
        <v>5987</v>
      </c>
      <c r="R4" s="16" t="str">
        <f>TRIM(_xlfn.TEXTAFTER(Q3, ":"))</f>
        <v>ศิลาบรีช</v>
      </c>
      <c r="S4" s="18" t="s">
        <v>7512</v>
      </c>
      <c r="T4" s="20" t="str">
        <f>TRIM(_xlfn.TEXTAFTER(S3, ":"))</f>
        <v>裂痕石</v>
      </c>
    </row>
    <row r="5" spans="1:20" ht="15.95" customHeight="1" x14ac:dyDescent="0.25">
      <c r="A5" s="18" t="s">
        <v>7124</v>
      </c>
      <c r="B5" s="16" t="str">
        <f>TRIM(_xlfn.TEXTBEFORE(A4, ":"))</f>
        <v>Rarity</v>
      </c>
      <c r="C5" s="18" t="s">
        <v>7271</v>
      </c>
      <c r="D5" s="16" t="str">
        <f>TRIM(_xlfn.TEXTBEFORE(C4, ":"))</f>
        <v>Seltenheit</v>
      </c>
      <c r="E5" s="18" t="s">
        <v>7648</v>
      </c>
      <c r="F5" s="16" t="str">
        <f>TRIM(_xlfn.TEXTBEFORE(E4, ":"))</f>
        <v>Rareza</v>
      </c>
      <c r="G5" s="18" t="s">
        <v>7200</v>
      </c>
      <c r="H5" s="16" t="str">
        <f>TRIM(_xlfn.TEXTBEFORE(G4, ":"))</f>
        <v>Rareté</v>
      </c>
      <c r="I5" s="18" t="s">
        <v>7803</v>
      </c>
      <c r="J5" s="16" t="str">
        <f>TRIM(_xlfn.TEXTBEFORE(I4, ":"))</f>
        <v>レアリティ</v>
      </c>
      <c r="K5" s="18" t="s">
        <v>7725</v>
      </c>
      <c r="L5" s="16" t="str">
        <f>TRIM(_xlfn.TEXTBEFORE(K4, ":"))</f>
        <v>아이템 희귀도</v>
      </c>
      <c r="M5" s="18" t="s">
        <v>7341</v>
      </c>
      <c r="N5" s="16" t="str">
        <f>TRIM(_xlfn.TEXTBEFORE(M4, ":"))</f>
        <v>Raridade</v>
      </c>
      <c r="O5" s="18" t="s">
        <v>7418</v>
      </c>
      <c r="P5" s="16" t="str">
        <f>TRIM(_xlfn.TEXTBEFORE(O4, ":"))</f>
        <v>Редкость</v>
      </c>
      <c r="Q5" s="18" t="s">
        <v>7481</v>
      </c>
      <c r="R5" s="16" t="str">
        <f>TRIM(_xlfn.TEXTBEFORE(Q4, ":"))</f>
        <v>ความหายาก</v>
      </c>
      <c r="S5" s="18" t="s">
        <v>7577</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7125</v>
      </c>
      <c r="B7" s="16"/>
      <c r="C7" s="18" t="s">
        <v>7272</v>
      </c>
      <c r="D7" s="16"/>
      <c r="E7" s="18" t="s">
        <v>7649</v>
      </c>
      <c r="F7" s="16"/>
      <c r="G7" s="18" t="s">
        <v>7201</v>
      </c>
      <c r="H7" s="16"/>
      <c r="I7" s="18" t="s">
        <v>7804</v>
      </c>
      <c r="J7" s="16"/>
      <c r="K7" s="18" t="s">
        <v>7726</v>
      </c>
      <c r="L7" s="16"/>
      <c r="M7" s="18" t="s">
        <v>7342</v>
      </c>
      <c r="N7" s="16"/>
      <c r="O7" s="18" t="s">
        <v>7419</v>
      </c>
      <c r="P7" s="16"/>
      <c r="Q7" s="18" t="s">
        <v>7482</v>
      </c>
      <c r="R7" s="16"/>
      <c r="S7" s="18" t="s">
        <v>7578</v>
      </c>
      <c r="T7" s="20"/>
    </row>
    <row r="8" spans="1:20" ht="15.95" customHeight="1" x14ac:dyDescent="0.25">
      <c r="A8" s="18" t="s">
        <v>7126</v>
      </c>
      <c r="B8" s="16"/>
      <c r="C8" s="18" t="s">
        <v>4</v>
      </c>
      <c r="D8" s="16"/>
      <c r="E8" s="18" t="s">
        <v>7650</v>
      </c>
      <c r="F8" s="16"/>
      <c r="G8" s="18" t="s">
        <v>7202</v>
      </c>
      <c r="H8" s="16"/>
      <c r="I8" s="18" t="s">
        <v>7805</v>
      </c>
      <c r="J8" s="16"/>
      <c r="K8" s="18" t="s">
        <v>7727</v>
      </c>
      <c r="L8" s="16"/>
      <c r="M8" s="18" t="s">
        <v>7343</v>
      </c>
      <c r="N8" s="16"/>
      <c r="O8" s="18" t="s">
        <v>7420</v>
      </c>
      <c r="P8" s="16"/>
      <c r="Q8" s="18" t="s">
        <v>7483</v>
      </c>
      <c r="R8" s="16"/>
      <c r="S8" s="18" t="s">
        <v>7579</v>
      </c>
      <c r="T8" s="20"/>
    </row>
    <row r="9" spans="1:20" ht="15.95" customHeight="1" x14ac:dyDescent="0.25">
      <c r="A9" s="18" t="s">
        <v>4</v>
      </c>
      <c r="B9" s="16"/>
      <c r="C9" s="18" t="s">
        <v>7273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7127</v>
      </c>
      <c r="B10" s="16"/>
      <c r="C10" s="18"/>
      <c r="D10" s="16"/>
      <c r="E10" s="18" t="s">
        <v>7651</v>
      </c>
      <c r="F10" s="16"/>
      <c r="G10" s="18" t="s">
        <v>7203</v>
      </c>
      <c r="H10" s="16"/>
      <c r="I10" s="18" t="s">
        <v>7806</v>
      </c>
      <c r="J10" s="16"/>
      <c r="K10" s="18" t="s">
        <v>7728</v>
      </c>
      <c r="L10" s="16"/>
      <c r="M10" s="18" t="s">
        <v>7344</v>
      </c>
      <c r="N10" s="16"/>
      <c r="O10" s="18" t="s">
        <v>7421</v>
      </c>
      <c r="P10" s="16"/>
      <c r="Q10" s="18" t="s">
        <v>7484</v>
      </c>
      <c r="R10" s="16"/>
      <c r="S10" s="18" t="s">
        <v>7580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dimension ref="A1:T51"/>
  <sheetViews>
    <sheetView workbookViewId="0">
      <selection activeCell="I3" sqref="I3:I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7128</v>
      </c>
      <c r="B3" s="16" t="str">
        <f>TRIM(_xlfn.TEXTBEFORE(A3, ":"))</f>
        <v>Item Class</v>
      </c>
      <c r="C3" s="17" t="s">
        <v>7274</v>
      </c>
      <c r="D3" s="16" t="str">
        <f>TRIM(_xlfn.TEXTBEFORE(C3, ":"))</f>
        <v>Gegenstandsklasse</v>
      </c>
      <c r="E3" s="17" t="s">
        <v>7652</v>
      </c>
      <c r="F3" s="16" t="str">
        <f>TRIM(_xlfn.TEXTBEFORE(E3, ":"))</f>
        <v>Clase de objeto</v>
      </c>
      <c r="G3" s="17" t="s">
        <v>7204</v>
      </c>
      <c r="H3" s="16" t="str">
        <f>TRIM(_xlfn.TEXTBEFORE(G3, ":"))</f>
        <v>Classe d'objet</v>
      </c>
      <c r="I3" s="17" t="s">
        <v>7807</v>
      </c>
      <c r="J3" s="16" t="str">
        <f>TRIM(_xlfn.TEXTBEFORE(I3, ":"))</f>
        <v>アイテムクラス</v>
      </c>
      <c r="K3" s="17" t="s">
        <v>7729</v>
      </c>
      <c r="L3" s="16" t="str">
        <f>TRIM(_xlfn.TEXTBEFORE(K3, ":"))</f>
        <v>아이템 종류</v>
      </c>
      <c r="M3" s="17" t="s">
        <v>7345</v>
      </c>
      <c r="N3" s="16" t="str">
        <f>TRIM(_xlfn.TEXTBEFORE(M3, ":"))</f>
        <v>Classe do Item</v>
      </c>
      <c r="O3" s="17" t="s">
        <v>7422</v>
      </c>
      <c r="P3" s="16" t="str">
        <f>TRIM(_xlfn.TEXTBEFORE(O3, ":"))</f>
        <v>Класс предмета</v>
      </c>
      <c r="Q3" s="17" t="s">
        <v>7485</v>
      </c>
      <c r="R3" s="16" t="str">
        <f>TRIM(_xlfn.TEXTBEFORE(Q3, ":"))</f>
        <v>ชนิดไอเทม</v>
      </c>
      <c r="S3" s="17" t="s">
        <v>7581</v>
      </c>
      <c r="T3" s="20" t="str">
        <f>TRIM(_xlfn.TEXTBEFORE(S3, ":"))</f>
        <v>物品種類</v>
      </c>
    </row>
    <row r="4" spans="1:20" ht="15.95" customHeight="1" x14ac:dyDescent="0.25">
      <c r="A4" s="18" t="s">
        <v>554</v>
      </c>
      <c r="B4" s="16" t="str">
        <f>TRIM(_xlfn.TEXTAFTER(A3, ":"))</f>
        <v>Pinnacle Keys</v>
      </c>
      <c r="C4" s="18" t="s">
        <v>1626</v>
      </c>
      <c r="D4" s="16" t="str">
        <f>TRIM(_xlfn.TEXTAFTER(C3, ":"))</f>
        <v>Zinnenschhlüssel</v>
      </c>
      <c r="E4" s="18" t="s">
        <v>2294</v>
      </c>
      <c r="F4" s="16" t="str">
        <f>TRIM(_xlfn.TEXTAFTER(E3, ":"))</f>
        <v>Llaves de jefes finales</v>
      </c>
      <c r="G4" s="18" t="s">
        <v>849</v>
      </c>
      <c r="H4" s="16" t="str">
        <f>TRIM(_xlfn.TEXTAFTER(G3, ":"))</f>
        <v>Clés de la Finalité</v>
      </c>
      <c r="I4" s="18" t="s">
        <v>3062</v>
      </c>
      <c r="J4" s="16" t="str">
        <f>TRIM(_xlfn.TEXTAFTER(I3, ":"))</f>
        <v>ピナクルキー</v>
      </c>
      <c r="K4" s="18" t="s">
        <v>3756</v>
      </c>
      <c r="L4" s="16" t="str">
        <f>TRIM(_xlfn.TEXTAFTER(K3, ":"))</f>
        <v>최종 열쇠</v>
      </c>
      <c r="M4" s="18" t="s">
        <v>4540</v>
      </c>
      <c r="N4" s="16" t="str">
        <f>TRIM(_xlfn.TEXTAFTER(M3, ":"))</f>
        <v>Chaves Supremas</v>
      </c>
      <c r="O4" s="18" t="s">
        <v>5224</v>
      </c>
      <c r="P4" s="16" t="str">
        <f>TRIM(_xlfn.TEXTAFTER(O3, ":"))</f>
        <v>Древние ключи</v>
      </c>
      <c r="Q4" s="18" t="s">
        <v>5912</v>
      </c>
      <c r="R4" s="16" t="str">
        <f>TRIM(_xlfn.TEXTAFTER(Q3, ":"))</f>
        <v>กุญแจอภิมหาบอส</v>
      </c>
      <c r="S4" s="18" t="s">
        <v>7505</v>
      </c>
      <c r="T4" s="20" t="str">
        <f>TRIM(_xlfn.TEXTAFTER(S3, ":"))</f>
        <v>巔峰鑰匙</v>
      </c>
    </row>
    <row r="5" spans="1:20" ht="15.95" customHeight="1" x14ac:dyDescent="0.25">
      <c r="A5" s="18" t="s">
        <v>7129</v>
      </c>
      <c r="B5" s="16" t="str">
        <f>TRIM(_xlfn.TEXTBEFORE(A4, ":"))</f>
        <v>Rarity</v>
      </c>
      <c r="C5" s="18" t="s">
        <v>7275</v>
      </c>
      <c r="D5" s="16" t="str">
        <f>TRIM(_xlfn.TEXTBEFORE(C4, ":"))</f>
        <v>Seltenheit</v>
      </c>
      <c r="E5" s="18" t="s">
        <v>7653</v>
      </c>
      <c r="F5" s="16" t="str">
        <f>TRIM(_xlfn.TEXTBEFORE(E4, ":"))</f>
        <v>Rareza</v>
      </c>
      <c r="G5" s="18" t="s">
        <v>7205</v>
      </c>
      <c r="H5" s="16" t="str">
        <f>TRIM(_xlfn.TEXTBEFORE(G4, ":"))</f>
        <v>Rareté</v>
      </c>
      <c r="I5" s="18" t="s">
        <v>7808</v>
      </c>
      <c r="J5" s="16" t="str">
        <f>TRIM(_xlfn.TEXTBEFORE(I4, ":"))</f>
        <v>レアリティ</v>
      </c>
      <c r="K5" s="18" t="s">
        <v>7730</v>
      </c>
      <c r="L5" s="16" t="str">
        <f>TRIM(_xlfn.TEXTBEFORE(K4, ":"))</f>
        <v>아이템 희귀도</v>
      </c>
      <c r="M5" s="18" t="s">
        <v>7346</v>
      </c>
      <c r="N5" s="16" t="str">
        <f>TRIM(_xlfn.TEXTBEFORE(M4, ":"))</f>
        <v>Raridade</v>
      </c>
      <c r="O5" s="18" t="s">
        <v>7129</v>
      </c>
      <c r="P5" s="16" t="str">
        <f>TRIM(_xlfn.TEXTBEFORE(O4, ":"))</f>
        <v>Редкость</v>
      </c>
      <c r="Q5" s="18" t="s">
        <v>7486</v>
      </c>
      <c r="R5" s="16" t="str">
        <f>TRIM(_xlfn.TEXTBEFORE(Q4, ":"))</f>
        <v>ความหายาก</v>
      </c>
      <c r="S5" s="18" t="s">
        <v>7582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7130</v>
      </c>
      <c r="B7" s="16"/>
      <c r="C7" s="18" t="s">
        <v>7276</v>
      </c>
      <c r="D7" s="16"/>
      <c r="E7" s="18" t="s">
        <v>7654</v>
      </c>
      <c r="F7" s="16"/>
      <c r="G7" s="18" t="s">
        <v>7206</v>
      </c>
      <c r="H7" s="16"/>
      <c r="I7" s="18" t="s">
        <v>7809</v>
      </c>
      <c r="J7" s="16"/>
      <c r="K7" s="18" t="s">
        <v>7731</v>
      </c>
      <c r="L7" s="16"/>
      <c r="M7" s="18" t="s">
        <v>7347</v>
      </c>
      <c r="N7" s="16"/>
      <c r="O7" s="18" t="s">
        <v>7423</v>
      </c>
      <c r="P7" s="16"/>
      <c r="Q7" s="18" t="s">
        <v>7487</v>
      </c>
      <c r="R7" s="16"/>
      <c r="S7" s="18" t="s">
        <v>7583</v>
      </c>
      <c r="T7" s="20"/>
    </row>
    <row r="8" spans="1:20" ht="15.95" customHeight="1" x14ac:dyDescent="0.25">
      <c r="A8" s="18" t="s">
        <v>4</v>
      </c>
      <c r="B8" s="16"/>
      <c r="C8" s="18" t="s">
        <v>4</v>
      </c>
      <c r="D8" s="16"/>
      <c r="E8" s="18" t="s">
        <v>4</v>
      </c>
      <c r="F8" s="16"/>
      <c r="G8" s="18" t="s">
        <v>4</v>
      </c>
      <c r="H8" s="16"/>
      <c r="I8" s="18" t="s">
        <v>4</v>
      </c>
      <c r="J8" s="16"/>
      <c r="K8" s="18" t="s">
        <v>4</v>
      </c>
      <c r="L8" s="16"/>
      <c r="M8" s="18" t="s">
        <v>7348</v>
      </c>
      <c r="N8" s="16"/>
      <c r="O8" s="18" t="s">
        <v>4</v>
      </c>
      <c r="P8" s="16"/>
      <c r="Q8" s="18" t="s">
        <v>4</v>
      </c>
      <c r="R8" s="16"/>
      <c r="S8" s="18" t="s">
        <v>4</v>
      </c>
      <c r="T8" s="20"/>
    </row>
    <row r="9" spans="1:20" ht="15.95" customHeight="1" x14ac:dyDescent="0.25">
      <c r="A9" s="18" t="s">
        <v>7131</v>
      </c>
      <c r="B9" s="16"/>
      <c r="C9" s="18" t="s">
        <v>7277</v>
      </c>
      <c r="D9" s="16"/>
      <c r="E9" s="18" t="s">
        <v>7655</v>
      </c>
      <c r="F9" s="16"/>
      <c r="G9" s="18" t="s">
        <v>7207</v>
      </c>
      <c r="H9" s="16"/>
      <c r="I9" s="18" t="s">
        <v>7810</v>
      </c>
      <c r="J9" s="16"/>
      <c r="K9" s="18" t="s">
        <v>7732</v>
      </c>
      <c r="L9" s="16"/>
      <c r="M9" s="18" t="s">
        <v>4</v>
      </c>
      <c r="N9" s="16"/>
      <c r="O9" s="18" t="s">
        <v>7424</v>
      </c>
      <c r="P9" s="16"/>
      <c r="Q9" s="18" t="s">
        <v>7488</v>
      </c>
      <c r="R9" s="16"/>
      <c r="S9" s="18" t="s">
        <v>7584</v>
      </c>
      <c r="T9" s="20"/>
    </row>
    <row r="10" spans="1:20" ht="15.95" customHeight="1" x14ac:dyDescent="0.25">
      <c r="A10" s="18"/>
      <c r="B10" s="16"/>
      <c r="C10" s="18"/>
      <c r="D10" s="16"/>
      <c r="E10" s="18"/>
      <c r="F10" s="16"/>
      <c r="G10" s="18"/>
      <c r="H10" s="16"/>
      <c r="I10" s="18"/>
      <c r="J10" s="16"/>
      <c r="K10" s="18"/>
      <c r="L10" s="16"/>
      <c r="M10" s="18" t="s">
        <v>7349</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85</v>
      </c>
      <c r="C2" s="8" t="s">
        <v>24</v>
      </c>
      <c r="D2" s="9" t="s">
        <v>85</v>
      </c>
      <c r="E2" s="8" t="s">
        <v>26</v>
      </c>
      <c r="F2" s="9" t="s">
        <v>85</v>
      </c>
      <c r="G2" s="8" t="s">
        <v>27</v>
      </c>
      <c r="H2" s="9" t="s">
        <v>85</v>
      </c>
      <c r="I2" s="8" t="s">
        <v>28</v>
      </c>
      <c r="J2" s="9" t="s">
        <v>85</v>
      </c>
      <c r="K2" s="8" t="s">
        <v>29</v>
      </c>
      <c r="L2" s="9" t="s">
        <v>85</v>
      </c>
      <c r="M2" s="8" t="s">
        <v>30</v>
      </c>
      <c r="N2" s="9" t="s">
        <v>85</v>
      </c>
      <c r="O2" s="8" t="s">
        <v>31</v>
      </c>
      <c r="P2" s="9" t="s">
        <v>85</v>
      </c>
      <c r="Q2" s="8" t="s">
        <v>32</v>
      </c>
      <c r="R2" s="9" t="s">
        <v>85</v>
      </c>
      <c r="S2" s="8" t="s">
        <v>33</v>
      </c>
      <c r="T2" s="8" t="s">
        <v>85</v>
      </c>
    </row>
    <row r="3" spans="1:20" ht="15.95" customHeight="1" x14ac:dyDescent="0.25">
      <c r="A3" s="17" t="s">
        <v>7132</v>
      </c>
      <c r="B3" s="16" t="str">
        <f>TRIM(_xlfn.TEXTBEFORE(A3, ":"))</f>
        <v>Item Class</v>
      </c>
      <c r="C3" s="17" t="s">
        <v>7278</v>
      </c>
      <c r="D3" s="16" t="str">
        <f>TRIM(_xlfn.TEXTBEFORE(C3, ":"))</f>
        <v>Gegenstandsklasse</v>
      </c>
      <c r="E3" s="17" t="s">
        <v>7656</v>
      </c>
      <c r="F3" s="16" t="str">
        <f>TRIM(_xlfn.TEXTBEFORE(E3, ":"))</f>
        <v>Clase de objeto</v>
      </c>
      <c r="G3" s="17" t="s">
        <v>7208</v>
      </c>
      <c r="H3" s="16" t="str">
        <f>TRIM(_xlfn.TEXTBEFORE(G3, ":"))</f>
        <v>Classe d'objet</v>
      </c>
      <c r="I3" s="17" t="s">
        <v>7811</v>
      </c>
      <c r="J3" s="16" t="str">
        <f>TRIM(_xlfn.TEXTBEFORE(I3, ":"))</f>
        <v>アイテムクラス</v>
      </c>
      <c r="K3" s="17" t="s">
        <v>7733</v>
      </c>
      <c r="L3" s="16" t="str">
        <f>TRIM(_xlfn.TEXTBEFORE(K3, ":"))</f>
        <v>아이템 종류</v>
      </c>
      <c r="M3" s="17" t="s">
        <v>7350</v>
      </c>
      <c r="N3" s="16" t="str">
        <f>TRIM(_xlfn.TEXTBEFORE(M3, ":"))</f>
        <v>Classe do Item</v>
      </c>
      <c r="O3" s="17" t="s">
        <v>7425</v>
      </c>
      <c r="P3" s="16" t="str">
        <f>TRIM(_xlfn.TEXTBEFORE(O3, ":"))</f>
        <v>Класс предмета</v>
      </c>
      <c r="Q3" s="17" t="s">
        <v>7489</v>
      </c>
      <c r="R3" s="16" t="str">
        <f>TRIM(_xlfn.TEXTBEFORE(Q3, ":"))</f>
        <v>ชนิดไอเทม</v>
      </c>
      <c r="S3" s="17" t="s">
        <v>7585</v>
      </c>
      <c r="T3" s="20" t="str">
        <f>TRIM(_xlfn.TEXTBEFORE(S3, ":"))</f>
        <v>物品種類</v>
      </c>
    </row>
    <row r="4" spans="1:20" ht="15.95" customHeight="1" x14ac:dyDescent="0.25">
      <c r="A4" s="18" t="s">
        <v>554</v>
      </c>
      <c r="B4" s="16" t="str">
        <f>TRIM(_xlfn.TEXTAFTER(A3, ":"))</f>
        <v>Omen</v>
      </c>
      <c r="C4" s="18" t="s">
        <v>1626</v>
      </c>
      <c r="D4" s="16" t="str">
        <f>TRIM(_xlfn.TEXTAFTER(C3, ":"))</f>
        <v>Omen</v>
      </c>
      <c r="E4" s="18" t="s">
        <v>2294</v>
      </c>
      <c r="F4" s="16" t="str">
        <f>TRIM(_xlfn.TEXTAFTER(E3, ":"))</f>
        <v>Augurio</v>
      </c>
      <c r="G4" s="18" t="s">
        <v>849</v>
      </c>
      <c r="H4" s="16" t="str">
        <f>TRIM(_xlfn.TEXTAFTER(G3, ":"))</f>
        <v>Présage</v>
      </c>
      <c r="I4" s="18" t="s">
        <v>3062</v>
      </c>
      <c r="J4" s="16" t="str">
        <f>TRIM(_xlfn.TEXTAFTER(I3, ":"))</f>
        <v>お告げ</v>
      </c>
      <c r="K4" s="18" t="s">
        <v>3756</v>
      </c>
      <c r="L4" s="16" t="str">
        <f>TRIM(_xlfn.TEXTAFTER(K3, ":"))</f>
        <v>징조</v>
      </c>
      <c r="M4" s="18" t="s">
        <v>4540</v>
      </c>
      <c r="N4" s="16" t="str">
        <f>TRIM(_xlfn.TEXTAFTER(M3, ":"))</f>
        <v>Presságio</v>
      </c>
      <c r="O4" s="18" t="s">
        <v>5224</v>
      </c>
      <c r="P4" s="16" t="str">
        <f>TRIM(_xlfn.TEXTAFTER(O3, ":"))</f>
        <v>Предзнаменования</v>
      </c>
      <c r="Q4" s="18" t="s">
        <v>5912</v>
      </c>
      <c r="R4" s="16" t="str">
        <f>TRIM(_xlfn.TEXTAFTER(Q3, ":"))</f>
        <v>ลางบอกเหตุ</v>
      </c>
      <c r="S4" s="18" t="s">
        <v>7505</v>
      </c>
      <c r="T4" s="20" t="str">
        <f>TRIM(_xlfn.TEXTAFTER(S3, ":"))</f>
        <v>預兆</v>
      </c>
    </row>
    <row r="5" spans="1:20" ht="15.95" customHeight="1" x14ac:dyDescent="0.25">
      <c r="A5" s="18" t="s">
        <v>7133</v>
      </c>
      <c r="B5" s="16" t="str">
        <f>TRIM(_xlfn.TEXTBEFORE(A4, ":"))</f>
        <v>Rarity</v>
      </c>
      <c r="C5" s="18" t="s">
        <v>7279</v>
      </c>
      <c r="D5" s="16" t="str">
        <f>TRIM(_xlfn.TEXTBEFORE(C4, ":"))</f>
        <v>Seltenheit</v>
      </c>
      <c r="E5" s="18" t="s">
        <v>7657</v>
      </c>
      <c r="F5" s="16" t="str">
        <f>TRIM(_xlfn.TEXTBEFORE(E4, ":"))</f>
        <v>Rareza</v>
      </c>
      <c r="G5" s="18" t="s">
        <v>7209</v>
      </c>
      <c r="H5" s="16" t="str">
        <f>TRIM(_xlfn.TEXTBEFORE(G4, ":"))</f>
        <v>Rareté</v>
      </c>
      <c r="I5" s="18" t="s">
        <v>7812</v>
      </c>
      <c r="J5" s="16" t="str">
        <f>TRIM(_xlfn.TEXTBEFORE(I4, ":"))</f>
        <v>レアリティ</v>
      </c>
      <c r="K5" s="18" t="s">
        <v>7734</v>
      </c>
      <c r="L5" s="16" t="str">
        <f>TRIM(_xlfn.TEXTBEFORE(K4, ":"))</f>
        <v>아이템 희귀도</v>
      </c>
      <c r="M5" s="18" t="s">
        <v>7351</v>
      </c>
      <c r="N5" s="16" t="str">
        <f>TRIM(_xlfn.TEXTBEFORE(M4, ":"))</f>
        <v>Raridade</v>
      </c>
      <c r="O5" s="18" t="s">
        <v>7133</v>
      </c>
      <c r="P5" s="16" t="str">
        <f>TRIM(_xlfn.TEXTBEFORE(O4, ":"))</f>
        <v>Редкость</v>
      </c>
      <c r="Q5" s="18" t="s">
        <v>7490</v>
      </c>
      <c r="R5" s="16" t="str">
        <f>TRIM(_xlfn.TEXTBEFORE(Q4, ":"))</f>
        <v>ความหายาก</v>
      </c>
      <c r="S5" s="18" t="s">
        <v>7586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7134</v>
      </c>
      <c r="B7" s="16"/>
      <c r="C7" s="18" t="s">
        <v>7280</v>
      </c>
      <c r="D7" s="16"/>
      <c r="E7" s="18" t="s">
        <v>7658</v>
      </c>
      <c r="F7" s="16"/>
      <c r="G7" s="18" t="s">
        <v>7210</v>
      </c>
      <c r="H7" s="16"/>
      <c r="I7" s="18" t="s">
        <v>7813</v>
      </c>
      <c r="J7" s="16"/>
      <c r="K7" s="18" t="s">
        <v>7735</v>
      </c>
      <c r="L7" s="16"/>
      <c r="M7" s="18" t="s">
        <v>7352</v>
      </c>
      <c r="N7" s="16"/>
      <c r="O7" s="18" t="s">
        <v>7426</v>
      </c>
      <c r="P7" s="16"/>
      <c r="Q7" s="18" t="s">
        <v>7491</v>
      </c>
      <c r="R7" s="16"/>
      <c r="S7" s="18" t="s">
        <v>7587</v>
      </c>
      <c r="T7" s="20"/>
    </row>
    <row r="8" spans="1:20" ht="15.95" customHeight="1" x14ac:dyDescent="0.25">
      <c r="A8" s="18" t="s">
        <v>7135</v>
      </c>
      <c r="B8" s="16"/>
      <c r="C8" s="18" t="s">
        <v>7281</v>
      </c>
      <c r="D8" s="16"/>
      <c r="E8" s="18" t="s">
        <v>7659</v>
      </c>
      <c r="F8" s="16"/>
      <c r="G8" s="18" t="s">
        <v>7211</v>
      </c>
      <c r="H8" s="16"/>
      <c r="I8" s="18" t="s">
        <v>7814</v>
      </c>
      <c r="J8" s="16"/>
      <c r="K8" s="18" t="s">
        <v>7736</v>
      </c>
      <c r="L8" s="16"/>
      <c r="M8" s="18" t="s">
        <v>7353</v>
      </c>
      <c r="N8" s="16"/>
      <c r="O8" s="18" t="s">
        <v>7427</v>
      </c>
      <c r="P8" s="16"/>
      <c r="Q8" s="18" t="s">
        <v>7492</v>
      </c>
      <c r="R8" s="16"/>
      <c r="S8" s="18" t="s">
        <v>7588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7136</v>
      </c>
      <c r="B10" s="16"/>
      <c r="C10" s="18" t="s">
        <v>7282</v>
      </c>
      <c r="D10" s="16"/>
      <c r="E10" s="18" t="s">
        <v>7660</v>
      </c>
      <c r="F10" s="16"/>
      <c r="G10" s="18" t="s">
        <v>7212</v>
      </c>
      <c r="H10" s="16"/>
      <c r="I10" s="18" t="s">
        <v>7815</v>
      </c>
      <c r="J10" s="16"/>
      <c r="K10" s="18" t="s">
        <v>7737</v>
      </c>
      <c r="L10" s="16"/>
      <c r="M10" s="18" t="s">
        <v>7354</v>
      </c>
      <c r="N10" s="16"/>
      <c r="O10" s="18" t="s">
        <v>7428</v>
      </c>
      <c r="P10" s="16"/>
      <c r="Q10" s="18" t="s">
        <v>7493</v>
      </c>
      <c r="R10" s="16"/>
      <c r="S10" s="18" t="s">
        <v>7589</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83</vt:i4>
      </vt:variant>
    </vt:vector>
  </HeadingPairs>
  <TitlesOfParts>
    <vt:vector size="8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2024-12-30T00:18:18Z</dcterms:modified>
</cp:coreProperties>
</file>