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7EA657A9-5D9F-4ED3-A63F-F1235FA2539B}" xr6:coauthVersionLast="47" xr6:coauthVersionMax="47" xr10:uidLastSave="{00000000-0000-0000-0000-000000000000}"/>
  <bookViews>
    <workbookView xWindow="-120" yWindow="-120" windowWidth="38640" windowHeight="21120" tabRatio="822" activeTab="1" xr2:uid="{E781D705-06FC-40F3-B1CD-33347556BC5A}"/>
  </bookViews>
  <sheets>
    <sheet name="Sheets" sheetId="39" r:id="rId1"/>
    <sheet name="Result" sheetId="2" r:id="rId2"/>
    <sheet name="Empty" sheetId="31" r:id="rId3"/>
    <sheet name="Blueprint" sheetId="50" r:id="rId4"/>
    <sheet name="ContractCounterThaumaturgy" sheetId="112" r:id="rId5"/>
    <sheet name="ContractTrap" sheetId="111" r:id="rId6"/>
    <sheet name="ContractPerception" sheetId="110" r:id="rId7"/>
    <sheet name="ContractBruteForce" sheetId="109" r:id="rId8"/>
    <sheet name="ContractDeception" sheetId="108" r:id="rId9"/>
    <sheet name="ContractEngineering" sheetId="54" r:id="rId10"/>
    <sheet name="MapQualityCurrency" sheetId="103" r:id="rId11"/>
    <sheet name="MapQualityScarabs" sheetId="104" r:id="rId12"/>
    <sheet name="MapQualityCards" sheetId="105" r:id="rId13"/>
    <sheet name="MapQualityPack" sheetId="106" r:id="rId14"/>
    <sheet name="MapQualityRarity" sheetId="107" r:id="rId15"/>
  </sheets>
  <definedNames>
    <definedName name="_xleta.REPLACE"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39" l="1"/>
  <c r="B17" i="39"/>
  <c r="B16" i="39"/>
  <c r="B15" i="39"/>
  <c r="B14" i="39"/>
  <c r="B13" i="39"/>
  <c r="B12" i="39"/>
  <c r="B11" i="39"/>
  <c r="B10" i="39"/>
  <c r="B9" i="39"/>
  <c r="B8" i="39"/>
  <c r="B7" i="39"/>
  <c r="T31" i="2"/>
  <c r="T30" i="2"/>
  <c r="T29" i="2"/>
  <c r="T28" i="2"/>
  <c r="T27" i="2"/>
  <c r="T26" i="2"/>
  <c r="T25" i="2"/>
  <c r="T24" i="2"/>
  <c r="T23" i="2"/>
  <c r="T22" i="2"/>
  <c r="T21" i="2"/>
  <c r="T20" i="2"/>
  <c r="T19" i="2"/>
  <c r="Q31" i="2"/>
  <c r="R31" i="2" s="1"/>
  <c r="R30" i="2"/>
  <c r="Q30" i="2"/>
  <c r="Q29" i="2"/>
  <c r="R29" i="2" s="1"/>
  <c r="Q28" i="2"/>
  <c r="R28" i="2" s="1"/>
  <c r="Q27" i="2"/>
  <c r="R27" i="2" s="1"/>
  <c r="Q26" i="2"/>
  <c r="R26" i="2" s="1"/>
  <c r="Q25" i="2"/>
  <c r="R25" i="2" s="1"/>
  <c r="Q24" i="2"/>
  <c r="R24" i="2" s="1"/>
  <c r="Q23" i="2"/>
  <c r="R23" i="2" s="1"/>
  <c r="R22" i="2"/>
  <c r="Q22" i="2"/>
  <c r="Q21" i="2"/>
  <c r="R21" i="2" s="1"/>
  <c r="Q20" i="2"/>
  <c r="R20" i="2" s="1"/>
  <c r="R19" i="2"/>
  <c r="Q19" i="2"/>
  <c r="O31" i="2"/>
  <c r="P31" i="2" s="1"/>
  <c r="O30" i="2"/>
  <c r="P30" i="2" s="1"/>
  <c r="O29" i="2"/>
  <c r="P29" i="2" s="1"/>
  <c r="O28" i="2"/>
  <c r="P28" i="2" s="1"/>
  <c r="O27" i="2"/>
  <c r="P27" i="2" s="1"/>
  <c r="O26" i="2"/>
  <c r="P26" i="2" s="1"/>
  <c r="O25" i="2"/>
  <c r="P25" i="2" s="1"/>
  <c r="O24" i="2"/>
  <c r="P24" i="2" s="1"/>
  <c r="O23" i="2"/>
  <c r="P23" i="2" s="1"/>
  <c r="O22" i="2"/>
  <c r="P22" i="2" s="1"/>
  <c r="O21" i="2"/>
  <c r="P21" i="2" s="1"/>
  <c r="O20" i="2"/>
  <c r="P20" i="2" s="1"/>
  <c r="O19" i="2"/>
  <c r="P19" i="2" s="1"/>
  <c r="M31" i="2"/>
  <c r="N31" i="2" s="1"/>
  <c r="M30" i="2"/>
  <c r="N30" i="2" s="1"/>
  <c r="M29" i="2"/>
  <c r="N29" i="2" s="1"/>
  <c r="M28" i="2"/>
  <c r="N28" i="2" s="1"/>
  <c r="M27" i="2"/>
  <c r="N27" i="2" s="1"/>
  <c r="N26" i="2"/>
  <c r="M26" i="2"/>
  <c r="M25" i="2"/>
  <c r="N25" i="2" s="1"/>
  <c r="M24" i="2"/>
  <c r="N24" i="2" s="1"/>
  <c r="M23" i="2"/>
  <c r="N23" i="2" s="1"/>
  <c r="M22" i="2"/>
  <c r="N22" i="2" s="1"/>
  <c r="M21" i="2"/>
  <c r="N21" i="2" s="1"/>
  <c r="M20" i="2"/>
  <c r="N20" i="2" s="1"/>
  <c r="M19" i="2"/>
  <c r="N19" i="2" s="1"/>
  <c r="K31" i="2"/>
  <c r="L31" i="2" s="1"/>
  <c r="K30" i="2"/>
  <c r="L30" i="2" s="1"/>
  <c r="K29" i="2"/>
  <c r="L29" i="2" s="1"/>
  <c r="K28" i="2"/>
  <c r="L28" i="2" s="1"/>
  <c r="K27" i="2"/>
  <c r="L27" i="2" s="1"/>
  <c r="K26" i="2"/>
  <c r="L26" i="2" s="1"/>
  <c r="K25" i="2"/>
  <c r="L25" i="2" s="1"/>
  <c r="K24" i="2"/>
  <c r="L24" i="2" s="1"/>
  <c r="L23" i="2"/>
  <c r="K23" i="2"/>
  <c r="K22" i="2"/>
  <c r="L22" i="2" s="1"/>
  <c r="K21" i="2"/>
  <c r="L21" i="2" s="1"/>
  <c r="K20" i="2"/>
  <c r="L20" i="2" s="1"/>
  <c r="K19" i="2"/>
  <c r="L19" i="2" s="1"/>
  <c r="I31" i="2"/>
  <c r="J31" i="2" s="1"/>
  <c r="I30" i="2"/>
  <c r="J30" i="2" s="1"/>
  <c r="I29" i="2"/>
  <c r="J29" i="2" s="1"/>
  <c r="I28" i="2"/>
  <c r="J28" i="2" s="1"/>
  <c r="I27" i="2"/>
  <c r="J27" i="2" s="1"/>
  <c r="I26" i="2"/>
  <c r="J26" i="2" s="1"/>
  <c r="I25" i="2"/>
  <c r="J25" i="2" s="1"/>
  <c r="I24" i="2"/>
  <c r="J24" i="2" s="1"/>
  <c r="I23" i="2"/>
  <c r="J23" i="2" s="1"/>
  <c r="I22" i="2"/>
  <c r="J22" i="2" s="1"/>
  <c r="I21" i="2"/>
  <c r="J21" i="2" s="1"/>
  <c r="I20" i="2"/>
  <c r="J20" i="2" s="1"/>
  <c r="I19" i="2"/>
  <c r="J19" i="2" s="1"/>
  <c r="G31" i="2"/>
  <c r="H31" i="2" s="1"/>
  <c r="G30" i="2"/>
  <c r="H30" i="2" s="1"/>
  <c r="G29" i="2"/>
  <c r="H29" i="2" s="1"/>
  <c r="G28" i="2"/>
  <c r="H28" i="2" s="1"/>
  <c r="G27" i="2"/>
  <c r="H27" i="2" s="1"/>
  <c r="G26" i="2"/>
  <c r="H26" i="2" s="1"/>
  <c r="G25" i="2"/>
  <c r="H25" i="2" s="1"/>
  <c r="G24" i="2"/>
  <c r="H24" i="2" s="1"/>
  <c r="G23" i="2"/>
  <c r="H23" i="2" s="1"/>
  <c r="G22" i="2"/>
  <c r="H22" i="2" s="1"/>
  <c r="G21" i="2"/>
  <c r="H21" i="2" s="1"/>
  <c r="G20" i="2"/>
  <c r="H20" i="2" s="1"/>
  <c r="G19" i="2"/>
  <c r="H19" i="2" s="1"/>
  <c r="E31" i="2"/>
  <c r="F31" i="2" s="1"/>
  <c r="E30" i="2"/>
  <c r="F30" i="2" s="1"/>
  <c r="E29" i="2"/>
  <c r="F29" i="2" s="1"/>
  <c r="E28" i="2"/>
  <c r="F28" i="2" s="1"/>
  <c r="E27" i="2"/>
  <c r="F27" i="2" s="1"/>
  <c r="E26" i="2"/>
  <c r="F26" i="2" s="1"/>
  <c r="E25" i="2"/>
  <c r="F25" i="2" s="1"/>
  <c r="E24" i="2"/>
  <c r="F24" i="2" s="1"/>
  <c r="E23" i="2"/>
  <c r="F23" i="2" s="1"/>
  <c r="E22" i="2"/>
  <c r="F22" i="2" s="1"/>
  <c r="E21" i="2"/>
  <c r="F21" i="2" s="1"/>
  <c r="E20" i="2"/>
  <c r="F20" i="2" s="1"/>
  <c r="E19" i="2"/>
  <c r="F19" i="2" s="1"/>
  <c r="C31" i="2"/>
  <c r="D31" i="2" s="1"/>
  <c r="C30" i="2"/>
  <c r="D30" i="2" s="1"/>
  <c r="C29" i="2"/>
  <c r="D29" i="2" s="1"/>
  <c r="C28" i="2"/>
  <c r="D28" i="2" s="1"/>
  <c r="C27" i="2"/>
  <c r="D27" i="2" s="1"/>
  <c r="C26" i="2"/>
  <c r="D26" i="2" s="1"/>
  <c r="C25" i="2"/>
  <c r="D25" i="2" s="1"/>
  <c r="C24" i="2"/>
  <c r="D24" i="2" s="1"/>
  <c r="C23" i="2"/>
  <c r="D23" i="2" s="1"/>
  <c r="C22" i="2"/>
  <c r="D22" i="2" s="1"/>
  <c r="C21" i="2"/>
  <c r="D21" i="2" s="1"/>
  <c r="C20" i="2"/>
  <c r="D20" i="2" s="1"/>
  <c r="C19" i="2"/>
  <c r="D19" i="2" s="1"/>
  <c r="B10" i="54"/>
  <c r="A27" i="2" s="1"/>
  <c r="B27" i="2" s="1"/>
  <c r="B10" i="108"/>
  <c r="A26" i="2" s="1"/>
  <c r="B26" i="2" s="1"/>
  <c r="B10" i="109"/>
  <c r="A25" i="2" s="1"/>
  <c r="B25" i="2" s="1"/>
  <c r="B10" i="110"/>
  <c r="A24" i="2" s="1"/>
  <c r="B24" i="2" s="1"/>
  <c r="B10" i="111"/>
  <c r="A23" i="2" s="1"/>
  <c r="B23" i="2" s="1"/>
  <c r="T10" i="54"/>
  <c r="R10" i="54"/>
  <c r="P10" i="54"/>
  <c r="N10" i="54"/>
  <c r="L10" i="54"/>
  <c r="J10" i="54"/>
  <c r="H10" i="54"/>
  <c r="F10" i="54"/>
  <c r="D10" i="54"/>
  <c r="T8" i="54"/>
  <c r="R8" i="54"/>
  <c r="P8" i="54"/>
  <c r="N8" i="54"/>
  <c r="L8" i="54"/>
  <c r="J8" i="54"/>
  <c r="H8" i="54"/>
  <c r="F8" i="54"/>
  <c r="D8" i="54"/>
  <c r="T6" i="54"/>
  <c r="R6" i="54"/>
  <c r="P6" i="54"/>
  <c r="N6" i="54"/>
  <c r="L6" i="54"/>
  <c r="J6" i="54"/>
  <c r="H6" i="54"/>
  <c r="F6" i="54"/>
  <c r="D6" i="54"/>
  <c r="T5" i="54"/>
  <c r="R5" i="54"/>
  <c r="P5" i="54"/>
  <c r="N5" i="54"/>
  <c r="L5" i="54"/>
  <c r="J5" i="54"/>
  <c r="H5" i="54"/>
  <c r="F5" i="54"/>
  <c r="D5" i="54"/>
  <c r="T4" i="54"/>
  <c r="R4" i="54"/>
  <c r="P4" i="54"/>
  <c r="N4" i="54"/>
  <c r="L4" i="54"/>
  <c r="J4" i="54"/>
  <c r="H4" i="54"/>
  <c r="F4" i="54"/>
  <c r="D4" i="54"/>
  <c r="T3" i="54"/>
  <c r="R3" i="54"/>
  <c r="P3" i="54"/>
  <c r="N3" i="54"/>
  <c r="L3" i="54"/>
  <c r="J3" i="54"/>
  <c r="H3" i="54"/>
  <c r="F3" i="54"/>
  <c r="D3" i="54"/>
  <c r="T10" i="108"/>
  <c r="R10" i="108"/>
  <c r="P10" i="108"/>
  <c r="N10" i="108"/>
  <c r="L10" i="108"/>
  <c r="J10" i="108"/>
  <c r="H10" i="108"/>
  <c r="F10" i="108"/>
  <c r="D10" i="108"/>
  <c r="T8" i="108"/>
  <c r="R8" i="108"/>
  <c r="P8" i="108"/>
  <c r="N8" i="108"/>
  <c r="L8" i="108"/>
  <c r="J8" i="108"/>
  <c r="H8" i="108"/>
  <c r="F8" i="108"/>
  <c r="D8" i="108"/>
  <c r="T6" i="108"/>
  <c r="R6" i="108"/>
  <c r="P6" i="108"/>
  <c r="N6" i="108"/>
  <c r="L6" i="108"/>
  <c r="J6" i="108"/>
  <c r="H6" i="108"/>
  <c r="F6" i="108"/>
  <c r="D6" i="108"/>
  <c r="T5" i="108"/>
  <c r="R5" i="108"/>
  <c r="P5" i="108"/>
  <c r="N5" i="108"/>
  <c r="L5" i="108"/>
  <c r="J5" i="108"/>
  <c r="H5" i="108"/>
  <c r="F5" i="108"/>
  <c r="D5" i="108"/>
  <c r="T4" i="108"/>
  <c r="R4" i="108"/>
  <c r="P4" i="108"/>
  <c r="N4" i="108"/>
  <c r="L4" i="108"/>
  <c r="J4" i="108"/>
  <c r="H4" i="108"/>
  <c r="F4" i="108"/>
  <c r="D4" i="108"/>
  <c r="T3" i="108"/>
  <c r="R3" i="108"/>
  <c r="P3" i="108"/>
  <c r="N3" i="108"/>
  <c r="L3" i="108"/>
  <c r="J3" i="108"/>
  <c r="H3" i="108"/>
  <c r="F3" i="108"/>
  <c r="D3" i="108"/>
  <c r="T10" i="109"/>
  <c r="R10" i="109"/>
  <c r="P10" i="109"/>
  <c r="N10" i="109"/>
  <c r="L10" i="109"/>
  <c r="J10" i="109"/>
  <c r="H10" i="109"/>
  <c r="F10" i="109"/>
  <c r="D10" i="109"/>
  <c r="T8" i="109"/>
  <c r="R8" i="109"/>
  <c r="P8" i="109"/>
  <c r="N8" i="109"/>
  <c r="L8" i="109"/>
  <c r="J8" i="109"/>
  <c r="H8" i="109"/>
  <c r="F8" i="109"/>
  <c r="D8" i="109"/>
  <c r="T6" i="109"/>
  <c r="R6" i="109"/>
  <c r="P6" i="109"/>
  <c r="N6" i="109"/>
  <c r="L6" i="109"/>
  <c r="J6" i="109"/>
  <c r="H6" i="109"/>
  <c r="F6" i="109"/>
  <c r="D6" i="109"/>
  <c r="T5" i="109"/>
  <c r="R5" i="109"/>
  <c r="P5" i="109"/>
  <c r="N5" i="109"/>
  <c r="L5" i="109"/>
  <c r="J5" i="109"/>
  <c r="H5" i="109"/>
  <c r="F5" i="109"/>
  <c r="D5" i="109"/>
  <c r="T4" i="109"/>
  <c r="R4" i="109"/>
  <c r="P4" i="109"/>
  <c r="N4" i="109"/>
  <c r="L4" i="109"/>
  <c r="J4" i="109"/>
  <c r="H4" i="109"/>
  <c r="F4" i="109"/>
  <c r="D4" i="109"/>
  <c r="T3" i="109"/>
  <c r="R3" i="109"/>
  <c r="P3" i="109"/>
  <c r="N3" i="109"/>
  <c r="L3" i="109"/>
  <c r="J3" i="109"/>
  <c r="H3" i="109"/>
  <c r="F3" i="109"/>
  <c r="D3" i="109"/>
  <c r="T10" i="110"/>
  <c r="R10" i="110"/>
  <c r="P10" i="110"/>
  <c r="N10" i="110"/>
  <c r="L10" i="110"/>
  <c r="J10" i="110"/>
  <c r="H10" i="110"/>
  <c r="F10" i="110"/>
  <c r="D10" i="110"/>
  <c r="T8" i="110"/>
  <c r="R8" i="110"/>
  <c r="P8" i="110"/>
  <c r="N8" i="110"/>
  <c r="L8" i="110"/>
  <c r="J8" i="110"/>
  <c r="H8" i="110"/>
  <c r="F8" i="110"/>
  <c r="D8" i="110"/>
  <c r="T6" i="110"/>
  <c r="R6" i="110"/>
  <c r="P6" i="110"/>
  <c r="N6" i="110"/>
  <c r="L6" i="110"/>
  <c r="J6" i="110"/>
  <c r="H6" i="110"/>
  <c r="F6" i="110"/>
  <c r="D6" i="110"/>
  <c r="T5" i="110"/>
  <c r="R5" i="110"/>
  <c r="P5" i="110"/>
  <c r="N5" i="110"/>
  <c r="L5" i="110"/>
  <c r="J5" i="110"/>
  <c r="H5" i="110"/>
  <c r="F5" i="110"/>
  <c r="D5" i="110"/>
  <c r="T4" i="110"/>
  <c r="R4" i="110"/>
  <c r="P4" i="110"/>
  <c r="N4" i="110"/>
  <c r="L4" i="110"/>
  <c r="J4" i="110"/>
  <c r="H4" i="110"/>
  <c r="F4" i="110"/>
  <c r="D4" i="110"/>
  <c r="T3" i="110"/>
  <c r="R3" i="110"/>
  <c r="P3" i="110"/>
  <c r="N3" i="110"/>
  <c r="L3" i="110"/>
  <c r="J3" i="110"/>
  <c r="H3" i="110"/>
  <c r="F3" i="110"/>
  <c r="D3" i="110"/>
  <c r="T10" i="111"/>
  <c r="T8" i="111"/>
  <c r="T6" i="111"/>
  <c r="T5" i="111"/>
  <c r="T4" i="111"/>
  <c r="T3" i="111"/>
  <c r="R10" i="111"/>
  <c r="R8" i="111"/>
  <c r="R6" i="111"/>
  <c r="R5" i="111"/>
  <c r="R4" i="111"/>
  <c r="R3" i="111"/>
  <c r="P10" i="111"/>
  <c r="P8" i="111"/>
  <c r="P6" i="111"/>
  <c r="P5" i="111"/>
  <c r="P4" i="111"/>
  <c r="P3" i="111"/>
  <c r="N10" i="111"/>
  <c r="N8" i="111"/>
  <c r="N6" i="111"/>
  <c r="N5" i="111"/>
  <c r="N4" i="111"/>
  <c r="N3" i="111"/>
  <c r="L10" i="111"/>
  <c r="L8" i="111"/>
  <c r="L6" i="111"/>
  <c r="L5" i="111"/>
  <c r="L4" i="111"/>
  <c r="L3" i="111"/>
  <c r="J10" i="111"/>
  <c r="J8" i="111"/>
  <c r="J6" i="111"/>
  <c r="J5" i="111"/>
  <c r="J4" i="111"/>
  <c r="J3" i="111"/>
  <c r="H10" i="111"/>
  <c r="H8" i="111"/>
  <c r="H6" i="111"/>
  <c r="H5" i="111"/>
  <c r="H4" i="111"/>
  <c r="H3" i="111"/>
  <c r="F10" i="111"/>
  <c r="F8" i="111"/>
  <c r="F6" i="111"/>
  <c r="F5" i="111"/>
  <c r="F4" i="111"/>
  <c r="F3" i="111"/>
  <c r="D10" i="111"/>
  <c r="T10" i="112"/>
  <c r="R10" i="112"/>
  <c r="P10" i="112"/>
  <c r="N10" i="112"/>
  <c r="L10" i="112"/>
  <c r="J10" i="112"/>
  <c r="D10" i="112"/>
  <c r="F10" i="112"/>
  <c r="F8" i="112"/>
  <c r="D8" i="112"/>
  <c r="J8" i="112"/>
  <c r="L8" i="112"/>
  <c r="N8" i="112"/>
  <c r="P8" i="112"/>
  <c r="D3" i="112"/>
  <c r="D4" i="112"/>
  <c r="D5" i="112"/>
  <c r="D6" i="112"/>
  <c r="F3" i="112"/>
  <c r="F4" i="112"/>
  <c r="F5" i="112"/>
  <c r="F6" i="112"/>
  <c r="J3" i="112"/>
  <c r="J4" i="112"/>
  <c r="J5" i="112"/>
  <c r="J6" i="112"/>
  <c r="L3" i="112"/>
  <c r="L4" i="112"/>
  <c r="L5" i="112"/>
  <c r="L6" i="112"/>
  <c r="N3" i="112"/>
  <c r="N4" i="112"/>
  <c r="N5" i="112"/>
  <c r="N6" i="112"/>
  <c r="P3" i="112"/>
  <c r="P4" i="112"/>
  <c r="P5" i="112"/>
  <c r="P6" i="112"/>
  <c r="R3" i="112"/>
  <c r="R4" i="112"/>
  <c r="R5" i="112"/>
  <c r="R6" i="112"/>
  <c r="R8" i="112"/>
  <c r="T3" i="112"/>
  <c r="T4" i="112"/>
  <c r="T5" i="112"/>
  <c r="T6" i="112"/>
  <c r="T8" i="112"/>
  <c r="B10" i="112"/>
  <c r="A22" i="2" s="1"/>
  <c r="B22" i="2" s="1"/>
  <c r="H10" i="112"/>
  <c r="T13" i="50"/>
  <c r="T12" i="50"/>
  <c r="T11" i="50"/>
  <c r="T10" i="50"/>
  <c r="T9" i="50"/>
  <c r="T8" i="50"/>
  <c r="T6" i="50"/>
  <c r="T5" i="50"/>
  <c r="T4" i="50"/>
  <c r="T3" i="50"/>
  <c r="R13" i="50"/>
  <c r="R12" i="50"/>
  <c r="R11" i="50"/>
  <c r="R10" i="50"/>
  <c r="R9" i="50"/>
  <c r="R8" i="50"/>
  <c r="R6" i="50"/>
  <c r="R5" i="50"/>
  <c r="R4" i="50"/>
  <c r="R3" i="50"/>
  <c r="P13" i="50"/>
  <c r="P12" i="50"/>
  <c r="P11" i="50"/>
  <c r="P10" i="50"/>
  <c r="P9" i="50"/>
  <c r="P8" i="50"/>
  <c r="P6" i="50"/>
  <c r="P5" i="50"/>
  <c r="P4" i="50"/>
  <c r="P3" i="50"/>
  <c r="N13" i="50"/>
  <c r="N12" i="50"/>
  <c r="N11" i="50"/>
  <c r="N10" i="50"/>
  <c r="N9" i="50"/>
  <c r="N8" i="50"/>
  <c r="N6" i="50"/>
  <c r="N5" i="50"/>
  <c r="N4" i="50"/>
  <c r="N3" i="50"/>
  <c r="L13" i="50"/>
  <c r="L12" i="50"/>
  <c r="L11" i="50"/>
  <c r="L10" i="50"/>
  <c r="L9" i="50"/>
  <c r="L8" i="50"/>
  <c r="L6" i="50"/>
  <c r="L5" i="50"/>
  <c r="L4" i="50"/>
  <c r="L3" i="50"/>
  <c r="J13" i="50"/>
  <c r="J12" i="50"/>
  <c r="J11" i="50"/>
  <c r="J10" i="50"/>
  <c r="J9" i="50"/>
  <c r="J8" i="50"/>
  <c r="J6" i="50"/>
  <c r="J5" i="50"/>
  <c r="J4" i="50"/>
  <c r="J3" i="50"/>
  <c r="F13" i="50"/>
  <c r="F12" i="50"/>
  <c r="F11" i="50"/>
  <c r="F10" i="50"/>
  <c r="F9" i="50"/>
  <c r="F8" i="50"/>
  <c r="F6" i="50"/>
  <c r="F5" i="50"/>
  <c r="F4" i="50"/>
  <c r="F3" i="50"/>
  <c r="D13" i="50"/>
  <c r="D12" i="50"/>
  <c r="D11" i="50"/>
  <c r="D10" i="50"/>
  <c r="D9" i="50"/>
  <c r="D8" i="50"/>
  <c r="D6" i="50"/>
  <c r="D5" i="50"/>
  <c r="D4" i="50"/>
  <c r="D3" i="50"/>
  <c r="B13" i="50"/>
  <c r="A21" i="2" s="1"/>
  <c r="B21" i="2" s="1"/>
  <c r="B12" i="50"/>
  <c r="A20" i="2" s="1"/>
  <c r="B20" i="2" s="1"/>
  <c r="B11" i="50"/>
  <c r="A19" i="2" s="1"/>
  <c r="B19" i="2" s="1"/>
  <c r="B10" i="50"/>
  <c r="B9" i="50"/>
  <c r="B8" i="50"/>
  <c r="H12" i="50"/>
  <c r="H13" i="50"/>
  <c r="H11" i="50"/>
  <c r="A30" i="2"/>
  <c r="B30" i="2" s="1"/>
  <c r="A28" i="2"/>
  <c r="B28" i="2" s="1"/>
  <c r="B8" i="54"/>
  <c r="A31" i="2" s="1"/>
  <c r="B31" i="2" s="1"/>
  <c r="B6" i="54"/>
  <c r="B5" i="54"/>
  <c r="B4" i="54"/>
  <c r="B3" i="54"/>
  <c r="B8" i="108"/>
  <c r="B6" i="108"/>
  <c r="B5" i="108"/>
  <c r="B4" i="108"/>
  <c r="B3" i="108"/>
  <c r="B8" i="109"/>
  <c r="B6" i="109"/>
  <c r="B5" i="109"/>
  <c r="B4" i="109"/>
  <c r="B3" i="109"/>
  <c r="B8" i="110"/>
  <c r="A29" i="2" s="1"/>
  <c r="B29" i="2" s="1"/>
  <c r="B6" i="110"/>
  <c r="B5" i="110"/>
  <c r="B4" i="110"/>
  <c r="B3" i="110"/>
  <c r="D8" i="111"/>
  <c r="B8" i="111"/>
  <c r="D6" i="111"/>
  <c r="B6" i="111"/>
  <c r="D5" i="111"/>
  <c r="B5" i="111"/>
  <c r="D4" i="111"/>
  <c r="B4" i="111"/>
  <c r="D3" i="111"/>
  <c r="B3" i="111"/>
  <c r="H8" i="112"/>
  <c r="B8" i="112"/>
  <c r="H10" i="50"/>
  <c r="H9" i="50"/>
  <c r="H8" i="50"/>
  <c r="H6" i="112"/>
  <c r="H5" i="112"/>
  <c r="H4" i="112"/>
  <c r="H3" i="112"/>
  <c r="B5" i="50"/>
  <c r="B6" i="112"/>
  <c r="B5" i="112"/>
  <c r="B4" i="112"/>
  <c r="B3" i="112"/>
  <c r="A1" i="112"/>
  <c r="A1" i="111"/>
  <c r="A1" i="110"/>
  <c r="A1" i="109"/>
  <c r="A1" i="108"/>
  <c r="T8" i="107"/>
  <c r="R8" i="107"/>
  <c r="P8" i="107"/>
  <c r="N8" i="107"/>
  <c r="M18" i="2" s="1"/>
  <c r="N18" i="2" s="1"/>
  <c r="L8" i="107"/>
  <c r="J8" i="107"/>
  <c r="H8" i="107"/>
  <c r="F8" i="107"/>
  <c r="D8" i="107"/>
  <c r="C18" i="2" s="1"/>
  <c r="D18" i="2" s="1"/>
  <c r="T8" i="106"/>
  <c r="R8" i="106"/>
  <c r="Q17" i="2" s="1"/>
  <c r="R17" i="2" s="1"/>
  <c r="P8" i="106"/>
  <c r="O17" i="2" s="1"/>
  <c r="P17" i="2" s="1"/>
  <c r="N8" i="106"/>
  <c r="M17" i="2" s="1"/>
  <c r="N17" i="2" s="1"/>
  <c r="L8" i="106"/>
  <c r="K17" i="2" s="1"/>
  <c r="L17" i="2" s="1"/>
  <c r="J8" i="106"/>
  <c r="I17" i="2" s="1"/>
  <c r="J17" i="2" s="1"/>
  <c r="H8" i="106"/>
  <c r="G17" i="2" s="1"/>
  <c r="H17" i="2" s="1"/>
  <c r="F8" i="106"/>
  <c r="D8" i="106"/>
  <c r="C17" i="2" s="1"/>
  <c r="D17" i="2" s="1"/>
  <c r="T8" i="105"/>
  <c r="T7" i="105"/>
  <c r="R8" i="105"/>
  <c r="Q16" i="2" s="1"/>
  <c r="R16" i="2" s="1"/>
  <c r="R7" i="105"/>
  <c r="P8" i="105"/>
  <c r="O16" i="2" s="1"/>
  <c r="P16" i="2" s="1"/>
  <c r="P7" i="105"/>
  <c r="N8" i="105"/>
  <c r="M16" i="2" s="1"/>
  <c r="N16" i="2" s="1"/>
  <c r="N7" i="105"/>
  <c r="L8" i="105"/>
  <c r="L7" i="105"/>
  <c r="J8" i="105"/>
  <c r="I16" i="2" s="1"/>
  <c r="J16" i="2" s="1"/>
  <c r="J7" i="105"/>
  <c r="H8" i="105"/>
  <c r="G16" i="2" s="1"/>
  <c r="H16" i="2" s="1"/>
  <c r="H7" i="105"/>
  <c r="F8" i="105"/>
  <c r="E16" i="2" s="1"/>
  <c r="F16" i="2" s="1"/>
  <c r="F7" i="105"/>
  <c r="D8" i="105"/>
  <c r="C16" i="2" s="1"/>
  <c r="D16" i="2" s="1"/>
  <c r="D7" i="105"/>
  <c r="T8" i="104"/>
  <c r="R8" i="104"/>
  <c r="Q15" i="2" s="1"/>
  <c r="R15" i="2" s="1"/>
  <c r="P8" i="104"/>
  <c r="O15" i="2" s="1"/>
  <c r="P15" i="2" s="1"/>
  <c r="N8" i="104"/>
  <c r="M15" i="2" s="1"/>
  <c r="N15" i="2" s="1"/>
  <c r="L8" i="104"/>
  <c r="J8" i="104"/>
  <c r="I15" i="2" s="1"/>
  <c r="J15" i="2" s="1"/>
  <c r="H8" i="104"/>
  <c r="G15" i="2" s="1"/>
  <c r="H15" i="2" s="1"/>
  <c r="F8" i="104"/>
  <c r="D8" i="104"/>
  <c r="C15" i="2" s="1"/>
  <c r="D15" i="2" s="1"/>
  <c r="T8" i="103"/>
  <c r="R8" i="103"/>
  <c r="Q14" i="2" s="1"/>
  <c r="R14" i="2" s="1"/>
  <c r="P8" i="103"/>
  <c r="O14" i="2" s="1"/>
  <c r="P14" i="2" s="1"/>
  <c r="N8" i="103"/>
  <c r="L8" i="103"/>
  <c r="K14" i="2" s="1"/>
  <c r="L14" i="2" s="1"/>
  <c r="J8" i="103"/>
  <c r="H8" i="103"/>
  <c r="G14" i="2" s="1"/>
  <c r="H14" i="2" s="1"/>
  <c r="F8" i="103"/>
  <c r="D8" i="103"/>
  <c r="C14" i="2" s="1"/>
  <c r="D14" i="2" s="1"/>
  <c r="T18" i="2"/>
  <c r="T17" i="2"/>
  <c r="T16" i="2"/>
  <c r="T15" i="2"/>
  <c r="T14" i="2"/>
  <c r="Q18" i="2"/>
  <c r="R18" i="2" s="1"/>
  <c r="O18" i="2"/>
  <c r="P18" i="2" s="1"/>
  <c r="M14" i="2"/>
  <c r="N14" i="2" s="1"/>
  <c r="K18" i="2"/>
  <c r="L18" i="2" s="1"/>
  <c r="K16" i="2"/>
  <c r="L16" i="2" s="1"/>
  <c r="K15" i="2"/>
  <c r="L15" i="2" s="1"/>
  <c r="I18" i="2"/>
  <c r="J18" i="2" s="1"/>
  <c r="I14" i="2"/>
  <c r="J14" i="2" s="1"/>
  <c r="G18" i="2"/>
  <c r="H18" i="2" s="1"/>
  <c r="E18" i="2"/>
  <c r="F18" i="2" s="1"/>
  <c r="E17" i="2"/>
  <c r="F17" i="2" s="1"/>
  <c r="E15" i="2"/>
  <c r="F15" i="2" s="1"/>
  <c r="E14" i="2"/>
  <c r="F14" i="2" s="1"/>
  <c r="A18" i="2"/>
  <c r="B18" i="2" s="1"/>
  <c r="A17" i="2"/>
  <c r="B17" i="2" s="1"/>
  <c r="A14" i="2"/>
  <c r="B14" i="2" s="1"/>
  <c r="A15" i="2"/>
  <c r="B15" i="2" s="1"/>
  <c r="A16" i="2"/>
  <c r="B16" i="2" s="1"/>
  <c r="B8" i="107"/>
  <c r="B8" i="106"/>
  <c r="B8" i="105"/>
  <c r="B7" i="105"/>
  <c r="B8" i="104"/>
  <c r="B8" i="103"/>
  <c r="B4" i="103"/>
  <c r="T6" i="107"/>
  <c r="R6" i="107"/>
  <c r="P6" i="107"/>
  <c r="N6" i="107"/>
  <c r="L6" i="107"/>
  <c r="J6" i="107"/>
  <c r="H6" i="107"/>
  <c r="F6" i="107"/>
  <c r="D6" i="107"/>
  <c r="B6" i="107"/>
  <c r="T5" i="107"/>
  <c r="R5" i="107"/>
  <c r="P5" i="107"/>
  <c r="N5" i="107"/>
  <c r="L5" i="107"/>
  <c r="J5" i="107"/>
  <c r="H5" i="107"/>
  <c r="F5" i="107"/>
  <c r="D5" i="107"/>
  <c r="B5" i="107"/>
  <c r="T4" i="107"/>
  <c r="R4" i="107"/>
  <c r="P4" i="107"/>
  <c r="N4" i="107"/>
  <c r="L4" i="107"/>
  <c r="J4" i="107"/>
  <c r="H4" i="107"/>
  <c r="F4" i="107"/>
  <c r="D4" i="107"/>
  <c r="B4" i="107"/>
  <c r="T3" i="107"/>
  <c r="R3" i="107"/>
  <c r="P3" i="107"/>
  <c r="N3" i="107"/>
  <c r="L3" i="107"/>
  <c r="J3" i="107"/>
  <c r="H3" i="107"/>
  <c r="F3" i="107"/>
  <c r="D3" i="107"/>
  <c r="B3" i="107"/>
  <c r="A1" i="107"/>
  <c r="T6" i="106"/>
  <c r="R6" i="106"/>
  <c r="P6" i="106"/>
  <c r="N6" i="106"/>
  <c r="L6" i="106"/>
  <c r="J6" i="106"/>
  <c r="H6" i="106"/>
  <c r="F6" i="106"/>
  <c r="D6" i="106"/>
  <c r="B6" i="106"/>
  <c r="T5" i="106"/>
  <c r="R5" i="106"/>
  <c r="P5" i="106"/>
  <c r="N5" i="106"/>
  <c r="L5" i="106"/>
  <c r="J5" i="106"/>
  <c r="H5" i="106"/>
  <c r="F5" i="106"/>
  <c r="D5" i="106"/>
  <c r="B5" i="106"/>
  <c r="T4" i="106"/>
  <c r="R4" i="106"/>
  <c r="P4" i="106"/>
  <c r="N4" i="106"/>
  <c r="L4" i="106"/>
  <c r="J4" i="106"/>
  <c r="H4" i="106"/>
  <c r="F4" i="106"/>
  <c r="D4" i="106"/>
  <c r="B4" i="106"/>
  <c r="T3" i="106"/>
  <c r="R3" i="106"/>
  <c r="P3" i="106"/>
  <c r="N3" i="106"/>
  <c r="L3" i="106"/>
  <c r="J3" i="106"/>
  <c r="H3" i="106"/>
  <c r="F3" i="106"/>
  <c r="D3" i="106"/>
  <c r="B3" i="106"/>
  <c r="A1" i="106"/>
  <c r="T6" i="105"/>
  <c r="R6" i="105"/>
  <c r="P6" i="105"/>
  <c r="N6" i="105"/>
  <c r="L6" i="105"/>
  <c r="J6" i="105"/>
  <c r="H6" i="105"/>
  <c r="F6" i="105"/>
  <c r="D6" i="105"/>
  <c r="B6" i="105"/>
  <c r="T5" i="105"/>
  <c r="R5" i="105"/>
  <c r="P5" i="105"/>
  <c r="N5" i="105"/>
  <c r="L5" i="105"/>
  <c r="J5" i="105"/>
  <c r="H5" i="105"/>
  <c r="F5" i="105"/>
  <c r="D5" i="105"/>
  <c r="B5" i="105"/>
  <c r="T4" i="105"/>
  <c r="R4" i="105"/>
  <c r="P4" i="105"/>
  <c r="N4" i="105"/>
  <c r="L4" i="105"/>
  <c r="J4" i="105"/>
  <c r="H4" i="105"/>
  <c r="F4" i="105"/>
  <c r="D4" i="105"/>
  <c r="B4" i="105"/>
  <c r="T3" i="105"/>
  <c r="R3" i="105"/>
  <c r="P3" i="105"/>
  <c r="N3" i="105"/>
  <c r="L3" i="105"/>
  <c r="J3" i="105"/>
  <c r="H3" i="105"/>
  <c r="F3" i="105"/>
  <c r="D3" i="105"/>
  <c r="B3" i="105"/>
  <c r="A1" i="105"/>
  <c r="T6" i="104"/>
  <c r="R6" i="104"/>
  <c r="P6" i="104"/>
  <c r="N6" i="104"/>
  <c r="L6" i="104"/>
  <c r="J6" i="104"/>
  <c r="H6" i="104"/>
  <c r="F6" i="104"/>
  <c r="D6" i="104"/>
  <c r="B6" i="104"/>
  <c r="T5" i="104"/>
  <c r="R5" i="104"/>
  <c r="P5" i="104"/>
  <c r="N5" i="104"/>
  <c r="L5" i="104"/>
  <c r="J5" i="104"/>
  <c r="H5" i="104"/>
  <c r="F5" i="104"/>
  <c r="D5" i="104"/>
  <c r="B5" i="104"/>
  <c r="T4" i="104"/>
  <c r="R4" i="104"/>
  <c r="P4" i="104"/>
  <c r="N4" i="104"/>
  <c r="L4" i="104"/>
  <c r="J4" i="104"/>
  <c r="H4" i="104"/>
  <c r="F4" i="104"/>
  <c r="D4" i="104"/>
  <c r="B4" i="104"/>
  <c r="T3" i="104"/>
  <c r="R3" i="104"/>
  <c r="P3" i="104"/>
  <c r="N3" i="104"/>
  <c r="L3" i="104"/>
  <c r="J3" i="104"/>
  <c r="H3" i="104"/>
  <c r="F3" i="104"/>
  <c r="D3" i="104"/>
  <c r="B3" i="104"/>
  <c r="A1" i="104"/>
  <c r="T6" i="103"/>
  <c r="R6" i="103"/>
  <c r="P6" i="103"/>
  <c r="N6" i="103"/>
  <c r="L6" i="103"/>
  <c r="J6" i="103"/>
  <c r="H6" i="103"/>
  <c r="F6" i="103"/>
  <c r="D6" i="103"/>
  <c r="B6" i="103"/>
  <c r="T5" i="103"/>
  <c r="R5" i="103"/>
  <c r="P5" i="103"/>
  <c r="N5" i="103"/>
  <c r="L5" i="103"/>
  <c r="J5" i="103"/>
  <c r="H5" i="103"/>
  <c r="F5" i="103"/>
  <c r="D5" i="103"/>
  <c r="B5" i="103"/>
  <c r="T4" i="103"/>
  <c r="R4" i="103"/>
  <c r="P4" i="103"/>
  <c r="N4" i="103"/>
  <c r="L4" i="103"/>
  <c r="J4" i="103"/>
  <c r="H4" i="103"/>
  <c r="F4" i="103"/>
  <c r="D4" i="103"/>
  <c r="T3" i="103"/>
  <c r="R3" i="103"/>
  <c r="P3" i="103"/>
  <c r="N3" i="103"/>
  <c r="L3" i="103"/>
  <c r="J3" i="103"/>
  <c r="H3" i="103"/>
  <c r="F3" i="103"/>
  <c r="D3" i="103"/>
  <c r="B3" i="103"/>
  <c r="A1" i="103"/>
  <c r="T7" i="2"/>
  <c r="R7" i="2"/>
  <c r="P7" i="2"/>
  <c r="N7" i="2"/>
  <c r="L7" i="2"/>
  <c r="J7" i="2"/>
  <c r="H7" i="2"/>
  <c r="F7" i="2"/>
  <c r="D7" i="2"/>
  <c r="B7" i="2"/>
  <c r="D2" i="2"/>
  <c r="F2" i="2" s="1"/>
  <c r="H2" i="2" s="1"/>
  <c r="J2" i="2" s="1"/>
  <c r="L2" i="2" s="1"/>
  <c r="N2" i="2" s="1"/>
  <c r="P2" i="2" s="1"/>
  <c r="R2" i="2" s="1"/>
  <c r="T2" i="2" s="1"/>
  <c r="T6" i="2"/>
  <c r="R6" i="2"/>
  <c r="P6" i="2"/>
  <c r="N6" i="2"/>
  <c r="L6" i="2"/>
  <c r="J6" i="2"/>
  <c r="H6" i="2"/>
  <c r="F6" i="2"/>
  <c r="D6" i="2"/>
  <c r="B6" i="2"/>
  <c r="T12" i="2"/>
  <c r="T11" i="2"/>
  <c r="T10" i="2"/>
  <c r="T9" i="2"/>
  <c r="T4" i="2"/>
  <c r="R4" i="2"/>
  <c r="P4" i="2"/>
  <c r="N4" i="2"/>
  <c r="L4" i="2"/>
  <c r="J4" i="2"/>
  <c r="H4" i="2"/>
  <c r="F4" i="2"/>
  <c r="D4" i="2"/>
  <c r="B4" i="2"/>
  <c r="R12" i="2"/>
  <c r="R11" i="2"/>
  <c r="R10" i="2"/>
  <c r="R9" i="2"/>
  <c r="P12" i="2"/>
  <c r="P11" i="2"/>
  <c r="P10" i="2"/>
  <c r="P9" i="2"/>
  <c r="N12" i="2"/>
  <c r="N11" i="2"/>
  <c r="N10" i="2"/>
  <c r="N9" i="2"/>
  <c r="L12" i="2"/>
  <c r="L11" i="2"/>
  <c r="L10" i="2"/>
  <c r="L9" i="2"/>
  <c r="J12" i="2"/>
  <c r="J11" i="2"/>
  <c r="J10" i="2"/>
  <c r="J9" i="2"/>
  <c r="H12" i="2"/>
  <c r="H11" i="2"/>
  <c r="H10" i="2"/>
  <c r="H9" i="2"/>
  <c r="F12" i="2"/>
  <c r="F11" i="2"/>
  <c r="F10" i="2"/>
  <c r="F9" i="2"/>
  <c r="D12" i="2"/>
  <c r="D11" i="2"/>
  <c r="D10" i="2"/>
  <c r="D9" i="2"/>
  <c r="B12" i="2"/>
  <c r="B11" i="2"/>
  <c r="B10" i="2"/>
  <c r="B9" i="2"/>
  <c r="B3" i="39" l="1"/>
  <c r="B2" i="39"/>
  <c r="A1" i="54" l="1"/>
  <c r="H6" i="50"/>
  <c r="B6" i="50"/>
  <c r="H5" i="50"/>
  <c r="H4" i="50"/>
  <c r="B4" i="50"/>
  <c r="H3" i="50"/>
  <c r="B3" i="50"/>
  <c r="A1" i="50"/>
  <c r="A1" i="31"/>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4" i="39" l="1"/>
</calcChain>
</file>

<file path=xl/sharedStrings.xml><?xml version="1.0" encoding="utf-8"?>
<sst xmlns="http://schemas.openxmlformats.org/spreadsheetml/2006/main" count="1929" uniqueCount="609">
  <si>
    <t>--------</t>
  </si>
  <si>
    <t>{</t>
  </si>
  <si>
    <t>}</t>
  </si>
  <si>
    <t>English</t>
  </si>
  <si>
    <t>https://www.pathofexile.com/api/trade/</t>
  </si>
  <si>
    <t>en</t>
  </si>
  <si>
    <t>-</t>
  </si>
  <si>
    <t>German</t>
  </si>
  <si>
    <t>de</t>
  </si>
  <si>
    <t>Spanish</t>
  </si>
  <si>
    <t>French</t>
  </si>
  <si>
    <t>Japanese</t>
  </si>
  <si>
    <t>Korean</t>
  </si>
  <si>
    <t>Portuguese</t>
  </si>
  <si>
    <t>Russian</t>
  </si>
  <si>
    <t>Thai</t>
  </si>
  <si>
    <t>Traditional Chinese</t>
  </si>
  <si>
    <t>es</t>
  </si>
  <si>
    <t>fr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</si>
  <si>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</si>
  <si>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</si>
  <si>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</si>
  <si>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</si>
  <si>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</si>
  <si>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</si>
  <si>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</si>
  <si>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</si>
  <si>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</si>
  <si>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</si>
  <si>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</si>
  <si>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</si>
  <si>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Values</t>
  </si>
  <si>
    <t>Item Level: 84</t>
  </si>
  <si>
    <t>Item Level: 83</t>
  </si>
  <si>
    <t>Item Class: Maps</t>
  </si>
  <si>
    <t>Rarity: Normal</t>
  </si>
  <si>
    <t>Test</t>
  </si>
  <si>
    <t>Item Level: 75</t>
  </si>
  <si>
    <t>Item Class: Blueprints</t>
  </si>
  <si>
    <t>Blueprint: Repository</t>
  </si>
  <si>
    <t>Wings Revealed: 1/3</t>
  </si>
  <si>
    <t>Escape Routes Revealed: 1/6</t>
  </si>
  <si>
    <t>Use Intelligence to Reveal additional Wings and Rooms by talking to certain NPCs in the Rogue Harbour. Give this Blueprint to Adiyah to embark on the Grand Heist.</t>
  </si>
  <si>
    <t>Item Class: Contracts</t>
  </si>
  <si>
    <t>Client: Marcine Clavus</t>
  </si>
  <si>
    <t>Heist Target: Enigmatic Assembly C5 (Moderate Value)</t>
  </si>
  <si>
    <t>I have spent my family's entire fortune in the pursuit of this device._x000D_
Assembling it and turning it on is all I have left.</t>
  </si>
  <si>
    <t>Give this Contract to Adiyah in the Rogue Harbour to embark on the Heist.</t>
  </si>
  <si>
    <t>Maps</t>
  </si>
  <si>
    <t>Classe d'objet: Cartes</t>
  </si>
  <si>
    <t>Rareté: Normal</t>
  </si>
  <si>
    <t>Classe d'objet: Contrats</t>
  </si>
  <si>
    <t>Client : Marcine Clavus</t>
  </si>
  <si>
    <t>Objectif du Casse : Assemblage énigmatique C5 (valeur : moyenne)</t>
  </si>
  <si>
    <t>Prérequis : Ingénierie au niv. 1</t>
  </si>
  <si>
    <t>« J'ai dilapidé toute la fortune familiale dans ma poursuite de cet appareil.</t>
  </si>
  <si>
    <t>L'assembler et le mettre en marche est tout ce qu'il me reste. »</t>
  </si>
  <si>
    <t>Donnez ce contrat à Adiyah au Port des Malfaiteurs afin d'entamer un Casse.</t>
  </si>
  <si>
    <t>Niveau de l'objet: 84</t>
  </si>
  <si>
    <t>Niveau de l'objet: 83</t>
  </si>
  <si>
    <t>Niveau de l'objet: 75</t>
  </si>
  <si>
    <t>Main Pages</t>
  </si>
  <si>
    <t>Gegenstandsklasse: Karten</t>
  </si>
  <si>
    <t>Seltenheit: Normal</t>
  </si>
  <si>
    <t>Gegenstandsklasse: Aufträge</t>
  </si>
  <si>
    <t>Auftraggeber: Marcine Clavus</t>
  </si>
  <si>
    <t>Auftragsziel: Rätselhafte Konstruktion C5 (Mäßiger Wert)</t>
  </si>
  <si>
    <t>Erfordert Ingenieurwesen (Stufe 1)</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</si>
  <si>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</si>
  <si>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</si>
  <si>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Gegenstandsstufe: 84</t>
  </si>
  <si>
    <t>Gegenstandsstufe: 83</t>
  </si>
  <si>
    <t>Gegenstandsstufe: 75</t>
  </si>
  <si>
    <t>Clase de objeto: Mapas</t>
  </si>
  <si>
    <t>Rareza: Normal</t>
  </si>
  <si>
    <t>Clase de objeto: Contratos</t>
  </si>
  <si>
    <t>Cliente: Marcine Clavus</t>
  </si>
  <si>
    <t>Objetivo del atraco: Ensamblaje enigmático C5 (valor moderado)</t>
  </si>
  <si>
    <t>Requiere Ingeniería (Nivel1)</t>
  </si>
  <si>
    <t>Me he gastado toda la fortuna de mi familia en la búsqueda de este artilugio._x000D_
Ensamblarlo y ponerlo en marcha es todo lo que me queda.</t>
  </si>
  <si>
    <t>Dale este contrato a Adiyah en el Puerto de los renegados para embarcarte en el atraco.</t>
  </si>
  <si>
    <t>Nivel de objeto: 84</t>
  </si>
  <si>
    <t>Nivel de objeto: 83</t>
  </si>
  <si>
    <t>Nivel de objeto: 75</t>
  </si>
  <si>
    <t>アイテムクラス: マップ</t>
  </si>
  <si>
    <t>レアリティ: ノーマル</t>
  </si>
  <si>
    <t>アイテムクラス: 依頼書</t>
  </si>
  <si>
    <t>依頼人: マーシン・クラ―ヴァス</t>
  </si>
  <si>
    <t>ハイスト目標: 謎の装置の部品 C5 (中程度な価値)</t>
  </si>
  <si>
    <t>必要ジョブ 工作 (レベル 1)</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</si>
  <si>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</si>
  <si>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</si>
  <si>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アイテムレベル: 84</t>
  </si>
  <si>
    <t>アイテムレベル: 83</t>
  </si>
  <si>
    <t>アイテムレベル: 75</t>
  </si>
  <si>
    <t>아이템 종류: 지도</t>
  </si>
  <si>
    <t>아이템 희귀도: 일반</t>
  </si>
  <si>
    <t>아이템 종류: 계약</t>
  </si>
  <si>
    <t>고객: 마신 클라부스</t>
  </si>
  <si>
    <t>강탈 대상: 수수께끼 조립물 C5 (보통 가치)</t>
  </si>
  <si>
    <t>공학 필요(1레벨)</t>
  </si>
  <si>
    <t>이 장치를 만들기 위해 우리 가족의 전 재산을 쏟아부었어._x000D_
이제 장치를 조립하고 켜는 것만 남았어.</t>
  </si>
  <si>
    <t>강탈을 진행하려면 도둑 항구에 있는 아디야에게 이 계약을 건네십시오.</t>
  </si>
  <si>
    <t>아이템 레벨: 84</t>
  </si>
  <si>
    <t>아이템 레벨: 83</t>
  </si>
  <si>
    <t>아이템 레벨: 75</t>
  </si>
  <si>
    <t>Classe do Item: Mapas</t>
  </si>
  <si>
    <t>Raridade: Normal</t>
  </si>
  <si>
    <t>Classe do Item: Contratos</t>
  </si>
  <si>
    <t>Alvo do Golpe: Montagem Enigmática C5 (Valor Moderado)</t>
  </si>
  <si>
    <t>Requer Engenharia (Nível 1)</t>
  </si>
  <si>
    <t>Dê este contrato para Adiyah no Porto dos Renegados para embarcar no Golpe.</t>
  </si>
  <si>
    <t>Nível do Item: 84</t>
  </si>
  <si>
    <t>Nível do Item: 83</t>
  </si>
  <si>
    <t>Nível do Item: 75</t>
  </si>
  <si>
    <t>Класс предмета: Карты</t>
  </si>
  <si>
    <t>Редкость: Обычный</t>
  </si>
  <si>
    <t>Класс предмета: Контракты</t>
  </si>
  <si>
    <t>Клиент: Марцина Клавус</t>
  </si>
  <si>
    <t>Предмет кражи: Загадочный механизм C5 (средней ценности)</t>
  </si>
  <si>
    <t>Требуется инженерное дело (1 уровень)</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</si>
  <si>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</si>
  <si>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</si>
  <si>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</si>
  <si>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Уровень предмета: 84</t>
  </si>
  <si>
    <t>Уровень предмета: 83</t>
  </si>
  <si>
    <t>Уровень предмета: 75</t>
  </si>
  <si>
    <t>ชนิดไอเทม: แผนที่</t>
  </si>
  <si>
    <t>ความหายาก: ปกติ</t>
  </si>
  <si>
    <t>ชนิดไอเทม: สัญญาจ้าง</t>
  </si>
  <si>
    <t>ผู้จ้างวาน: มาร์ซีน คลาวูส</t>
  </si>
  <si>
    <t>เป้าหมายการโจรกรรม: เครื่องประกอบลึกลับ บี 5 (มีมูลค่าพอประมาณ)</t>
  </si>
  <si>
    <t>ต้องมี งานช่าง (ระดับ 1)</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</si>
  <si>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</si>
  <si>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</si>
  <si>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เลเวลไอเทม: 84</t>
  </si>
  <si>
    <t>เลเวลไอเทม: 83</t>
  </si>
  <si>
    <t>เลเวลไอเทม: 75</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</si>
  <si>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</si>
  <si>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</si>
  <si>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</si>
  <si>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</si>
  <si>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</si>
  <si>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</si>
  <si>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</si>
  <si>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</si>
  <si>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</si>
  <si>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Result</t>
  </si>
  <si>
    <t>Empty</t>
  </si>
  <si>
    <t>http://www.pathofexile.tw/trade/</t>
  </si>
  <si>
    <t>http://www.pathofexile.tw/api/trade/</t>
  </si>
  <si>
    <t>Item Rarity: +40% (augmented)</t>
  </si>
  <si>
    <t>Rareté des objets: +40% (augmented)</t>
  </si>
  <si>
    <t>Gegenstandsseltenheit: +40% (augmented)</t>
  </si>
  <si>
    <t>Raridade de Itens: +40% (augmented)</t>
  </si>
  <si>
    <t>Редкость предметов: +40% (augmented)</t>
  </si>
  <si>
    <t>ระดับความหายากของไอเทม: +40% (augmented)</t>
  </si>
  <si>
    <t>Rareza de objetos: +40% (augmented)</t>
  </si>
  <si>
    <t>아이템 희귀도: +40% (augmented)</t>
  </si>
  <si>
    <t>アイテムレアリティ: +40% (augmented)</t>
  </si>
  <si>
    <t>ja</t>
  </si>
  <si>
    <t>ko</t>
  </si>
  <si>
    <t>namespace Sidekick.Data.Languages.Implementations;</t>
  </si>
  <si>
    <t>Map (Tier 16)</t>
  </si>
  <si>
    <t>Monster Level: 83</t>
  </si>
  <si>
    <t>Travel to a Map by using this in a personal Map Device. Maps can only be used once.</t>
  </si>
  <si>
    <t>More Currency: +50% (augmented)</t>
  </si>
  <si>
    <t>Quality (Currency): +20% (augmented)</t>
  </si>
  <si>
    <t>More Scarabs: +50% (augmented)</t>
  </si>
  <si>
    <t>Quality (Scarabs): +20% (augmented)</t>
  </si>
  <si>
    <t>More Divination Cards: +50% (augmented)</t>
  </si>
  <si>
    <t>Quality (Divination Cards): +20% (augmented)</t>
  </si>
  <si>
    <t>Monster Pack Size: +10% (augmented)</t>
  </si>
  <si>
    <t>Quality (Pack Size): +20% (augmented)</t>
  </si>
  <si>
    <t>Quality (Rarity): +20% (augmented)</t>
  </si>
  <si>
    <t>Quality (Currency)</t>
  </si>
  <si>
    <t>Quality (Scarabs)</t>
  </si>
  <si>
    <t>Quality (Divination Cards)</t>
  </si>
  <si>
    <t>Quality (Pack Size)</t>
  </si>
  <si>
    <t>Quality (Rarity)</t>
  </si>
  <si>
    <t>Carte (Palier 16)</t>
  </si>
  <si>
    <t>Niveau de monstre : 83</t>
  </si>
  <si>
    <t>Rendez-vous dans une Carte en l'utilisant dans votre Dispositif cartographique. Les Cartes se consomment à l'utilisation.</t>
  </si>
  <si>
    <t>Davantage d'Objets monétaires: +50% (augmented)</t>
  </si>
  <si>
    <t>Qualité (Objets monétaires): +20% (augmented)</t>
  </si>
  <si>
    <t>Davantage de Scarabées: +50% (augmented)</t>
  </si>
  <si>
    <t>Qualité (Scarabées): +20% (augmented)</t>
  </si>
  <si>
    <t>Davantage de Cartes divinatoires: +50% (augmented)</t>
  </si>
  <si>
    <t>Qualité (Cartes divinatoires): +20% (augmented)</t>
  </si>
  <si>
    <t>Taille des groupes de monstres: +10% (augmented)</t>
  </si>
  <si>
    <t>Qualité (Taille des Groupes): +20% (augmented)</t>
  </si>
  <si>
    <t>Qualité (Rareté): +20% (augmented)</t>
  </si>
  <si>
    <t>Karte (Level 16)</t>
  </si>
  <si>
    <t>Monsterstufe: 83</t>
  </si>
  <si>
    <t>Reise zu dieser Karte, indem du dies in einem persönlichen Kartenapparat verwendest. Karten können nur einmal verwendet werden.</t>
  </si>
  <si>
    <t>Mehr Währung: +50% (augmented)</t>
  </si>
  <si>
    <t>Qualität (Währung): +20% (augmented)</t>
  </si>
  <si>
    <t>Mehr Skarabäen: +50% (augmented)</t>
  </si>
  <si>
    <t>Qualität (Skarabäen): +20% (augmented)</t>
  </si>
  <si>
    <t>Mehr Weissagungskarten: +50% (augmented)</t>
  </si>
  <si>
    <t>Qualität (Weissagungskarten): +20% (augmented)</t>
  </si>
  <si>
    <t>Monstergruppengröße: +10% (augmented)</t>
  </si>
  <si>
    <t>Qualität (Gruppengröße): +20% (augmented)</t>
  </si>
  <si>
    <t>Qualität (Seltenheit): +20% (augmented)</t>
  </si>
  <si>
    <t>Mapa (Nível 16)</t>
  </si>
  <si>
    <t>Nível dos Monstros: 83</t>
  </si>
  <si>
    <t>Use isto em um Dispositivo de Mapas pessoal para ir a um mapa. Mapas são de uso único.</t>
  </si>
  <si>
    <t>Mais Itens Monetários: +50% (augmented)</t>
  </si>
  <si>
    <t>Qualidade (Moedas): +20% (augmented)</t>
  </si>
  <si>
    <t>Mais Escaravelhos: +50% (augmented)</t>
  </si>
  <si>
    <t>Qualidade (Escaravelhos): +20% (augmented)</t>
  </si>
  <si>
    <t>Mais Cartas de Adivinhação: +50% (augmented)</t>
  </si>
  <si>
    <t>Qualidade (Cartas de Adivinhação): +20% (augmented)</t>
  </si>
  <si>
    <t>Tamanho do Grupo de Monstros: +10% (augmented)</t>
  </si>
  <si>
    <t>Qualidade (Tamanho de Grupos): +20% (augmented)</t>
  </si>
  <si>
    <t>Qualidade (Raridade): +20% (augmented)</t>
  </si>
  <si>
    <t>Карта (Ур. 16)</t>
  </si>
  <si>
    <t>Уровень монстра: 83</t>
  </si>
  <si>
    <t>Перейдите на карту с помощью вашей Машины картоходца. Карты одноразовые.</t>
  </si>
  <si>
    <t>Больше валюты: +50% (augmented)</t>
  </si>
  <si>
    <t>Качество (валюта): +20% (augmented)</t>
  </si>
  <si>
    <t>Больше скарабеев: +50% (augmented)</t>
  </si>
  <si>
    <t>Качество (скарабеи): +20% (augmented)</t>
  </si>
  <si>
    <t>Больше гадальных карт: +50% (augmented)</t>
  </si>
  <si>
    <t>Качество (гадальные карты): +20% (augmented)</t>
  </si>
  <si>
    <t>Размер групп монстров: +10% (augmented)</t>
  </si>
  <si>
    <t>Качество (размер группы): +20% (augmented)</t>
  </si>
  <si>
    <t>Качество (редкость): +20% (augmented)</t>
  </si>
  <si>
    <t>แผนที่ (ระดับ 16)</t>
  </si>
  <si>
    <t>มอนสเตอร์เลเวล: 83</t>
  </si>
  <si>
    <t>เดินทาง​ไปยัง แผนที่หนึ่ง ด้วย​การ​ใช้​ไอเทม​นี้​​ใน เครื่อง​เปิด​แผนที่ ของ​คุณ แผนที่​แต่​ละ​ชิ้น​สามารถ​ใช้ได้​เพียง​ครั้ง​เดียว​เท่านั้น</t>
  </si>
  <si>
    <t>เพิ่มเงินตรา อีก: +50% (augmented)</t>
  </si>
  <si>
    <t>ค่าคุณภาพ (เงินตรา): +20% (augmented)</t>
  </si>
  <si>
    <t>เพิ่มสคารับ อีก: +50% (augmented)</t>
  </si>
  <si>
    <t>ค่าคุณภาพ (สคารับ): +20% (augmented)</t>
  </si>
  <si>
    <t>เพิ่มไพ่พยากรณ์: +50% (augmented)</t>
  </si>
  <si>
    <t>ค่าคุณภาพ (ไพ่พยากรณ์): +20% (augmented)</t>
  </si>
  <si>
    <t>ขนาดกองมอนสเตอร์: +10% (augmented)</t>
  </si>
  <si>
    <t>ค่าคุณภาพ (ขนาดกองมอนสเตอร์): +20% (augmented)</t>
  </si>
  <si>
    <t>ค่าคุณภาพ (ระดับความหายาก): +20% (augmented)</t>
  </si>
  <si>
    <t>Mapa (grado 16)</t>
  </si>
  <si>
    <t>Nivel de monstruo: 83</t>
  </si>
  <si>
    <t>Viaja a un mapa colocándolo en un artefacto de mapas personal. Los mapas solo se pueden usar una vez.</t>
  </si>
  <si>
    <t>Más objetos monetarios: +50% (augmented)</t>
  </si>
  <si>
    <t>Calidad (objetos monetarios): +20% (augmented)</t>
  </si>
  <si>
    <t>Más escarabajos: +50% (augmented)</t>
  </si>
  <si>
    <t>Calidad (escarabajos): +20% (augmented)</t>
  </si>
  <si>
    <t>Más cartas de adivinación: +50% (augmented)</t>
  </si>
  <si>
    <t>Calidad (cartas de adivinación): +20% (augmented)</t>
  </si>
  <si>
    <t>Tamaño de los grupos de monstruos: +10% (augmented)</t>
  </si>
  <si>
    <t>Calidad (tamaño de grupos de monstruos): +20% (augmented)</t>
  </si>
  <si>
    <t>Calidad (rareza): +20% (augmented)</t>
  </si>
  <si>
    <t>지도 (16등급)</t>
  </si>
  <si>
    <t>몬스터 레벨: 83</t>
  </si>
  <si>
    <t>전용 지도 장치에서 이 아이템을 사용해 지도 안으로 이동할 수 있습니다. 한 번만 사용할 수 있습니다.</t>
  </si>
  <si>
    <t>화폐 더 많음: +50% (augmented)</t>
  </si>
  <si>
    <t>퀄리티 (화폐): +20% (augmented)</t>
  </si>
  <si>
    <t>갑충석 더 많음: +50% (augmented)</t>
  </si>
  <si>
    <t>퀄리티 (갑충석): +20% (augmented)</t>
  </si>
  <si>
    <t>점술 카드 증폭: +50% (augmented)</t>
  </si>
  <si>
    <t>퀄리티 (점술 카드): +20% (augmented)</t>
  </si>
  <si>
    <t>몬스터 무리 규모: +10% (augmented)</t>
  </si>
  <si>
    <t>퀄리티 (무리 규모): +20% (augmented)</t>
  </si>
  <si>
    <t>퀄리티 (희귀도): +20% (augmented)</t>
  </si>
  <si>
    <t>マップ (ティア 16)</t>
  </si>
  <si>
    <t>モンスターレベル：83</t>
  </si>
  <si>
    <t>自身のマップデバイスで使用することでこのマップに移動する。マップは一度のみ使用できる。</t>
  </si>
  <si>
    <t>カレンシー量が上昇: +50% (augmented)</t>
  </si>
  <si>
    <t>品質 (カレンシー): +20% (augmented)</t>
  </si>
  <si>
    <t>スカラベ量が上昇: +50% (augmented)</t>
  </si>
  <si>
    <t>品質 (スカラベ): +20% (augmented)</t>
  </si>
  <si>
    <t>占いカード増加: +50% (augmented)</t>
  </si>
  <si>
    <t>品質 (占いカード): +20% (augmented)</t>
  </si>
  <si>
    <t>モンスターパックサイズ: +10% (augmented)</t>
  </si>
  <si>
    <t>品質 (パックサイズ): +20% (augmented)</t>
  </si>
  <si>
    <t>品質 (レアリティ): +20% (augmented)</t>
  </si>
  <si>
    <t>Sheets</t>
  </si>
  <si>
    <t>Blueprint</t>
  </si>
  <si>
    <t>MapQualityCurrency</t>
  </si>
  <si>
    <t>MapQualityScarabs</t>
  </si>
  <si>
    <t>MapQualityCards</t>
  </si>
  <si>
    <t>MapQualityPack</t>
  </si>
  <si>
    <t>MapQualityRarity</t>
  </si>
  <si>
    <t>ContractCounterThaumaturgy</t>
  </si>
  <si>
    <t>ContractTrap</t>
  </si>
  <si>
    <t>ContractPerception</t>
  </si>
  <si>
    <t>ContractBruteForce</t>
  </si>
  <si>
    <t>ContractDeception</t>
  </si>
  <si>
    <t>ContractEngineering</t>
  </si>
  <si>
    <t>Area Level: 83</t>
  </si>
  <si>
    <t>Reward Rooms Revealed: 3/21</t>
  </si>
  <si>
    <t>Contract: Records Office</t>
  </si>
  <si>
    <t>Client: The Midnight Tinkerer</t>
  </si>
  <si>
    <t>Heist Target: Hand of Arimor (Moderate Value)</t>
  </si>
  <si>
    <t>Area Level: 75</t>
  </si>
  <si>
    <t>Balabus Arimor was a little-known preacher during the days of Emperor Chitus,_x000D_
who believed eternal life could be achieved through ritual sacrifice._x000D_
We shall see whether he was a prophet - or a charlatan.</t>
  </si>
  <si>
    <t>Contract: Bunker</t>
  </si>
  <si>
    <t>Client: Kondor Larcius</t>
  </si>
  <si>
    <t>Heist Target: The Goddess of Water (High Value)</t>
  </si>
  <si>
    <t>The relief depicts some sort of forgotten Maraketh goddess. I have no idea what_x000D_
the context is. The important thing is that you steal it before Bazira does.</t>
  </si>
  <si>
    <t>Client: The Crimson Scribe</t>
  </si>
  <si>
    <t>Heist Target: Staff of the First Sin Eater (Precious)</t>
  </si>
  <si>
    <t>The history of the order of Sin Eaters is shrouded in secrecy and shame._x000D_
Nevertheless, history demands truth, even if it takes centuries to be revealed.</t>
  </si>
  <si>
    <t>Contract: Underbelly</t>
  </si>
  <si>
    <t>Client: Administrator Qotra</t>
  </si>
  <si>
    <t>Heist Target: Sword of the Inverse Relic (Priceless)</t>
  </si>
  <si>
    <t>Area Level: 55</t>
  </si>
  <si>
    <t>Item Level: 55</t>
  </si>
  <si>
    <t>By all accounts, the Sword of the Inverse Relic was found aged and rusted,_x000D_
but is becoming less weathered over time. We really must study its properties.</t>
  </si>
  <si>
    <t>Moderate Value</t>
  </si>
  <si>
    <t>High Value</t>
  </si>
  <si>
    <t>Precious</t>
  </si>
  <si>
    <t>Priceless</t>
  </si>
  <si>
    <t>Classe d'objet: Plans</t>
  </si>
  <si>
    <t>Plan : Entrepôt</t>
  </si>
  <si>
    <t>Niveau de la zone : 83</t>
  </si>
  <si>
    <t>Ailes révélées: 1/3</t>
  </si>
  <si>
    <t>Échappatoires révélées: 1/6</t>
  </si>
  <si>
    <t>Salles de récompenses révélées: 3/21</t>
  </si>
  <si>
    <t>Prérequis : Crochetage au niv. 1</t>
  </si>
  <si>
    <t>Prérequis : Démolition au niv. 2</t>
  </si>
  <si>
    <t>Servez-vous de Renseignements afin de découvrir des Ailes et des Salles supplémentaires en parlant à certains PNJ au Port des Malfaiteurs. Donnez ce Plan à Adiyah pour entreprendre le Casse du siècle.</t>
  </si>
  <si>
    <t>Prérequis : Agilité au niv. 5</t>
  </si>
  <si>
    <t>Contrat : Bureau des archives</t>
  </si>
  <si>
    <t>Prérequis : Anti-thaumaturgie au niv. 5</t>
  </si>
  <si>
    <t>Client : L'Horloger de minuit</t>
  </si>
  <si>
    <t>Objectif du Casse : Main d'Arimor (valeur : moyenne)</t>
  </si>
  <si>
    <t>Niveau de la zone : 75</t>
  </si>
  <si>
    <t>Prérequis : Désamorçage de pièges au niv. 1</t>
  </si>
  <si>
    <t>« Balabus Arimor était un prédicateur de peu de renom du temps de l'empereur Chitus,</t>
  </si>
  <si>
    <t>qui croyait que la vie éternelle pouvait être atteinte à travers des sacrifices rituels.</t>
  </si>
  <si>
    <t>Nous verrons s'il s'agissait d'un prophète… ou d'un charlatan. »</t>
  </si>
  <si>
    <t>Contrat : Bunker</t>
  </si>
  <si>
    <t>Client : Kondor Larcius</t>
  </si>
  <si>
    <t>Objectif du Casse : La Déesse de l'eau (valeur : élevée)</t>
  </si>
  <si>
    <t>Prérequis : Perception au niv. 5</t>
  </si>
  <si>
    <t>« Ce relief représente une sorte de déesse maraketh oubliée.</t>
  </si>
  <si>
    <t>J'ignore totalement quel est le contexte qui l'entoure.</t>
  </si>
  <si>
    <t>L'important, c'est que vous vous en empariez avant que Bazira ne le fasse. »</t>
  </si>
  <si>
    <t>Client : Le Scribe pourpre</t>
  </si>
  <si>
    <t>Objectif du Casse : Bâton du Mangeur du premier péché (valeur : importante)</t>
  </si>
  <si>
    <t>Prérequis : Force brute au niv. 4</t>
  </si>
  <si>
    <t>« L'histoire de l'ordre des Mangeurs de péchés est entourée de mystère et de honte.</t>
  </si>
  <si>
    <t>Néanmoins, l'Histoire exige la vérité, même si cette dernière nécessite des siècles avant d'être révélée. »</t>
  </si>
  <si>
    <t>Contrat : Bas-fonds</t>
  </si>
  <si>
    <t>Prérequis : Duperie au niv. 2</t>
  </si>
  <si>
    <t>Client : Directrice Qotra</t>
  </si>
  <si>
    <t>Objectif du Casse : Épée de la Relique inverse (valeur : inestimable)</t>
  </si>
  <si>
    <t>Niveau de la zone : 55</t>
  </si>
  <si>
    <t>Niveau de l'objet: 55</t>
  </si>
  <si>
    <t>« Aux dires de tous, l'Épée de la Relique inverse fut découverte rouillée et émoussée,</t>
  </si>
  <si>
    <t>mais redevient en meilleur état au fil du temps. Nous devons étudier ses propriétés. »</t>
  </si>
  <si>
    <t>Gegenstandsklasse: Grundrisse</t>
  </si>
  <si>
    <t>Grundriss: Repositorium</t>
  </si>
  <si>
    <t>Gebietsstufe: 83</t>
  </si>
  <si>
    <t>Aufgedeckte Gebäudetrakte: 1/3</t>
  </si>
  <si>
    <t>Aufgedeckte Fluchtwege: 1/6</t>
  </si>
  <si>
    <t>Aufgedeckte Belohnungsräume: 3/21</t>
  </si>
  <si>
    <t>Erfordert Schlossknacken (Stufe 1)</t>
  </si>
  <si>
    <t>Erfordert Sprengung (Stufe 2)</t>
  </si>
  <si>
    <t>Erfordert Agilität (Stufe 5)</t>
  </si>
  <si>
    <t>Sprecht mit bestimmten NSCs im Hafen der Abtrünnigen, um Informationen über zusätzliche Gebäudetrakte und geheime Räume zu erhalten. Übergebt diesen Grundriss an Adiyah, um Euch auf den Weg zum großen Coup zu machen.</t>
  </si>
  <si>
    <t>Auftrag: Archiv</t>
  </si>
  <si>
    <t>Erfordert Thaumaturgie-Abwehr (Stufe 5)</t>
  </si>
  <si>
    <t>Auftraggeber: Der Mitternachtstüftler</t>
  </si>
  <si>
    <t>Auftragsziel: Hand von Arimor (Mäßiger Wert)</t>
  </si>
  <si>
    <t>Gebietsstufe: 75</t>
  </si>
  <si>
    <t>Erfordert Fallenentschärfung (Stufe 1)</t>
  </si>
  <si>
    <t>Balabus Arimor war ein wenig bekannter Priester unter Kaiser Chitus,</t>
  </si>
  <si>
    <t>der daran glaubte, dass ewiges Leben durch rituelle Opfer erreicht werden kann.</t>
  </si>
  <si>
    <t>Leider fanden seine Lehren in der Zeit nach der Katastrophe verheerenden Zuspruch."</t>
  </si>
  <si>
    <t>Auftrag: Bunker</t>
  </si>
  <si>
    <t>Auftraggeber: Kondor Larcius</t>
  </si>
  <si>
    <t>Auftragsziel: Die Göttin des Wassers (Hoher Wert)</t>
  </si>
  <si>
    <t>Erfordert Wahrnehmung (Stufe 5)</t>
  </si>
  <si>
    <t>Das Relief stellt eine Art vergessene Maraketh-Göttin dar. Der Kontext ist für mich ein Rätsel._x000D_
Das Wichtigste ist, dass Ihr es stehlt, bevor Bazira es tut.</t>
  </si>
  <si>
    <t>Auftraggeber: Der rote Schriftgelehrte</t>
  </si>
  <si>
    <t>Auftragsziel: Stab des ersten Sündenfressers (Kostbar)</t>
  </si>
  <si>
    <t>Erfordert Brachialgewalt (Stufe 4)</t>
  </si>
  <si>
    <t>Die Geschichte des Ordens der Sündenfresser ist in Geheimhaltung und Schande gehüllt._x000D_
Dennoch verlangt die Geschichte nach Wahrheit, auch wenn es Jahrhunderte dauert, bis sie enthüllt wird.</t>
  </si>
  <si>
    <t>Auftrag: Untergrund</t>
  </si>
  <si>
    <t>Erfordert Täuschung (Stufe 2)</t>
  </si>
  <si>
    <t>Auftraggeber: Verwalter Qotra</t>
  </si>
  <si>
    <t>Auftragsziel: Schwert des inversen Relikts (Unschätzbar)</t>
  </si>
  <si>
    <t>Gebietsstufe: 55</t>
  </si>
  <si>
    <t>Gegenstandsstufe: 55</t>
  </si>
  <si>
    <t>Nach allem, was man hört, wurde das Schwert der inversen Reliquie gealtert und verrostet entdeckt,_x000D_
verliert aber mit der Zeit immer mehr der Verwitterung. Wir müssen seine Eigenschaften wirklich studieren.</t>
  </si>
  <si>
    <t>Classe do Item: Plantas</t>
  </si>
  <si>
    <t>Planta: Repositório</t>
  </si>
  <si>
    <t>Nível da Área: 83</t>
  </si>
  <si>
    <t>Alas Reveladas: 1/3</t>
  </si>
  <si>
    <t>Rotas de Escape Reveladas: 1/6</t>
  </si>
  <si>
    <t>Salas de Recompensas Reveladas: 3/21</t>
  </si>
  <si>
    <t>Requer Arrombamento (Nível 1)</t>
  </si>
  <si>
    <t>Requer Demolição (Nível 2)</t>
  </si>
  <si>
    <t>Requer Agilidade (Nível 5)</t>
  </si>
  <si>
    <t>Use Informações para descobrir Alas e Salas adicionais falando com certos NPCs no Porto dos Renegados. Dê esta Planta para Adiyah para embarcar no Grande Golpe.</t>
  </si>
  <si>
    <t>Contrato: Escritório de Registros</t>
  </si>
  <si>
    <t>Requer Contra-Taumaturgia (Nível 5)</t>
  </si>
  <si>
    <t>Gastei toda a fortuna da minha família na busca por este dispositivo. Montá-lo e fazê-lo funcionar é tudo que me resta.</t>
  </si>
  <si>
    <t>Cliente: O Faz-Tudo da Meia Noite</t>
  </si>
  <si>
    <t>Alvo do Golpe: Mão de Arimor (Valor Moderado)</t>
  </si>
  <si>
    <t>Nível da Área: 75</t>
  </si>
  <si>
    <t>Requer Desarme de Armadilhas (Nível 1)</t>
  </si>
  <si>
    <t>Balabus Arimor, um pregador pouco conhecido durante os dias do Imperador Chitus,_x000D_
acreditava que a vida eterna poderia ser alcançada através de rituais de sacrifício._x000D_
Veremos se ele era um profeta ou um charlatão.</t>
  </si>
  <si>
    <t>Contrato: Abrigo</t>
  </si>
  <si>
    <t>Cliente: Kondor Larcius</t>
  </si>
  <si>
    <t>Alvo do Golpe: A Deusa da Água (Valor Alto)</t>
  </si>
  <si>
    <t>Requer Percepção (Nível 5)</t>
  </si>
  <si>
    <t>O relevo representa algum dipo de deusa Maraketh esquecida. Não faço ideia de qual é o contexto. O que importa é que você roube antes de Bazira.</t>
  </si>
  <si>
    <t>Cliente: O Escriba Carmesim</t>
  </si>
  <si>
    <t>Alvo do Golpe: Cajado do primeiro Devorador de Pecados (Precioso)</t>
  </si>
  <si>
    <t>Requer Força Bruta (Nível 4)</t>
  </si>
  <si>
    <t>A história da Ordem dos Devoradores de Pecados é cercada de segredo e vergonha. Ainda assim, a história demanda a verdade, mesmo que esta leve séculos para ser revelada.</t>
  </si>
  <si>
    <t>Contrato: Entranhas</t>
  </si>
  <si>
    <t>Requer Enganação (Nível 2)</t>
  </si>
  <si>
    <t>Cliente: Administrador Qotra</t>
  </si>
  <si>
    <t>Alvo do Golpe: Espada da Relíquia Inversa (Sem Preço)</t>
  </si>
  <si>
    <t>Nível da Área: 55</t>
  </si>
  <si>
    <t>Nível do Item: 55</t>
  </si>
  <si>
    <t>De acordo com os relatos, a Espada da Relíquia Inversa foi encontrada velha e enferrujada, mas tem se tornado menos puída com o tempo. Deveríamos mesmo estudar suas propriedades.</t>
  </si>
  <si>
    <t>Класс предмета: Чертежи</t>
  </si>
  <si>
    <t>Чертёж: Хранилище</t>
  </si>
  <si>
    <t>Уровень области: 83</t>
  </si>
  <si>
    <t>Крыльев обнаружено: 1/3</t>
  </si>
  <si>
    <t>Путей отхода обнаружено: 1/6</t>
  </si>
  <si>
    <t>Комнат с наградами обнаружено: 3/21</t>
  </si>
  <si>
    <t>Требуется взлом (1 уровень)</t>
  </si>
  <si>
    <t>Требуется взрывное дело (2 уровень)</t>
  </si>
  <si>
    <t>Требуется проворство (5 уровень)</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</si>
  <si>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</si>
  <si>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Контракт: Референтура</t>
  </si>
  <si>
    <t>Требуется контрмагия (5 уровень)</t>
  </si>
  <si>
    <t>Клиент: Полуночный изобретатель</t>
  </si>
  <si>
    <t>Предмет кражи: Рука Аримора (средней ценности)</t>
  </si>
  <si>
    <t>Уровень области: 75</t>
  </si>
  <si>
    <t>Требуется разминирование (1 уровень)</t>
  </si>
  <si>
    <t>«Балабус Аримор был малоизвестным проповедником в дни правления императора Титуса,</t>
  </si>
  <si>
    <t>который верил, что вечной жизни можно достичь путём ритуального жертвоприношения.</t>
  </si>
  <si>
    <t>К несчастью, его учение обрело опасное количество сторонников после Катаклизма».</t>
  </si>
  <si>
    <t>Контракт: Бункер</t>
  </si>
  <si>
    <t>Клиент: Кондор Ларциус</t>
  </si>
  <si>
    <t>Предмет кражи: Богиня воды (ценный)</t>
  </si>
  <si>
    <t>Требуется восприятие (5 уровень)</t>
  </si>
  <si>
    <t>«На рельефе изображена какая-то забытая богиня маракетов. Я понятия не имею,</t>
  </si>
  <si>
    <t>кто это. Важнее другое — эту вещь надо выкрасть раньше, чем это сделает Базира».</t>
  </si>
  <si>
    <t>Клиент: Кровавый писарь</t>
  </si>
  <si>
    <t>Предмет кражи: Посох первого поедателя греха (драгоценный)</t>
  </si>
  <si>
    <t>Требуется грубая сила (4 уровень)</t>
  </si>
  <si>
    <t>«История ордена Поедателей Греха окружена загадками и стыдливым молчанием,</t>
  </si>
  <si>
    <t>однако истории как науке требуется правда, даже если на её поиски уходят века».</t>
  </si>
  <si>
    <t>Контракт: Подполье</t>
  </si>
  <si>
    <t>Требуется маскировка (2 уровень)</t>
  </si>
  <si>
    <t>Клиент: Администратор Куотра</t>
  </si>
  <si>
    <t>Предмет кражи: Меч вывернутой реликвии (бесценный)</t>
  </si>
  <si>
    <t>Уровень области: 55</t>
  </si>
  <si>
    <t>Уровень предмета: 55</t>
  </si>
  <si>
    <t>«Судя по записям, Меч Обратимости был найден старым и проржавевшим,</t>
  </si>
  <si>
    <t>но с годами он только новеет. Мы обязательно должны изучить его свойства».</t>
  </si>
  <si>
    <t>ชนิดไอเทม: พิมพ์เขียว</t>
  </si>
  <si>
    <t>พิมพ์เขียว: โกดัง</t>
  </si>
  <si>
    <t>ด่านเลเวล: 83</t>
  </si>
  <si>
    <t>ปีกที่เปิดเผย: 1/3</t>
  </si>
  <si>
    <t>เส้นทางหลบหนีที่เปิดเผย: 1/6</t>
  </si>
  <si>
    <t>ห้องของรางวัลที่เปิดเผย: 3/21</t>
  </si>
  <si>
    <t>ต้องมี สะเดาะกุญแจ (ระดับ 1)</t>
  </si>
  <si>
    <t>ต้องมี รื้อถอน (ระดับ 2)</t>
  </si>
  <si>
    <t>ต้องมี ความคล่องตัว (ระดับ 5)</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</si>
  <si>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</si>
  <si>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สัญญาจ้าง: หอจดบันทึก</t>
  </si>
  <si>
    <t>ต้องมี โต้มนต์มณี (ระดับ 5)</t>
  </si>
  <si>
    <t>ผู้จ้างวาน: นักประดิษฐ์ราตรี</t>
  </si>
  <si>
    <t>เป้าหมายการโจรกรรม: มือแห่งอริมอร์ (มีมูลค่าพอประมาณ)</t>
  </si>
  <si>
    <t>ด่านเลเวล: 75</t>
  </si>
  <si>
    <t>ต้องมี ปลดกับดัก (ระดับ 1)</t>
  </si>
  <si>
    <t>บาลาบัส อริมอร์​เป็น​นักเทศน์​ที่​ไม่​ค่อย​มีชื่อ​ใน​ยุค​ของ​จักรพรรดิชิตัส_x000D_
ผู้​เชื่อ​ว่า​สามารถ​แสวงหา​ชีวิต​อัน​เป็น​นิรันดร์​ได้​ด้วย​การ​ทำ​พิธี​บูชายัญ_x000D_
มา​ดู​กัน​ว่า​หมอ​นี่​เป็น​ศาสดา​หรือ​นักต้มตุ๋น​กัน​แน่</t>
  </si>
  <si>
    <t>สัญญาจ้าง: บังเกอร์</t>
  </si>
  <si>
    <t>ผู้จ้างวาน: คอนดอร์ ลาร์เซียส</t>
  </si>
  <si>
    <t>เป้าหมายการโจรกรรม: เทพีแห่งวารี (มีมูลค่าสูง)</t>
  </si>
  <si>
    <t>ต้องมี การรับรู้ (ระดับ 5)</t>
  </si>
  <si>
    <t>ภาพ​นูน​นี้​แสดง​ให้​เห็น​ถึง​เทพี​มาราเค็ท​ที่​ถูก​ลืม ข้า​เอง​ก็​ไม่รู้​บริบท​หรอก_x000D_
แต่​ที่​สำคัญ​คือ​เจ้า​ต้อง​ขโมย​ให้​ได้​ก่อน​ที่​บาซีร่า​จะ​ขโมย​ไป</t>
  </si>
  <si>
    <t>ผู้จ้างวาน: อาลักษณ์เลือดนก</t>
  </si>
  <si>
    <t>เป้าหมายการโจรกรรม: ไม้พลองผู้กินบาปคนแรก (มีมูลค่าสูงส่ง)</t>
  </si>
  <si>
    <t>ต้องมี เอากำลังเข้าแลก (ระดับ 4)</t>
  </si>
  <si>
    <t>ประวัติศาสตร์​ของ​ภาคี​ผู้กินบาป​นั้น​ปกคลุม​ไป​ด้วย​ความลับ​กับ​ความอับอาย อย่างไร​ก็ตาม_x000D_
ประวัติศาสตร์​ต้องการ​ความจริง แม้ว่า​การ​เผย​ความจริง​จะ​ใช้​​เวลา​เป็น​ศตวรรษ​ก็ตาม​</t>
  </si>
  <si>
    <t>สัญญาจ้าง: มุมมืด</t>
  </si>
  <si>
    <t>ต้องมี กลฉ้อฉล (ระดับ 2)</t>
  </si>
  <si>
    <t>ผู้จ้างวาน: ผู้ดูแลโคทรา</t>
  </si>
  <si>
    <t>เป้าหมายการโจรกรรม: ดาบไร้โบราณ (มีมูลค่าอันมิอาจเทียบ)</t>
  </si>
  <si>
    <t>ด่านเลเวล: 55</t>
  </si>
  <si>
    <t>เลเวลไอเทม: 55</t>
  </si>
  <si>
    <t xml:space="preserve">จาก​ข้อมูล​ทั้งหมด​ที่​รู้ ดาบ​ไร้โบราณ​ถูก​พบ​ใน​สภาพ​เก่าแก่​ขึ้นสนิม แต่​เมื่อ​เวลา​ผ่าน​ไป_x000D_
มัน​กลับ​ทรุด​โทรม​น้อย​ลงไปทุกที เรา​ต้อง​ศึกษา​คุณสมบัติ​ของ​ดาบ​เล่ม​นี้​ให้​จง​ได้_x000D_
--------_x000D_
นำสัญญาจ้างนี้ไปให้ อาดีย์ยา ในท่าเรือโจรเพื่อออกเดินทางสู่การโจรกรรม_x000D_
</t>
  </si>
  <si>
    <t>Clase de objeto: Planos</t>
  </si>
  <si>
    <t>Plano: Depósito</t>
  </si>
  <si>
    <t>Nivel del área: 83</t>
  </si>
  <si>
    <t>Alas reveladas: 1/3</t>
  </si>
  <si>
    <t>Rutas de escape reveladas: 1/6</t>
  </si>
  <si>
    <t>Salas de recompensas reveladas: 3/21</t>
  </si>
  <si>
    <t>Requiere Forzar cerraduras (Nivel1)</t>
  </si>
  <si>
    <t>Requiere Demolición (Nivel2)</t>
  </si>
  <si>
    <t>Requiere Agilidad (Nivel5)</t>
  </si>
  <si>
    <t>Usa la Información para revelar Alas y Salas adicionales hablando con algunos PNJs en el Puerto de los renegados. Dale este plano a Adiyah para embarcarte en el Golpe.</t>
  </si>
  <si>
    <t>Contrato: Oficina de registros</t>
  </si>
  <si>
    <t>Requiere Antitaumaturgia (Nivel5)</t>
  </si>
  <si>
    <t>Cliente: El inventor de medianoche</t>
  </si>
  <si>
    <t>Objetivo del atraco: Mano de Arimor (valor moderado)</t>
  </si>
  <si>
    <t>Nivel del área: 75</t>
  </si>
  <si>
    <t>Requiere Desarme de trampas (Nivel1)</t>
  </si>
  <si>
    <t>Balabus Arimor fue un predicador poco conocido de la época del Emperador Chitus,_x000D_
que creía que la vida eterna se podía lograr mediante rituales sacrificiales._x000D_
Ya veremos si era un profeta o, por el contrario, un charlatán.</t>
  </si>
  <si>
    <t>Contrato: Búnker</t>
  </si>
  <si>
    <t>Objetivo del atraco: La diosa del agua (valor alto)</t>
  </si>
  <si>
    <t>Requiere Percepción (Nivel5)</t>
  </si>
  <si>
    <t>El relieve representa a algún tipo de diosa maraketh olvidada. No tengo ni idea_x000D_
de cuál es el contexto. Lo importante es que la robes antes de que lo haga Bazira.</t>
  </si>
  <si>
    <t>Cliente: El escriba carmesí</t>
  </si>
  <si>
    <t>Objetivo del atraco: Báculo del primer devorador de pecados (valor muy alto)</t>
  </si>
  <si>
    <t>Requiere Fuerza bruta (Nivel4)</t>
  </si>
  <si>
    <t>La historia de la orden de los Devoradores de pecados está envuelta en misterio y vergüenza._x000D_
No obstante, la historia exige la verdad, aunque lleve siglos revelarla.</t>
  </si>
  <si>
    <t>Contrato: Submundo</t>
  </si>
  <si>
    <t>Requiere Engaño (Nivel2)</t>
  </si>
  <si>
    <t>Objetivo del atraco: Reliquia de la espada del inverso (valor incalculable)</t>
  </si>
  <si>
    <t>Nivel del área: 55</t>
  </si>
  <si>
    <t>Nivel de objeto: 55</t>
  </si>
  <si>
    <t>Según dicen, la Reliquia de la espada del inverso se halló envejecida y oxidada,_x000D_
pero su desgaste está disminuyendo con el tiempo. Tenemos que estudiar sus propiedades.</t>
  </si>
  <si>
    <t>아이템 종류: 도면</t>
  </si>
  <si>
    <t>도면: 저장소</t>
  </si>
  <si>
    <t>지역 레벨: 83</t>
  </si>
  <si>
    <t>부속 건물 드러남: 1/3</t>
  </si>
  <si>
    <t>탈출 경로 드러남: 1/6</t>
  </si>
  <si>
    <t>보물 창고 드러남: 3/21</t>
  </si>
  <si>
    <t>자물쇠 따기 필요(1레벨)</t>
  </si>
  <si>
    <t>파괴 공작 필요(2레벨)</t>
  </si>
  <si>
    <t>민첩함 필요(5레벨)</t>
  </si>
  <si>
    <t>도둑 항구에 있는 특정 NPC들과 대화하고 정보를 사용하여 추가 부속 건물과 방을 드러내야 합니다. 대강탈을 진행하려면 아디야에게 이 도면을 건네십시오.</t>
  </si>
  <si>
    <t>계약: 기록 보관소</t>
  </si>
  <si>
    <t>반-마석학 필요(5레벨)</t>
  </si>
  <si>
    <t>고객: 심야의 수선공</t>
  </si>
  <si>
    <t>강탈 대상: 아리모르의 손 (보통 가치)</t>
  </si>
  <si>
    <t>지역 레벨: 75</t>
  </si>
  <si>
    <t>덫 해제 필요(1레벨)</t>
  </si>
  <si>
    <t>발라버스 아리모르는 치투스 황제 치세에 살았던 무명의 설교자로,_x000D_
번제 의식을 통해 영생을 얻을 수 있다고 믿었다._x000D_
그가 선지자였는지, 사기꾼이었는지는 두고 보면 밝혀지리라.</t>
  </si>
  <si>
    <t>계약: 벙커</t>
  </si>
  <si>
    <t>고객: 콘도르 라시우스</t>
  </si>
  <si>
    <t>강탈 대상: 물의 여신 (높은 가치)</t>
  </si>
  <si>
    <t>통찰력 필요(5레벨)</t>
  </si>
  <si>
    <t>이 조각은 잊혀진 마라케스 여신을 표현한 거야. 어떤 상황인지는_x000D_
모르겠지만. 중요한 건, 이걸 바지라보다 먼저 훔쳐야 한다는 거야.</t>
  </si>
  <si>
    <t>고객: 진홍색 서기</t>
  </si>
  <si>
    <t>강탈 대상: 최초의 죄악을 먹는 자의 지팡이 (귀중한 가치)</t>
  </si>
  <si>
    <t>완력 필요(4레벨)</t>
  </si>
  <si>
    <t>죄악을 먹는 자들의 역사는 비밀과 수치에 가려져 있어._x000D_
그럼에도 불구하고 역사는 진실을 갈구하지. 밝히는 데 수백 년이 걸리더라도 말이야.</t>
  </si>
  <si>
    <t>계약: 취약 지점</t>
  </si>
  <si>
    <t>기만 필요(2레벨)</t>
  </si>
  <si>
    <t>고객: 사무관 쿼트라</t>
  </si>
  <si>
    <t>강탈 대상: 뒤집힌 유물의 검 (환산 불가능한 가치)</t>
  </si>
  <si>
    <t>지역 레벨: 55</t>
  </si>
  <si>
    <t>아이템 레벨: 55</t>
  </si>
  <si>
    <t>어느 기록을 보아도, 뒤집힌 유물의 검은 낡고 녹슨 상태로 발견되었다지만,_x000D_
시간이 지날수록 상태가 좋아지고 있어. 반드시 연구해 봐야 해.</t>
  </si>
  <si>
    <t>アイテムクラス: 計画書</t>
  </si>
  <si>
    <t>計画書: 研究所</t>
  </si>
  <si>
    <t>エリアレベル: 83</t>
  </si>
  <si>
    <t>情報を聞いた区画: 1/3</t>
  </si>
  <si>
    <t>情報を聞いた脱出ルート: 1/6</t>
  </si>
  <si>
    <t>情報を聞いた報酬部屋: 3/21</t>
  </si>
  <si>
    <t>必要ジョブ 錠前破り (レベル 1)</t>
  </si>
  <si>
    <t>必要ジョブ 爆破 (レベル 2)</t>
  </si>
  <si>
    <t>必要ジョブ 敏捷性 (レベル 5)</t>
  </si>
  <si>
    <t>ローグハーバーにいる特定のNPCに話しかけ、諜報を使って追加の区画や部屋の情報を聞くことができます。この計画書をアーディアに渡して、グランドハイストに着手してください。</t>
  </si>
  <si>
    <t>依頼書: 記録保管所</t>
  </si>
  <si>
    <t>必要ジョブ 対魔術 (レベル 5)</t>
  </si>
  <si>
    <t>依頼人: 真夜中の修理人</t>
  </si>
  <si>
    <t>ハイスト目標: アリモルの腕 (中程度な価値)</t>
  </si>
  <si>
    <t>エリアレベル: 75</t>
  </si>
  <si>
    <t>必要ジョブ 罠解除 (レベル 1)</t>
  </si>
  <si>
    <t>「バラバス・アリモールは儀式的な生贄により永遠の命を得ることができると信じていた、</t>
  </si>
  <si>
    <t>皇帝チタス時代の無名な説教者だ。</t>
  </si>
  <si>
    <t>彼が預言者だったのかーあるいは詐欺師だったのか、じきに判る」</t>
  </si>
  <si>
    <t>依頼書: バンカー</t>
  </si>
  <si>
    <t>依頼人: コンドール・ラーシウス</t>
  </si>
  <si>
    <t>ハイスト目標: 水の女神が描かれた石版 (高価値)</t>
  </si>
  <si>
    <t>必要ジョブ 知覚能力 (レベル 5)</t>
  </si>
  <si>
    <t>「このレリーフにはマラケスの忘れられた女神が描かれている。文脈は検討もつかない。大事なのはバジラが盗む前にお前がそれを盗むということだ。」</t>
  </si>
  <si>
    <t>依頼人: 緋色の代書人</t>
  </si>
  <si>
    <t>ハイスト目標: シンイーター始祖のスタッフ (貴重)</t>
  </si>
  <si>
    <t>必要ジョブ 怪力 (レベル 4)</t>
  </si>
  <si>
    <t>「シンイーター教団の歴史は、秘密と恥辱に包まれている。とはいえ、歴史は真実を求めている、解明されるのに何世紀かかるとしても。」</t>
  </si>
  <si>
    <t>依頼書: 無法地帯</t>
  </si>
  <si>
    <t>必要ジョブ 欺瞞 (レベル 2)</t>
  </si>
  <si>
    <t>依頼人: 管理者クォトラ</t>
  </si>
  <si>
    <t>ハイスト目標: 時間が反転した剣の遺物 (プライスレス)</t>
  </si>
  <si>
    <t>エリアレベル: 55</t>
  </si>
  <si>
    <t>アイテムレベル: 55</t>
  </si>
  <si>
    <t>「時間が反転した剣の遺物は朽ちて錆びついた状態で発見された。しかし、時間が経つにつれ、風化が減っていっている。我々はその特性を研究しなければならない。」</t>
  </si>
  <si>
    <t>Requires Lockpicking (Level 1)</t>
  </si>
  <si>
    <t>Requires Demolition (Level 2)</t>
  </si>
  <si>
    <t>Requires Agility (Level 5)</t>
  </si>
  <si>
    <t>Requires Counter-Thaumaturgy (Level 5)</t>
  </si>
  <si>
    <t>Requires Trap Disarmament (Level 1)</t>
  </si>
  <si>
    <t>Requires Perception (Level 5)</t>
  </si>
  <si>
    <t>Requires Brute Force (Level 4)</t>
  </si>
  <si>
    <t>Requires Deception (Level 2)</t>
  </si>
  <si>
    <t>Requires Engineering (Level 1)</t>
  </si>
  <si>
    <t>Requires Lockpicking (Level #)</t>
  </si>
  <si>
    <t>Requires Demolition (Level #)</t>
  </si>
  <si>
    <t>Requires Agility (Level #)</t>
  </si>
  <si>
    <t>Requires Counter-Thaumaturgy (Level #)</t>
  </si>
  <si>
    <t>Requires Trap Disarmament (Level #)</t>
  </si>
  <si>
    <t>Requires Perception (Level #)</t>
  </si>
  <si>
    <t>Requires Brute Force (Level #)</t>
  </si>
  <si>
    <t>Requires Deception (Level #)</t>
  </si>
  <si>
    <t>Requires Engineering (Level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</si>
</sst>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4">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0" fillId="6" borderId="5" xfId="0"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233">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th.pathofexile.com/trade/" TargetMode="External"/><Relationship Id="rId13" Type="http://schemas.openxmlformats.org/officeDocument/2006/relationships/hyperlink" Target="http://www.pathofexile.tw/api/trade/" TargetMode="External"/><Relationship Id="rId3" Type="http://schemas.openxmlformats.org/officeDocument/2006/relationships/hyperlink" Target="https://fr.pathofexile.com/trade/" TargetMode="External"/><Relationship Id="rId7" Type="http://schemas.openxmlformats.org/officeDocument/2006/relationships/hyperlink" Target="https://ru.pathofexile.com/trade/" TargetMode="External"/><Relationship Id="rId12" Type="http://schemas.openxmlformats.org/officeDocument/2006/relationships/hyperlink" Target="http://www.pathofexile.tw/trade/" TargetMode="External"/><Relationship Id="rId2" Type="http://schemas.openxmlformats.org/officeDocument/2006/relationships/hyperlink" Target="https://es.pathofexile.com/trade/" TargetMode="External"/><Relationship Id="rId1" Type="http://schemas.openxmlformats.org/officeDocument/2006/relationships/hyperlink" Target="https://de.pathofexile.com/trade/" TargetMode="External"/><Relationship Id="rId6" Type="http://schemas.openxmlformats.org/officeDocument/2006/relationships/hyperlink" Target="https://br.pathofexile.com/trade/" TargetMode="External"/><Relationship Id="rId11" Type="http://schemas.openxmlformats.org/officeDocument/2006/relationships/hyperlink" Target="https://www.pathofexile.com/api/trade/" TargetMode="External"/><Relationship Id="rId5" Type="http://schemas.openxmlformats.org/officeDocument/2006/relationships/hyperlink" Target="https://poe.game.daum.net/trade/" TargetMode="External"/><Relationship Id="rId10" Type="http://schemas.openxmlformats.org/officeDocument/2006/relationships/hyperlink" Target="https://www.pathofexile.com/trade/" TargetMode="External"/><Relationship Id="rId4" Type="http://schemas.openxmlformats.org/officeDocument/2006/relationships/hyperlink" Target="https://jp.pathofexile.com/trade/" TargetMode="External"/><Relationship Id="rId9" Type="http://schemas.openxmlformats.org/officeDocument/2006/relationships/hyperlink" Target="https://www.pathofexile.com/trade/" TargetMode="External"/><Relationship Id="rId1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D39"/>
  <sheetViews>
    <sheetView workbookViewId="0">
      <selection activeCell="H18" sqref="H18"/>
    </sheetView>
  </sheetViews>
  <sheetFormatPr defaultColWidth="9.28515625" defaultRowHeight="15" x14ac:dyDescent="0.25"/>
  <cols>
    <col min="1" max="1" width="28.5703125" style="25" customWidth="1"/>
    <col min="2" max="2" width="12.85546875" style="25" customWidth="1"/>
    <col min="3" max="4" width="4.5703125" style="25" customWidth="1"/>
    <col min="5" max="5" width="4.5703125" customWidth="1"/>
    <col min="6" max="6" width="28.5703125" customWidth="1"/>
    <col min="7" max="7" width="12.85546875" customWidth="1"/>
    <col min="8" max="8" width="4.5703125" customWidth="1"/>
    <col min="9" max="9" width="28.5703125" customWidth="1"/>
    <col min="10" max="10" width="12.85546875" customWidth="1"/>
    <col min="11" max="11" width="4.5703125" customWidth="1"/>
  </cols>
  <sheetData>
    <row r="1" spans="1:3" ht="19.5" customHeight="1" x14ac:dyDescent="0.25">
      <c r="A1" s="32" t="s">
        <v>61</v>
      </c>
      <c r="B1" s="33"/>
    </row>
    <row r="2" spans="1:3" ht="19.5" customHeight="1" x14ac:dyDescent="0.25">
      <c r="A2" s="30" t="s">
        <v>276</v>
      </c>
      <c r="B2" s="26" t="str">
        <f>HYPERLINK(_xlfn.CONCAT("#'", A2, "'!A1"), "Go to Sheet")</f>
        <v>Go to Sheet</v>
      </c>
    </row>
    <row r="3" spans="1:3" ht="19.5" customHeight="1" x14ac:dyDescent="0.25">
      <c r="A3" s="30" t="s">
        <v>147</v>
      </c>
      <c r="B3" s="26" t="str">
        <f>HYPERLINK(_xlfn.CONCAT("#'", A3, "'!A1"), "Go to Sheet")</f>
        <v>Go to Sheet</v>
      </c>
    </row>
    <row r="4" spans="1:3" ht="19.5" customHeight="1" x14ac:dyDescent="0.25">
      <c r="A4" s="30" t="s">
        <v>148</v>
      </c>
      <c r="B4" s="26" t="str">
        <f>HYPERLINK(_xlfn.CONCAT("#'", A4, "'!A1"), "Go to Sheet")</f>
        <v>Go to Sheet</v>
      </c>
    </row>
    <row r="5" spans="1:3" ht="19.5" customHeight="1" x14ac:dyDescent="0.25">
      <c r="A5"/>
      <c r="B5"/>
    </row>
    <row r="6" spans="1:3" ht="19.5" customHeight="1" x14ac:dyDescent="0.25">
      <c r="A6" s="31" t="s">
        <v>48</v>
      </c>
      <c r="B6" s="31"/>
    </row>
    <row r="7" spans="1:3" ht="19.5" customHeight="1" x14ac:dyDescent="0.25">
      <c r="A7" s="24" t="s">
        <v>277</v>
      </c>
      <c r="B7" s="26" t="str">
        <f t="shared" ref="B7:B18" si="0">HYPERLINK(_xlfn.CONCAT("#'", A7, "'!A1"), "Go to Sheet")</f>
        <v>Go to Sheet</v>
      </c>
    </row>
    <row r="8" spans="1:3" ht="19.5" customHeight="1" x14ac:dyDescent="0.25">
      <c r="A8" s="24" t="s">
        <v>283</v>
      </c>
      <c r="B8" s="26" t="str">
        <f t="shared" si="0"/>
        <v>Go to Sheet</v>
      </c>
    </row>
    <row r="9" spans="1:3" ht="19.5" customHeight="1" x14ac:dyDescent="0.25">
      <c r="A9" s="24" t="s">
        <v>284</v>
      </c>
      <c r="B9" s="26" t="str">
        <f t="shared" si="0"/>
        <v>Go to Sheet</v>
      </c>
    </row>
    <row r="10" spans="1:3" ht="19.5" customHeight="1" x14ac:dyDescent="0.25">
      <c r="A10" s="24" t="s">
        <v>285</v>
      </c>
      <c r="B10" s="26" t="str">
        <f t="shared" si="0"/>
        <v>Go to Sheet</v>
      </c>
    </row>
    <row r="11" spans="1:3" ht="19.5" customHeight="1" x14ac:dyDescent="0.25">
      <c r="A11" s="24" t="s">
        <v>286</v>
      </c>
      <c r="B11" s="26" t="str">
        <f t="shared" si="0"/>
        <v>Go to Sheet</v>
      </c>
    </row>
    <row r="12" spans="1:3" ht="19.5" customHeight="1" x14ac:dyDescent="0.25">
      <c r="A12" s="24" t="s">
        <v>287</v>
      </c>
      <c r="B12" s="26" t="str">
        <f t="shared" si="0"/>
        <v>Go to Sheet</v>
      </c>
    </row>
    <row r="13" spans="1:3" ht="19.5" customHeight="1" x14ac:dyDescent="0.25">
      <c r="A13" s="24" t="s">
        <v>288</v>
      </c>
      <c r="B13" s="26" t="str">
        <f t="shared" si="0"/>
        <v>Go to Sheet</v>
      </c>
    </row>
    <row r="14" spans="1:3" ht="19.5" customHeight="1" x14ac:dyDescent="0.25">
      <c r="A14" s="24" t="s">
        <v>278</v>
      </c>
      <c r="B14" s="26" t="str">
        <f t="shared" si="0"/>
        <v>Go to Sheet</v>
      </c>
    </row>
    <row r="15" spans="1:3" ht="19.5" customHeight="1" x14ac:dyDescent="0.25">
      <c r="A15" s="24" t="s">
        <v>279</v>
      </c>
      <c r="B15" s="26" t="str">
        <f t="shared" si="0"/>
        <v>Go to Sheet</v>
      </c>
      <c r="C15" s="27"/>
    </row>
    <row r="16" spans="1:3" ht="19.5" customHeight="1" x14ac:dyDescent="0.25">
      <c r="A16" s="24" t="s">
        <v>280</v>
      </c>
      <c r="B16" s="26" t="str">
        <f t="shared" si="0"/>
        <v>Go to Sheet</v>
      </c>
    </row>
    <row r="17" spans="1:2" ht="19.5" customHeight="1" x14ac:dyDescent="0.25">
      <c r="A17" s="24" t="s">
        <v>281</v>
      </c>
      <c r="B17" s="26" t="str">
        <f t="shared" si="0"/>
        <v>Go to Sheet</v>
      </c>
    </row>
    <row r="18" spans="1:2" ht="19.5" customHeight="1" x14ac:dyDescent="0.25">
      <c r="A18" s="24" t="s">
        <v>282</v>
      </c>
      <c r="B18" s="26" t="str">
        <f t="shared" si="0"/>
        <v>Go to Sheet</v>
      </c>
    </row>
    <row r="19" spans="1:2" ht="19.5" customHeight="1" x14ac:dyDescent="0.25"/>
    <row r="20" spans="1:2" ht="19.5" customHeight="1" x14ac:dyDescent="0.25"/>
    <row r="21" spans="1:2" ht="19.5" customHeight="1" x14ac:dyDescent="0.25"/>
    <row r="22" spans="1:2" ht="19.5" customHeight="1" x14ac:dyDescent="0.25"/>
    <row r="23" spans="1:2" ht="19.5" customHeight="1" x14ac:dyDescent="0.25"/>
    <row r="24" spans="1:2" ht="19.5" customHeight="1" x14ac:dyDescent="0.25"/>
    <row r="25" spans="1:2" ht="19.5" customHeight="1" x14ac:dyDescent="0.25"/>
    <row r="26" spans="1:2" ht="19.5" customHeight="1" x14ac:dyDescent="0.25"/>
    <row r="27" spans="1:2" ht="19.5" customHeight="1" x14ac:dyDescent="0.25"/>
    <row r="28" spans="1:2" ht="19.5" customHeight="1" x14ac:dyDescent="0.25"/>
    <row r="29" spans="1:2" ht="19.5" customHeight="1" x14ac:dyDescent="0.25"/>
    <row r="30" spans="1:2" ht="19.5" customHeight="1" x14ac:dyDescent="0.25"/>
    <row r="31" spans="1:2" ht="19.5" customHeight="1" x14ac:dyDescent="0.25"/>
    <row r="32" spans="1:2" ht="19.5" customHeight="1" x14ac:dyDescent="0.25"/>
    <row r="33" ht="19.5" customHeight="1" x14ac:dyDescent="0.25"/>
    <row r="34" ht="19.5" customHeight="1" x14ac:dyDescent="0.25"/>
    <row r="35" ht="19.5" customHeight="1" x14ac:dyDescent="0.25"/>
    <row r="36" ht="19.5" customHeight="1" x14ac:dyDescent="0.25"/>
    <row r="37" ht="19.5" customHeight="1" x14ac:dyDescent="0.25"/>
    <row r="38" ht="19.5" customHeight="1" x14ac:dyDescent="0.25"/>
    <row r="39" ht="19.5" customHeight="1" x14ac:dyDescent="0.25"/>
  </sheetData>
  <mergeCells count="2">
    <mergeCell ref="A1:B1"/>
    <mergeCell ref="A6:B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33"/>
  <sheetViews>
    <sheetView tabSelected="1" workbookViewId="0">
      <selection activeCell="B36" sqref="B36"/>
    </sheetView>
  </sheetViews>
  <sheetFormatPr defaultColWidth="9.28515625" defaultRowHeight="15.95" customHeight="1" x14ac:dyDescent="0.25"/>
  <cols>
    <col min="1" max="1" width="17.85546875" style="15" customWidth="1"/>
    <col min="2" max="2" width="91.140625" style="15" customWidth="1"/>
    <col min="3" max="3" width="17.85546875" style="15" customWidth="1"/>
    <col min="4" max="4" width="6" style="15" customWidth="1"/>
    <col min="5" max="5" width="17.85546875" style="15" customWidth="1"/>
    <col min="6" max="6" width="6" style="15" customWidth="1"/>
    <col min="7" max="7" width="17.85546875" style="15" customWidth="1"/>
    <col min="8" max="8" width="6" style="15" customWidth="1"/>
    <col min="9" max="9" width="17.85546875" style="15" customWidth="1"/>
    <col min="10" max="10" width="5.85546875" style="15" customWidth="1"/>
    <col min="11" max="11" width="17.85546875" style="15" customWidth="1"/>
    <col min="12" max="12" width="5.85546875" style="15" customWidth="1"/>
    <col min="13" max="13" width="17.85546875" style="15" customWidth="1"/>
    <col min="14" max="14" width="6" style="15" customWidth="1"/>
    <col min="15" max="15" width="17.85546875" style="15" customWidth="1"/>
    <col min="16" max="16" width="6" style="15" customWidth="1"/>
    <col min="17" max="17" width="17.85546875" style="15" customWidth="1"/>
    <col min="18" max="18" width="6" style="15" customWidth="1"/>
    <col min="19" max="19" width="17.85546875" style="15" customWidth="1"/>
    <col min="20" max="20" width="6" style="15" customWidth="1"/>
    <col min="21" max="21" width="3" customWidth="1"/>
    <col min="22" max="22" width="4.7109375" style="22" customWidth="1"/>
  </cols>
  <sheetData>
    <row r="1" spans="1:22" ht="15.95" customHeight="1" x14ac:dyDescent="0.25">
      <c r="A1" s="8" t="s">
        <v>3</v>
      </c>
      <c r="B1" s="9"/>
      <c r="C1" s="8" t="s">
        <v>7</v>
      </c>
      <c r="D1" s="9"/>
      <c r="E1" s="8" t="s">
        <v>9</v>
      </c>
      <c r="F1" s="9"/>
      <c r="G1" s="8" t="s">
        <v>10</v>
      </c>
      <c r="H1" s="9"/>
      <c r="I1" s="8" t="s">
        <v>11</v>
      </c>
      <c r="J1" s="9"/>
      <c r="K1" s="8" t="s">
        <v>12</v>
      </c>
      <c r="L1" s="9"/>
      <c r="M1" s="8" t="s">
        <v>13</v>
      </c>
      <c r="N1" s="9"/>
      <c r="O1" s="8" t="s">
        <v>14</v>
      </c>
      <c r="P1" s="9"/>
      <c r="Q1" s="8" t="s">
        <v>15</v>
      </c>
      <c r="R1" s="9"/>
      <c r="S1" s="8" t="s">
        <v>16</v>
      </c>
      <c r="T1" s="9"/>
      <c r="V1" s="8" t="s">
        <v>36</v>
      </c>
    </row>
    <row r="2" spans="1:22" ht="15.95" customHeight="1" x14ac:dyDescent="0.25">
      <c r="A2" s="6" t="s">
        <v>5</v>
      </c>
      <c r="B2" s="10" t="s">
        <v>162</v>
      </c>
      <c r="C2" s="16" t="s">
        <v>8</v>
      </c>
      <c r="D2" s="10" t="str">
        <f>B2</f>
        <v>namespace Sidekick.Data.Languages.Implementations;</v>
      </c>
      <c r="E2" s="16" t="s">
        <v>17</v>
      </c>
      <c r="F2" s="10" t="str">
        <f>D2</f>
        <v>namespace Sidekick.Data.Languages.Implementations;</v>
      </c>
      <c r="G2" s="16" t="s">
        <v>18</v>
      </c>
      <c r="H2" s="10" t="str">
        <f>F2</f>
        <v>namespace Sidekick.Data.Languages.Implementations;</v>
      </c>
      <c r="I2" s="16" t="s">
        <v>160</v>
      </c>
      <c r="J2" s="10" t="str">
        <f>H2</f>
        <v>namespace Sidekick.Data.Languages.Implementations;</v>
      </c>
      <c r="K2" s="16" t="s">
        <v>161</v>
      </c>
      <c r="L2" s="10" t="str">
        <f>J2</f>
        <v>namespace Sidekick.Data.Languages.Implementations;</v>
      </c>
      <c r="M2" s="16" t="s">
        <v>19</v>
      </c>
      <c r="N2" s="10" t="str">
        <f>L2</f>
        <v>namespace Sidekick.Data.Languages.Implementations;</v>
      </c>
      <c r="O2" s="16" t="s">
        <v>20</v>
      </c>
      <c r="P2" s="10" t="str">
        <f>N2</f>
        <v>namespace Sidekick.Data.Languages.Implementations;</v>
      </c>
      <c r="Q2" s="16" t="s">
        <v>21</v>
      </c>
      <c r="R2" s="10" t="str">
        <f>P2</f>
        <v>namespace Sidekick.Data.Languages.Implementations;</v>
      </c>
      <c r="S2" s="16" t="s">
        <v>22</v>
      </c>
      <c r="T2" s="10" t="str">
        <f>R2</f>
        <v>namespace Sidekick.Data.Languages.Implementations;</v>
      </c>
      <c r="V2" s="1" t="s">
        <v>5</v>
      </c>
    </row>
    <row r="3" spans="1:22" ht="15.95" customHeight="1" x14ac:dyDescent="0.25">
      <c r="A3" s="6" t="s">
        <v>6</v>
      </c>
      <c r="B3" s="11"/>
      <c r="C3" s="16" t="s">
        <v>6</v>
      </c>
      <c r="D3" s="11"/>
      <c r="E3" s="12" t="s">
        <v>6</v>
      </c>
      <c r="F3" s="11"/>
      <c r="G3" s="12" t="s">
        <v>6</v>
      </c>
      <c r="H3" s="11"/>
      <c r="I3" s="12" t="s">
        <v>6</v>
      </c>
      <c r="J3" s="11"/>
      <c r="K3" s="12" t="s">
        <v>6</v>
      </c>
      <c r="L3" s="11"/>
      <c r="M3" s="12" t="s">
        <v>6</v>
      </c>
      <c r="N3" s="11"/>
      <c r="O3" s="12" t="s">
        <v>6</v>
      </c>
      <c r="P3" s="11"/>
      <c r="Q3" s="12" t="s">
        <v>6</v>
      </c>
      <c r="R3" s="11"/>
      <c r="S3" s="12" t="s">
        <v>6</v>
      </c>
      <c r="T3" s="11"/>
      <c r="V3" s="1" t="s">
        <v>6</v>
      </c>
    </row>
    <row r="4" spans="1:22" ht="15.95" customHeight="1" x14ac:dyDescent="0.25">
      <c r="A4" s="12" t="s">
        <v>6</v>
      </c>
      <c r="B4" s="11" t="str">
        <f>_xlfn.CONCAT("public class GameLanguage", PROPER(A2), " : IGameLanguage")</f>
        <v>public class GameLanguageEn : IGameLanguage</v>
      </c>
      <c r="C4" s="12" t="s">
        <v>6</v>
      </c>
      <c r="D4" s="11" t="str">
        <f>_xlfn.CONCAT("public class GameLanguage", PROPER(C2), " : IGameLanguage")</f>
        <v>public class GameLanguageDe : IGameLanguage</v>
      </c>
      <c r="E4" s="12" t="s">
        <v>6</v>
      </c>
      <c r="F4" s="11" t="str">
        <f>_xlfn.CONCAT("public class GameLanguage", PROPER(E2), " : IGameLanguage")</f>
        <v>public class GameLanguageEs : IGameLanguage</v>
      </c>
      <c r="G4" s="12" t="s">
        <v>6</v>
      </c>
      <c r="H4" s="11" t="str">
        <f>_xlfn.CONCAT("public class GameLanguage", PROPER(G2), " : IGameLanguage")</f>
        <v>public class GameLanguageFr : IGameLanguage</v>
      </c>
      <c r="I4" s="12" t="s">
        <v>6</v>
      </c>
      <c r="J4" s="11" t="str">
        <f>_xlfn.CONCAT("public class GameLanguage", PROPER(I2), " : IGameLanguage")</f>
        <v>public class GameLanguageJa : IGameLanguage</v>
      </c>
      <c r="K4" s="12" t="s">
        <v>6</v>
      </c>
      <c r="L4" s="11" t="str">
        <f>_xlfn.CONCAT("public class GameLanguage", PROPER(K2), " : IGameLanguage")</f>
        <v>public class GameLanguageKo : IGameLanguage</v>
      </c>
      <c r="M4" s="12" t="s">
        <v>6</v>
      </c>
      <c r="N4" s="11" t="str">
        <f>_xlfn.CONCAT("public class GameLanguage", PROPER(M2), " : IGameLanguage")</f>
        <v>public class GameLanguagePt : IGameLanguage</v>
      </c>
      <c r="O4" s="12" t="s">
        <v>6</v>
      </c>
      <c r="P4" s="11" t="str">
        <f>_xlfn.CONCAT("public class GameLanguage", PROPER(O2), " : IGameLanguage")</f>
        <v>public class GameLanguageRu : IGameLanguage</v>
      </c>
      <c r="Q4" s="12" t="s">
        <v>6</v>
      </c>
      <c r="R4" s="11" t="str">
        <f>_xlfn.CONCAT("public class GameLanguage", PROPER(Q2), " : IGameLanguage")</f>
        <v>public class GameLanguageTh : IGameLanguage</v>
      </c>
      <c r="S4" s="12" t="s">
        <v>6</v>
      </c>
      <c r="T4" s="11" t="str">
        <f>_xlfn.CONCAT("public class GameLanguage", PROPER(S2), " : IGameLanguage")</f>
        <v>public class GameLanguageZh : IGameLanguage</v>
      </c>
      <c r="V4" s="1" t="s">
        <v>6</v>
      </c>
    </row>
    <row r="5" spans="1:22" ht="15.95" customHeight="1" x14ac:dyDescent="0.25">
      <c r="A5" s="12" t="s">
        <v>6</v>
      </c>
      <c r="B5" s="11" t="s">
        <v>1</v>
      </c>
      <c r="C5" s="12" t="s">
        <v>6</v>
      </c>
      <c r="D5" s="11" t="s">
        <v>1</v>
      </c>
      <c r="E5" s="12" t="s">
        <v>6</v>
      </c>
      <c r="F5" s="11" t="s">
        <v>1</v>
      </c>
      <c r="G5" s="12" t="s">
        <v>6</v>
      </c>
      <c r="H5" s="11" t="s">
        <v>1</v>
      </c>
      <c r="I5" s="12" t="s">
        <v>6</v>
      </c>
      <c r="J5" s="11" t="s">
        <v>1</v>
      </c>
      <c r="K5" s="12" t="s">
        <v>6</v>
      </c>
      <c r="L5" s="11" t="s">
        <v>1</v>
      </c>
      <c r="M5" s="12" t="s">
        <v>6</v>
      </c>
      <c r="N5" s="11" t="s">
        <v>1</v>
      </c>
      <c r="O5" s="12" t="s">
        <v>6</v>
      </c>
      <c r="P5" s="11" t="s">
        <v>1</v>
      </c>
      <c r="Q5" s="12" t="s">
        <v>6</v>
      </c>
      <c r="R5" s="11" t="s">
        <v>1</v>
      </c>
      <c r="S5" s="12" t="s">
        <v>6</v>
      </c>
      <c r="T5" s="11" t="s">
        <v>1</v>
      </c>
      <c r="V5" s="1" t="s">
        <v>6</v>
      </c>
    </row>
    <row r="6" spans="1:22" ht="15.95" customHeight="1" x14ac:dyDescent="0.25">
      <c r="A6" s="12" t="s">
        <v>6</v>
      </c>
      <c r="B6" s="11" t="str">
        <f>_xlfn.CONCAT("    public string Code =&gt; """, A2, """;")</f>
        <v xml:space="preserve">    public string Code =&gt; "en";</v>
      </c>
      <c r="C6" s="12" t="s">
        <v>6</v>
      </c>
      <c r="D6" s="11" t="str">
        <f>_xlfn.CONCAT("    public string Code =&gt; """, C2, """;")</f>
        <v xml:space="preserve">    public string Code =&gt; "de";</v>
      </c>
      <c r="E6" s="12" t="s">
        <v>6</v>
      </c>
      <c r="F6" s="11" t="str">
        <f>_xlfn.CONCAT("    public string Code =&gt; """, E2, """;")</f>
        <v xml:space="preserve">    public string Code =&gt; "es";</v>
      </c>
      <c r="G6" s="12" t="s">
        <v>6</v>
      </c>
      <c r="H6" s="11" t="str">
        <f>_xlfn.CONCAT("    public string Code =&gt; """, G2, """;")</f>
        <v xml:space="preserve">    public string Code =&gt; "fr";</v>
      </c>
      <c r="I6" s="12" t="s">
        <v>6</v>
      </c>
      <c r="J6" s="11" t="str">
        <f>_xlfn.CONCAT("    public string Code =&gt; """, I2, """;")</f>
        <v xml:space="preserve">    public string Code =&gt; "ja";</v>
      </c>
      <c r="K6" s="12" t="s">
        <v>6</v>
      </c>
      <c r="L6" s="11" t="str">
        <f>_xlfn.CONCAT("    public string Code =&gt; """, K2, """;")</f>
        <v xml:space="preserve">    public string Code =&gt; "ko";</v>
      </c>
      <c r="M6" s="12" t="s">
        <v>6</v>
      </c>
      <c r="N6" s="11" t="str">
        <f>_xlfn.CONCAT("    public string Code =&gt; """, M2, """;")</f>
        <v xml:space="preserve">    public string Code =&gt; "pt";</v>
      </c>
      <c r="O6" s="12" t="s">
        <v>6</v>
      </c>
      <c r="P6" s="11" t="str">
        <f>_xlfn.CONCAT("    public string Code =&gt; """, O2, """;")</f>
        <v xml:space="preserve">    public string Code =&gt; "ru";</v>
      </c>
      <c r="Q6" s="12" t="s">
        <v>6</v>
      </c>
      <c r="R6" s="11" t="str">
        <f>_xlfn.CONCAT("    public string Code =&gt; """, Q2, """;")</f>
        <v xml:space="preserve">    public string Code =&gt; "th";</v>
      </c>
      <c r="S6" s="12" t="s">
        <v>6</v>
      </c>
      <c r="T6" s="11" t="str">
        <f>_xlfn.CONCAT("    public string Code =&gt; """, S2, """;")</f>
        <v xml:space="preserve">    public string Code =&gt; "zh";</v>
      </c>
      <c r="V6" s="1" t="s">
        <v>6</v>
      </c>
    </row>
    <row r="7" spans="1:22" ht="15.95" customHeight="1" x14ac:dyDescent="0.25">
      <c r="A7" s="12" t="s">
        <v>6</v>
      </c>
      <c r="B7" s="11" t="str">
        <f>_xlfn.CONCAT("    public string Label =&gt; """, A1, """;")</f>
        <v xml:space="preserve">    public string Label =&gt; "English";</v>
      </c>
      <c r="C7" s="12" t="s">
        <v>6</v>
      </c>
      <c r="D7" s="11" t="str">
        <f>_xlfn.CONCAT("    public string Label =&gt; """, C1, """;")</f>
        <v xml:space="preserve">    public string Label =&gt; "German";</v>
      </c>
      <c r="E7" s="12" t="s">
        <v>6</v>
      </c>
      <c r="F7" s="11" t="str">
        <f>_xlfn.CONCAT("    public string Label =&gt; """, E1, """;")</f>
        <v xml:space="preserve">    public string Label =&gt; "Spanish";</v>
      </c>
      <c r="G7" s="12" t="s">
        <v>6</v>
      </c>
      <c r="H7" s="11" t="str">
        <f>_xlfn.CONCAT("    public string Label =&gt; """, G1, """;")</f>
        <v xml:space="preserve">    public string Label =&gt; "French";</v>
      </c>
      <c r="I7" s="12" t="s">
        <v>6</v>
      </c>
      <c r="J7" s="11" t="str">
        <f>_xlfn.CONCAT("    public string Label =&gt; """, I1, """;")</f>
        <v xml:space="preserve">    public string Label =&gt; "Japanese";</v>
      </c>
      <c r="K7" s="12" t="s">
        <v>6</v>
      </c>
      <c r="L7" s="11" t="str">
        <f>_xlfn.CONCAT("    public string Label =&gt; """, K1, """;")</f>
        <v xml:space="preserve">    public string Label =&gt; "Korean";</v>
      </c>
      <c r="M7" s="12" t="s">
        <v>6</v>
      </c>
      <c r="N7" s="11" t="str">
        <f>_xlfn.CONCAT("    public string Label =&gt; """, M1, """;")</f>
        <v xml:space="preserve">    public string Label =&gt; "Portuguese";</v>
      </c>
      <c r="O7" s="12" t="s">
        <v>6</v>
      </c>
      <c r="P7" s="11" t="str">
        <f>_xlfn.CONCAT("    public string Label =&gt; """, O1, """;")</f>
        <v xml:space="preserve">    public string Label =&gt; "Russian";</v>
      </c>
      <c r="Q7" s="12" t="s">
        <v>6</v>
      </c>
      <c r="R7" s="11" t="str">
        <f>_xlfn.CONCAT("    public string Label =&gt; """, Q1, """;")</f>
        <v xml:space="preserve">    public string Label =&gt; "Thai";</v>
      </c>
      <c r="S7" s="12" t="s">
        <v>6</v>
      </c>
      <c r="T7" s="11" t="str">
        <f>_xlfn.CONCAT("    public string Label =&gt; """, S1, """;")</f>
        <v xml:space="preserve">    public string Label =&gt; "Traditional Chinese";</v>
      </c>
      <c r="V7" s="1" t="s">
        <v>6</v>
      </c>
    </row>
    <row r="8" spans="1:22" ht="15.95" customHeight="1" x14ac:dyDescent="0.25">
      <c r="A8" s="12" t="s">
        <v>6</v>
      </c>
      <c r="B8" s="11"/>
      <c r="C8" s="12" t="s">
        <v>6</v>
      </c>
      <c r="D8" s="11"/>
      <c r="E8" s="12" t="s">
        <v>6</v>
      </c>
      <c r="F8" s="11"/>
      <c r="G8" s="12" t="s">
        <v>6</v>
      </c>
      <c r="H8" s="11"/>
      <c r="I8" s="12" t="s">
        <v>6</v>
      </c>
      <c r="J8" s="11"/>
      <c r="K8" s="12" t="s">
        <v>6</v>
      </c>
      <c r="L8" s="11"/>
      <c r="M8" s="12" t="s">
        <v>6</v>
      </c>
      <c r="N8" s="11"/>
      <c r="O8" s="12" t="s">
        <v>6</v>
      </c>
      <c r="P8" s="11"/>
      <c r="Q8" s="12" t="s">
        <v>6</v>
      </c>
      <c r="R8" s="11"/>
      <c r="S8" s="12" t="s">
        <v>6</v>
      </c>
      <c r="T8" s="11"/>
      <c r="V8" s="1" t="s">
        <v>6</v>
      </c>
    </row>
    <row r="9" spans="1:22" ht="15.95" customHeight="1" x14ac:dyDescent="0.25">
      <c r="A9" s="7" t="s">
        <v>138</v>
      </c>
      <c r="B9" s="11" t="str">
        <f>_xlfn.CONCAT("    public string PoeTradeBaseUrl =&gt; """, A9, """;")</f>
        <v xml:space="preserve">    public string PoeTradeBaseUrl =&gt; "https://www.pathofexile.com/trade/";</v>
      </c>
      <c r="C9" s="28" t="s">
        <v>139</v>
      </c>
      <c r="D9" s="11" t="str">
        <f>_xlfn.CONCAT("    public string PoeTradeBaseUrl =&gt; """, C9, """;")</f>
        <v xml:space="preserve">    public string PoeTradeBaseUrl =&gt; "https://de.pathofexile.com/trade/";</v>
      </c>
      <c r="E9" s="28" t="s">
        <v>140</v>
      </c>
      <c r="F9" s="11" t="str">
        <f>_xlfn.CONCAT("    public string PoeTradeBaseUrl =&gt; """, E9, """;")</f>
        <v xml:space="preserve">    public string PoeTradeBaseUrl =&gt; "https://es.pathofexile.com/trade/";</v>
      </c>
      <c r="G9" s="28" t="s">
        <v>141</v>
      </c>
      <c r="H9" s="11" t="str">
        <f>_xlfn.CONCAT("    public string PoeTradeBaseUrl =&gt; """, G9, """;")</f>
        <v xml:space="preserve">    public string PoeTradeBaseUrl =&gt; "https://fr.pathofexile.com/trade/";</v>
      </c>
      <c r="I9" s="28" t="s">
        <v>142</v>
      </c>
      <c r="J9" s="11" t="str">
        <f>_xlfn.CONCAT("    public string PoeTradeBaseUrl =&gt; """, I9, """;")</f>
        <v xml:space="preserve">    public string PoeTradeBaseUrl =&gt; "https://jp.pathofexile.com/trade/";</v>
      </c>
      <c r="K9" s="28" t="s">
        <v>143</v>
      </c>
      <c r="L9" s="11" t="str">
        <f>_xlfn.CONCAT("    public string PoeTradeBaseUrl =&gt; """, K9, """;")</f>
        <v xml:space="preserve">    public string PoeTradeBaseUrl =&gt; "https://poe.game.daum.net/trade/";</v>
      </c>
      <c r="M9" s="28" t="s">
        <v>144</v>
      </c>
      <c r="N9" s="11" t="str">
        <f>_xlfn.CONCAT("    public string PoeTradeBaseUrl =&gt; """, M9, """;")</f>
        <v xml:space="preserve">    public string PoeTradeBaseUrl =&gt; "https://br.pathofexile.com/trade/";</v>
      </c>
      <c r="O9" s="28" t="s">
        <v>145</v>
      </c>
      <c r="P9" s="11" t="str">
        <f>_xlfn.CONCAT("    public string PoeTradeBaseUrl =&gt; """, O9, """;")</f>
        <v xml:space="preserve">    public string PoeTradeBaseUrl =&gt; "https://ru.pathofexile.com/trade/";</v>
      </c>
      <c r="Q9" s="28" t="s">
        <v>146</v>
      </c>
      <c r="R9" s="11" t="str">
        <f>_xlfn.CONCAT("    public string PoeTradeBaseUrl =&gt; """, Q9, """;")</f>
        <v xml:space="preserve">    public string PoeTradeBaseUrl =&gt; "https://th.pathofexile.com/trade/";</v>
      </c>
      <c r="S9" s="28" t="s">
        <v>149</v>
      </c>
      <c r="T9" s="11" t="str">
        <f>_xlfn.CONCAT("    public string PoeTradeBaseUrl =&gt; """, S9, """;")</f>
        <v xml:space="preserve">    public string PoeTradeBaseUrl =&gt; "http://www.pathofexile.tw/trade/";</v>
      </c>
      <c r="V9" s="29" t="s">
        <v>138</v>
      </c>
    </row>
    <row r="10" spans="1:22" ht="15.95" customHeight="1" x14ac:dyDescent="0.25">
      <c r="A10" s="6" t="s">
        <v>4</v>
      </c>
      <c r="B10" s="11" t="str">
        <f>_xlfn.CONCAT("    public string PoeTradeApiBaseUrl =&gt; """, A10, """;")</f>
        <v xml:space="preserve">    public string PoeTradeApiBaseUrl =&gt; "https://www.pathofexile.com/api/trade/";</v>
      </c>
      <c r="C10" s="16" t="s">
        <v>23</v>
      </c>
      <c r="D10" s="11" t="str">
        <f>_xlfn.CONCAT("    public string PoeTradeApiBaseUrl =&gt; """, C10, """;")</f>
        <v xml:space="preserve">    public string PoeTradeApiBaseUrl =&gt; "https://de.pathofexile.com/api/trade/";</v>
      </c>
      <c r="E10" s="16" t="s">
        <v>24</v>
      </c>
      <c r="F10" s="11" t="str">
        <f>_xlfn.CONCAT("    public string PoeTradeApiBaseUrl =&gt; """, E10, """;")</f>
        <v xml:space="preserve">    public string PoeTradeApiBaseUrl =&gt; "https://es.pathofexile.com/api/trade/";</v>
      </c>
      <c r="G10" s="16" t="s">
        <v>25</v>
      </c>
      <c r="H10" s="11" t="str">
        <f>_xlfn.CONCAT("    public string PoeTradeApiBaseUrl =&gt; """, G10, """;")</f>
        <v xml:space="preserve">    public string PoeTradeApiBaseUrl =&gt; "https://fr.pathofexile.com/api/trade/";</v>
      </c>
      <c r="I10" s="16" t="s">
        <v>26</v>
      </c>
      <c r="J10" s="11" t="str">
        <f>_xlfn.CONCAT("    public string PoeTradeApiBaseUrl =&gt; """, I10, """;")</f>
        <v xml:space="preserve">    public string PoeTradeApiBaseUrl =&gt; "https://jp.pathofexile.com/api/trade/";</v>
      </c>
      <c r="K10" s="16" t="s">
        <v>27</v>
      </c>
      <c r="L10" s="11" t="str">
        <f>_xlfn.CONCAT("    public string PoeTradeApiBaseUrl =&gt; """, K10, """;")</f>
        <v xml:space="preserve">    public string PoeTradeApiBaseUrl =&gt; "https://poe.game.daum.net/api/trade/";</v>
      </c>
      <c r="M10" s="16" t="s">
        <v>28</v>
      </c>
      <c r="N10" s="11" t="str">
        <f>_xlfn.CONCAT("    public string PoeTradeApiBaseUrl =&gt; """, M10, """;")</f>
        <v xml:space="preserve">    public string PoeTradeApiBaseUrl =&gt; "https://br.pathofexile.com/api/trade/";</v>
      </c>
      <c r="O10" s="16" t="s">
        <v>29</v>
      </c>
      <c r="P10" s="11" t="str">
        <f>_xlfn.CONCAT("    public string PoeTradeApiBaseUrl =&gt; """, O10, """;")</f>
        <v xml:space="preserve">    public string PoeTradeApiBaseUrl =&gt; "https://ru.pathofexile.com/api/trade/";</v>
      </c>
      <c r="Q10" s="16" t="s">
        <v>30</v>
      </c>
      <c r="R10" s="11" t="str">
        <f>_xlfn.CONCAT("    public string PoeTradeApiBaseUrl =&gt; """, Q10, """;")</f>
        <v xml:space="preserve">    public string PoeTradeApiBaseUrl =&gt; "https://th.pathofexile.com/api/trade/";</v>
      </c>
      <c r="S10" s="28" t="s">
        <v>150</v>
      </c>
      <c r="T10" s="11" t="str">
        <f>_xlfn.CONCAT("    public string PoeTradeApiBaseUrl =&gt; """, S10, """;")</f>
        <v xml:space="preserve">    public string PoeTradeApiBaseUrl =&gt; "http://www.pathofexile.tw/api/trade/";</v>
      </c>
      <c r="V10" s="29" t="s">
        <v>4</v>
      </c>
    </row>
    <row r="11" spans="1:22" ht="15.95" customHeight="1" x14ac:dyDescent="0.25">
      <c r="A11" s="12" t="s">
        <v>6</v>
      </c>
      <c r="B11" s="11" t="str">
        <f>_xlfn.CONCAT("    public string Poe2TradeBaseUrl =&gt; """, SUBSTITUTE(A9, "/trade/", "/trade2/"), """;")</f>
        <v xml:space="preserve">    public string Poe2TradeBaseUrl =&gt; "https://www.pathofexile.com/trade2/";</v>
      </c>
      <c r="C11" s="12" t="s">
        <v>6</v>
      </c>
      <c r="D11" s="11" t="str">
        <f>_xlfn.CONCAT("    public string Poe2TradeBaseUrl =&gt; """, SUBSTITUTE(C9, "/trade/", "/trade2/"), """;")</f>
        <v xml:space="preserve">    public string Poe2TradeBaseUrl =&gt; "https://de.pathofexile.com/trade2/";</v>
      </c>
      <c r="E11" s="12" t="s">
        <v>6</v>
      </c>
      <c r="F11" s="11" t="str">
        <f>_xlfn.CONCAT("    public string Poe2TradeBaseUrl =&gt; """, SUBSTITUTE(E9, "/trade/", "/trade2/"), """;")</f>
        <v xml:space="preserve">    public string Poe2TradeBaseUrl =&gt; "https://es.pathofexile.com/trade2/";</v>
      </c>
      <c r="G11" s="12" t="s">
        <v>6</v>
      </c>
      <c r="H11" s="11" t="str">
        <f>_xlfn.CONCAT("    public string Poe2TradeBaseUrl =&gt; """, SUBSTITUTE(G9, "/trade/", "/trade2/"), """;")</f>
        <v xml:space="preserve">    public string Poe2TradeBaseUrl =&gt; "https://fr.pathofexile.com/trade2/";</v>
      </c>
      <c r="I11" s="12" t="s">
        <v>6</v>
      </c>
      <c r="J11" s="11" t="str">
        <f>_xlfn.CONCAT("    public string Poe2TradeBaseUrl =&gt; """, SUBSTITUTE(I9, "/trade/", "/trade2/"), """;")</f>
        <v xml:space="preserve">    public string Poe2TradeBaseUrl =&gt; "https://jp.pathofexile.com/trade2/";</v>
      </c>
      <c r="K11" s="12" t="s">
        <v>6</v>
      </c>
      <c r="L11" s="11" t="str">
        <f>_xlfn.CONCAT("    public string Poe2TradeBaseUrl =&gt; """, SUBSTITUTE(K9, "/trade/", "/trade2/"), """;")</f>
        <v xml:space="preserve">    public string Poe2TradeBaseUrl =&gt; "https://poe.game.daum.net/trade2/";</v>
      </c>
      <c r="M11" s="12" t="s">
        <v>6</v>
      </c>
      <c r="N11" s="11" t="str">
        <f>_xlfn.CONCAT("    public string Poe2TradeBaseUrl =&gt; """, SUBSTITUTE(M9, "/trade/", "/trade2/"), """;")</f>
        <v xml:space="preserve">    public string Poe2TradeBaseUrl =&gt; "https://br.pathofexile.com/trade2/";</v>
      </c>
      <c r="O11" s="12" t="s">
        <v>6</v>
      </c>
      <c r="P11" s="11" t="str">
        <f>_xlfn.CONCAT("    public string Poe2TradeBaseUrl =&gt; """, SUBSTITUTE(O9, "/trade/", "/trade2/"), """;")</f>
        <v xml:space="preserve">    public string Poe2TradeBaseUrl =&gt; "https://ru.pathofexile.com/trade2/";</v>
      </c>
      <c r="Q11" s="12" t="s">
        <v>6</v>
      </c>
      <c r="R11" s="11" t="str">
        <f>_xlfn.CONCAT("    public string Poe2TradeBaseUrl =&gt; """, SUBSTITUTE(Q9, "/trade/", "/trade2/"), """;")</f>
        <v xml:space="preserve">    public string Poe2TradeBaseUrl =&gt; "https://th.pathofexile.com/trade2/";</v>
      </c>
      <c r="S11" s="12" t="s">
        <v>6</v>
      </c>
      <c r="T11" s="11" t="str">
        <f>_xlfn.CONCAT("    public string Poe2TradeBaseUrl =&gt; """, SUBSTITUTE(S9, "/trade/", "/trade2/"), """;")</f>
        <v xml:space="preserve">    public string Poe2TradeBaseUrl =&gt; "http://www.pathofexile.tw/trade2/";</v>
      </c>
      <c r="V11" s="1" t="s">
        <v>6</v>
      </c>
    </row>
    <row r="12" spans="1:22" ht="15.95" customHeight="1" x14ac:dyDescent="0.25">
      <c r="A12" s="12" t="s">
        <v>6</v>
      </c>
      <c r="B12" s="11" t="str">
        <f>_xlfn.CONCAT("    public string Poe2TradeApiBaseUrl =&gt; """, SUBSTITUTE(A10, "/trade/", "/trade2/"), """;")</f>
        <v xml:space="preserve">    public string Poe2TradeApiBaseUrl =&gt; "https://www.pathofexile.com/api/trade2/";</v>
      </c>
      <c r="C12" s="12" t="s">
        <v>6</v>
      </c>
      <c r="D12" s="11" t="str">
        <f>_xlfn.CONCAT("    public string Poe2TradeApiBaseUrl =&gt; """, SUBSTITUTE(C10, "/trade/", "/trade2/"), """;")</f>
        <v xml:space="preserve">    public string Poe2TradeApiBaseUrl =&gt; "https://de.pathofexile.com/api/trade2/";</v>
      </c>
      <c r="E12" s="12" t="s">
        <v>6</v>
      </c>
      <c r="F12" s="11" t="str">
        <f>_xlfn.CONCAT("    public string Poe2TradeApiBaseUrl =&gt; """, SUBSTITUTE(E10, "/trade/", "/trade2/"), """;")</f>
        <v xml:space="preserve">    public string Poe2TradeApiBaseUrl =&gt; "https://es.pathofexile.com/api/trade2/";</v>
      </c>
      <c r="G12" s="12" t="s">
        <v>6</v>
      </c>
      <c r="H12" s="11" t="str">
        <f>_xlfn.CONCAT("    public string Poe2TradeApiBaseUrl =&gt; """, SUBSTITUTE(G10, "/trade/", "/trade2/"), """;")</f>
        <v xml:space="preserve">    public string Poe2TradeApiBaseUrl =&gt; "https://fr.pathofexile.com/api/trade2/";</v>
      </c>
      <c r="I12" s="12" t="s">
        <v>6</v>
      </c>
      <c r="J12" s="11" t="str">
        <f>_xlfn.CONCAT("    public string Poe2TradeApiBaseUrl =&gt; """, SUBSTITUTE(I10, "/trade/", "/trade2/"), """;")</f>
        <v xml:space="preserve">    public string Poe2TradeApiBaseUrl =&gt; "https://jp.pathofexile.com/api/trade2/";</v>
      </c>
      <c r="K12" s="12" t="s">
        <v>6</v>
      </c>
      <c r="L12" s="11" t="str">
        <f>_xlfn.CONCAT("    public string Poe2TradeApiBaseUrl =&gt; """, SUBSTITUTE(K10, "/trade/", "/trade2/"), """;")</f>
        <v xml:space="preserve">    public string Poe2TradeApiBaseUrl =&gt; "https://poe.game.daum.net/api/trade2/";</v>
      </c>
      <c r="M12" s="12" t="s">
        <v>6</v>
      </c>
      <c r="N12" s="11" t="str">
        <f>_xlfn.CONCAT("    public string Poe2TradeApiBaseUrl =&gt; """, SUBSTITUTE(M10, "/trade/", "/trade2/"), """;")</f>
        <v xml:space="preserve">    public string Poe2TradeApiBaseUrl =&gt; "https://br.pathofexile.com/api/trade2/";</v>
      </c>
      <c r="O12" s="12" t="s">
        <v>6</v>
      </c>
      <c r="P12" s="11" t="str">
        <f>_xlfn.CONCAT("    public string Poe2TradeApiBaseUrl =&gt; """, SUBSTITUTE(O10, "/trade/", "/trade2/"), """;")</f>
        <v xml:space="preserve">    public string Poe2TradeApiBaseUrl =&gt; "https://ru.pathofexile.com/api/trade2/";</v>
      </c>
      <c r="Q12" s="12" t="s">
        <v>6</v>
      </c>
      <c r="R12" s="11" t="str">
        <f>_xlfn.CONCAT("    public string Poe2TradeApiBaseUrl =&gt; """, SUBSTITUTE(Q10, "/trade/", "/trade2/"), """;")</f>
        <v xml:space="preserve">    public string Poe2TradeApiBaseUrl =&gt; "https://th.pathofexile.com/api/trade2/";</v>
      </c>
      <c r="S12" s="12" t="s">
        <v>6</v>
      </c>
      <c r="T12" s="11" t="str">
        <f>_xlfn.CONCAT("    public string Poe2TradeApiBaseUrl =&gt; """, SUBSTITUTE(S10, "/trade/", "/trade2/"), """;")</f>
        <v xml:space="preserve">    public string Poe2TradeApiBaseUrl =&gt; "http://www.pathofexile.tw/api/trade2/";</v>
      </c>
      <c r="V12" s="1" t="s">
        <v>6</v>
      </c>
    </row>
    <row r="13" spans="1:22" ht="15.95" customHeight="1" x14ac:dyDescent="0.25">
      <c r="A13" s="12" t="s">
        <v>6</v>
      </c>
      <c r="B13" s="11"/>
      <c r="C13" s="12" t="s">
        <v>6</v>
      </c>
      <c r="D13" s="11"/>
      <c r="E13" s="12" t="s">
        <v>6</v>
      </c>
      <c r="F13" s="11"/>
      <c r="G13" s="12" t="s">
        <v>6</v>
      </c>
      <c r="H13" s="11"/>
      <c r="I13" s="12" t="s">
        <v>6</v>
      </c>
      <c r="J13" s="11"/>
      <c r="K13" s="12" t="s">
        <v>6</v>
      </c>
      <c r="L13" s="11"/>
      <c r="M13" s="12" t="s">
        <v>6</v>
      </c>
      <c r="N13" s="11"/>
      <c r="O13" s="12" t="s">
        <v>6</v>
      </c>
      <c r="P13" s="11"/>
      <c r="Q13" s="12" t="s">
        <v>6</v>
      </c>
      <c r="R13" s="11"/>
      <c r="S13" s="12" t="s">
        <v>6</v>
      </c>
      <c r="T13" s="11"/>
      <c r="V13" s="1" t="s">
        <v>6</v>
      </c>
    </row>
    <row r="14" spans="1:22" ht="15.95" customHeight="1" x14ac:dyDescent="0.25">
      <c r="A14" s="13" t="str">
        <f>MapQualityCurrency!B8</f>
        <v>Quality (Currency)</v>
      </c>
      <c r="B14" s="11" t="str">
        <f>_xlfn.CONCAT("    public string DescriptionQualityCurrency =&gt; """, A14, """;")</f>
        <v xml:space="preserve">    public string DescriptionQualityCurrency =&gt; "Quality (Currency)";</v>
      </c>
      <c r="C14" s="13" t="str">
        <f>MapQualityCurrency!D8</f>
        <v>Qualität (Währung)</v>
      </c>
      <c r="D14" s="11" t="str">
        <f>_xlfn.CONCAT("    public string DescriptionQualityCurrency =&gt; """, C14, """;")</f>
        <v xml:space="preserve">    public string DescriptionQualityCurrency =&gt; "Qualität (Währung)";</v>
      </c>
      <c r="E14" s="13" t="str">
        <f>MapQualityCurrency!F8</f>
        <v>Calidad (objetos monetarios)</v>
      </c>
      <c r="F14" s="11" t="str">
        <f>_xlfn.CONCAT("    public string DescriptionQualityCurrency =&gt; """, E14, """;")</f>
        <v xml:space="preserve">    public string DescriptionQualityCurrency =&gt; "Calidad (objetos monetarios)";</v>
      </c>
      <c r="G14" s="13" t="str">
        <f>MapQualityCurrency!H8</f>
        <v>Qualité (Objets monétaires)</v>
      </c>
      <c r="H14" s="11" t="str">
        <f>_xlfn.CONCAT("    public string DescriptionQualityCurrency =&gt; """, G14, """;")</f>
        <v xml:space="preserve">    public string DescriptionQualityCurrency =&gt; "Qualité (Objets monétaires)";</v>
      </c>
      <c r="I14" s="13" t="str">
        <f>MapQualityCurrency!J8</f>
        <v>品質 (カレンシー)</v>
      </c>
      <c r="J14" s="11" t="str">
        <f>_xlfn.CONCAT("    public string DescriptionQualityCurrency =&gt; """, I14, """;")</f>
        <v xml:space="preserve">    public string DescriptionQualityCurrency =&gt; "品質 (カレンシー)";</v>
      </c>
      <c r="K14" s="13" t="str">
        <f>MapQualityCurrency!L8</f>
        <v>퀄리티 (화폐)</v>
      </c>
      <c r="L14" s="11" t="str">
        <f>_xlfn.CONCAT("    public string DescriptionQualityCurrency =&gt; """, K14, """;")</f>
        <v xml:space="preserve">    public string DescriptionQualityCurrency =&gt; "퀄리티 (화폐)";</v>
      </c>
      <c r="M14" s="13" t="str">
        <f>MapQualityCurrency!N8</f>
        <v>Qualidade (Moedas)</v>
      </c>
      <c r="N14" s="11" t="str">
        <f>_xlfn.CONCAT("    public string DescriptionQualityCurrency =&gt; """, M14, """;")</f>
        <v xml:space="preserve">    public string DescriptionQualityCurrency =&gt; "Qualidade (Moedas)";</v>
      </c>
      <c r="O14" s="13" t="str">
        <f>MapQualityCurrency!P8</f>
        <v>Качество (валюта)</v>
      </c>
      <c r="P14" s="11" t="str">
        <f>_xlfn.CONCAT("    public string DescriptionQualityCurrency =&gt; """, O14, """;")</f>
        <v xml:space="preserve">    public string DescriptionQualityCurrency =&gt; "Качество (валюта)";</v>
      </c>
      <c r="Q14" s="13" t="str">
        <f>MapQualityCurrency!R8</f>
        <v>ค่าคุณภาพ (เงินตรา)</v>
      </c>
      <c r="R14" s="11" t="str">
        <f>_xlfn.CONCAT("    public string DescriptionQualityCurrency =&gt; """, Q14, """;")</f>
        <v xml:space="preserve">    public string DescriptionQualityCurrency =&gt; "ค่าคุณภาพ (เงินตรา)";</v>
      </c>
      <c r="S14" s="13"/>
      <c r="T14" s="11" t="str">
        <f>_xlfn.CONCAT("    public string DescriptionQualityCurrency =&gt; """, S14, """;")</f>
        <v xml:space="preserve">    public string DescriptionQualityCurrency =&gt; "";</v>
      </c>
      <c r="V14" s="1" t="s">
        <v>175</v>
      </c>
    </row>
    <row r="15" spans="1:22" ht="15.95" customHeight="1" x14ac:dyDescent="0.25">
      <c r="A15" s="13" t="str">
        <f>MapQualityScarabs!B8</f>
        <v>Quality (Scarabs)</v>
      </c>
      <c r="B15" s="11" t="str">
        <f>_xlfn.CONCAT("    public string DescriptionQualityScarabs =&gt; """, A15, """;")</f>
        <v xml:space="preserve">    public string DescriptionQualityScarabs =&gt; "Quality (Scarabs)";</v>
      </c>
      <c r="C15" s="13" t="str">
        <f>MapQualityScarabs!D8</f>
        <v>Qualität (Skarabäen)</v>
      </c>
      <c r="D15" s="11" t="str">
        <f>_xlfn.CONCAT("    public string DescriptionQualityScarabs =&gt; """, C15, """;")</f>
        <v xml:space="preserve">    public string DescriptionQualityScarabs =&gt; "Qualität (Skarabäen)";</v>
      </c>
      <c r="E15" s="13" t="str">
        <f>MapQualityScarabs!F8</f>
        <v>Calidad (escarabajos)</v>
      </c>
      <c r="F15" s="11" t="str">
        <f>_xlfn.CONCAT("    public string DescriptionQualityScarabs =&gt; """, E15, """;")</f>
        <v xml:space="preserve">    public string DescriptionQualityScarabs =&gt; "Calidad (escarabajos)";</v>
      </c>
      <c r="G15" s="13" t="str">
        <f>MapQualityScarabs!H8</f>
        <v>Qualité (Scarabées)</v>
      </c>
      <c r="H15" s="11" t="str">
        <f>_xlfn.CONCAT("    public string DescriptionQualityScarabs =&gt; """, G15, """;")</f>
        <v xml:space="preserve">    public string DescriptionQualityScarabs =&gt; "Qualité (Scarabées)";</v>
      </c>
      <c r="I15" s="13" t="str">
        <f>MapQualityScarabs!J8</f>
        <v>品質 (スカラベ)</v>
      </c>
      <c r="J15" s="11" t="str">
        <f>_xlfn.CONCAT("    public string DescriptionQualityScarabs =&gt; """, I15, """;")</f>
        <v xml:space="preserve">    public string DescriptionQualityScarabs =&gt; "品質 (スカラベ)";</v>
      </c>
      <c r="K15" s="13" t="str">
        <f>MapQualityScarabs!L8</f>
        <v>퀄리티 (갑충석)</v>
      </c>
      <c r="L15" s="11" t="str">
        <f>_xlfn.CONCAT("    public string DescriptionQualityScarabs =&gt; """, K15, """;")</f>
        <v xml:space="preserve">    public string DescriptionQualityScarabs =&gt; "퀄리티 (갑충석)";</v>
      </c>
      <c r="M15" s="13" t="str">
        <f>MapQualityScarabs!N8</f>
        <v>Qualidade (Escaravelhos)</v>
      </c>
      <c r="N15" s="11" t="str">
        <f>_xlfn.CONCAT("    public string DescriptionQualityScarabs =&gt; """, M15, """;")</f>
        <v xml:space="preserve">    public string DescriptionQualityScarabs =&gt; "Qualidade (Escaravelhos)";</v>
      </c>
      <c r="O15" s="13" t="str">
        <f>MapQualityScarabs!P8</f>
        <v>Качество (скарабеи)</v>
      </c>
      <c r="P15" s="11" t="str">
        <f>_xlfn.CONCAT("    public string DescriptionQualityScarabs =&gt; """, O15, """;")</f>
        <v xml:space="preserve">    public string DescriptionQualityScarabs =&gt; "Качество (скарабеи)";</v>
      </c>
      <c r="Q15" s="13" t="str">
        <f>MapQualityScarabs!R8</f>
        <v>ค่าคุณภาพ (สคารับ)</v>
      </c>
      <c r="R15" s="11" t="str">
        <f>_xlfn.CONCAT("    public string DescriptionQualityScarabs =&gt; """, Q15, """;")</f>
        <v xml:space="preserve">    public string DescriptionQualityScarabs =&gt; "ค่าคุณภาพ (สคารับ)";</v>
      </c>
      <c r="S15" s="13"/>
      <c r="T15" s="11" t="str">
        <f>_xlfn.CONCAT("    public string DescriptionQualityScarabs =&gt; """, S15, """;")</f>
        <v xml:space="preserve">    public string DescriptionQualityScarabs =&gt; "";</v>
      </c>
      <c r="V15" s="1" t="s">
        <v>176</v>
      </c>
    </row>
    <row r="16" spans="1:22" ht="15.95" customHeight="1" x14ac:dyDescent="0.25">
      <c r="A16" s="13" t="str">
        <f>MapQualityCards!B8</f>
        <v>Quality (Divination Cards)</v>
      </c>
      <c r="B16" s="11" t="str">
        <f>_xlfn.CONCAT("    public string DescriptionQualityCards =&gt; """, A16, """;")</f>
        <v xml:space="preserve">    public string DescriptionQualityCards =&gt; "Quality (Divination Cards)";</v>
      </c>
      <c r="C16" s="13" t="str">
        <f>MapQualityCards!D8</f>
        <v>Qualität (Weissagungskarten)</v>
      </c>
      <c r="D16" s="11" t="str">
        <f>_xlfn.CONCAT("    public string DescriptionQualityCards =&gt; """, C16, """;")</f>
        <v xml:space="preserve">    public string DescriptionQualityCards =&gt; "Qualität (Weissagungskarten)";</v>
      </c>
      <c r="E16" s="13" t="str">
        <f>MapQualityCards!F8</f>
        <v>Calidad (cartas de adivinación)</v>
      </c>
      <c r="F16" s="11" t="str">
        <f>_xlfn.CONCAT("    public string DescriptionQualityCards =&gt; """, E16, """;")</f>
        <v xml:space="preserve">    public string DescriptionQualityCards =&gt; "Calidad (cartas de adivinación)";</v>
      </c>
      <c r="G16" s="13" t="str">
        <f>MapQualityCards!H8</f>
        <v>Qualité (Cartes divinatoires)</v>
      </c>
      <c r="H16" s="11" t="str">
        <f>_xlfn.CONCAT("    public string DescriptionQualityCards =&gt; """, G16, """;")</f>
        <v xml:space="preserve">    public string DescriptionQualityCards =&gt; "Qualité (Cartes divinatoires)";</v>
      </c>
      <c r="I16" s="13" t="str">
        <f>MapQualityCards!J8</f>
        <v>品質 (占いカード)</v>
      </c>
      <c r="J16" s="11" t="str">
        <f>_xlfn.CONCAT("    public string DescriptionQualityCards =&gt; """, I16, """;")</f>
        <v xml:space="preserve">    public string DescriptionQualityCards =&gt; "品質 (占いカード)";</v>
      </c>
      <c r="K16" s="13" t="str">
        <f>MapQualityCards!L8</f>
        <v>퀄리티 (점술 카드)</v>
      </c>
      <c r="L16" s="11" t="str">
        <f>_xlfn.CONCAT("    public string DescriptionQualityCards =&gt; """, K16, """;")</f>
        <v xml:space="preserve">    public string DescriptionQualityCards =&gt; "퀄리티 (점술 카드)";</v>
      </c>
      <c r="M16" s="13" t="str">
        <f>MapQualityCards!N8</f>
        <v>Qualidade (Cartas de Adivinhação)</v>
      </c>
      <c r="N16" s="11" t="str">
        <f>_xlfn.CONCAT("    public string DescriptionQualityCards =&gt; """, M16, """;")</f>
        <v xml:space="preserve">    public string DescriptionQualityCards =&gt; "Qualidade (Cartas de Adivinhação)";</v>
      </c>
      <c r="O16" s="13" t="str">
        <f>MapQualityCards!P8</f>
        <v>Качество (гадальные карты)</v>
      </c>
      <c r="P16" s="11" t="str">
        <f>_xlfn.CONCAT("    public string DescriptionQualityCards =&gt; """, O16, """;")</f>
        <v xml:space="preserve">    public string DescriptionQualityCards =&gt; "Качество (гадальные карты)";</v>
      </c>
      <c r="Q16" s="13" t="str">
        <f>MapQualityCards!R8</f>
        <v>ค่าคุณภาพ (ไพ่พยากรณ์)</v>
      </c>
      <c r="R16" s="11" t="str">
        <f>_xlfn.CONCAT("    public string DescriptionQualityCards =&gt; """, Q16, """;")</f>
        <v xml:space="preserve">    public string DescriptionQualityCards =&gt; "ค่าคุณภาพ (ไพ่พยากรณ์)";</v>
      </c>
      <c r="S16" s="13"/>
      <c r="T16" s="11" t="str">
        <f>_xlfn.CONCAT("    public string DescriptionQualityCards =&gt; """, S16, """;")</f>
        <v xml:space="preserve">    public string DescriptionQualityCards =&gt; "";</v>
      </c>
      <c r="V16" s="1" t="s">
        <v>177</v>
      </c>
    </row>
    <row r="17" spans="1:22" ht="15.95" customHeight="1" x14ac:dyDescent="0.25">
      <c r="A17" s="13" t="str">
        <f>MapQualityPack!B8</f>
        <v>Quality (Pack Size)</v>
      </c>
      <c r="B17" s="11" t="str">
        <f>_xlfn.CONCAT("    public string DescriptionQualityPackSize =&gt; """, A17, """;")</f>
        <v xml:space="preserve">    public string DescriptionQualityPackSize =&gt; "Quality (Pack Size)";</v>
      </c>
      <c r="C17" s="13" t="str">
        <f>MapQualityPack!D8</f>
        <v>Qualität (Gruppengröße)</v>
      </c>
      <c r="D17" s="11" t="str">
        <f>_xlfn.CONCAT("    public string DescriptionQualityPackSize =&gt; """, C17, """;")</f>
        <v xml:space="preserve">    public string DescriptionQualityPackSize =&gt; "Qualität (Gruppengröße)";</v>
      </c>
      <c r="E17" s="13" t="str">
        <f>MapQualityPack!F8</f>
        <v>Calidad (tamaño de grupos de monstruos)</v>
      </c>
      <c r="F17" s="11" t="str">
        <f>_xlfn.CONCAT("    public string DescriptionQualityPackSize =&gt; """, E17, """;")</f>
        <v xml:space="preserve">    public string DescriptionQualityPackSize =&gt; "Calidad (tamaño de grupos de monstruos)";</v>
      </c>
      <c r="G17" s="13" t="str">
        <f>MapQualityPack!H8</f>
        <v>Qualité (Taille des Groupes)</v>
      </c>
      <c r="H17" s="11" t="str">
        <f>_xlfn.CONCAT("    public string DescriptionQualityPackSize =&gt; """, G17, """;")</f>
        <v xml:space="preserve">    public string DescriptionQualityPackSize =&gt; "Qualité (Taille des Groupes)";</v>
      </c>
      <c r="I17" s="13" t="str">
        <f>MapQualityPack!J8</f>
        <v>品質 (パックサイズ)</v>
      </c>
      <c r="J17" s="11" t="str">
        <f>_xlfn.CONCAT("    public string DescriptionQualityPackSize =&gt; """, I17, """;")</f>
        <v xml:space="preserve">    public string DescriptionQualityPackSize =&gt; "品質 (パックサイズ)";</v>
      </c>
      <c r="K17" s="13" t="str">
        <f>MapQualityPack!L8</f>
        <v>퀄리티 (무리 규모)</v>
      </c>
      <c r="L17" s="11" t="str">
        <f>_xlfn.CONCAT("    public string DescriptionQualityPackSize =&gt; """, K17, """;")</f>
        <v xml:space="preserve">    public string DescriptionQualityPackSize =&gt; "퀄리티 (무리 규모)";</v>
      </c>
      <c r="M17" s="13" t="str">
        <f>MapQualityPack!N8</f>
        <v>Qualidade (Tamanho de Grupos)</v>
      </c>
      <c r="N17" s="11" t="str">
        <f>_xlfn.CONCAT("    public string DescriptionQualityPackSize =&gt; """, M17, """;")</f>
        <v xml:space="preserve">    public string DescriptionQualityPackSize =&gt; "Qualidade (Tamanho de Grupos)";</v>
      </c>
      <c r="O17" s="13" t="str">
        <f>MapQualityPack!P8</f>
        <v>Качество (размер группы)</v>
      </c>
      <c r="P17" s="11" t="str">
        <f>_xlfn.CONCAT("    public string DescriptionQualityPackSize =&gt; """, O17, """;")</f>
        <v xml:space="preserve">    public string DescriptionQualityPackSize =&gt; "Качество (размер группы)";</v>
      </c>
      <c r="Q17" s="13" t="str">
        <f>MapQualityPack!R8</f>
        <v>ค่าคุณภาพ (ขนาดกองมอนสเตอร์)</v>
      </c>
      <c r="R17" s="11" t="str">
        <f>_xlfn.CONCAT("    public string DescriptionQualityPackSize =&gt; """, Q17, """;")</f>
        <v xml:space="preserve">    public string DescriptionQualityPackSize =&gt; "ค่าคุณภาพ (ขนาดกองมอนสเตอร์)";</v>
      </c>
      <c r="S17" s="13"/>
      <c r="T17" s="11" t="str">
        <f>_xlfn.CONCAT("    public string DescriptionQualityPackSize =&gt; """, S17, """;")</f>
        <v xml:space="preserve">    public string DescriptionQualityPackSize =&gt; "";</v>
      </c>
      <c r="V17" s="1" t="s">
        <v>178</v>
      </c>
    </row>
    <row r="18" spans="1:22" ht="15.95" customHeight="1" x14ac:dyDescent="0.25">
      <c r="A18" s="13" t="str">
        <f>MapQualityRarity!B8</f>
        <v>Quality (Rarity)</v>
      </c>
      <c r="B18" s="11" t="str">
        <f>_xlfn.CONCAT("    public string DescriptionQualityRarity =&gt; """, A18, """;")</f>
        <v xml:space="preserve">    public string DescriptionQualityRarity =&gt; "Quality (Rarity)";</v>
      </c>
      <c r="C18" s="13" t="str">
        <f>MapQualityRarity!D8</f>
        <v>Qualität (Seltenheit)</v>
      </c>
      <c r="D18" s="11" t="str">
        <f>_xlfn.CONCAT("    public string DescriptionQualityRarity =&gt; """, C18, """;")</f>
        <v xml:space="preserve">    public string DescriptionQualityRarity =&gt; "Qualität (Seltenheit)";</v>
      </c>
      <c r="E18" s="13" t="str">
        <f>MapQualityRarity!F8</f>
        <v>Calidad (rareza)</v>
      </c>
      <c r="F18" s="11" t="str">
        <f>_xlfn.CONCAT("    public string DescriptionQualityRarity =&gt; """, E18, """;")</f>
        <v xml:space="preserve">    public string DescriptionQualityRarity =&gt; "Calidad (rareza)";</v>
      </c>
      <c r="G18" s="13" t="str">
        <f>MapQualityRarity!H8</f>
        <v>Qualité (Rareté)</v>
      </c>
      <c r="H18" s="11" t="str">
        <f>_xlfn.CONCAT("    public string DescriptionQualityRarity =&gt; """, G18, """;")</f>
        <v xml:space="preserve">    public string DescriptionQualityRarity =&gt; "Qualité (Rareté)";</v>
      </c>
      <c r="I18" s="13" t="str">
        <f>MapQualityRarity!J8</f>
        <v>品質 (レアリティ)</v>
      </c>
      <c r="J18" s="11" t="str">
        <f>_xlfn.CONCAT("    public string DescriptionQualityRarity =&gt; """, I18, """;")</f>
        <v xml:space="preserve">    public string DescriptionQualityRarity =&gt; "品質 (レアリティ)";</v>
      </c>
      <c r="K18" s="13" t="str">
        <f>MapQualityRarity!L8</f>
        <v>퀄리티 (희귀도)</v>
      </c>
      <c r="L18" s="11" t="str">
        <f>_xlfn.CONCAT("    public string DescriptionQualityRarity =&gt; """, K18, """;")</f>
        <v xml:space="preserve">    public string DescriptionQualityRarity =&gt; "퀄리티 (희귀도)";</v>
      </c>
      <c r="M18" s="13" t="str">
        <f>MapQualityRarity!N8</f>
        <v>Qualidade (Raridade)</v>
      </c>
      <c r="N18" s="11" t="str">
        <f>_xlfn.CONCAT("    public string DescriptionQualityRarity =&gt; """, M18, """;")</f>
        <v xml:space="preserve">    public string DescriptionQualityRarity =&gt; "Qualidade (Raridade)";</v>
      </c>
      <c r="O18" s="13" t="str">
        <f>MapQualityRarity!P8</f>
        <v>Качество (редкость)</v>
      </c>
      <c r="P18" s="11" t="str">
        <f>_xlfn.CONCAT("    public string DescriptionQualityRarity =&gt; """, O18, """;")</f>
        <v xml:space="preserve">    public string DescriptionQualityRarity =&gt; "Качество (редкость)";</v>
      </c>
      <c r="Q18" s="13" t="str">
        <f>MapQualityRarity!R8</f>
        <v>ค่าคุณภาพ (ระดับความหายาก)</v>
      </c>
      <c r="R18" s="11" t="str">
        <f>_xlfn.CONCAT("    public string DescriptionQualityRarity =&gt; """, Q18, """;")</f>
        <v xml:space="preserve">    public string DescriptionQualityRarity =&gt; "ค่าคุณภาพ (ระดับความหายาก)";</v>
      </c>
      <c r="S18" s="13"/>
      <c r="T18" s="11" t="str">
        <f>_xlfn.CONCAT("    public string DescriptionQualityRarity =&gt; """, S18, """;")</f>
        <v xml:space="preserve">    public string DescriptionQualityRarity =&gt; "";</v>
      </c>
      <c r="V18" s="1" t="s">
        <v>179</v>
      </c>
    </row>
    <row r="19" spans="1:22" ht="15.95" customHeight="1" x14ac:dyDescent="0.25">
      <c r="A19" s="13" t="str">
        <f>Blueprint!B11</f>
        <v>Requires Lockpicking (Level #)</v>
      </c>
      <c r="B19" s="11" t="str">
        <f>_xlfn.CONCAT("    public string DescriptionHeistLockpicking =&gt; """, A19, """;")</f>
        <v xml:space="preserve">    public string DescriptionHeistLockpicking =&gt; "Requires Lockpicking (Level #)";</v>
      </c>
      <c r="C19" s="13" t="str">
        <f>Blueprint!D11</f>
        <v>Erfordert Schlossknacken (Stufe #)</v>
      </c>
      <c r="D19" s="11" t="str">
        <f>_xlfn.CONCAT("    public string DescriptionHeistLockpicking =&gt; """, C19, """;")</f>
        <v xml:space="preserve">    public string DescriptionHeistLockpicking =&gt; "Erfordert Schlossknacken (Stufe #)";</v>
      </c>
      <c r="E19" s="13" t="str">
        <f>Blueprint!F11</f>
        <v>Requiere Forzar cerraduras (Nivel#)</v>
      </c>
      <c r="F19" s="11" t="str">
        <f>_xlfn.CONCAT("    public string DescriptionHeistLockpicking =&gt; """, E19, """;")</f>
        <v xml:space="preserve">    public string DescriptionHeistLockpicking =&gt; "Requiere Forzar cerraduras (Nivel#)";</v>
      </c>
      <c r="G19" s="13" t="str">
        <f>Blueprint!H11</f>
        <v>Prérequis : Crochetage au niv. #</v>
      </c>
      <c r="H19" s="11" t="str">
        <f>_xlfn.CONCAT("    public string DescriptionHeistLockpicking =&gt; """, G19, """;")</f>
        <v xml:space="preserve">    public string DescriptionHeistLockpicking =&gt; "Prérequis : Crochetage au niv. #";</v>
      </c>
      <c r="I19" s="13" t="str">
        <f>Blueprint!J11</f>
        <v>必要ジョブ 錠前破り (レベル #)</v>
      </c>
      <c r="J19" s="11" t="str">
        <f>_xlfn.CONCAT("    public string DescriptionHeistLockpicking =&gt; """, I19, """;")</f>
        <v xml:space="preserve">    public string DescriptionHeistLockpicking =&gt; "必要ジョブ 錠前破り (レベル #)";</v>
      </c>
      <c r="K19" s="13" t="str">
        <f>Blueprint!L11</f>
        <v>자물쇠 따기 필요(#레벨)</v>
      </c>
      <c r="L19" s="11" t="str">
        <f>_xlfn.CONCAT("    public string DescriptionHeistLockpicking =&gt; """, K19, """;")</f>
        <v xml:space="preserve">    public string DescriptionHeistLockpicking =&gt; "자물쇠 따기 필요(#레벨)";</v>
      </c>
      <c r="M19" s="13" t="str">
        <f>Blueprint!N11</f>
        <v>Requer Arrombamento (Nível #)</v>
      </c>
      <c r="N19" s="11" t="str">
        <f>_xlfn.CONCAT("    public string DescriptionHeistLockpicking =&gt; """, M19, """;")</f>
        <v xml:space="preserve">    public string DescriptionHeistLockpicking =&gt; "Requer Arrombamento (Nível #)";</v>
      </c>
      <c r="O19" s="13" t="str">
        <f>Blueprint!P11</f>
        <v>Требуется взлом (# уровень)</v>
      </c>
      <c r="P19" s="11" t="str">
        <f>_xlfn.CONCAT("    public string DescriptionHeistLockpicking =&gt; """, O19, """;")</f>
        <v xml:space="preserve">    public string DescriptionHeistLockpicking =&gt; "Требуется взлом (# уровень)";</v>
      </c>
      <c r="Q19" s="13" t="str">
        <f>Blueprint!R11</f>
        <v>ต้องมี สะเดาะกุญแจ (ระดับ #)</v>
      </c>
      <c r="R19" s="11" t="str">
        <f>_xlfn.CONCAT("    public string DescriptionHeistLockpicking =&gt; """, Q19, """;")</f>
        <v xml:space="preserve">    public string DescriptionHeistLockpicking =&gt; "ต้องมี สะเดาะกุญแจ (ระดับ #)";</v>
      </c>
      <c r="S19" s="13"/>
      <c r="T19" s="11" t="str">
        <f>_xlfn.CONCAT("    public string DescriptionHeistLockpicking =&gt; """, S19, """;")</f>
        <v xml:space="preserve">    public string DescriptionHeistLockpicking =&gt; "";</v>
      </c>
      <c r="V19" s="1" t="s">
        <v>600</v>
      </c>
    </row>
    <row r="20" spans="1:22" ht="15.95" customHeight="1" x14ac:dyDescent="0.25">
      <c r="A20" s="13" t="str">
        <f>Blueprint!B12</f>
        <v>Requires Demolition (Level #)</v>
      </c>
      <c r="B20" s="11" t="str">
        <f>_xlfn.CONCAT("    public string DescriptionHeistDemolition =&gt; """, A20, """;")</f>
        <v xml:space="preserve">    public string DescriptionHeistDemolition =&gt; "Requires Demolition (Level #)";</v>
      </c>
      <c r="C20" s="13" t="str">
        <f>Blueprint!D12</f>
        <v>Erfordert Sprengung (Stufe #)</v>
      </c>
      <c r="D20" s="11" t="str">
        <f>_xlfn.CONCAT("    public string DescriptionHeistDemolition =&gt; """, C20, """;")</f>
        <v xml:space="preserve">    public string DescriptionHeistDemolition =&gt; "Erfordert Sprengung (Stufe #)";</v>
      </c>
      <c r="E20" s="13" t="str">
        <f>Blueprint!F12</f>
        <v>Requiere Demolición (Nivel#)</v>
      </c>
      <c r="F20" s="11" t="str">
        <f>_xlfn.CONCAT("    public string DescriptionHeistDemolition =&gt; """, E20, """;")</f>
        <v xml:space="preserve">    public string DescriptionHeistDemolition =&gt; "Requiere Demolición (Nivel#)";</v>
      </c>
      <c r="G20" s="13" t="str">
        <f>Blueprint!H12</f>
        <v>Prérequis : Démolition au niv. #</v>
      </c>
      <c r="H20" s="11" t="str">
        <f>_xlfn.CONCAT("    public string DescriptionHeistDemolition =&gt; """, G20, """;")</f>
        <v xml:space="preserve">    public string DescriptionHeistDemolition =&gt; "Prérequis : Démolition au niv. #";</v>
      </c>
      <c r="I20" s="13" t="str">
        <f>Blueprint!J12</f>
        <v>必要ジョブ 爆破 (レベル #)</v>
      </c>
      <c r="J20" s="11" t="str">
        <f>_xlfn.CONCAT("    public string DescriptionHeistDemolition =&gt; """, I20, """;")</f>
        <v xml:space="preserve">    public string DescriptionHeistDemolition =&gt; "必要ジョブ 爆破 (レベル #)";</v>
      </c>
      <c r="K20" s="13" t="str">
        <f>Blueprint!L12</f>
        <v>파괴 공작 필요(#레벨)</v>
      </c>
      <c r="L20" s="11" t="str">
        <f>_xlfn.CONCAT("    public string DescriptionHeistDemolition =&gt; """, K20, """;")</f>
        <v xml:space="preserve">    public string DescriptionHeistDemolition =&gt; "파괴 공작 필요(#레벨)";</v>
      </c>
      <c r="M20" s="13" t="str">
        <f>Blueprint!N12</f>
        <v>Requer Demolição (Nível #)</v>
      </c>
      <c r="N20" s="11" t="str">
        <f>_xlfn.CONCAT("    public string DescriptionHeistDemolition =&gt; """, M20, """;")</f>
        <v xml:space="preserve">    public string DescriptionHeistDemolition =&gt; "Requer Demolição (Nível #)";</v>
      </c>
      <c r="O20" s="13" t="str">
        <f>Blueprint!P12</f>
        <v>Требуется взрывное дело (# уровень)</v>
      </c>
      <c r="P20" s="11" t="str">
        <f>_xlfn.CONCAT("    public string DescriptionHeistDemolition =&gt; """, O20, """;")</f>
        <v xml:space="preserve">    public string DescriptionHeistDemolition =&gt; "Требуется взрывное дело (# уровень)";</v>
      </c>
      <c r="Q20" s="13" t="str">
        <f>Blueprint!R12</f>
        <v>ต้องมี รื้อถอน (ระดับ #)</v>
      </c>
      <c r="R20" s="11" t="str">
        <f>_xlfn.CONCAT("    public string DescriptionHeistDemolition =&gt; """, Q20, """;")</f>
        <v xml:space="preserve">    public string DescriptionHeistDemolition =&gt; "ต้องมี รื้อถอน (ระดับ #)";</v>
      </c>
      <c r="S20" s="13"/>
      <c r="T20" s="11" t="str">
        <f>_xlfn.CONCAT("    public string DescriptionHeistDemolition =&gt; """, S20, """;")</f>
        <v xml:space="preserve">    public string DescriptionHeistDemolition =&gt; "";</v>
      </c>
      <c r="V20" s="1" t="s">
        <v>601</v>
      </c>
    </row>
    <row r="21" spans="1:22" ht="15.95" customHeight="1" x14ac:dyDescent="0.25">
      <c r="A21" s="13" t="str">
        <f>Blueprint!B13</f>
        <v>Requires Agility (Level #)</v>
      </c>
      <c r="B21" s="11" t="str">
        <f>_xlfn.CONCAT("    public string DescriptionHeistAgility =&gt; """, A21, """;")</f>
        <v xml:space="preserve">    public string DescriptionHeistAgility =&gt; "Requires Agility (Level #)";</v>
      </c>
      <c r="C21" s="13" t="str">
        <f>Blueprint!D13</f>
        <v>Erfordert Agilität (Stufe #)</v>
      </c>
      <c r="D21" s="11" t="str">
        <f>_xlfn.CONCAT("    public string DescriptionHeistAgility =&gt; """, C21, """;")</f>
        <v xml:space="preserve">    public string DescriptionHeistAgility =&gt; "Erfordert Agilität (Stufe #)";</v>
      </c>
      <c r="E21" s="13" t="str">
        <f>Blueprint!F13</f>
        <v>Requiere Agilidad (Nivel#)</v>
      </c>
      <c r="F21" s="11" t="str">
        <f>_xlfn.CONCAT("    public string DescriptionHeistAgility =&gt; """, E21, """;")</f>
        <v xml:space="preserve">    public string DescriptionHeistAgility =&gt; "Requiere Agilidad (Nivel#)";</v>
      </c>
      <c r="G21" s="13" t="str">
        <f>Blueprint!H13</f>
        <v>Prérequis : Agilité au niv. #</v>
      </c>
      <c r="H21" s="11" t="str">
        <f>_xlfn.CONCAT("    public string DescriptionHeistAgility =&gt; """, G21, """;")</f>
        <v xml:space="preserve">    public string DescriptionHeistAgility =&gt; "Prérequis : Agilité au niv. #";</v>
      </c>
      <c r="I21" s="13" t="str">
        <f>Blueprint!J13</f>
        <v>必要ジョブ 敏捷性 (レベル #)</v>
      </c>
      <c r="J21" s="11" t="str">
        <f>_xlfn.CONCAT("    public string DescriptionHeistAgility =&gt; """, I21, """;")</f>
        <v xml:space="preserve">    public string DescriptionHeistAgility =&gt; "必要ジョブ 敏捷性 (レベル #)";</v>
      </c>
      <c r="K21" s="13" t="str">
        <f>Blueprint!L13</f>
        <v>민첩함 필요(#레벨)</v>
      </c>
      <c r="L21" s="11" t="str">
        <f>_xlfn.CONCAT("    public string DescriptionHeistAgility =&gt; """, K21, """;")</f>
        <v xml:space="preserve">    public string DescriptionHeistAgility =&gt; "민첩함 필요(#레벨)";</v>
      </c>
      <c r="M21" s="13" t="str">
        <f>Blueprint!N13</f>
        <v>Requer Agilidade (Nível #)</v>
      </c>
      <c r="N21" s="11" t="str">
        <f>_xlfn.CONCAT("    public string DescriptionHeistAgility =&gt; """, M21, """;")</f>
        <v xml:space="preserve">    public string DescriptionHeistAgility =&gt; "Requer Agilidade (Nível #)";</v>
      </c>
      <c r="O21" s="13" t="str">
        <f>Blueprint!P13</f>
        <v>Требуется проворство (# уровень)</v>
      </c>
      <c r="P21" s="11" t="str">
        <f>_xlfn.CONCAT("    public string DescriptionHeistAgility =&gt; """, O21, """;")</f>
        <v xml:space="preserve">    public string DescriptionHeistAgility =&gt; "Требуется проворство (# уровень)";</v>
      </c>
      <c r="Q21" s="13" t="str">
        <f>Blueprint!R13</f>
        <v>ต้องมี ความคล่องตัว (ระดับ #)</v>
      </c>
      <c r="R21" s="11" t="str">
        <f>_xlfn.CONCAT("    public string DescriptionHeistAgility =&gt; """, Q21, """;")</f>
        <v xml:space="preserve">    public string DescriptionHeistAgility =&gt; "ต้องมี ความคล่องตัว (ระดับ #)";</v>
      </c>
      <c r="S21" s="13"/>
      <c r="T21" s="11" t="str">
        <f>_xlfn.CONCAT("    public string DescriptionHeistAgility =&gt; """, S21, """;")</f>
        <v xml:space="preserve">    public string DescriptionHeistAgility =&gt; "";</v>
      </c>
      <c r="V21" s="1" t="s">
        <v>602</v>
      </c>
    </row>
    <row r="22" spans="1:22" ht="15.95" customHeight="1" x14ac:dyDescent="0.25">
      <c r="A22" s="13" t="str">
        <f>ContractCounterThaumaturgy!B10</f>
        <v>Requires Counter-Thaumaturgy (Level #)</v>
      </c>
      <c r="B22" s="11" t="str">
        <f>_xlfn.CONCAT("    public string DescriptionHeistCounterThaumaturgy =&gt; """, A22, """;")</f>
        <v xml:space="preserve">    public string DescriptionHeistCounterThaumaturgy =&gt; "Requires Counter-Thaumaturgy (Level #)";</v>
      </c>
      <c r="C22" s="13" t="str">
        <f>ContractCounterThaumaturgy!D10</f>
        <v>Erfordert Thaumaturgie-Abwehr (Stufe #)</v>
      </c>
      <c r="D22" s="11" t="str">
        <f>_xlfn.CONCAT("    public string DescriptionHeistCounterThaumaturgy =&gt; """, C22, """;")</f>
        <v xml:space="preserve">    public string DescriptionHeistCounterThaumaturgy =&gt; "Erfordert Thaumaturgie-Abwehr (Stufe #)";</v>
      </c>
      <c r="E22" s="13" t="str">
        <f>ContractCounterThaumaturgy!F10</f>
        <v>Requiere Antitaumaturgia (Nivel#)</v>
      </c>
      <c r="F22" s="11" t="str">
        <f>_xlfn.CONCAT("    public string DescriptionHeistCounterThaumaturgy =&gt; """, E22, """;")</f>
        <v xml:space="preserve">    public string DescriptionHeistCounterThaumaturgy =&gt; "Requiere Antitaumaturgia (Nivel#)";</v>
      </c>
      <c r="G22" s="13" t="str">
        <f>ContractCounterThaumaturgy!H10</f>
        <v>Prérequis : Anti-thaumaturgie au niv. #</v>
      </c>
      <c r="H22" s="11" t="str">
        <f>_xlfn.CONCAT("    public string DescriptionHeistCounterThaumaturgy =&gt; """, G22, """;")</f>
        <v xml:space="preserve">    public string DescriptionHeistCounterThaumaturgy =&gt; "Prérequis : Anti-thaumaturgie au niv. #";</v>
      </c>
      <c r="I22" s="13" t="str">
        <f>ContractCounterThaumaturgy!J10</f>
        <v>必要ジョブ 対魔術 (レベル #)</v>
      </c>
      <c r="J22" s="11" t="str">
        <f>_xlfn.CONCAT("    public string DescriptionHeistCounterThaumaturgy =&gt; """, I22, """;")</f>
        <v xml:space="preserve">    public string DescriptionHeistCounterThaumaturgy =&gt; "必要ジョブ 対魔術 (レベル #)";</v>
      </c>
      <c r="K22" s="13" t="str">
        <f>ContractCounterThaumaturgy!L10</f>
        <v>반-마석학 필요(#레벨)</v>
      </c>
      <c r="L22" s="11" t="str">
        <f>_xlfn.CONCAT("    public string DescriptionHeistCounterThaumaturgy =&gt; """, K22, """;")</f>
        <v xml:space="preserve">    public string DescriptionHeistCounterThaumaturgy =&gt; "반-마석학 필요(#레벨)";</v>
      </c>
      <c r="M22" s="13" t="str">
        <f>ContractCounterThaumaturgy!N10</f>
        <v>Requer Contra-Taumaturgia (Nível #)</v>
      </c>
      <c r="N22" s="11" t="str">
        <f>_xlfn.CONCAT("    public string DescriptionHeistCounterThaumaturgy =&gt; """, M22, """;")</f>
        <v xml:space="preserve">    public string DescriptionHeistCounterThaumaturgy =&gt; "Requer Contra-Taumaturgia (Nível #)";</v>
      </c>
      <c r="O22" s="13" t="str">
        <f>ContractCounterThaumaturgy!P10</f>
        <v>Требуется контрмагия (# уровень)</v>
      </c>
      <c r="P22" s="11" t="str">
        <f>_xlfn.CONCAT("    public string DescriptionHeistCounterThaumaturgy =&gt; """, O22, """;")</f>
        <v xml:space="preserve">    public string DescriptionHeistCounterThaumaturgy =&gt; "Требуется контрмагия (# уровень)";</v>
      </c>
      <c r="Q22" s="13" t="str">
        <f>ContractCounterThaumaturgy!R10</f>
        <v>ต้องมี โต้มนต์มณี (ระดับ #)</v>
      </c>
      <c r="R22" s="11" t="str">
        <f>_xlfn.CONCAT("    public string DescriptionHeistCounterThaumaturgy =&gt; """, Q22, """;")</f>
        <v xml:space="preserve">    public string DescriptionHeistCounterThaumaturgy =&gt; "ต้องมี โต้มนต์มณี (ระดับ #)";</v>
      </c>
      <c r="S22" s="13"/>
      <c r="T22" s="11" t="str">
        <f>_xlfn.CONCAT("    public string DescriptionHeistCounterThaumaturgy =&gt; """, S22, """;")</f>
        <v xml:space="preserve">    public string DescriptionHeistCounterThaumaturgy =&gt; "";</v>
      </c>
      <c r="V22" s="1" t="s">
        <v>603</v>
      </c>
    </row>
    <row r="23" spans="1:22" ht="15.95" customHeight="1" x14ac:dyDescent="0.25">
      <c r="A23" s="13" t="str">
        <f>ContractTrap!B10</f>
        <v>Requires Trap Disarmament (Level #)</v>
      </c>
      <c r="B23" s="11" t="str">
        <f>_xlfn.CONCAT("    public string DescriptionHeistTrap =&gt; """, A23, """;")</f>
        <v xml:space="preserve">    public string DescriptionHeistTrap =&gt; "Requires Trap Disarmament (Level #)";</v>
      </c>
      <c r="C23" s="13" t="str">
        <f>ContractTrap!D10</f>
        <v>Erfordert Fallenentschärfung (Stufe #)</v>
      </c>
      <c r="D23" s="11" t="str">
        <f>_xlfn.CONCAT("    public string DescriptionHeistTrap =&gt; """, C23, """;")</f>
        <v xml:space="preserve">    public string DescriptionHeistTrap =&gt; "Erfordert Fallenentschärfung (Stufe #)";</v>
      </c>
      <c r="E23" s="13" t="str">
        <f>ContractTrap!F10</f>
        <v>Requiere Desarme de trampas (Nivel#)</v>
      </c>
      <c r="F23" s="11" t="str">
        <f>_xlfn.CONCAT("    public string DescriptionHeistTrap =&gt; """, E23, """;")</f>
        <v xml:space="preserve">    public string DescriptionHeistTrap =&gt; "Requiere Desarme de trampas (Nivel#)";</v>
      </c>
      <c r="G23" s="13" t="str">
        <f>ContractTrap!H10</f>
        <v>Prérequis : Désamorçage de pièges au niv. #</v>
      </c>
      <c r="H23" s="11" t="str">
        <f>_xlfn.CONCAT("    public string DescriptionHeistTrap =&gt; """, G23, """;")</f>
        <v xml:space="preserve">    public string DescriptionHeistTrap =&gt; "Prérequis : Désamorçage de pièges au niv. #";</v>
      </c>
      <c r="I23" s="13" t="str">
        <f>ContractTrap!J10</f>
        <v>必要ジョブ 罠解除 (レベル #)</v>
      </c>
      <c r="J23" s="11" t="str">
        <f>_xlfn.CONCAT("    public string DescriptionHeistTrap =&gt; """, I23, """;")</f>
        <v xml:space="preserve">    public string DescriptionHeistTrap =&gt; "必要ジョブ 罠解除 (レベル #)";</v>
      </c>
      <c r="K23" s="13" t="str">
        <f>ContractTrap!L10</f>
        <v>덫 해제 필요(#레벨)</v>
      </c>
      <c r="L23" s="11" t="str">
        <f>_xlfn.CONCAT("    public string DescriptionHeistTrap =&gt; """, K23, """;")</f>
        <v xml:space="preserve">    public string DescriptionHeistTrap =&gt; "덫 해제 필요(#레벨)";</v>
      </c>
      <c r="M23" s="13" t="str">
        <f>ContractTrap!N10</f>
        <v>Requer Desarme de Armadilhas (Nível #)</v>
      </c>
      <c r="N23" s="11" t="str">
        <f>_xlfn.CONCAT("    public string DescriptionHeistTrap =&gt; """, M23, """;")</f>
        <v xml:space="preserve">    public string DescriptionHeistTrap =&gt; "Requer Desarme de Armadilhas (Nível #)";</v>
      </c>
      <c r="O23" s="13" t="str">
        <f>ContractTrap!P10</f>
        <v>Требуется разминирование (# уровень)</v>
      </c>
      <c r="P23" s="11" t="str">
        <f>_xlfn.CONCAT("    public string DescriptionHeistTrap =&gt; """, O23, """;")</f>
        <v xml:space="preserve">    public string DescriptionHeistTrap =&gt; "Требуется разминирование (# уровень)";</v>
      </c>
      <c r="Q23" s="13" t="str">
        <f>ContractTrap!R10</f>
        <v>ต้องมี ปลดกับดัก (ระดับ #)</v>
      </c>
      <c r="R23" s="11" t="str">
        <f>_xlfn.CONCAT("    public string DescriptionHeistTrap =&gt; """, Q23, """;")</f>
        <v xml:space="preserve">    public string DescriptionHeistTrap =&gt; "ต้องมี ปลดกับดัก (ระดับ #)";</v>
      </c>
      <c r="S23" s="13"/>
      <c r="T23" s="11" t="str">
        <f>_xlfn.CONCAT("    public string DescriptionHeistTrap =&gt; """, S23, """;")</f>
        <v xml:space="preserve">    public string DescriptionHeistTrap =&gt; "";</v>
      </c>
      <c r="V23" s="1" t="s">
        <v>604</v>
      </c>
    </row>
    <row r="24" spans="1:22" ht="15.95" customHeight="1" x14ac:dyDescent="0.25">
      <c r="A24" s="13" t="str">
        <f>ContractPerception!B10</f>
        <v>Requires Perception (Level #)</v>
      </c>
      <c r="B24" s="11" t="str">
        <f>_xlfn.CONCAT("    public string DescriptionHeistPerception =&gt; """, A24, """;")</f>
        <v xml:space="preserve">    public string DescriptionHeistPerception =&gt; "Requires Perception (Level #)";</v>
      </c>
      <c r="C24" s="13" t="str">
        <f>ContractPerception!D10</f>
        <v>Erfordert Wahrnehmung (Stufe #)</v>
      </c>
      <c r="D24" s="11" t="str">
        <f>_xlfn.CONCAT("    public string DescriptionHeistPerception =&gt; """, C24, """;")</f>
        <v xml:space="preserve">    public string DescriptionHeistPerception =&gt; "Erfordert Wahrnehmung (Stufe #)";</v>
      </c>
      <c r="E24" s="13" t="str">
        <f>ContractPerception!F10</f>
        <v>Requiere Percepción (Nivel#)</v>
      </c>
      <c r="F24" s="11" t="str">
        <f>_xlfn.CONCAT("    public string DescriptionHeistPerception =&gt; """, E24, """;")</f>
        <v xml:space="preserve">    public string DescriptionHeistPerception =&gt; "Requiere Percepción (Nivel#)";</v>
      </c>
      <c r="G24" s="13" t="str">
        <f>ContractPerception!H10</f>
        <v>Prérequis : Perception au niv. #</v>
      </c>
      <c r="H24" s="11" t="str">
        <f>_xlfn.CONCAT("    public string DescriptionHeistPerception =&gt; """, G24, """;")</f>
        <v xml:space="preserve">    public string DescriptionHeistPerception =&gt; "Prérequis : Perception au niv. #";</v>
      </c>
      <c r="I24" s="13" t="str">
        <f>ContractPerception!J10</f>
        <v>必要ジョブ 知覚能力 (レベル #)</v>
      </c>
      <c r="J24" s="11" t="str">
        <f>_xlfn.CONCAT("    public string DescriptionHeistPerception =&gt; """, I24, """;")</f>
        <v xml:space="preserve">    public string DescriptionHeistPerception =&gt; "必要ジョブ 知覚能力 (レベル #)";</v>
      </c>
      <c r="K24" s="13" t="str">
        <f>ContractPerception!L10</f>
        <v>통찰력 필요(#레벨)</v>
      </c>
      <c r="L24" s="11" t="str">
        <f>_xlfn.CONCAT("    public string DescriptionHeistPerception =&gt; """, K24, """;")</f>
        <v xml:space="preserve">    public string DescriptionHeistPerception =&gt; "통찰력 필요(#레벨)";</v>
      </c>
      <c r="M24" s="13" t="str">
        <f>ContractPerception!N10</f>
        <v>Requer Percepção (Nível #)</v>
      </c>
      <c r="N24" s="11" t="str">
        <f>_xlfn.CONCAT("    public string DescriptionHeistPerception =&gt; """, M24, """;")</f>
        <v xml:space="preserve">    public string DescriptionHeistPerception =&gt; "Requer Percepção (Nível #)";</v>
      </c>
      <c r="O24" s="13" t="str">
        <f>ContractPerception!P10</f>
        <v>Требуется восприятие (# уровень)</v>
      </c>
      <c r="P24" s="11" t="str">
        <f>_xlfn.CONCAT("    public string DescriptionHeistPerception =&gt; """, O24, """;")</f>
        <v xml:space="preserve">    public string DescriptionHeistPerception =&gt; "Требуется восприятие (# уровень)";</v>
      </c>
      <c r="Q24" s="13" t="str">
        <f>ContractPerception!R10</f>
        <v>ต้องมี การรับรู้ (ระดับ #)</v>
      </c>
      <c r="R24" s="11" t="str">
        <f>_xlfn.CONCAT("    public string DescriptionHeistPerception =&gt; """, Q24, """;")</f>
        <v xml:space="preserve">    public string DescriptionHeistPerception =&gt; "ต้องมี การรับรู้ (ระดับ #)";</v>
      </c>
      <c r="S24" s="13"/>
      <c r="T24" s="11" t="str">
        <f>_xlfn.CONCAT("    public string DescriptionHeistPerception =&gt; """, S24, """;")</f>
        <v xml:space="preserve">    public string DescriptionHeistPerception =&gt; "";</v>
      </c>
      <c r="V24" s="1" t="s">
        <v>605</v>
      </c>
    </row>
    <row r="25" spans="1:22" ht="15.95" customHeight="1" x14ac:dyDescent="0.25">
      <c r="A25" s="13" t="str">
        <f>ContractBruteForce!B10</f>
        <v>Requires Brute Force (Level #)</v>
      </c>
      <c r="B25" s="11" t="str">
        <f>_xlfn.CONCAT("    public string DescriptionHeistBruteForce =&gt; """, A25, """;")</f>
        <v xml:space="preserve">    public string DescriptionHeistBruteForce =&gt; "Requires Brute Force (Level #)";</v>
      </c>
      <c r="C25" s="13" t="str">
        <f>ContractBruteForce!D10</f>
        <v>Erfordert Brachialgewalt (Stufe #)</v>
      </c>
      <c r="D25" s="11" t="str">
        <f>_xlfn.CONCAT("    public string DescriptionHeistBruteForce =&gt; """, C25, """;")</f>
        <v xml:space="preserve">    public string DescriptionHeistBruteForce =&gt; "Erfordert Brachialgewalt (Stufe #)";</v>
      </c>
      <c r="E25" s="13" t="str">
        <f>ContractBruteForce!F10</f>
        <v>Requiere Fuerza bruta (Nivel#)</v>
      </c>
      <c r="F25" s="11" t="str">
        <f>_xlfn.CONCAT("    public string DescriptionHeistBruteForce =&gt; """, E25, """;")</f>
        <v xml:space="preserve">    public string DescriptionHeistBruteForce =&gt; "Requiere Fuerza bruta (Nivel#)";</v>
      </c>
      <c r="G25" s="13" t="str">
        <f>ContractBruteForce!H10</f>
        <v>Prérequis : Force brute au niv. #</v>
      </c>
      <c r="H25" s="11" t="str">
        <f>_xlfn.CONCAT("    public string DescriptionHeistBruteForce =&gt; """, G25, """;")</f>
        <v xml:space="preserve">    public string DescriptionHeistBruteForce =&gt; "Prérequis : Force brute au niv. #";</v>
      </c>
      <c r="I25" s="13" t="str">
        <f>ContractBruteForce!J10</f>
        <v>必要ジョブ 怪力 (レベル #)</v>
      </c>
      <c r="J25" s="11" t="str">
        <f>_xlfn.CONCAT("    public string DescriptionHeistBruteForce =&gt; """, I25, """;")</f>
        <v xml:space="preserve">    public string DescriptionHeistBruteForce =&gt; "必要ジョブ 怪力 (レベル #)";</v>
      </c>
      <c r="K25" s="13" t="str">
        <f>ContractBruteForce!L10</f>
        <v>완력 필요(#레벨)</v>
      </c>
      <c r="L25" s="11" t="str">
        <f>_xlfn.CONCAT("    public string DescriptionHeistBruteForce =&gt; """, K25, """;")</f>
        <v xml:space="preserve">    public string DescriptionHeistBruteForce =&gt; "완력 필요(#레벨)";</v>
      </c>
      <c r="M25" s="13" t="str">
        <f>ContractBruteForce!N10</f>
        <v>Requer Força Bruta (Nível #)</v>
      </c>
      <c r="N25" s="11" t="str">
        <f>_xlfn.CONCAT("    public string DescriptionHeistBruteForce =&gt; """, M25, """;")</f>
        <v xml:space="preserve">    public string DescriptionHeistBruteForce =&gt; "Requer Força Bruta (Nível #)";</v>
      </c>
      <c r="O25" s="13" t="str">
        <f>ContractBruteForce!P10</f>
        <v>Требуется грубая сила (# уровень)</v>
      </c>
      <c r="P25" s="11" t="str">
        <f>_xlfn.CONCAT("    public string DescriptionHeistBruteForce =&gt; """, O25, """;")</f>
        <v xml:space="preserve">    public string DescriptionHeistBruteForce =&gt; "Требуется грубая сила (# уровень)";</v>
      </c>
      <c r="Q25" s="13" t="str">
        <f>ContractBruteForce!R10</f>
        <v>ต้องมี เอากำลังเข้าแลก (ระดับ #)</v>
      </c>
      <c r="R25" s="11" t="str">
        <f>_xlfn.CONCAT("    public string DescriptionHeistBruteForce =&gt; """, Q25, """;")</f>
        <v xml:space="preserve">    public string DescriptionHeistBruteForce =&gt; "ต้องมี เอากำลังเข้าแลก (ระดับ #)";</v>
      </c>
      <c r="S25" s="13"/>
      <c r="T25" s="11" t="str">
        <f>_xlfn.CONCAT("    public string DescriptionHeistBruteForce =&gt; """, S25, """;")</f>
        <v xml:space="preserve">    public string DescriptionHeistBruteForce =&gt; "";</v>
      </c>
      <c r="V25" s="1" t="s">
        <v>606</v>
      </c>
    </row>
    <row r="26" spans="1:22" ht="15.95" customHeight="1" x14ac:dyDescent="0.25">
      <c r="A26" s="13" t="str">
        <f>ContractDeception!B10</f>
        <v>Requires Deception (Level #)</v>
      </c>
      <c r="B26" s="11" t="str">
        <f>_xlfn.CONCAT("    public string DescriptionHeistDeception =&gt; """, A26, """;")</f>
        <v xml:space="preserve">    public string DescriptionHeistDeception =&gt; "Requires Deception (Level #)";</v>
      </c>
      <c r="C26" s="13" t="str">
        <f>ContractDeception!D10</f>
        <v>Erfordert Täuschung (Stufe #)</v>
      </c>
      <c r="D26" s="11" t="str">
        <f>_xlfn.CONCAT("    public string DescriptionHeistDeception =&gt; """, C26, """;")</f>
        <v xml:space="preserve">    public string DescriptionHeistDeception =&gt; "Erfordert Täuschung (Stufe #)";</v>
      </c>
      <c r="E26" s="13" t="str">
        <f>ContractDeception!F10</f>
        <v>Requiere Engaño (Nivel#)</v>
      </c>
      <c r="F26" s="11" t="str">
        <f>_xlfn.CONCAT("    public string DescriptionHeistDeception =&gt; """, E26, """;")</f>
        <v xml:space="preserve">    public string DescriptionHeistDeception =&gt; "Requiere Engaño (Nivel#)";</v>
      </c>
      <c r="G26" s="13" t="str">
        <f>ContractDeception!H10</f>
        <v>Prérequis : Duperie au niv. #</v>
      </c>
      <c r="H26" s="11" t="str">
        <f>_xlfn.CONCAT("    public string DescriptionHeistDeception =&gt; """, G26, """;")</f>
        <v xml:space="preserve">    public string DescriptionHeistDeception =&gt; "Prérequis : Duperie au niv. #";</v>
      </c>
      <c r="I26" s="13" t="str">
        <f>ContractDeception!J10</f>
        <v>必要ジョブ 欺瞞 (レベル #)</v>
      </c>
      <c r="J26" s="11" t="str">
        <f>_xlfn.CONCAT("    public string DescriptionHeistDeception =&gt; """, I26, """;")</f>
        <v xml:space="preserve">    public string DescriptionHeistDeception =&gt; "必要ジョブ 欺瞞 (レベル #)";</v>
      </c>
      <c r="K26" s="13" t="str">
        <f>ContractDeception!L10</f>
        <v>기만 필요(#레벨)</v>
      </c>
      <c r="L26" s="11" t="str">
        <f>_xlfn.CONCAT("    public string DescriptionHeistDeception =&gt; """, K26, """;")</f>
        <v xml:space="preserve">    public string DescriptionHeistDeception =&gt; "기만 필요(#레벨)";</v>
      </c>
      <c r="M26" s="13" t="str">
        <f>ContractDeception!N10</f>
        <v>Requer Enganação (Nível #)</v>
      </c>
      <c r="N26" s="11" t="str">
        <f>_xlfn.CONCAT("    public string DescriptionHeistDeception =&gt; """, M26, """;")</f>
        <v xml:space="preserve">    public string DescriptionHeistDeception =&gt; "Requer Enganação (Nível #)";</v>
      </c>
      <c r="O26" s="13" t="str">
        <f>ContractDeception!P10</f>
        <v>Требуется маскировка (# уровень)</v>
      </c>
      <c r="P26" s="11" t="str">
        <f>_xlfn.CONCAT("    public string DescriptionHeistDeception =&gt; """, O26, """;")</f>
        <v xml:space="preserve">    public string DescriptionHeistDeception =&gt; "Требуется маскировка (# уровень)";</v>
      </c>
      <c r="Q26" s="13" t="str">
        <f>ContractDeception!R10</f>
        <v>ต้องมี กลฉ้อฉล (ระดับ #)</v>
      </c>
      <c r="R26" s="11" t="str">
        <f>_xlfn.CONCAT("    public string DescriptionHeistDeception =&gt; """, Q26, """;")</f>
        <v xml:space="preserve">    public string DescriptionHeistDeception =&gt; "ต้องมี กลฉ้อฉล (ระดับ #)";</v>
      </c>
      <c r="S26" s="13"/>
      <c r="T26" s="11" t="str">
        <f>_xlfn.CONCAT("    public string DescriptionHeistDeception =&gt; """, S26, """;")</f>
        <v xml:space="preserve">    public string DescriptionHeistDeception =&gt; "";</v>
      </c>
      <c r="V26" s="1" t="s">
        <v>607</v>
      </c>
    </row>
    <row r="27" spans="1:22" ht="15.95" customHeight="1" x14ac:dyDescent="0.25">
      <c r="A27" s="13" t="str">
        <f>ContractEngineering!B10</f>
        <v>Requires Engineering (Level #)</v>
      </c>
      <c r="B27" s="11" t="str">
        <f>_xlfn.CONCAT("    public string DescriptionHeistEngineering =&gt; """, A27, """;")</f>
        <v xml:space="preserve">    public string DescriptionHeistEngineering =&gt; "Requires Engineering (Level #)";</v>
      </c>
      <c r="C27" s="13" t="str">
        <f>ContractEngineering!D10</f>
        <v>Erfordert Ingenieurwesen (Stufe #)</v>
      </c>
      <c r="D27" s="11" t="str">
        <f>_xlfn.CONCAT("    public string DescriptionHeistEngineering =&gt; """, C27, """;")</f>
        <v xml:space="preserve">    public string DescriptionHeistEngineering =&gt; "Erfordert Ingenieurwesen (Stufe #)";</v>
      </c>
      <c r="E27" s="13" t="str">
        <f>ContractEngineering!F10</f>
        <v>Requiere Ingeniería (Nivel#)</v>
      </c>
      <c r="F27" s="11" t="str">
        <f>_xlfn.CONCAT("    public string DescriptionHeistEngineering =&gt; """, E27, """;")</f>
        <v xml:space="preserve">    public string DescriptionHeistEngineering =&gt; "Requiere Ingeniería (Nivel#)";</v>
      </c>
      <c r="G27" s="13" t="str">
        <f>ContractEngineering!H10</f>
        <v>Prérequis : Ingénierie au niv. #</v>
      </c>
      <c r="H27" s="11" t="str">
        <f>_xlfn.CONCAT("    public string DescriptionHeistEngineering =&gt; """, G27, """;")</f>
        <v xml:space="preserve">    public string DescriptionHeistEngineering =&gt; "Prérequis : Ingénierie au niv. #";</v>
      </c>
      <c r="I27" s="13" t="str">
        <f>ContractEngineering!J10</f>
        <v>必要ジョブ 工作 (レベル #)</v>
      </c>
      <c r="J27" s="11" t="str">
        <f>_xlfn.CONCAT("    public string DescriptionHeistEngineering =&gt; """, I27, """;")</f>
        <v xml:space="preserve">    public string DescriptionHeistEngineering =&gt; "必要ジョブ 工作 (レベル #)";</v>
      </c>
      <c r="K27" s="13" t="str">
        <f>ContractEngineering!L10</f>
        <v>공학 필요(#레벨)</v>
      </c>
      <c r="L27" s="11" t="str">
        <f>_xlfn.CONCAT("    public string DescriptionHeistEngineering =&gt; """, K27, """;")</f>
        <v xml:space="preserve">    public string DescriptionHeistEngineering =&gt; "공학 필요(#레벨)";</v>
      </c>
      <c r="M27" s="13" t="str">
        <f>ContractEngineering!N10</f>
        <v>Requer Engenharia (Nível #)</v>
      </c>
      <c r="N27" s="11" t="str">
        <f>_xlfn.CONCAT("    public string DescriptionHeistEngineering =&gt; """, M27, """;")</f>
        <v xml:space="preserve">    public string DescriptionHeistEngineering =&gt; "Requer Engenharia (Nível #)";</v>
      </c>
      <c r="O27" s="13" t="str">
        <f>ContractEngineering!P10</f>
        <v>Требуется инженерное дело (# уровень)</v>
      </c>
      <c r="P27" s="11" t="str">
        <f>_xlfn.CONCAT("    public string DescriptionHeistEngineering =&gt; """, O27, """;")</f>
        <v xml:space="preserve">    public string DescriptionHeistEngineering =&gt; "Требуется инженерное дело (# уровень)";</v>
      </c>
      <c r="Q27" s="13" t="str">
        <f>ContractEngineering!R10</f>
        <v>ต้องมี งานช่าง (ระดับ #)</v>
      </c>
      <c r="R27" s="11" t="str">
        <f>_xlfn.CONCAT("    public string DescriptionHeistEngineering =&gt; """, Q27, """;")</f>
        <v xml:space="preserve">    public string DescriptionHeistEngineering =&gt; "ต้องมี งานช่าง (ระดับ #)";</v>
      </c>
      <c r="S27" s="13"/>
      <c r="T27" s="11" t="str">
        <f>_xlfn.CONCAT("    public string DescriptionHeistEngineering =&gt; """, S27, """;")</f>
        <v xml:space="preserve">    public string DescriptionHeistEngineering =&gt; "";</v>
      </c>
      <c r="V27" s="1" t="s">
        <v>608</v>
      </c>
    </row>
    <row r="28" spans="1:22" ht="15.95" customHeight="1" x14ac:dyDescent="0.25">
      <c r="A28" s="13" t="str">
        <f>ContractTrap!B8</f>
        <v>Moderate Value</v>
      </c>
      <c r="B28" s="11" t="str">
        <f>_xlfn.CONCAT("    public string DescriptionHeistModerateValue =&gt; """, A28, """;")</f>
        <v xml:space="preserve">    public string DescriptionHeistModerateValue =&gt; "Moderate Value";</v>
      </c>
      <c r="C28" s="13" t="str">
        <f>ContractTrap!D8</f>
        <v>Mäßiger Wert</v>
      </c>
      <c r="D28" s="11" t="str">
        <f>_xlfn.CONCAT("    public string DescriptionHeistModerateValue =&gt; """, C28, """;")</f>
        <v xml:space="preserve">    public string DescriptionHeistModerateValue =&gt; "Mäßiger Wert";</v>
      </c>
      <c r="E28" s="13" t="str">
        <f>ContractTrap!F8</f>
        <v>valor moderado</v>
      </c>
      <c r="F28" s="11" t="str">
        <f>_xlfn.CONCAT("    public string DescriptionHeistModerateValue =&gt; """, E28, """;")</f>
        <v xml:space="preserve">    public string DescriptionHeistModerateValue =&gt; "valor moderado";</v>
      </c>
      <c r="G28" s="13" t="str">
        <f>ContractTrap!H8</f>
        <v>valeur : moyenne</v>
      </c>
      <c r="H28" s="11" t="str">
        <f>_xlfn.CONCAT("    public string DescriptionHeistModerateValue =&gt; """, G28, """;")</f>
        <v xml:space="preserve">    public string DescriptionHeistModerateValue =&gt; "valeur : moyenne";</v>
      </c>
      <c r="I28" s="13" t="str">
        <f>ContractTrap!J8</f>
        <v>中程度な価値</v>
      </c>
      <c r="J28" s="11" t="str">
        <f>_xlfn.CONCAT("    public string DescriptionHeistModerateValue =&gt; """, I28, """;")</f>
        <v xml:space="preserve">    public string DescriptionHeistModerateValue =&gt; "中程度な価値";</v>
      </c>
      <c r="K28" s="13" t="str">
        <f>ContractTrap!L8</f>
        <v>보통 가치</v>
      </c>
      <c r="L28" s="11" t="str">
        <f>_xlfn.CONCAT("    public string DescriptionHeistModerateValue =&gt; """, K28, """;")</f>
        <v xml:space="preserve">    public string DescriptionHeistModerateValue =&gt; "보통 가치";</v>
      </c>
      <c r="M28" s="13" t="str">
        <f>ContractTrap!N8</f>
        <v>Valor Moderado</v>
      </c>
      <c r="N28" s="11" t="str">
        <f>_xlfn.CONCAT("    public string DescriptionHeistModerateValue =&gt; """, M28, """;")</f>
        <v xml:space="preserve">    public string DescriptionHeistModerateValue =&gt; "Valor Moderado";</v>
      </c>
      <c r="O28" s="13" t="str">
        <f>ContractTrap!P8</f>
        <v>средней ценности</v>
      </c>
      <c r="P28" s="11" t="str">
        <f>_xlfn.CONCAT("    public string DescriptionHeistModerateValue =&gt; """, O28, """;")</f>
        <v xml:space="preserve">    public string DescriptionHeistModerateValue =&gt; "средней ценности";</v>
      </c>
      <c r="Q28" s="13" t="str">
        <f>ContractTrap!R8</f>
        <v>มีมูลค่าพอประมาณ</v>
      </c>
      <c r="R28" s="11" t="str">
        <f>_xlfn.CONCAT("    public string DescriptionHeistModerateValue =&gt; """, Q28, """;")</f>
        <v xml:space="preserve">    public string DescriptionHeistModerateValue =&gt; "มีมูลค่าพอประมาณ";</v>
      </c>
      <c r="S28" s="13"/>
      <c r="T28" s="11" t="str">
        <f>_xlfn.CONCAT("    public string DescriptionHeistModerateValue =&gt; """, S28, """;")</f>
        <v xml:space="preserve">    public string DescriptionHeistModerateValue =&gt; "";</v>
      </c>
      <c r="V28" s="1" t="s">
        <v>309</v>
      </c>
    </row>
    <row r="29" spans="1:22" ht="15.95" customHeight="1" x14ac:dyDescent="0.25">
      <c r="A29" s="13" t="str">
        <f>ContractPerception!B8</f>
        <v>High Value</v>
      </c>
      <c r="B29" s="11" t="str">
        <f>_xlfn.CONCAT("    public string DescriptionHeistHighValue =&gt; """, A29, """;")</f>
        <v xml:space="preserve">    public string DescriptionHeistHighValue =&gt; "High Value";</v>
      </c>
      <c r="C29" s="13" t="str">
        <f>ContractPerception!D8</f>
        <v>Hoher Wert</v>
      </c>
      <c r="D29" s="11" t="str">
        <f>_xlfn.CONCAT("    public string DescriptionHeistHighValue =&gt; """, C29, """;")</f>
        <v xml:space="preserve">    public string DescriptionHeistHighValue =&gt; "Hoher Wert";</v>
      </c>
      <c r="E29" s="13" t="str">
        <f>ContractPerception!F8</f>
        <v>valor alto</v>
      </c>
      <c r="F29" s="11" t="str">
        <f>_xlfn.CONCAT("    public string DescriptionHeistHighValue =&gt; """, E29, """;")</f>
        <v xml:space="preserve">    public string DescriptionHeistHighValue =&gt; "valor alto";</v>
      </c>
      <c r="G29" s="13" t="str">
        <f>ContractPerception!H8</f>
        <v>valeur : élevée</v>
      </c>
      <c r="H29" s="11" t="str">
        <f>_xlfn.CONCAT("    public string DescriptionHeistHighValue =&gt; """, G29, """;")</f>
        <v xml:space="preserve">    public string DescriptionHeistHighValue =&gt; "valeur : élevée";</v>
      </c>
      <c r="I29" s="13" t="str">
        <f>ContractPerception!J8</f>
        <v>高価値</v>
      </c>
      <c r="J29" s="11" t="str">
        <f>_xlfn.CONCAT("    public string DescriptionHeistHighValue =&gt; """, I29, """;")</f>
        <v xml:space="preserve">    public string DescriptionHeistHighValue =&gt; "高価値";</v>
      </c>
      <c r="K29" s="13" t="str">
        <f>ContractPerception!L8</f>
        <v>높은 가치</v>
      </c>
      <c r="L29" s="11" t="str">
        <f>_xlfn.CONCAT("    public string DescriptionHeistHighValue =&gt; """, K29, """;")</f>
        <v xml:space="preserve">    public string DescriptionHeistHighValue =&gt; "높은 가치";</v>
      </c>
      <c r="M29" s="13" t="str">
        <f>ContractPerception!N8</f>
        <v>Valor Alto</v>
      </c>
      <c r="N29" s="11" t="str">
        <f>_xlfn.CONCAT("    public string DescriptionHeistHighValue =&gt; """, M29, """;")</f>
        <v xml:space="preserve">    public string DescriptionHeistHighValue =&gt; "Valor Alto";</v>
      </c>
      <c r="O29" s="13" t="str">
        <f>ContractPerception!P8</f>
        <v>ценный</v>
      </c>
      <c r="P29" s="11" t="str">
        <f>_xlfn.CONCAT("    public string DescriptionHeistHighValue =&gt; """, O29, """;")</f>
        <v xml:space="preserve">    public string DescriptionHeistHighValue =&gt; "ценный";</v>
      </c>
      <c r="Q29" s="13" t="str">
        <f>ContractPerception!R8</f>
        <v>มีมูลค่าสูง</v>
      </c>
      <c r="R29" s="11" t="str">
        <f>_xlfn.CONCAT("    public string DescriptionHeistHighValue =&gt; """, Q29, """;")</f>
        <v xml:space="preserve">    public string DescriptionHeistHighValue =&gt; "มีมูลค่าสูง";</v>
      </c>
      <c r="S29" s="13"/>
      <c r="T29" s="11" t="str">
        <f>_xlfn.CONCAT("    public string DescriptionHeistHighValue =&gt; """, S29, """;")</f>
        <v xml:space="preserve">    public string DescriptionHeistHighValue =&gt; "";</v>
      </c>
      <c r="V29" s="1" t="s">
        <v>310</v>
      </c>
    </row>
    <row r="30" spans="1:22" ht="15.95" customHeight="1" x14ac:dyDescent="0.25">
      <c r="A30" s="13" t="str">
        <f>ContractBruteForce!B8</f>
        <v>Precious</v>
      </c>
      <c r="B30" s="11" t="str">
        <f>_xlfn.CONCAT("    public string DescriptionHeistPrecious =&gt; """, A30, """;")</f>
        <v xml:space="preserve">    public string DescriptionHeistPrecious =&gt; "Precious";</v>
      </c>
      <c r="C30" s="13" t="str">
        <f>ContractBruteForce!D8</f>
        <v>Kostbar</v>
      </c>
      <c r="D30" s="11" t="str">
        <f>_xlfn.CONCAT("    public string DescriptionHeistPrecious =&gt; """, C30, """;")</f>
        <v xml:space="preserve">    public string DescriptionHeistPrecious =&gt; "Kostbar";</v>
      </c>
      <c r="E30" s="13" t="str">
        <f>ContractBruteForce!F8</f>
        <v>valor muy alto</v>
      </c>
      <c r="F30" s="11" t="str">
        <f>_xlfn.CONCAT("    public string DescriptionHeistPrecious =&gt; """, E30, """;")</f>
        <v xml:space="preserve">    public string DescriptionHeistPrecious =&gt; "valor muy alto";</v>
      </c>
      <c r="G30" s="13" t="str">
        <f>ContractBruteForce!H8</f>
        <v>valeur : importante</v>
      </c>
      <c r="H30" s="11" t="str">
        <f>_xlfn.CONCAT("    public string DescriptionHeistPrecious =&gt; """, G30, """;")</f>
        <v xml:space="preserve">    public string DescriptionHeistPrecious =&gt; "valeur : importante";</v>
      </c>
      <c r="I30" s="13" t="str">
        <f>ContractBruteForce!J8</f>
        <v>貴重</v>
      </c>
      <c r="J30" s="11" t="str">
        <f>_xlfn.CONCAT("    public string DescriptionHeistPrecious =&gt; """, I30, """;")</f>
        <v xml:space="preserve">    public string DescriptionHeistPrecious =&gt; "貴重";</v>
      </c>
      <c r="K30" s="13" t="str">
        <f>ContractBruteForce!L8</f>
        <v>귀중한 가치</v>
      </c>
      <c r="L30" s="11" t="str">
        <f>_xlfn.CONCAT("    public string DescriptionHeistPrecious =&gt; """, K30, """;")</f>
        <v xml:space="preserve">    public string DescriptionHeistPrecious =&gt; "귀중한 가치";</v>
      </c>
      <c r="M30" s="13" t="str">
        <f>ContractBruteForce!N8</f>
        <v>Precioso</v>
      </c>
      <c r="N30" s="11" t="str">
        <f>_xlfn.CONCAT("    public string DescriptionHeistPrecious =&gt; """, M30, """;")</f>
        <v xml:space="preserve">    public string DescriptionHeistPrecious =&gt; "Precioso";</v>
      </c>
      <c r="O30" s="13" t="str">
        <f>ContractBruteForce!P8</f>
        <v>драгоценный</v>
      </c>
      <c r="P30" s="11" t="str">
        <f>_xlfn.CONCAT("    public string DescriptionHeistPrecious =&gt; """, O30, """;")</f>
        <v xml:space="preserve">    public string DescriptionHeistPrecious =&gt; "драгоценный";</v>
      </c>
      <c r="Q30" s="13" t="str">
        <f>ContractBruteForce!R8</f>
        <v>มีมูลค่าสูงส่ง</v>
      </c>
      <c r="R30" s="11" t="str">
        <f>_xlfn.CONCAT("    public string DescriptionHeistPrecious =&gt; """, Q30, """;")</f>
        <v xml:space="preserve">    public string DescriptionHeistPrecious =&gt; "มีมูลค่าสูงส่ง";</v>
      </c>
      <c r="S30" s="13"/>
      <c r="T30" s="11" t="str">
        <f>_xlfn.CONCAT("    public string DescriptionHeistPrecious =&gt; """, S30, """;")</f>
        <v xml:space="preserve">    public string DescriptionHeistPrecious =&gt; "";</v>
      </c>
      <c r="V30" s="1" t="s">
        <v>311</v>
      </c>
    </row>
    <row r="31" spans="1:22" ht="15.95" customHeight="1" x14ac:dyDescent="0.25">
      <c r="A31" s="13" t="str">
        <f>ContractEngineering!B8</f>
        <v>Priceless</v>
      </c>
      <c r="B31" s="11" t="str">
        <f>_xlfn.CONCAT("    public string DescriptionHeistPriceless =&gt; """, A31, """;")</f>
        <v xml:space="preserve">    public string DescriptionHeistPriceless =&gt; "Priceless";</v>
      </c>
      <c r="C31" s="13" t="str">
        <f>ContractEngineering!D8</f>
        <v>Unschätzbar</v>
      </c>
      <c r="D31" s="11" t="str">
        <f>_xlfn.CONCAT("    public string DescriptionHeistPriceless =&gt; """, C31, """;")</f>
        <v xml:space="preserve">    public string DescriptionHeistPriceless =&gt; "Unschätzbar";</v>
      </c>
      <c r="E31" s="13" t="str">
        <f>ContractEngineering!F8</f>
        <v>valor incalculable</v>
      </c>
      <c r="F31" s="11" t="str">
        <f>_xlfn.CONCAT("    public string DescriptionHeistPriceless =&gt; """, E31, """;")</f>
        <v xml:space="preserve">    public string DescriptionHeistPriceless =&gt; "valor incalculable";</v>
      </c>
      <c r="G31" s="13" t="str">
        <f>ContractEngineering!H8</f>
        <v>valeur : inestimable</v>
      </c>
      <c r="H31" s="11" t="str">
        <f>_xlfn.CONCAT("    public string DescriptionHeistPriceless =&gt; """, G31, """;")</f>
        <v xml:space="preserve">    public string DescriptionHeistPriceless =&gt; "valeur : inestimable";</v>
      </c>
      <c r="I31" s="13" t="str">
        <f>ContractEngineering!J8</f>
        <v>プライスレス</v>
      </c>
      <c r="J31" s="11" t="str">
        <f>_xlfn.CONCAT("    public string DescriptionHeistPriceless =&gt; """, I31, """;")</f>
        <v xml:space="preserve">    public string DescriptionHeistPriceless =&gt; "プライスレス";</v>
      </c>
      <c r="K31" s="13" t="str">
        <f>ContractEngineering!L8</f>
        <v>환산 불가능한 가치</v>
      </c>
      <c r="L31" s="11" t="str">
        <f>_xlfn.CONCAT("    public string DescriptionHeistPriceless =&gt; """, K31, """;")</f>
        <v xml:space="preserve">    public string DescriptionHeistPriceless =&gt; "환산 불가능한 가치";</v>
      </c>
      <c r="M31" s="13" t="str">
        <f>ContractEngineering!N8</f>
        <v>Sem Preço</v>
      </c>
      <c r="N31" s="11" t="str">
        <f>_xlfn.CONCAT("    public string DescriptionHeistPriceless =&gt; """, M31, """;")</f>
        <v xml:space="preserve">    public string DescriptionHeistPriceless =&gt; "Sem Preço";</v>
      </c>
      <c r="O31" s="13" t="str">
        <f>ContractEngineering!P8</f>
        <v>бесценный</v>
      </c>
      <c r="P31" s="11" t="str">
        <f>_xlfn.CONCAT("    public string DescriptionHeistPriceless =&gt; """, O31, """;")</f>
        <v xml:space="preserve">    public string DescriptionHeistPriceless =&gt; "бесценный";</v>
      </c>
      <c r="Q31" s="13" t="str">
        <f>ContractEngineering!R8</f>
        <v>มีมูลค่าอันมิอาจเทียบ</v>
      </c>
      <c r="R31" s="11" t="str">
        <f>_xlfn.CONCAT("    public string DescriptionHeistPriceless =&gt; """, Q31, """;")</f>
        <v xml:space="preserve">    public string DescriptionHeistPriceless =&gt; "มีมูลค่าอันมิอาจเทียบ";</v>
      </c>
      <c r="S31" s="13"/>
      <c r="T31" s="11" t="str">
        <f>_xlfn.CONCAT("    public string DescriptionHeistPriceless =&gt; """, S31, """;")</f>
        <v xml:space="preserve">    public string DescriptionHeistPriceless =&gt; "";</v>
      </c>
      <c r="V31" s="1" t="s">
        <v>312</v>
      </c>
    </row>
    <row r="32" spans="1:22" ht="15.95" customHeight="1" x14ac:dyDescent="0.25">
      <c r="A32" s="12" t="s">
        <v>6</v>
      </c>
      <c r="B32" s="11" t="s">
        <v>2</v>
      </c>
      <c r="C32" s="12" t="s">
        <v>6</v>
      </c>
      <c r="D32" s="11" t="s">
        <v>2</v>
      </c>
      <c r="E32" s="12" t="s">
        <v>6</v>
      </c>
      <c r="F32" s="11" t="s">
        <v>2</v>
      </c>
      <c r="G32" s="12" t="s">
        <v>6</v>
      </c>
      <c r="H32" s="11" t="s">
        <v>2</v>
      </c>
      <c r="I32" s="12" t="s">
        <v>6</v>
      </c>
      <c r="J32" s="11" t="s">
        <v>2</v>
      </c>
      <c r="K32" s="12" t="s">
        <v>6</v>
      </c>
      <c r="L32" s="11" t="s">
        <v>2</v>
      </c>
      <c r="M32" s="12" t="s">
        <v>6</v>
      </c>
      <c r="N32" s="11" t="s">
        <v>2</v>
      </c>
      <c r="O32" s="12" t="s">
        <v>6</v>
      </c>
      <c r="P32" s="11" t="s">
        <v>2</v>
      </c>
      <c r="Q32" s="12" t="s">
        <v>6</v>
      </c>
      <c r="R32" s="11" t="s">
        <v>2</v>
      </c>
      <c r="S32" s="12" t="s">
        <v>6</v>
      </c>
      <c r="T32" s="11" t="s">
        <v>2</v>
      </c>
      <c r="V32" s="1" t="s">
        <v>6</v>
      </c>
    </row>
    <row r="33" spans="1:22" ht="15.95" customHeight="1" x14ac:dyDescent="0.25">
      <c r="A33" s="12" t="s">
        <v>6</v>
      </c>
      <c r="B33" s="14"/>
      <c r="C33" s="12" t="s">
        <v>6</v>
      </c>
      <c r="D33" s="14"/>
      <c r="E33" s="12" t="s">
        <v>6</v>
      </c>
      <c r="F33" s="14"/>
      <c r="G33" s="12" t="s">
        <v>6</v>
      </c>
      <c r="H33" s="14"/>
      <c r="I33" s="12" t="s">
        <v>6</v>
      </c>
      <c r="J33" s="14"/>
      <c r="K33" s="12" t="s">
        <v>6</v>
      </c>
      <c r="L33" s="14"/>
      <c r="M33" s="12" t="s">
        <v>6</v>
      </c>
      <c r="N33" s="14"/>
      <c r="O33" s="12" t="s">
        <v>6</v>
      </c>
      <c r="P33" s="14"/>
      <c r="Q33" s="12" t="s">
        <v>6</v>
      </c>
      <c r="R33" s="14"/>
      <c r="S33" s="12" t="s">
        <v>6</v>
      </c>
      <c r="T33" s="14"/>
      <c r="V33" s="1" t="s">
        <v>6</v>
      </c>
    </row>
  </sheetData>
  <conditionalFormatting sqref="A2:T33">
    <cfRule type="containsErrors" dxfId="232" priority="5" stopIfTrue="1">
      <formula>ISERROR(A2)</formula>
    </cfRule>
    <cfRule type="containsBlanks" dxfId="231" priority="6" stopIfTrue="1">
      <formula>LEN(TRIM(A2))=0</formula>
    </cfRule>
    <cfRule type="cellIs" dxfId="230" priority="10" stopIfTrue="1" operator="equal">
      <formula>"-"</formula>
    </cfRule>
    <cfRule type="cellIs" dxfId="229" priority="11" operator="between">
      <formula>"(Lowest value)"</formula>
      <formula>0</formula>
    </cfRule>
    <cfRule type="notContainsBlanks" dxfId="228" priority="17">
      <formula>LEN(TRIM(A2))&gt;0</formula>
    </cfRule>
  </conditionalFormatting>
  <conditionalFormatting sqref="B2:B33 D2:D33 F2:F33 H2:H33 J2:J33 L2:L33 N2:N33 P2:P33 R2:R33 T2:T33">
    <cfRule type="notContainsErrors" dxfId="227" priority="2" stopIfTrue="1">
      <formula>NOT(ISERROR(B2))</formula>
    </cfRule>
  </conditionalFormatting>
  <conditionalFormatting sqref="V2:V33">
    <cfRule type="cellIs" dxfId="226" priority="7" operator="equal">
      <formula>A2</formula>
    </cfRule>
    <cfRule type="cellIs" dxfId="225" priority="8" operator="notEqual">
      <formula>A2</formula>
    </cfRule>
  </conditionalFormatting>
  <hyperlinks>
    <hyperlink ref="C9" r:id="rId1" xr:uid="{9CB2DD4D-0DF4-4E34-B1B1-204A40528956}"/>
    <hyperlink ref="E9" r:id="rId2" xr:uid="{FC5A23DB-A840-41F9-B413-9A9808466F4F}"/>
    <hyperlink ref="G9" r:id="rId3" xr:uid="{DC05ED76-EF52-4889-8DEF-AB332577F56E}"/>
    <hyperlink ref="I9" r:id="rId4" xr:uid="{70CEF80B-B23D-4E8C-88C3-C6CC4CA1406A}"/>
    <hyperlink ref="K9" r:id="rId5" xr:uid="{6418AA57-1A7F-48ED-9205-B0909C7C3B8C}"/>
    <hyperlink ref="M9" r:id="rId6" xr:uid="{09B08752-4570-4A22-9E71-21A38C911AA6}"/>
    <hyperlink ref="O9" r:id="rId7" xr:uid="{5B981E68-0FD8-4D3A-8351-C803E7205B69}"/>
    <hyperlink ref="Q9" r:id="rId8" xr:uid="{E8B2296A-9179-4A0E-8C1A-791E565B98B2}"/>
    <hyperlink ref="A9" r:id="rId9" xr:uid="{A6ED6838-C802-4BF7-A9E9-1D42003E022A}"/>
    <hyperlink ref="V9" r:id="rId10" xr:uid="{27E673D3-AFB1-43F4-996E-79C9551AAB33}"/>
    <hyperlink ref="V10" r:id="rId11" xr:uid="{0C841D1E-2F48-456E-AE8A-3FD22665AFB6}"/>
    <hyperlink ref="S9" r:id="rId12" xr:uid="{590D5010-3FA3-46E6-AC55-A5467123A6A0}"/>
    <hyperlink ref="S10" r:id="rId13" xr:uid="{CB5E9B18-0FA6-45BF-A546-F0D2315480D9}"/>
  </hyperlinks>
  <pageMargins left="0.7" right="0.7" top="0.75" bottom="0.75" header="0.3" footer="0.3"/>
  <pageSetup orientation="portrait" horizontalDpi="4294967293" r:id="rId1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3" t="str">
        <f>HYPERLINK("#Sheets!A1","Back to sheets")</f>
        <v>Back to sheets</v>
      </c>
    </row>
    <row r="2" spans="1:20" ht="15.95" customHeight="1" x14ac:dyDescent="0.25">
      <c r="A2" s="8" t="s">
        <v>3</v>
      </c>
      <c r="B2" s="9" t="s">
        <v>31</v>
      </c>
      <c r="C2" s="8" t="s">
        <v>7</v>
      </c>
      <c r="D2" s="9" t="s">
        <v>31</v>
      </c>
      <c r="E2" s="8" t="s">
        <v>9</v>
      </c>
      <c r="F2" s="9" t="s">
        <v>31</v>
      </c>
      <c r="G2" s="8" t="s">
        <v>10</v>
      </c>
      <c r="H2" s="9" t="s">
        <v>31</v>
      </c>
      <c r="I2" s="8" t="s">
        <v>11</v>
      </c>
      <c r="J2" s="9" t="s">
        <v>31</v>
      </c>
      <c r="K2" s="8" t="s">
        <v>12</v>
      </c>
      <c r="L2" s="9" t="s">
        <v>31</v>
      </c>
      <c r="M2" s="8" t="s">
        <v>13</v>
      </c>
      <c r="N2" s="9" t="s">
        <v>31</v>
      </c>
      <c r="O2" s="8" t="s">
        <v>14</v>
      </c>
      <c r="P2" s="9" t="s">
        <v>31</v>
      </c>
      <c r="Q2" s="8" t="s">
        <v>15</v>
      </c>
      <c r="R2" s="9" t="s">
        <v>31</v>
      </c>
      <c r="S2" s="8" t="s">
        <v>16</v>
      </c>
      <c r="T2" s="8" t="s">
        <v>31</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9"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9"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9"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9"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19"/>
    </row>
    <row r="8" spans="1:20" ht="15.95" customHeight="1" x14ac:dyDescent="0.25">
      <c r="A8" s="18"/>
      <c r="B8" s="16"/>
      <c r="C8" s="18"/>
      <c r="D8" s="16"/>
      <c r="E8" s="18"/>
      <c r="F8" s="16"/>
      <c r="G8" s="18"/>
      <c r="H8" s="16"/>
      <c r="I8" s="18"/>
      <c r="J8" s="16"/>
      <c r="K8" s="18"/>
      <c r="L8" s="16"/>
      <c r="M8" s="18"/>
      <c r="N8" s="16"/>
      <c r="O8" s="18"/>
      <c r="P8" s="16"/>
      <c r="Q8" s="18"/>
      <c r="R8" s="16"/>
      <c r="S8" s="18"/>
      <c r="T8" s="19"/>
    </row>
    <row r="9" spans="1:20" ht="15.95" customHeight="1" x14ac:dyDescent="0.25">
      <c r="A9" s="18"/>
      <c r="B9" s="16"/>
      <c r="C9" s="18"/>
      <c r="D9" s="16"/>
      <c r="E9" s="18"/>
      <c r="F9" s="16"/>
      <c r="G9" s="18"/>
      <c r="H9" s="16"/>
      <c r="I9" s="18"/>
      <c r="J9" s="16"/>
      <c r="K9" s="18"/>
      <c r="L9" s="16"/>
      <c r="M9" s="18"/>
      <c r="N9" s="16"/>
      <c r="O9" s="18"/>
      <c r="P9" s="16"/>
      <c r="Q9" s="18"/>
      <c r="R9" s="16"/>
      <c r="S9" s="18"/>
      <c r="T9" s="19"/>
    </row>
    <row r="10" spans="1:20" ht="15.95" customHeight="1" x14ac:dyDescent="0.25">
      <c r="A10" s="18"/>
      <c r="B10" s="16"/>
      <c r="C10" s="18"/>
      <c r="D10" s="16"/>
      <c r="E10" s="18"/>
      <c r="F10" s="16"/>
      <c r="G10" s="18"/>
      <c r="H10" s="16"/>
      <c r="I10" s="18"/>
      <c r="J10" s="16"/>
      <c r="K10" s="18"/>
      <c r="L10" s="16"/>
      <c r="M10" s="18"/>
      <c r="N10" s="16"/>
      <c r="O10" s="18"/>
      <c r="P10" s="16"/>
      <c r="Q10" s="18"/>
      <c r="R10" s="16"/>
      <c r="S10" s="18"/>
      <c r="T10" s="19"/>
    </row>
    <row r="11" spans="1:20" ht="15.95" customHeight="1" x14ac:dyDescent="0.25">
      <c r="A11" s="18"/>
      <c r="B11" s="16"/>
      <c r="C11" s="18"/>
      <c r="D11" s="16"/>
      <c r="E11" s="18"/>
      <c r="F11" s="16"/>
      <c r="G11" s="18"/>
      <c r="H11" s="16"/>
      <c r="I11" s="18"/>
      <c r="J11" s="16"/>
      <c r="K11" s="18"/>
      <c r="L11" s="16"/>
      <c r="M11" s="18"/>
      <c r="N11" s="16"/>
      <c r="O11" s="18"/>
      <c r="P11" s="16"/>
      <c r="Q11" s="18"/>
      <c r="R11" s="16"/>
      <c r="S11" s="18"/>
      <c r="T11" s="19"/>
    </row>
    <row r="12" spans="1:20" ht="15.95" customHeight="1" x14ac:dyDescent="0.25">
      <c r="A12" s="18"/>
      <c r="B12" s="16"/>
      <c r="C12" s="18"/>
      <c r="D12" s="16"/>
      <c r="E12" s="18"/>
      <c r="F12" s="16"/>
      <c r="G12" s="18"/>
      <c r="H12" s="16"/>
      <c r="I12" s="18"/>
      <c r="J12" s="16"/>
      <c r="K12" s="18"/>
      <c r="L12" s="16"/>
      <c r="M12" s="18"/>
      <c r="N12" s="16"/>
      <c r="O12" s="18"/>
      <c r="P12" s="16"/>
      <c r="Q12" s="18"/>
      <c r="R12" s="16"/>
      <c r="S12" s="18"/>
      <c r="T12" s="19"/>
    </row>
    <row r="13" spans="1:20" ht="15.95" customHeight="1" x14ac:dyDescent="0.25">
      <c r="A13" s="18"/>
      <c r="B13" s="16"/>
      <c r="C13" s="18"/>
      <c r="D13" s="16"/>
      <c r="E13" s="18"/>
      <c r="F13" s="16"/>
      <c r="G13" s="18"/>
      <c r="H13" s="16"/>
      <c r="I13" s="18"/>
      <c r="J13" s="16"/>
      <c r="K13" s="18"/>
      <c r="L13" s="16"/>
      <c r="M13" s="18"/>
      <c r="N13" s="16"/>
      <c r="O13" s="18"/>
      <c r="P13" s="16"/>
      <c r="Q13" s="18"/>
      <c r="R13" s="16"/>
      <c r="S13" s="18"/>
      <c r="T13" s="19"/>
    </row>
    <row r="14" spans="1:20" ht="15.95" customHeight="1" x14ac:dyDescent="0.25">
      <c r="A14" s="18"/>
      <c r="B14" s="16"/>
      <c r="C14" s="18"/>
      <c r="D14" s="16"/>
      <c r="E14" s="18"/>
      <c r="F14" s="16"/>
      <c r="G14" s="18"/>
      <c r="H14" s="16"/>
      <c r="I14" s="18"/>
      <c r="J14" s="16"/>
      <c r="K14" s="18"/>
      <c r="L14" s="16"/>
      <c r="M14" s="18"/>
      <c r="N14" s="16"/>
      <c r="O14" s="18"/>
      <c r="P14" s="16"/>
      <c r="Q14" s="18"/>
      <c r="R14" s="16"/>
      <c r="S14" s="18"/>
      <c r="T14" s="19"/>
    </row>
    <row r="15" spans="1:20" ht="15.95" customHeight="1" x14ac:dyDescent="0.25">
      <c r="A15" s="18"/>
      <c r="B15" s="16"/>
      <c r="C15" s="18"/>
      <c r="D15" s="16"/>
      <c r="E15" s="18"/>
      <c r="F15" s="16"/>
      <c r="G15" s="18"/>
      <c r="H15" s="16"/>
      <c r="I15" s="18"/>
      <c r="J15" s="16"/>
      <c r="K15" s="18"/>
      <c r="L15" s="16"/>
      <c r="M15" s="18"/>
      <c r="N15" s="16"/>
      <c r="O15" s="18"/>
      <c r="P15" s="16"/>
      <c r="Q15" s="18"/>
      <c r="R15" s="16"/>
      <c r="S15" s="18"/>
      <c r="T15" s="19"/>
    </row>
    <row r="16" spans="1:20" ht="15.95" customHeight="1" x14ac:dyDescent="0.25">
      <c r="A16" s="18"/>
      <c r="B16" s="16"/>
      <c r="C16" s="18"/>
      <c r="D16" s="16"/>
      <c r="E16" s="18"/>
      <c r="F16" s="16"/>
      <c r="G16" s="18"/>
      <c r="H16" s="16"/>
      <c r="I16" s="18"/>
      <c r="J16" s="16"/>
      <c r="K16" s="18"/>
      <c r="L16" s="16"/>
      <c r="M16" s="18"/>
      <c r="N16" s="16"/>
      <c r="O16" s="18"/>
      <c r="P16" s="16"/>
      <c r="Q16" s="18"/>
      <c r="R16" s="16"/>
      <c r="S16" s="18"/>
      <c r="T16" s="19"/>
    </row>
    <row r="17" spans="1:20" ht="15.95" customHeight="1" x14ac:dyDescent="0.25">
      <c r="A17" s="18"/>
      <c r="B17" s="16"/>
      <c r="C17" s="18"/>
      <c r="D17" s="16"/>
      <c r="E17" s="18"/>
      <c r="F17" s="16"/>
      <c r="G17" s="18"/>
      <c r="H17" s="16"/>
      <c r="I17" s="18"/>
      <c r="J17" s="16"/>
      <c r="K17" s="18"/>
      <c r="L17" s="16"/>
      <c r="M17" s="18"/>
      <c r="N17" s="16"/>
      <c r="O17" s="18"/>
      <c r="P17" s="16"/>
      <c r="Q17" s="18"/>
      <c r="R17" s="16"/>
      <c r="S17" s="18"/>
      <c r="T17" s="19"/>
    </row>
    <row r="18" spans="1:20" ht="15.95" customHeight="1" x14ac:dyDescent="0.25">
      <c r="A18" s="18"/>
      <c r="B18" s="16"/>
      <c r="C18" s="18"/>
      <c r="D18" s="16"/>
      <c r="E18" s="18"/>
      <c r="F18" s="16"/>
      <c r="G18" s="18"/>
      <c r="H18" s="16"/>
      <c r="I18" s="18"/>
      <c r="J18" s="16"/>
      <c r="K18" s="18"/>
      <c r="L18" s="16"/>
      <c r="M18" s="18"/>
      <c r="N18" s="16"/>
      <c r="O18" s="18"/>
      <c r="P18" s="16"/>
      <c r="Q18" s="18"/>
      <c r="R18" s="16"/>
      <c r="S18" s="18"/>
      <c r="T18" s="19"/>
    </row>
    <row r="19" spans="1:20" ht="15.95" customHeight="1" x14ac:dyDescent="0.25">
      <c r="A19" s="18"/>
      <c r="B19" s="16"/>
      <c r="C19" s="18"/>
      <c r="D19" s="16"/>
      <c r="E19" s="18"/>
      <c r="F19" s="16"/>
      <c r="G19" s="18"/>
      <c r="H19" s="16"/>
      <c r="I19" s="18"/>
      <c r="J19" s="16"/>
      <c r="K19" s="18"/>
      <c r="L19" s="16"/>
      <c r="M19" s="18"/>
      <c r="N19" s="16"/>
      <c r="O19" s="18"/>
      <c r="P19" s="16"/>
      <c r="Q19" s="18"/>
      <c r="R19" s="16"/>
      <c r="S19" s="18"/>
      <c r="T19" s="19"/>
    </row>
    <row r="20" spans="1:20" ht="15.95" customHeight="1" x14ac:dyDescent="0.25">
      <c r="A20" s="18"/>
      <c r="B20" s="16"/>
      <c r="C20" s="18"/>
      <c r="D20" s="16"/>
      <c r="E20" s="18"/>
      <c r="F20" s="16"/>
      <c r="G20" s="18"/>
      <c r="H20" s="16"/>
      <c r="I20" s="18"/>
      <c r="J20" s="16"/>
      <c r="K20" s="18"/>
      <c r="L20" s="16"/>
      <c r="M20" s="18"/>
      <c r="N20" s="16"/>
      <c r="O20" s="18"/>
      <c r="P20" s="16"/>
      <c r="Q20" s="18"/>
      <c r="R20" s="16"/>
      <c r="S20" s="18"/>
      <c r="T20" s="19"/>
    </row>
    <row r="21" spans="1:20" ht="15.95" customHeight="1" x14ac:dyDescent="0.25">
      <c r="A21" s="18"/>
      <c r="B21" s="16"/>
      <c r="C21" s="18"/>
      <c r="D21" s="16"/>
      <c r="E21" s="18"/>
      <c r="F21" s="16"/>
      <c r="G21" s="18"/>
      <c r="H21" s="16"/>
      <c r="I21" s="18"/>
      <c r="J21" s="16"/>
      <c r="K21" s="18"/>
      <c r="L21" s="16"/>
      <c r="M21" s="18"/>
      <c r="N21" s="16"/>
      <c r="O21" s="18"/>
      <c r="P21" s="16"/>
      <c r="Q21" s="18"/>
      <c r="R21" s="16"/>
      <c r="S21" s="18"/>
      <c r="T21" s="19"/>
    </row>
    <row r="22" spans="1:20" ht="15.95" customHeight="1" x14ac:dyDescent="0.25">
      <c r="A22" s="18"/>
      <c r="B22" s="16"/>
      <c r="C22" s="18"/>
      <c r="D22" s="16"/>
      <c r="E22" s="18"/>
      <c r="F22" s="16"/>
      <c r="G22" s="18"/>
      <c r="H22" s="16"/>
      <c r="I22" s="18"/>
      <c r="J22" s="16"/>
      <c r="K22" s="18"/>
      <c r="L22" s="16"/>
      <c r="M22" s="18"/>
      <c r="N22" s="16"/>
      <c r="O22" s="18"/>
      <c r="P22" s="16"/>
      <c r="Q22" s="18"/>
      <c r="R22" s="16"/>
      <c r="S22" s="18"/>
      <c r="T22" s="19"/>
    </row>
    <row r="23" spans="1:20" ht="15.95" customHeight="1" x14ac:dyDescent="0.25">
      <c r="A23" s="18"/>
      <c r="B23" s="16"/>
      <c r="C23" s="18"/>
      <c r="D23" s="16"/>
      <c r="E23" s="18"/>
      <c r="F23" s="16"/>
      <c r="G23" s="18"/>
      <c r="H23" s="16"/>
      <c r="I23" s="18"/>
      <c r="J23" s="16"/>
      <c r="K23" s="18"/>
      <c r="L23" s="16"/>
      <c r="M23" s="18"/>
      <c r="N23" s="16"/>
      <c r="O23" s="18"/>
      <c r="P23" s="16"/>
      <c r="Q23" s="18"/>
      <c r="R23" s="16"/>
      <c r="S23" s="18"/>
      <c r="T23" s="19"/>
    </row>
    <row r="24" spans="1:20" ht="15.95" customHeight="1" x14ac:dyDescent="0.25">
      <c r="A24" s="18"/>
      <c r="B24" s="16"/>
      <c r="C24" s="18"/>
      <c r="D24" s="16"/>
      <c r="E24" s="18"/>
      <c r="F24" s="16"/>
      <c r="G24" s="18"/>
      <c r="H24" s="16"/>
      <c r="I24" s="18"/>
      <c r="J24" s="16"/>
      <c r="K24" s="18"/>
      <c r="L24" s="16"/>
      <c r="M24" s="18"/>
      <c r="N24" s="16"/>
      <c r="O24" s="18"/>
      <c r="P24" s="16"/>
      <c r="Q24" s="18"/>
      <c r="R24" s="16"/>
      <c r="S24" s="18"/>
      <c r="T24" s="19"/>
    </row>
    <row r="25" spans="1:20" ht="15.95" customHeight="1" x14ac:dyDescent="0.25">
      <c r="A25" s="18"/>
      <c r="B25" s="16"/>
      <c r="C25" s="18"/>
      <c r="D25" s="16"/>
      <c r="E25" s="18"/>
      <c r="F25" s="16"/>
      <c r="G25" s="18"/>
      <c r="H25" s="16"/>
      <c r="I25" s="18"/>
      <c r="J25" s="16"/>
      <c r="K25" s="18"/>
      <c r="L25" s="16"/>
      <c r="M25" s="18"/>
      <c r="N25" s="16"/>
      <c r="O25" s="18"/>
      <c r="P25" s="16"/>
      <c r="Q25" s="18"/>
      <c r="R25" s="16"/>
      <c r="S25" s="18"/>
      <c r="T25" s="19"/>
    </row>
    <row r="26" spans="1:20" ht="15.95" customHeight="1" x14ac:dyDescent="0.25">
      <c r="A26" s="18"/>
      <c r="B26" s="16"/>
      <c r="C26" s="18"/>
      <c r="D26" s="16"/>
      <c r="E26" s="18"/>
      <c r="F26" s="16"/>
      <c r="G26" s="18"/>
      <c r="H26" s="16"/>
      <c r="I26" s="18"/>
      <c r="J26" s="16"/>
      <c r="K26" s="18"/>
      <c r="L26" s="16"/>
      <c r="M26" s="18"/>
      <c r="N26" s="16"/>
      <c r="O26" s="18"/>
      <c r="P26" s="16"/>
      <c r="Q26" s="18"/>
      <c r="R26" s="16"/>
      <c r="S26" s="18"/>
      <c r="T26" s="19"/>
    </row>
    <row r="27" spans="1:20" ht="15.95" customHeight="1" x14ac:dyDescent="0.25">
      <c r="A27" s="18"/>
      <c r="B27" s="16"/>
      <c r="C27" s="18"/>
      <c r="D27" s="16"/>
      <c r="E27" s="18"/>
      <c r="F27" s="16"/>
      <c r="G27" s="18"/>
      <c r="H27" s="16"/>
      <c r="I27" s="18"/>
      <c r="J27" s="16"/>
      <c r="K27" s="18"/>
      <c r="L27" s="16"/>
      <c r="M27" s="18"/>
      <c r="N27" s="16"/>
      <c r="O27" s="18"/>
      <c r="P27" s="16"/>
      <c r="Q27" s="18"/>
      <c r="R27" s="16"/>
      <c r="S27" s="18"/>
      <c r="T27" s="19"/>
    </row>
    <row r="28" spans="1:20" ht="15.95" customHeight="1" x14ac:dyDescent="0.25">
      <c r="A28" s="18"/>
      <c r="B28" s="16"/>
      <c r="C28" s="18"/>
      <c r="D28" s="16"/>
      <c r="E28" s="18"/>
      <c r="F28" s="16"/>
      <c r="G28" s="18"/>
      <c r="H28" s="16"/>
      <c r="I28" s="18"/>
      <c r="J28" s="16"/>
      <c r="K28" s="18"/>
      <c r="L28" s="16"/>
      <c r="M28" s="18"/>
      <c r="N28" s="16"/>
      <c r="O28" s="18"/>
      <c r="P28" s="16"/>
      <c r="Q28" s="18"/>
      <c r="R28" s="16"/>
      <c r="S28" s="18"/>
      <c r="T28" s="19"/>
    </row>
    <row r="29" spans="1:20" ht="15.95" customHeight="1" x14ac:dyDescent="0.25">
      <c r="A29" s="18"/>
      <c r="B29" s="16"/>
      <c r="C29" s="18"/>
      <c r="D29" s="16"/>
      <c r="E29" s="18"/>
      <c r="F29" s="16"/>
      <c r="G29" s="18"/>
      <c r="H29" s="16"/>
      <c r="I29" s="18"/>
      <c r="J29" s="16"/>
      <c r="K29" s="18"/>
      <c r="L29" s="16"/>
      <c r="M29" s="18"/>
      <c r="N29" s="16"/>
      <c r="O29" s="18"/>
      <c r="P29" s="16"/>
      <c r="Q29" s="18"/>
      <c r="R29" s="16"/>
      <c r="S29" s="18"/>
      <c r="T29" s="19"/>
    </row>
    <row r="30" spans="1:20" ht="15.95" customHeight="1" x14ac:dyDescent="0.25">
      <c r="A30" s="18"/>
      <c r="B30" s="16"/>
      <c r="C30" s="18"/>
      <c r="D30" s="16"/>
      <c r="E30" s="18"/>
      <c r="F30" s="16"/>
      <c r="G30" s="18"/>
      <c r="H30" s="16"/>
      <c r="I30" s="18"/>
      <c r="J30" s="16"/>
      <c r="K30" s="18"/>
      <c r="L30" s="16"/>
      <c r="M30" s="18"/>
      <c r="N30" s="16"/>
      <c r="O30" s="18"/>
      <c r="P30" s="16"/>
      <c r="Q30" s="18"/>
      <c r="R30" s="16"/>
      <c r="S30" s="18"/>
      <c r="T30" s="19"/>
    </row>
    <row r="31" spans="1:20" ht="15.95" customHeight="1" x14ac:dyDescent="0.25">
      <c r="A31" s="18"/>
      <c r="B31" s="16"/>
      <c r="C31" s="18"/>
      <c r="D31" s="16"/>
      <c r="E31" s="18"/>
      <c r="F31" s="16"/>
      <c r="G31" s="18"/>
      <c r="H31" s="16"/>
      <c r="I31" s="18"/>
      <c r="J31" s="16"/>
      <c r="K31" s="18"/>
      <c r="L31" s="16"/>
      <c r="M31" s="18"/>
      <c r="N31" s="16"/>
      <c r="O31" s="18"/>
      <c r="P31" s="16"/>
      <c r="Q31" s="18"/>
      <c r="R31" s="16"/>
      <c r="S31" s="18"/>
      <c r="T31" s="19"/>
    </row>
    <row r="32" spans="1:20" ht="15.95" customHeight="1" x14ac:dyDescent="0.25">
      <c r="A32" s="18"/>
      <c r="B32" s="16"/>
      <c r="C32" s="18"/>
      <c r="D32" s="16"/>
      <c r="E32" s="18"/>
      <c r="F32" s="16"/>
      <c r="G32" s="18"/>
      <c r="H32" s="16"/>
      <c r="I32" s="18"/>
      <c r="J32" s="16"/>
      <c r="K32" s="18"/>
      <c r="L32" s="16"/>
      <c r="M32" s="18"/>
      <c r="N32" s="16"/>
      <c r="O32" s="18"/>
      <c r="P32" s="16"/>
      <c r="Q32" s="18"/>
      <c r="R32" s="16"/>
      <c r="S32" s="18"/>
      <c r="T32" s="19"/>
    </row>
    <row r="33" spans="1:20" ht="15.95" customHeight="1" x14ac:dyDescent="0.25">
      <c r="A33" s="21"/>
      <c r="B33" s="16"/>
      <c r="C33" s="18"/>
      <c r="D33" s="16"/>
      <c r="E33" s="18"/>
      <c r="F33" s="16"/>
      <c r="G33" s="18"/>
      <c r="H33" s="16"/>
      <c r="I33" s="18"/>
      <c r="J33" s="16"/>
      <c r="K33" s="18"/>
      <c r="L33" s="16"/>
      <c r="M33" s="18"/>
      <c r="N33" s="16"/>
      <c r="O33" s="18"/>
      <c r="P33" s="16"/>
      <c r="Q33" s="18"/>
      <c r="R33" s="16"/>
      <c r="S33" s="18"/>
      <c r="T33" s="19"/>
    </row>
    <row r="34" spans="1:20" ht="15.95" customHeight="1" x14ac:dyDescent="0.25">
      <c r="A34" s="18"/>
      <c r="B34" s="16"/>
      <c r="C34" s="18"/>
      <c r="D34" s="16"/>
      <c r="E34" s="18"/>
      <c r="F34" s="16"/>
      <c r="G34" s="18"/>
      <c r="H34" s="16"/>
      <c r="I34" s="18"/>
      <c r="J34" s="16"/>
      <c r="K34" s="18"/>
      <c r="L34" s="16"/>
      <c r="M34" s="18"/>
      <c r="N34" s="16"/>
      <c r="O34" s="18"/>
      <c r="P34" s="16"/>
      <c r="Q34" s="18"/>
      <c r="R34" s="16"/>
      <c r="S34" s="18"/>
      <c r="T34" s="19"/>
    </row>
    <row r="35" spans="1:20" ht="15.95" customHeight="1" x14ac:dyDescent="0.25">
      <c r="A35" s="18"/>
      <c r="B35" s="16"/>
      <c r="C35" s="18"/>
      <c r="D35" s="16"/>
      <c r="E35" s="18"/>
      <c r="F35" s="16"/>
      <c r="G35" s="18"/>
      <c r="H35" s="16"/>
      <c r="I35" s="18"/>
      <c r="J35" s="16"/>
      <c r="K35" s="18"/>
      <c r="L35" s="16"/>
      <c r="M35" s="18"/>
      <c r="N35" s="16"/>
      <c r="O35" s="18"/>
      <c r="P35" s="16"/>
      <c r="Q35" s="18"/>
      <c r="R35" s="16"/>
      <c r="S35" s="18"/>
      <c r="T35" s="19"/>
    </row>
    <row r="36" spans="1:20" ht="15.95" customHeight="1" x14ac:dyDescent="0.25">
      <c r="A36" s="18"/>
      <c r="B36" s="16"/>
      <c r="C36" s="18"/>
      <c r="D36" s="16"/>
      <c r="E36" s="18"/>
      <c r="F36" s="16"/>
      <c r="G36" s="18"/>
      <c r="H36" s="16"/>
      <c r="I36" s="18"/>
      <c r="J36" s="16"/>
      <c r="K36" s="18"/>
      <c r="L36" s="16"/>
      <c r="M36" s="18"/>
      <c r="N36" s="16"/>
      <c r="O36" s="18"/>
      <c r="P36" s="16"/>
      <c r="Q36" s="18"/>
      <c r="R36" s="16"/>
      <c r="S36" s="18"/>
      <c r="T36" s="19"/>
    </row>
    <row r="37" spans="1:20" ht="15.95" customHeight="1" x14ac:dyDescent="0.25">
      <c r="A37" s="18"/>
      <c r="B37" s="16"/>
      <c r="C37" s="18"/>
      <c r="D37" s="16"/>
      <c r="E37" s="18"/>
      <c r="F37" s="16"/>
      <c r="G37" s="18"/>
      <c r="H37" s="16"/>
      <c r="I37" s="18"/>
      <c r="J37" s="16"/>
      <c r="K37" s="18"/>
      <c r="L37" s="16"/>
      <c r="M37" s="18"/>
      <c r="N37" s="16"/>
      <c r="O37" s="18"/>
      <c r="P37" s="16"/>
      <c r="Q37" s="18"/>
      <c r="R37" s="16"/>
      <c r="S37" s="18"/>
      <c r="T37" s="19"/>
    </row>
    <row r="38" spans="1:20" ht="15.95" customHeight="1" x14ac:dyDescent="0.25">
      <c r="A38" s="18"/>
      <c r="B38" s="16"/>
      <c r="C38" s="18"/>
      <c r="D38" s="16"/>
      <c r="E38" s="18"/>
      <c r="F38" s="16"/>
      <c r="G38" s="18"/>
      <c r="H38" s="16"/>
      <c r="I38" s="18"/>
      <c r="J38" s="16"/>
      <c r="K38" s="18"/>
      <c r="L38" s="16"/>
      <c r="M38" s="18"/>
      <c r="N38" s="16"/>
      <c r="O38" s="18"/>
      <c r="P38" s="16"/>
      <c r="Q38" s="18"/>
      <c r="R38" s="16"/>
      <c r="S38" s="18"/>
      <c r="T38" s="20"/>
    </row>
    <row r="39" spans="1:20" ht="15.95" customHeight="1" x14ac:dyDescent="0.25">
      <c r="A39" s="18"/>
      <c r="B39" s="16"/>
      <c r="C39" s="18"/>
      <c r="D39" s="16"/>
      <c r="E39" s="18"/>
      <c r="F39" s="16"/>
      <c r="G39" s="18"/>
      <c r="H39" s="16"/>
      <c r="I39" s="18"/>
      <c r="J39" s="16"/>
      <c r="K39" s="18"/>
      <c r="L39" s="16"/>
      <c r="M39" s="18"/>
      <c r="N39" s="16"/>
      <c r="O39" s="18"/>
      <c r="P39" s="16"/>
      <c r="Q39" s="18"/>
      <c r="R39" s="16"/>
      <c r="S39" s="18"/>
      <c r="T39" s="20"/>
    </row>
    <row r="40" spans="1:20" ht="15.95" customHeight="1" x14ac:dyDescent="0.25">
      <c r="A40" s="18"/>
      <c r="B40" s="16"/>
      <c r="C40" s="18"/>
      <c r="D40" s="16"/>
      <c r="E40" s="18"/>
      <c r="F40" s="16"/>
      <c r="G40" s="18"/>
      <c r="H40" s="16"/>
      <c r="I40" s="18"/>
      <c r="J40" s="16"/>
      <c r="K40" s="18"/>
      <c r="L40" s="16"/>
      <c r="M40" s="18"/>
      <c r="N40" s="16"/>
      <c r="O40" s="18"/>
      <c r="P40" s="16"/>
      <c r="Q40" s="18"/>
      <c r="R40" s="16"/>
      <c r="S40" s="18"/>
      <c r="T40" s="20"/>
    </row>
    <row r="41" spans="1:20" ht="15.95" customHeight="1" x14ac:dyDescent="0.25">
      <c r="A41" s="18"/>
      <c r="B41" s="16"/>
      <c r="C41" s="18"/>
      <c r="D41" s="16"/>
      <c r="E41" s="18"/>
      <c r="F41" s="16"/>
      <c r="G41" s="18"/>
      <c r="H41" s="16"/>
      <c r="I41" s="18"/>
      <c r="J41" s="16"/>
      <c r="K41" s="18"/>
      <c r="L41" s="16"/>
      <c r="M41" s="18"/>
      <c r="N41" s="16"/>
      <c r="O41" s="18"/>
      <c r="P41" s="16"/>
      <c r="Q41" s="18"/>
      <c r="R41" s="16"/>
      <c r="S41" s="18"/>
      <c r="T41" s="20"/>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4" priority="2" stopIfTrue="1">
      <formula>NOT(ISERROR(A3))</formula>
    </cfRule>
  </conditionalFormatting>
  <conditionalFormatting sqref="A3:T51">
    <cfRule type="containsErrors" dxfId="223" priority="1" stopIfTrue="1">
      <formula>ISERROR(A3)</formula>
    </cfRule>
    <cfRule type="notContainsBlanks" dxfId="222"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A3" sqref="A3:A17"/>
    </sheetView>
  </sheetViews>
  <sheetFormatPr defaultColWidth="9.28515625" defaultRowHeight="15" x14ac:dyDescent="0.25"/>
  <cols>
    <col min="1" max="1" width="44.7109375" customWidth="1"/>
    <col min="2" max="2" width="13.85546875" customWidth="1"/>
    <col min="8" max="8" width="9.28515625" customWidth="1"/>
  </cols>
  <sheetData>
    <row r="1" spans="1:20" x14ac:dyDescent="0.25">
      <c r="A1" s="23" t="str">
        <f>HYPERLINK("#Sheets!A1","Back to sheets")</f>
        <v>Back to sheets</v>
      </c>
    </row>
    <row r="2" spans="1:20" ht="15.95" customHeight="1" x14ac:dyDescent="0.25">
      <c r="A2" s="8" t="s">
        <v>3</v>
      </c>
      <c r="B2" s="9" t="s">
        <v>31</v>
      </c>
      <c r="C2" s="8" t="s">
        <v>7</v>
      </c>
      <c r="D2" s="9" t="s">
        <v>31</v>
      </c>
      <c r="E2" s="8" t="s">
        <v>9</v>
      </c>
      <c r="F2" s="9" t="s">
        <v>31</v>
      </c>
      <c r="G2" s="8" t="s">
        <v>10</v>
      </c>
      <c r="H2" s="9" t="s">
        <v>31</v>
      </c>
      <c r="I2" s="8" t="s">
        <v>11</v>
      </c>
      <c r="J2" s="9" t="s">
        <v>31</v>
      </c>
      <c r="K2" s="8" t="s">
        <v>12</v>
      </c>
      <c r="L2" s="9" t="s">
        <v>31</v>
      </c>
      <c r="M2" s="8" t="s">
        <v>13</v>
      </c>
      <c r="N2" s="9" t="s">
        <v>31</v>
      </c>
      <c r="O2" s="8" t="s">
        <v>14</v>
      </c>
      <c r="P2" s="9" t="s">
        <v>31</v>
      </c>
      <c r="Q2" s="8" t="s">
        <v>15</v>
      </c>
      <c r="R2" s="9" t="s">
        <v>31</v>
      </c>
      <c r="S2" s="8" t="s">
        <v>16</v>
      </c>
      <c r="T2" s="8" t="s">
        <v>31</v>
      </c>
    </row>
    <row r="3" spans="1:20" ht="15.95" customHeight="1" x14ac:dyDescent="0.25">
      <c r="A3" s="17" t="s">
        <v>38</v>
      </c>
      <c r="B3" s="16" t="str">
        <f>TRIM(_xlfn.TEXTBEFORE(A3, ":"))</f>
        <v>Item Class</v>
      </c>
      <c r="C3" s="17" t="s">
        <v>352</v>
      </c>
      <c r="D3" s="16" t="str">
        <f>TRIM(_xlfn.TEXTBEFORE(C3, ":"))</f>
        <v>Gegenstandsklasse</v>
      </c>
      <c r="E3" s="17" t="s">
        <v>492</v>
      </c>
      <c r="F3" s="16" t="str">
        <f>TRIM(_xlfn.TEXTBEFORE(E3, ":"))</f>
        <v>Clase de objeto</v>
      </c>
      <c r="G3" s="17" t="s">
        <v>313</v>
      </c>
      <c r="H3" s="16" t="str">
        <f>TRIM(_xlfn.TEXTBEFORE(G3, ":"))</f>
        <v>Classe d'objet</v>
      </c>
      <c r="I3" s="17" t="s">
        <v>556</v>
      </c>
      <c r="J3" s="16" t="str">
        <f>TRIM(_xlfn.TEXTBEFORE(I3, ":"))</f>
        <v>アイテムクラス</v>
      </c>
      <c r="K3" s="17" t="s">
        <v>523</v>
      </c>
      <c r="L3" s="16" t="str">
        <f>TRIM(_xlfn.TEXTBEFORE(K3, ":"))</f>
        <v>아이템 종류</v>
      </c>
      <c r="M3" s="17" t="s">
        <v>387</v>
      </c>
      <c r="N3" s="16" t="str">
        <f>TRIM(_xlfn.TEXTBEFORE(M3, ":"))</f>
        <v>Classe do Item</v>
      </c>
      <c r="O3" s="17" t="s">
        <v>421</v>
      </c>
      <c r="P3" s="16" t="str">
        <f>TRIM(_xlfn.TEXTBEFORE(O3, ":"))</f>
        <v>Класс предмета</v>
      </c>
      <c r="Q3" s="17" t="s">
        <v>459</v>
      </c>
      <c r="R3" s="16" t="str">
        <f>TRIM(_xlfn.TEXTBEFORE(Q3, ":"))</f>
        <v>ชนิดไอเทม</v>
      </c>
      <c r="S3" s="17"/>
      <c r="T3" s="16" t="e">
        <f>TRIM(_xlfn.TEXTBEFORE(S3, ":"))</f>
        <v>#N/A</v>
      </c>
    </row>
    <row r="4" spans="1:20" ht="15.95" customHeight="1" x14ac:dyDescent="0.25">
      <c r="A4" s="18" t="s">
        <v>35</v>
      </c>
      <c r="B4" s="16" t="str">
        <f>TRIM(_xlfn.TEXTAFTER(A3, ":"))</f>
        <v>Blueprints</v>
      </c>
      <c r="C4" s="18" t="s">
        <v>63</v>
      </c>
      <c r="D4" s="16" t="str">
        <f>TRIM(_xlfn.TEXTAFTER(C3, ":"))</f>
        <v>Grundrisse</v>
      </c>
      <c r="E4" s="18" t="s">
        <v>74</v>
      </c>
      <c r="F4" s="16" t="str">
        <f>TRIM(_xlfn.TEXTAFTER(E3, ":"))</f>
        <v>Planos</v>
      </c>
      <c r="G4" s="18" t="s">
        <v>50</v>
      </c>
      <c r="H4" s="16" t="str">
        <f>TRIM(_xlfn.TEXTAFTER(G3, ":"))</f>
        <v>Plans</v>
      </c>
      <c r="I4" s="18" t="s">
        <v>85</v>
      </c>
      <c r="J4" s="16" t="str">
        <f>TRIM(_xlfn.TEXTAFTER(I3, ":"))</f>
        <v>計画書</v>
      </c>
      <c r="K4" s="18" t="s">
        <v>96</v>
      </c>
      <c r="L4" s="16" t="str">
        <f>TRIM(_xlfn.TEXTAFTER(K3, ":"))</f>
        <v>도면</v>
      </c>
      <c r="M4" s="18" t="s">
        <v>107</v>
      </c>
      <c r="N4" s="16" t="str">
        <f>TRIM(_xlfn.TEXTAFTER(M3, ":"))</f>
        <v>Plantas</v>
      </c>
      <c r="O4" s="18" t="s">
        <v>116</v>
      </c>
      <c r="P4" s="16" t="str">
        <f>TRIM(_xlfn.TEXTAFTER(O3, ":"))</f>
        <v>Чертежи</v>
      </c>
      <c r="Q4" s="18" t="s">
        <v>128</v>
      </c>
      <c r="R4" s="16" t="str">
        <f>TRIM(_xlfn.TEXTAFTER(Q3, ":"))</f>
        <v>พิมพ์เขียว</v>
      </c>
      <c r="S4" s="18"/>
      <c r="T4" s="16" t="e">
        <f>TRIM(_xlfn.TEXTAFTER(S3, ":"))</f>
        <v>#N/A</v>
      </c>
    </row>
    <row r="5" spans="1:20" ht="15.95" customHeight="1" x14ac:dyDescent="0.25">
      <c r="A5" s="18" t="s">
        <v>39</v>
      </c>
      <c r="B5" s="16" t="str">
        <f>TRIM(_xlfn.TEXTBEFORE(A4, ":"))</f>
        <v>Rarity</v>
      </c>
      <c r="C5" s="18" t="s">
        <v>353</v>
      </c>
      <c r="D5" s="16" t="str">
        <f>TRIM(_xlfn.TEXTBEFORE(C4, ":"))</f>
        <v>Seltenheit</v>
      </c>
      <c r="E5" s="18" t="s">
        <v>493</v>
      </c>
      <c r="F5" s="16" t="str">
        <f>TRIM(_xlfn.TEXTBEFORE(E4, ":"))</f>
        <v>Rareza</v>
      </c>
      <c r="G5" s="18" t="s">
        <v>314</v>
      </c>
      <c r="H5" s="16" t="str">
        <f>TRIM(_xlfn.TEXTBEFORE(G4, ":"))</f>
        <v>Rareté</v>
      </c>
      <c r="I5" s="18" t="s">
        <v>557</v>
      </c>
      <c r="J5" s="16" t="str">
        <f>TRIM(_xlfn.TEXTBEFORE(I4, ":"))</f>
        <v>レアリティ</v>
      </c>
      <c r="K5" s="18" t="s">
        <v>524</v>
      </c>
      <c r="L5" s="16" t="str">
        <f>TRIM(_xlfn.TEXTBEFORE(K4, ":"))</f>
        <v>아이템 희귀도</v>
      </c>
      <c r="M5" s="18" t="s">
        <v>388</v>
      </c>
      <c r="N5" s="16" t="str">
        <f>TRIM(_xlfn.TEXTBEFORE(M4, ":"))</f>
        <v>Raridade</v>
      </c>
      <c r="O5" s="18" t="s">
        <v>422</v>
      </c>
      <c r="P5" s="16" t="str">
        <f>TRIM(_xlfn.TEXTBEFORE(O4, ":"))</f>
        <v>Редкость</v>
      </c>
      <c r="Q5" s="18" t="s">
        <v>460</v>
      </c>
      <c r="R5" s="16" t="str">
        <f>TRIM(_xlfn.TEXTBEFORE(Q4, ":"))</f>
        <v>ความหายาก</v>
      </c>
      <c r="S5" s="18"/>
      <c r="T5" s="16" t="e">
        <f>TRIM(_xlfn.TEXTBEFORE(S4, ":"))</f>
        <v>#N/A</v>
      </c>
    </row>
    <row r="6" spans="1:20" ht="15.95" customHeight="1" x14ac:dyDescent="0.25">
      <c r="A6" s="18" t="s">
        <v>0</v>
      </c>
      <c r="B6" s="16" t="str">
        <f>TRIM(_xlfn.TEXTAFTER(A4,":"))</f>
        <v>Normal</v>
      </c>
      <c r="C6" s="18" t="s">
        <v>0</v>
      </c>
      <c r="D6" s="16" t="str">
        <f>TRIM(_xlfn.TEXTAFTER(C4,":"))</f>
        <v>Normal</v>
      </c>
      <c r="E6" s="18" t="s">
        <v>0</v>
      </c>
      <c r="F6" s="16" t="str">
        <f>TRIM(_xlfn.TEXTAFTER(E4,":"))</f>
        <v>Normal</v>
      </c>
      <c r="G6" s="18" t="s">
        <v>0</v>
      </c>
      <c r="H6" s="16" t="str">
        <f>TRIM(_xlfn.TEXTAFTER(G4,":"))</f>
        <v>Normal</v>
      </c>
      <c r="I6" s="18" t="s">
        <v>0</v>
      </c>
      <c r="J6" s="16" t="str">
        <f>TRIM(_xlfn.TEXTAFTER(I4,":"))</f>
        <v>ノーマル</v>
      </c>
      <c r="K6" s="18" t="s">
        <v>0</v>
      </c>
      <c r="L6" s="16" t="str">
        <f>TRIM(_xlfn.TEXTAFTER(K4,":"))</f>
        <v>일반</v>
      </c>
      <c r="M6" s="18" t="s">
        <v>0</v>
      </c>
      <c r="N6" s="16" t="str">
        <f>TRIM(_xlfn.TEXTAFTER(M4,":"))</f>
        <v>Normal</v>
      </c>
      <c r="O6" s="18" t="s">
        <v>0</v>
      </c>
      <c r="P6" s="16" t="str">
        <f>TRIM(_xlfn.TEXTAFTER(O4,":"))</f>
        <v>Обычный</v>
      </c>
      <c r="Q6" s="18" t="s">
        <v>0</v>
      </c>
      <c r="R6" s="16" t="str">
        <f>TRIM(_xlfn.TEXTAFTER(Q4,":"))</f>
        <v>ปกติ</v>
      </c>
      <c r="S6" s="18"/>
      <c r="T6" s="16" t="e">
        <f>TRIM(_xlfn.TEXTAFTER(S4,":"))</f>
        <v>#N/A</v>
      </c>
    </row>
    <row r="7" spans="1:20" ht="15.95" customHeight="1" x14ac:dyDescent="0.25">
      <c r="A7" s="18" t="s">
        <v>289</v>
      </c>
      <c r="B7" s="16"/>
      <c r="C7" s="18" t="s">
        <v>354</v>
      </c>
      <c r="D7" s="16"/>
      <c r="E7" s="18" t="s">
        <v>494</v>
      </c>
      <c r="F7" s="16"/>
      <c r="G7" s="18" t="s">
        <v>315</v>
      </c>
      <c r="H7" s="16"/>
      <c r="I7" s="18" t="s">
        <v>558</v>
      </c>
      <c r="J7" s="16"/>
      <c r="K7" s="18" t="s">
        <v>525</v>
      </c>
      <c r="L7" s="16"/>
      <c r="M7" s="18" t="s">
        <v>389</v>
      </c>
      <c r="N7" s="16"/>
      <c r="O7" s="18" t="s">
        <v>423</v>
      </c>
      <c r="P7" s="16"/>
      <c r="Q7" s="18" t="s">
        <v>461</v>
      </c>
      <c r="R7" s="16"/>
      <c r="S7" s="18"/>
      <c r="T7" s="16"/>
    </row>
    <row r="8" spans="1:20" ht="15.95" customHeight="1" x14ac:dyDescent="0.25">
      <c r="A8" s="18" t="s">
        <v>40</v>
      </c>
      <c r="B8" s="16" t="str">
        <f>TRIM(_xlfn.TEXTBEFORE(A8, ":"))</f>
        <v>Wings Revealed</v>
      </c>
      <c r="C8" s="18" t="s">
        <v>355</v>
      </c>
      <c r="D8" s="16" t="str">
        <f>TRIM(_xlfn.TEXTBEFORE(C8, ":"))</f>
        <v>Aufgedeckte Gebäudetrakte</v>
      </c>
      <c r="E8" s="18" t="s">
        <v>495</v>
      </c>
      <c r="F8" s="16" t="str">
        <f>TRIM(_xlfn.TEXTBEFORE(E8, ":"))</f>
        <v>Alas reveladas</v>
      </c>
      <c r="G8" s="18" t="s">
        <v>316</v>
      </c>
      <c r="H8" s="16" t="str">
        <f>TRIM(_xlfn.TEXTBEFORE(G8, ":"))</f>
        <v>Ailes révélées</v>
      </c>
      <c r="I8" s="18" t="s">
        <v>559</v>
      </c>
      <c r="J8" s="16" t="str">
        <f>TRIM(_xlfn.TEXTBEFORE(I8, ":"))</f>
        <v>情報を聞いた区画</v>
      </c>
      <c r="K8" s="18" t="s">
        <v>526</v>
      </c>
      <c r="L8" s="16" t="str">
        <f>TRIM(_xlfn.TEXTBEFORE(K8, ":"))</f>
        <v>부속 건물 드러남</v>
      </c>
      <c r="M8" s="18" t="s">
        <v>390</v>
      </c>
      <c r="N8" s="16" t="str">
        <f>TRIM(_xlfn.TEXTBEFORE(M8, ":"))</f>
        <v>Alas Reveladas</v>
      </c>
      <c r="O8" s="18" t="s">
        <v>424</v>
      </c>
      <c r="P8" s="16" t="str">
        <f>TRIM(_xlfn.TEXTBEFORE(O8, ":"))</f>
        <v>Крыльев обнаружено</v>
      </c>
      <c r="Q8" s="18" t="s">
        <v>462</v>
      </c>
      <c r="R8" s="16" t="str">
        <f>TRIM(_xlfn.TEXTBEFORE(Q8, ":"))</f>
        <v>ปีกที่เปิดเผย</v>
      </c>
      <c r="S8" s="18"/>
      <c r="T8" s="16" t="e">
        <f>TRIM(_xlfn.TEXTBEFORE(S8, ":"))</f>
        <v>#N/A</v>
      </c>
    </row>
    <row r="9" spans="1:20" ht="15.95" customHeight="1" x14ac:dyDescent="0.25">
      <c r="A9" s="18" t="s">
        <v>41</v>
      </c>
      <c r="B9" s="16" t="str">
        <f t="shared" ref="B9:F10" si="0">TRIM(_xlfn.TEXTBEFORE(A9, ":"))</f>
        <v>Escape Routes Revealed</v>
      </c>
      <c r="C9" s="18" t="s">
        <v>356</v>
      </c>
      <c r="D9" s="16" t="str">
        <f t="shared" si="0"/>
        <v>Aufgedeckte Fluchtwege</v>
      </c>
      <c r="E9" s="18" t="s">
        <v>496</v>
      </c>
      <c r="F9" s="16" t="str">
        <f t="shared" si="0"/>
        <v>Rutas de escape reveladas</v>
      </c>
      <c r="G9" s="18" t="s">
        <v>317</v>
      </c>
      <c r="H9" s="16" t="str">
        <f t="shared" ref="H9" si="1">TRIM(_xlfn.TEXTBEFORE(G9, ":"))</f>
        <v>Échappatoires révélées</v>
      </c>
      <c r="I9" s="18" t="s">
        <v>560</v>
      </c>
      <c r="J9" s="16" t="str">
        <f t="shared" ref="J9:J10" si="2">TRIM(_xlfn.TEXTBEFORE(I9, ":"))</f>
        <v>情報を聞いた脱出ルート</v>
      </c>
      <c r="K9" s="18" t="s">
        <v>527</v>
      </c>
      <c r="L9" s="16" t="str">
        <f t="shared" ref="L9:L10" si="3">TRIM(_xlfn.TEXTBEFORE(K9, ":"))</f>
        <v>탈출 경로 드러남</v>
      </c>
      <c r="M9" s="18" t="s">
        <v>391</v>
      </c>
      <c r="N9" s="16" t="str">
        <f t="shared" ref="N9:N10" si="4">TRIM(_xlfn.TEXTBEFORE(M9, ":"))</f>
        <v>Rotas de Escape Reveladas</v>
      </c>
      <c r="O9" s="18" t="s">
        <v>425</v>
      </c>
      <c r="P9" s="16" t="str">
        <f t="shared" ref="P9:P10" si="5">TRIM(_xlfn.TEXTBEFORE(O9, ":"))</f>
        <v>Путей отхода обнаружено</v>
      </c>
      <c r="Q9" s="18" t="s">
        <v>463</v>
      </c>
      <c r="R9" s="16" t="str">
        <f t="shared" ref="R9:R10" si="6">TRIM(_xlfn.TEXTBEFORE(Q9, ":"))</f>
        <v>เส้นทางหลบหนีที่เปิดเผย</v>
      </c>
      <c r="S9" s="18"/>
      <c r="T9" s="16" t="e">
        <f t="shared" ref="T9:T10" si="7">TRIM(_xlfn.TEXTBEFORE(S9, ":"))</f>
        <v>#N/A</v>
      </c>
    </row>
    <row r="10" spans="1:20" ht="15.95" customHeight="1" x14ac:dyDescent="0.25">
      <c r="A10" s="18" t="s">
        <v>290</v>
      </c>
      <c r="B10" s="16" t="str">
        <f t="shared" si="0"/>
        <v>Reward Rooms Revealed</v>
      </c>
      <c r="C10" s="18" t="s">
        <v>357</v>
      </c>
      <c r="D10" s="16" t="str">
        <f t="shared" si="0"/>
        <v>Aufgedeckte Belohnungsräume</v>
      </c>
      <c r="E10" s="18" t="s">
        <v>497</v>
      </c>
      <c r="F10" s="16" t="str">
        <f t="shared" si="0"/>
        <v>Salas de recompensas reveladas</v>
      </c>
      <c r="G10" s="18" t="s">
        <v>318</v>
      </c>
      <c r="H10" s="16" t="str">
        <f t="shared" ref="H10" si="8">TRIM(_xlfn.TEXTBEFORE(G10, ":"))</f>
        <v>Salles de récompenses révélées</v>
      </c>
      <c r="I10" s="18" t="s">
        <v>561</v>
      </c>
      <c r="J10" s="16" t="str">
        <f t="shared" si="2"/>
        <v>情報を聞いた報酬部屋</v>
      </c>
      <c r="K10" s="18" t="s">
        <v>528</v>
      </c>
      <c r="L10" s="16" t="str">
        <f t="shared" si="3"/>
        <v>보물 창고 드러남</v>
      </c>
      <c r="M10" s="18" t="s">
        <v>392</v>
      </c>
      <c r="N10" s="16" t="str">
        <f t="shared" si="4"/>
        <v>Salas de Recompensas Reveladas</v>
      </c>
      <c r="O10" s="18" t="s">
        <v>426</v>
      </c>
      <c r="P10" s="16" t="str">
        <f t="shared" si="5"/>
        <v>Комнат с наградами обнаружено</v>
      </c>
      <c r="Q10" s="18" t="s">
        <v>464</v>
      </c>
      <c r="R10" s="16" t="str">
        <f t="shared" si="6"/>
        <v>ห้องของรางวัลที่เปิดเผย</v>
      </c>
      <c r="S10" s="18"/>
      <c r="T10" s="16" t="e">
        <f t="shared" si="7"/>
        <v>#N/A</v>
      </c>
    </row>
    <row r="11" spans="1:20" ht="15.95" customHeight="1" x14ac:dyDescent="0.25">
      <c r="A11" s="18" t="s">
        <v>591</v>
      </c>
      <c r="B11" s="16" t="str">
        <f>_xlfn.REGEXREPLACE(A11, "\d+", "#")</f>
        <v>Requires Lockpicking (Level #)</v>
      </c>
      <c r="C11" s="18" t="s">
        <v>358</v>
      </c>
      <c r="D11" s="16" t="str">
        <f>_xlfn.REGEXREPLACE(C11, "\d+", "#")</f>
        <v>Erfordert Schlossknacken (Stufe #)</v>
      </c>
      <c r="E11" s="18" t="s">
        <v>498</v>
      </c>
      <c r="F11" s="16" t="str">
        <f>_xlfn.REGEXREPLACE(E11, "\d+", "#")</f>
        <v>Requiere Forzar cerraduras (Nivel#)</v>
      </c>
      <c r="G11" s="18" t="s">
        <v>319</v>
      </c>
      <c r="H11" s="16" t="str">
        <f>_xlfn.REGEXREPLACE(G11, "\d+", "#")</f>
        <v>Prérequis : Crochetage au niv. #</v>
      </c>
      <c r="I11" s="18" t="s">
        <v>562</v>
      </c>
      <c r="J11" s="16" t="str">
        <f>_xlfn.REGEXREPLACE(I11, "\d+", "#")</f>
        <v>必要ジョブ 錠前破り (レベル #)</v>
      </c>
      <c r="K11" s="18" t="s">
        <v>529</v>
      </c>
      <c r="L11" s="16" t="str">
        <f>_xlfn.REGEXREPLACE(K11, "\d+", "#")</f>
        <v>자물쇠 따기 필요(#레벨)</v>
      </c>
      <c r="M11" s="18" t="s">
        <v>393</v>
      </c>
      <c r="N11" s="16" t="str">
        <f>_xlfn.REGEXREPLACE(M11, "\d+", "#")</f>
        <v>Requer Arrombamento (Nível #)</v>
      </c>
      <c r="O11" s="18" t="s">
        <v>427</v>
      </c>
      <c r="P11" s="16" t="str">
        <f>_xlfn.REGEXREPLACE(O11, "\d+", "#")</f>
        <v>Требуется взлом (# уровень)</v>
      </c>
      <c r="Q11" s="18" t="s">
        <v>465</v>
      </c>
      <c r="R11" s="16" t="str">
        <f>_xlfn.REGEXREPLACE(Q11, "\d+", "#")</f>
        <v>ต้องมี สะเดาะกุญแจ (ระดับ #)</v>
      </c>
      <c r="S11" s="18"/>
      <c r="T11" s="16" t="str">
        <f>_xlfn.REGEXREPLACE(S11, "\d+", "#")</f>
        <v/>
      </c>
    </row>
    <row r="12" spans="1:20" ht="15.95" customHeight="1" x14ac:dyDescent="0.25">
      <c r="A12" s="18" t="s">
        <v>592</v>
      </c>
      <c r="B12" s="16" t="str">
        <f t="shared" ref="B12:D13" si="9">_xlfn.REGEXREPLACE(A12, "\d+", "#")</f>
        <v>Requires Demolition (Level #)</v>
      </c>
      <c r="C12" s="18" t="s">
        <v>359</v>
      </c>
      <c r="D12" s="16" t="str">
        <f t="shared" si="9"/>
        <v>Erfordert Sprengung (Stufe #)</v>
      </c>
      <c r="E12" s="18" t="s">
        <v>499</v>
      </c>
      <c r="F12" s="16" t="str">
        <f t="shared" ref="F12" si="10">_xlfn.REGEXREPLACE(E12, "\d+", "#")</f>
        <v>Requiere Demolición (Nivel#)</v>
      </c>
      <c r="G12" s="18" t="s">
        <v>320</v>
      </c>
      <c r="H12" s="16" t="str">
        <f t="shared" ref="H12:H13" si="11">_xlfn.REGEXREPLACE(G12, "\d+", "#")</f>
        <v>Prérequis : Démolition au niv. #</v>
      </c>
      <c r="I12" s="18" t="s">
        <v>563</v>
      </c>
      <c r="J12" s="16" t="str">
        <f t="shared" ref="J12" si="12">_xlfn.REGEXREPLACE(I12, "\d+", "#")</f>
        <v>必要ジョブ 爆破 (レベル #)</v>
      </c>
      <c r="K12" s="18" t="s">
        <v>530</v>
      </c>
      <c r="L12" s="16" t="str">
        <f t="shared" ref="L12" si="13">_xlfn.REGEXREPLACE(K12, "\d+", "#")</f>
        <v>파괴 공작 필요(#레벨)</v>
      </c>
      <c r="M12" s="18" t="s">
        <v>394</v>
      </c>
      <c r="N12" s="16" t="str">
        <f t="shared" ref="N12" si="14">_xlfn.REGEXREPLACE(M12, "\d+", "#")</f>
        <v>Requer Demolição (Nível #)</v>
      </c>
      <c r="O12" s="18" t="s">
        <v>428</v>
      </c>
      <c r="P12" s="16" t="str">
        <f t="shared" ref="P12" si="15">_xlfn.REGEXREPLACE(O12, "\d+", "#")</f>
        <v>Требуется взрывное дело (# уровень)</v>
      </c>
      <c r="Q12" s="18" t="s">
        <v>466</v>
      </c>
      <c r="R12" s="16" t="str">
        <f t="shared" ref="R12" si="16">_xlfn.REGEXREPLACE(Q12, "\d+", "#")</f>
        <v>ต้องมี รื้อถอน (ระดับ #)</v>
      </c>
      <c r="S12" s="18"/>
      <c r="T12" s="16" t="str">
        <f t="shared" ref="T12" si="17">_xlfn.REGEXREPLACE(S12, "\d+", "#")</f>
        <v/>
      </c>
    </row>
    <row r="13" spans="1:20" ht="15.95" customHeight="1" x14ac:dyDescent="0.25">
      <c r="A13" s="18" t="s">
        <v>593</v>
      </c>
      <c r="B13" s="16" t="str">
        <f t="shared" si="9"/>
        <v>Requires Agility (Level #)</v>
      </c>
      <c r="C13" s="18" t="s">
        <v>360</v>
      </c>
      <c r="D13" s="16" t="str">
        <f t="shared" si="9"/>
        <v>Erfordert Agilität (Stufe #)</v>
      </c>
      <c r="E13" s="18" t="s">
        <v>500</v>
      </c>
      <c r="F13" s="16" t="str">
        <f t="shared" ref="F13" si="18">_xlfn.REGEXREPLACE(E13, "\d+", "#")</f>
        <v>Requiere Agilidad (Nivel#)</v>
      </c>
      <c r="G13" s="18" t="s">
        <v>322</v>
      </c>
      <c r="H13" s="16" t="str">
        <f t="shared" si="11"/>
        <v>Prérequis : Agilité au niv. #</v>
      </c>
      <c r="I13" s="18" t="s">
        <v>564</v>
      </c>
      <c r="J13" s="16" t="str">
        <f t="shared" ref="J13" si="19">_xlfn.REGEXREPLACE(I13, "\d+", "#")</f>
        <v>必要ジョブ 敏捷性 (レベル #)</v>
      </c>
      <c r="K13" s="18" t="s">
        <v>531</v>
      </c>
      <c r="L13" s="16" t="str">
        <f t="shared" ref="L13" si="20">_xlfn.REGEXREPLACE(K13, "\d+", "#")</f>
        <v>민첩함 필요(#레벨)</v>
      </c>
      <c r="M13" s="18" t="s">
        <v>395</v>
      </c>
      <c r="N13" s="16" t="str">
        <f t="shared" ref="N13" si="21">_xlfn.REGEXREPLACE(M13, "\d+", "#")</f>
        <v>Requer Agilidade (Nível #)</v>
      </c>
      <c r="O13" s="18" t="s">
        <v>429</v>
      </c>
      <c r="P13" s="16" t="str">
        <f t="shared" ref="P13" si="22">_xlfn.REGEXREPLACE(O13, "\d+", "#")</f>
        <v>Требуется проворство (# уровень)</v>
      </c>
      <c r="Q13" s="18" t="s">
        <v>467</v>
      </c>
      <c r="R13" s="16" t="str">
        <f t="shared" ref="R13" si="23">_xlfn.REGEXREPLACE(Q13, "\d+", "#")</f>
        <v>ต้องมี ความคล่องตัว (ระดับ #)</v>
      </c>
      <c r="S13" s="18"/>
      <c r="T13" s="16" t="str">
        <f t="shared" ref="T13" si="24">_xlfn.REGEXREPLACE(S13, "\d+", "#")</f>
        <v/>
      </c>
    </row>
    <row r="14" spans="1:20" ht="15.95" customHeight="1" x14ac:dyDescent="0.25">
      <c r="A14" s="18" t="s">
        <v>0</v>
      </c>
      <c r="B14" s="16"/>
      <c r="C14" s="18" t="s">
        <v>0</v>
      </c>
      <c r="D14" s="16"/>
      <c r="E14" s="18" t="s">
        <v>0</v>
      </c>
      <c r="F14" s="16"/>
      <c r="G14" s="18" t="s">
        <v>0</v>
      </c>
      <c r="H14" s="16"/>
      <c r="I14" s="18" t="s">
        <v>0</v>
      </c>
      <c r="J14" s="16"/>
      <c r="K14" s="18" t="s">
        <v>0</v>
      </c>
      <c r="L14" s="16"/>
      <c r="M14" s="18" t="s">
        <v>0</v>
      </c>
      <c r="N14" s="16"/>
      <c r="O14" s="18" t="s">
        <v>0</v>
      </c>
      <c r="P14" s="16"/>
      <c r="Q14" s="18" t="s">
        <v>0</v>
      </c>
      <c r="R14" s="16"/>
      <c r="S14" s="18"/>
      <c r="T14" s="16"/>
    </row>
    <row r="15" spans="1:20" ht="15.95" customHeight="1" x14ac:dyDescent="0.25">
      <c r="A15" s="18" t="s">
        <v>33</v>
      </c>
      <c r="B15" s="16"/>
      <c r="C15" s="18" t="s">
        <v>71</v>
      </c>
      <c r="D15" s="16"/>
      <c r="E15" s="18" t="s">
        <v>82</v>
      </c>
      <c r="F15" s="16"/>
      <c r="G15" s="18" t="s">
        <v>59</v>
      </c>
      <c r="H15" s="16"/>
      <c r="I15" s="18" t="s">
        <v>93</v>
      </c>
      <c r="J15" s="16"/>
      <c r="K15" s="18" t="s">
        <v>104</v>
      </c>
      <c r="L15" s="16"/>
      <c r="M15" s="18" t="s">
        <v>113</v>
      </c>
      <c r="N15" s="16"/>
      <c r="O15" s="18" t="s">
        <v>125</v>
      </c>
      <c r="P15" s="16"/>
      <c r="Q15" s="18" t="s">
        <v>136</v>
      </c>
      <c r="R15" s="16"/>
      <c r="S15" s="18"/>
      <c r="T15" s="16"/>
    </row>
    <row r="16" spans="1:20" ht="15.95" customHeight="1" x14ac:dyDescent="0.25">
      <c r="A16" s="18" t="s">
        <v>0</v>
      </c>
      <c r="B16" s="16"/>
      <c r="C16" s="18" t="s">
        <v>0</v>
      </c>
      <c r="D16" s="16"/>
      <c r="E16" s="18" t="s">
        <v>0</v>
      </c>
      <c r="F16" s="16"/>
      <c r="G16" s="18" t="s">
        <v>0</v>
      </c>
      <c r="H16" s="16"/>
      <c r="I16" s="18" t="s">
        <v>0</v>
      </c>
      <c r="J16" s="16"/>
      <c r="K16" s="18" t="s">
        <v>0</v>
      </c>
      <c r="L16" s="16"/>
      <c r="M16" s="18" t="s">
        <v>0</v>
      </c>
      <c r="N16" s="16"/>
      <c r="O16" s="18" t="s">
        <v>0</v>
      </c>
      <c r="P16" s="16"/>
      <c r="Q16" s="18" t="s">
        <v>0</v>
      </c>
      <c r="R16" s="16"/>
      <c r="S16" s="18"/>
      <c r="T16" s="19"/>
    </row>
    <row r="17" spans="1:20" ht="15.95" customHeight="1" x14ac:dyDescent="0.25">
      <c r="A17" s="18" t="s">
        <v>42</v>
      </c>
      <c r="B17" s="16"/>
      <c r="C17" s="18" t="s">
        <v>361</v>
      </c>
      <c r="D17" s="16"/>
      <c r="E17" s="18" t="s">
        <v>501</v>
      </c>
      <c r="F17" s="16"/>
      <c r="G17" s="18" t="s">
        <v>321</v>
      </c>
      <c r="H17" s="16"/>
      <c r="I17" s="18" t="s">
        <v>565</v>
      </c>
      <c r="J17" s="16"/>
      <c r="K17" s="18" t="s">
        <v>532</v>
      </c>
      <c r="L17" s="16"/>
      <c r="M17" s="18" t="s">
        <v>396</v>
      </c>
      <c r="N17" s="16"/>
      <c r="O17" s="18" t="s">
        <v>430</v>
      </c>
      <c r="P17" s="16"/>
      <c r="Q17" s="18" t="s">
        <v>468</v>
      </c>
      <c r="R17" s="16"/>
      <c r="S17" s="18"/>
      <c r="T17" s="19"/>
    </row>
    <row r="18" spans="1:20" ht="15.95" customHeight="1" x14ac:dyDescent="0.25">
      <c r="A18" s="18"/>
      <c r="B18" s="16"/>
      <c r="C18" s="18"/>
      <c r="D18" s="16"/>
      <c r="E18" s="18"/>
      <c r="F18" s="16"/>
      <c r="G18" s="18"/>
      <c r="H18" s="16"/>
      <c r="I18" s="18"/>
      <c r="J18" s="16"/>
      <c r="K18" s="18"/>
      <c r="L18" s="16"/>
      <c r="M18" s="18"/>
      <c r="N18" s="16"/>
      <c r="O18" s="18"/>
      <c r="P18" s="16"/>
      <c r="Q18" s="18"/>
      <c r="R18" s="16"/>
      <c r="S18" s="18"/>
      <c r="T18" s="19"/>
    </row>
    <row r="19" spans="1:20" ht="15.95" customHeight="1" x14ac:dyDescent="0.25">
      <c r="A19" s="18"/>
      <c r="B19" s="16"/>
      <c r="C19" s="18"/>
      <c r="D19" s="16"/>
      <c r="E19" s="18"/>
      <c r="F19" s="16"/>
      <c r="G19" s="18"/>
      <c r="H19" s="16"/>
      <c r="I19" s="18"/>
      <c r="J19" s="16"/>
      <c r="K19" s="18"/>
      <c r="L19" s="16"/>
      <c r="M19" s="18"/>
      <c r="N19" s="16"/>
      <c r="O19" s="18"/>
      <c r="P19" s="16"/>
      <c r="Q19" s="18"/>
      <c r="R19" s="16"/>
      <c r="S19" s="18"/>
      <c r="T19" s="19"/>
    </row>
    <row r="20" spans="1:20" ht="15.95" customHeight="1" x14ac:dyDescent="0.25">
      <c r="A20" s="18"/>
      <c r="B20" s="16"/>
      <c r="C20" s="18"/>
      <c r="D20" s="16"/>
      <c r="E20" s="18"/>
      <c r="F20" s="16"/>
      <c r="G20" s="18"/>
      <c r="H20" s="16"/>
      <c r="I20" s="18"/>
      <c r="J20" s="16"/>
      <c r="K20" s="18"/>
      <c r="L20" s="16"/>
      <c r="M20" s="18"/>
      <c r="N20" s="16"/>
      <c r="O20" s="18"/>
      <c r="P20" s="16"/>
      <c r="Q20" s="18"/>
      <c r="R20" s="16"/>
      <c r="S20" s="18"/>
      <c r="T20" s="19"/>
    </row>
    <row r="21" spans="1:20" ht="15.95" customHeight="1" x14ac:dyDescent="0.25">
      <c r="A21" s="18"/>
      <c r="B21" s="16"/>
      <c r="C21" s="18"/>
      <c r="D21" s="16"/>
      <c r="E21" s="18"/>
      <c r="F21" s="16"/>
      <c r="G21" s="18"/>
      <c r="H21" s="16"/>
      <c r="I21" s="18"/>
      <c r="J21" s="16"/>
      <c r="K21" s="18"/>
      <c r="L21" s="16"/>
      <c r="M21" s="18"/>
      <c r="N21" s="16"/>
      <c r="O21" s="18"/>
      <c r="P21" s="16"/>
      <c r="Q21" s="18"/>
      <c r="R21" s="16"/>
      <c r="S21" s="18"/>
      <c r="T21" s="19"/>
    </row>
    <row r="22" spans="1:20" ht="15.95" customHeight="1" x14ac:dyDescent="0.25">
      <c r="A22" s="18"/>
      <c r="B22" s="16"/>
      <c r="C22" s="18"/>
      <c r="D22" s="16"/>
      <c r="E22" s="18"/>
      <c r="F22" s="16"/>
      <c r="G22" s="18"/>
      <c r="H22" s="16"/>
      <c r="I22" s="18"/>
      <c r="J22" s="16"/>
      <c r="K22" s="18"/>
      <c r="L22" s="16"/>
      <c r="M22" s="18"/>
      <c r="N22" s="16"/>
      <c r="O22" s="18"/>
      <c r="P22" s="16"/>
      <c r="Q22" s="18"/>
      <c r="R22" s="16"/>
      <c r="S22" s="18"/>
      <c r="T22" s="19"/>
    </row>
    <row r="23" spans="1:20" ht="15.95" customHeight="1" x14ac:dyDescent="0.25">
      <c r="A23" s="18"/>
      <c r="B23" s="16"/>
      <c r="C23" s="18"/>
      <c r="D23" s="16"/>
      <c r="E23" s="18"/>
      <c r="F23" s="16"/>
      <c r="G23" s="18"/>
      <c r="H23" s="16"/>
      <c r="I23" s="18"/>
      <c r="J23" s="16"/>
      <c r="K23" s="18"/>
      <c r="L23" s="16"/>
      <c r="M23" s="18"/>
      <c r="N23" s="16"/>
      <c r="O23" s="18"/>
      <c r="P23" s="16"/>
      <c r="Q23" s="18"/>
      <c r="R23" s="16"/>
      <c r="S23" s="18"/>
      <c r="T23" s="19"/>
    </row>
    <row r="24" spans="1:20" ht="15.95" customHeight="1" x14ac:dyDescent="0.25">
      <c r="A24" s="18"/>
      <c r="B24" s="16"/>
      <c r="C24" s="18"/>
      <c r="D24" s="16"/>
      <c r="E24" s="18"/>
      <c r="F24" s="16"/>
      <c r="G24" s="18"/>
      <c r="H24" s="16"/>
      <c r="I24" s="18"/>
      <c r="J24" s="16"/>
      <c r="K24" s="18"/>
      <c r="L24" s="16"/>
      <c r="M24" s="18"/>
      <c r="N24" s="16"/>
      <c r="O24" s="18"/>
      <c r="P24" s="16"/>
      <c r="Q24" s="18"/>
      <c r="R24" s="16"/>
      <c r="S24" s="18"/>
      <c r="T24" s="19"/>
    </row>
    <row r="25" spans="1:20" ht="15.95" customHeight="1" x14ac:dyDescent="0.25">
      <c r="A25" s="18"/>
      <c r="B25" s="16"/>
      <c r="C25" s="18"/>
      <c r="D25" s="16"/>
      <c r="E25" s="18"/>
      <c r="F25" s="16"/>
      <c r="G25" s="18"/>
      <c r="H25" s="16"/>
      <c r="I25" s="18"/>
      <c r="J25" s="16"/>
      <c r="K25" s="18"/>
      <c r="L25" s="16"/>
      <c r="M25" s="18"/>
      <c r="N25" s="16"/>
      <c r="O25" s="18"/>
      <c r="P25" s="16"/>
      <c r="Q25" s="18"/>
      <c r="R25" s="16"/>
      <c r="S25" s="18"/>
      <c r="T25" s="19"/>
    </row>
    <row r="26" spans="1:20" ht="15.95" customHeight="1" x14ac:dyDescent="0.25">
      <c r="A26" s="18"/>
      <c r="B26" s="16"/>
      <c r="C26" s="18"/>
      <c r="D26" s="16"/>
      <c r="E26" s="18"/>
      <c r="F26" s="16"/>
      <c r="G26" s="18"/>
      <c r="H26" s="16"/>
      <c r="I26" s="18"/>
      <c r="J26" s="16"/>
      <c r="K26" s="18"/>
      <c r="L26" s="16"/>
      <c r="M26" s="18"/>
      <c r="N26" s="16"/>
      <c r="O26" s="18"/>
      <c r="P26" s="16"/>
      <c r="Q26" s="18"/>
      <c r="R26" s="16"/>
      <c r="S26" s="18"/>
      <c r="T26" s="19"/>
    </row>
    <row r="27" spans="1:20" ht="15.95" customHeight="1" x14ac:dyDescent="0.25">
      <c r="A27" s="18"/>
      <c r="B27" s="16"/>
      <c r="C27" s="18"/>
      <c r="D27" s="16"/>
      <c r="E27" s="18"/>
      <c r="F27" s="16"/>
      <c r="G27" s="18"/>
      <c r="H27" s="16"/>
      <c r="I27" s="18"/>
      <c r="J27" s="16"/>
      <c r="K27" s="18"/>
      <c r="L27" s="16"/>
      <c r="M27" s="18"/>
      <c r="N27" s="16"/>
      <c r="O27" s="18"/>
      <c r="P27" s="16"/>
      <c r="Q27" s="18"/>
      <c r="R27" s="16"/>
      <c r="S27" s="18"/>
      <c r="T27" s="19"/>
    </row>
    <row r="28" spans="1:20" ht="15.95" customHeight="1" x14ac:dyDescent="0.25">
      <c r="A28" s="18"/>
      <c r="B28" s="16"/>
      <c r="C28" s="18"/>
      <c r="D28" s="16"/>
      <c r="E28" s="18"/>
      <c r="F28" s="16"/>
      <c r="G28" s="18"/>
      <c r="H28" s="16"/>
      <c r="I28" s="18"/>
      <c r="J28" s="16"/>
      <c r="K28" s="18"/>
      <c r="L28" s="16"/>
      <c r="M28" s="18"/>
      <c r="N28" s="16"/>
      <c r="O28" s="18"/>
      <c r="P28" s="16"/>
      <c r="Q28" s="18"/>
      <c r="R28" s="16"/>
      <c r="S28" s="18"/>
      <c r="T28" s="19"/>
    </row>
    <row r="29" spans="1:20" ht="15.95" customHeight="1" x14ac:dyDescent="0.25">
      <c r="A29" s="18"/>
      <c r="B29" s="16"/>
      <c r="C29" s="18"/>
      <c r="D29" s="16"/>
      <c r="E29" s="18"/>
      <c r="F29" s="16"/>
      <c r="G29" s="18"/>
      <c r="H29" s="16"/>
      <c r="I29" s="18"/>
      <c r="J29" s="16"/>
      <c r="K29" s="18"/>
      <c r="L29" s="16"/>
      <c r="M29" s="18"/>
      <c r="N29" s="16"/>
      <c r="O29" s="18"/>
      <c r="P29" s="16"/>
      <c r="Q29" s="18"/>
      <c r="R29" s="16"/>
      <c r="S29" s="18"/>
      <c r="T29" s="19"/>
    </row>
    <row r="30" spans="1:20" ht="15.95" customHeight="1" x14ac:dyDescent="0.25">
      <c r="A30" s="18"/>
      <c r="B30" s="16"/>
      <c r="C30" s="18"/>
      <c r="D30" s="16"/>
      <c r="E30" s="18"/>
      <c r="F30" s="16"/>
      <c r="G30" s="18"/>
      <c r="H30" s="16"/>
      <c r="I30" s="18"/>
      <c r="J30" s="16"/>
      <c r="K30" s="18"/>
      <c r="L30" s="16"/>
      <c r="M30" s="18"/>
      <c r="N30" s="16"/>
      <c r="O30" s="18"/>
      <c r="P30" s="16"/>
      <c r="Q30" s="18"/>
      <c r="R30" s="16"/>
      <c r="S30" s="18"/>
      <c r="T30" s="19"/>
    </row>
    <row r="31" spans="1:20" ht="15.95" customHeight="1" x14ac:dyDescent="0.25">
      <c r="A31" s="18"/>
      <c r="B31" s="16"/>
      <c r="C31" s="18"/>
      <c r="D31" s="16"/>
      <c r="E31" s="18"/>
      <c r="F31" s="16"/>
      <c r="G31" s="18"/>
      <c r="H31" s="16"/>
      <c r="I31" s="18"/>
      <c r="J31" s="16"/>
      <c r="K31" s="18"/>
      <c r="L31" s="16"/>
      <c r="M31" s="18"/>
      <c r="N31" s="16"/>
      <c r="O31" s="18"/>
      <c r="P31" s="16"/>
      <c r="Q31" s="18"/>
      <c r="R31" s="16"/>
      <c r="S31" s="18"/>
      <c r="T31" s="19"/>
    </row>
    <row r="32" spans="1:20" ht="15.95" customHeight="1" x14ac:dyDescent="0.25">
      <c r="A32" s="18"/>
      <c r="B32" s="16"/>
      <c r="C32" s="18"/>
      <c r="D32" s="16"/>
      <c r="E32" s="18"/>
      <c r="F32" s="16"/>
      <c r="G32" s="18"/>
      <c r="H32" s="16"/>
      <c r="I32" s="18"/>
      <c r="J32" s="16"/>
      <c r="K32" s="18"/>
      <c r="L32" s="16"/>
      <c r="M32" s="18"/>
      <c r="N32" s="16"/>
      <c r="O32" s="18"/>
      <c r="P32" s="16"/>
      <c r="Q32" s="18"/>
      <c r="R32" s="16"/>
      <c r="S32" s="18"/>
      <c r="T32" s="19"/>
    </row>
    <row r="33" spans="1:20" ht="15.95" customHeight="1" x14ac:dyDescent="0.25">
      <c r="A33" s="21"/>
      <c r="B33" s="16"/>
      <c r="C33" s="18"/>
      <c r="D33" s="16"/>
      <c r="E33" s="18"/>
      <c r="F33" s="16"/>
      <c r="G33" s="18"/>
      <c r="H33" s="16"/>
      <c r="I33" s="18"/>
      <c r="J33" s="16"/>
      <c r="K33" s="18"/>
      <c r="L33" s="16"/>
      <c r="M33" s="18"/>
      <c r="N33" s="16"/>
      <c r="O33" s="18"/>
      <c r="P33" s="16"/>
      <c r="Q33" s="18"/>
      <c r="R33" s="16"/>
      <c r="S33" s="18"/>
      <c r="T33" s="19"/>
    </row>
    <row r="34" spans="1:20" ht="15.95" customHeight="1" x14ac:dyDescent="0.25">
      <c r="A34" s="18"/>
      <c r="B34" s="16"/>
      <c r="C34" s="18"/>
      <c r="D34" s="16"/>
      <c r="E34" s="18"/>
      <c r="F34" s="16"/>
      <c r="G34" s="18"/>
      <c r="H34" s="16"/>
      <c r="I34" s="18"/>
      <c r="J34" s="16"/>
      <c r="K34" s="18"/>
      <c r="L34" s="16"/>
      <c r="M34" s="18"/>
      <c r="N34" s="16"/>
      <c r="O34" s="18"/>
      <c r="P34" s="16"/>
      <c r="Q34" s="18"/>
      <c r="R34" s="16"/>
      <c r="S34" s="18"/>
      <c r="T34" s="19"/>
    </row>
    <row r="35" spans="1:20" ht="15.95" customHeight="1" x14ac:dyDescent="0.25">
      <c r="A35" s="18"/>
      <c r="B35" s="16"/>
      <c r="C35" s="18"/>
      <c r="D35" s="16"/>
      <c r="E35" s="18"/>
      <c r="F35" s="16"/>
      <c r="G35" s="18"/>
      <c r="H35" s="16"/>
      <c r="I35" s="18"/>
      <c r="J35" s="16"/>
      <c r="K35" s="18"/>
      <c r="L35" s="16"/>
      <c r="M35" s="18"/>
      <c r="N35" s="16"/>
      <c r="O35" s="18"/>
      <c r="P35" s="16"/>
      <c r="Q35" s="18"/>
      <c r="R35" s="16"/>
      <c r="S35" s="18"/>
      <c r="T35" s="19"/>
    </row>
    <row r="36" spans="1:20" ht="15.95" customHeight="1" x14ac:dyDescent="0.25">
      <c r="A36" s="18"/>
      <c r="B36" s="16"/>
      <c r="C36" s="18"/>
      <c r="D36" s="16"/>
      <c r="E36" s="18"/>
      <c r="F36" s="16"/>
      <c r="G36" s="18"/>
      <c r="H36" s="16"/>
      <c r="I36" s="18"/>
      <c r="J36" s="16"/>
      <c r="K36" s="18"/>
      <c r="L36" s="16"/>
      <c r="M36" s="18"/>
      <c r="N36" s="16"/>
      <c r="O36" s="18"/>
      <c r="P36" s="16"/>
      <c r="Q36" s="18"/>
      <c r="R36" s="16"/>
      <c r="S36" s="18"/>
      <c r="T36" s="19"/>
    </row>
    <row r="37" spans="1:20" ht="15.95" customHeight="1" x14ac:dyDescent="0.25">
      <c r="A37" s="18"/>
      <c r="B37" s="16"/>
      <c r="C37" s="18"/>
      <c r="D37" s="16"/>
      <c r="E37" s="18"/>
      <c r="F37" s="16"/>
      <c r="G37" s="18"/>
      <c r="H37" s="16"/>
      <c r="I37" s="18"/>
      <c r="J37" s="16"/>
      <c r="K37" s="18"/>
      <c r="L37" s="16"/>
      <c r="M37" s="18"/>
      <c r="N37" s="16"/>
      <c r="O37" s="18"/>
      <c r="P37" s="16"/>
      <c r="Q37" s="18"/>
      <c r="R37" s="16"/>
      <c r="S37" s="18"/>
      <c r="T37" s="19"/>
    </row>
    <row r="38" spans="1:20" ht="15.95" customHeight="1" x14ac:dyDescent="0.25">
      <c r="A38" s="18"/>
      <c r="B38" s="16"/>
      <c r="C38" s="18"/>
      <c r="D38" s="16"/>
      <c r="E38" s="18"/>
      <c r="F38" s="16"/>
      <c r="G38" s="18"/>
      <c r="H38" s="16"/>
      <c r="I38" s="18"/>
      <c r="J38" s="16"/>
      <c r="K38" s="18"/>
      <c r="L38" s="16"/>
      <c r="M38" s="18"/>
      <c r="N38" s="16"/>
      <c r="O38" s="18"/>
      <c r="P38" s="16"/>
      <c r="Q38" s="18"/>
      <c r="R38" s="16"/>
      <c r="S38" s="18"/>
      <c r="T38" s="20"/>
    </row>
    <row r="39" spans="1:20" ht="15.95" customHeight="1" x14ac:dyDescent="0.25">
      <c r="A39" s="18"/>
      <c r="B39" s="16"/>
      <c r="C39" s="18"/>
      <c r="D39" s="16"/>
      <c r="E39" s="18"/>
      <c r="F39" s="16"/>
      <c r="G39" s="18"/>
      <c r="H39" s="16"/>
      <c r="I39" s="18"/>
      <c r="J39" s="16"/>
      <c r="K39" s="18"/>
      <c r="L39" s="16"/>
      <c r="M39" s="18"/>
      <c r="N39" s="16"/>
      <c r="O39" s="18"/>
      <c r="P39" s="16"/>
      <c r="Q39" s="18"/>
      <c r="R39" s="16"/>
      <c r="S39" s="18"/>
      <c r="T39" s="20"/>
    </row>
    <row r="40" spans="1:20" ht="15.95" customHeight="1" x14ac:dyDescent="0.25">
      <c r="A40" s="18"/>
      <c r="B40" s="16"/>
      <c r="C40" s="18"/>
      <c r="D40" s="16"/>
      <c r="E40" s="18"/>
      <c r="F40" s="16"/>
      <c r="G40" s="18"/>
      <c r="H40" s="16"/>
      <c r="I40" s="18"/>
      <c r="J40" s="16"/>
      <c r="K40" s="18"/>
      <c r="L40" s="16"/>
      <c r="M40" s="18"/>
      <c r="N40" s="16"/>
      <c r="O40" s="18"/>
      <c r="P40" s="16"/>
      <c r="Q40" s="18"/>
      <c r="R40" s="16"/>
      <c r="S40" s="18"/>
      <c r="T40" s="20"/>
    </row>
    <row r="41" spans="1:20" ht="15.95" customHeight="1" x14ac:dyDescent="0.25">
      <c r="A41" s="18"/>
      <c r="B41" s="16"/>
      <c r="C41" s="18"/>
      <c r="D41" s="16"/>
      <c r="E41" s="18"/>
      <c r="F41" s="16"/>
      <c r="G41" s="18"/>
      <c r="H41" s="16"/>
      <c r="I41" s="18"/>
      <c r="J41" s="16"/>
      <c r="K41" s="18"/>
      <c r="L41" s="16"/>
      <c r="M41" s="18"/>
      <c r="N41" s="16"/>
      <c r="O41" s="18"/>
      <c r="P41" s="16"/>
      <c r="Q41" s="18"/>
      <c r="R41" s="16"/>
      <c r="S41" s="18"/>
      <c r="T41" s="20"/>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1" priority="2" stopIfTrue="1">
      <formula>NOT(ISERROR(A3))</formula>
    </cfRule>
  </conditionalFormatting>
  <conditionalFormatting sqref="A3:T51">
    <cfRule type="containsErrors" dxfId="220" priority="1" stopIfTrue="1">
      <formula>ISERROR(A3)</formula>
    </cfRule>
    <cfRule type="notContainsBlanks" dxfId="219" priority="3">
      <formula>LEN(TRIM(A3))&gt;0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9EE30-CB5A-4F70-AEBD-DA220395B129}">
  <sheetPr codeName="Sheet106"/>
  <dimension ref="A1:T51"/>
  <sheetViews>
    <sheetView workbookViewId="0">
      <selection activeCell="A3" sqref="A3:A16"/>
    </sheetView>
  </sheetViews>
  <sheetFormatPr defaultColWidth="9.28515625" defaultRowHeight="15" x14ac:dyDescent="0.25"/>
  <cols>
    <col min="1" max="1" width="44.7109375" customWidth="1"/>
    <col min="2" max="2" width="13.85546875" customWidth="1"/>
    <col min="8" max="8" width="9.28515625" customWidth="1"/>
  </cols>
  <sheetData>
    <row r="1" spans="1:20" x14ac:dyDescent="0.25">
      <c r="A1" s="23" t="str">
        <f>HYPERLINK("#Sheets!A1","Back to sheets")</f>
        <v>Back to sheets</v>
      </c>
    </row>
    <row r="2" spans="1:20" ht="15.95" customHeight="1" x14ac:dyDescent="0.25">
      <c r="A2" s="8" t="s">
        <v>3</v>
      </c>
      <c r="B2" s="9" t="s">
        <v>31</v>
      </c>
      <c r="C2" s="8" t="s">
        <v>7</v>
      </c>
      <c r="D2" s="9" t="s">
        <v>31</v>
      </c>
      <c r="E2" s="8" t="s">
        <v>9</v>
      </c>
      <c r="F2" s="9" t="s">
        <v>31</v>
      </c>
      <c r="G2" s="8" t="s">
        <v>10</v>
      </c>
      <c r="H2" s="9" t="s">
        <v>31</v>
      </c>
      <c r="I2" s="8" t="s">
        <v>11</v>
      </c>
      <c r="J2" s="9" t="s">
        <v>31</v>
      </c>
      <c r="K2" s="8" t="s">
        <v>12</v>
      </c>
      <c r="L2" s="9" t="s">
        <v>31</v>
      </c>
      <c r="M2" s="8" t="s">
        <v>13</v>
      </c>
      <c r="N2" s="9" t="s">
        <v>31</v>
      </c>
      <c r="O2" s="8" t="s">
        <v>14</v>
      </c>
      <c r="P2" s="9" t="s">
        <v>31</v>
      </c>
      <c r="Q2" s="8" t="s">
        <v>15</v>
      </c>
      <c r="R2" s="9" t="s">
        <v>31</v>
      </c>
      <c r="S2" s="8" t="s">
        <v>16</v>
      </c>
      <c r="T2" s="8" t="s">
        <v>31</v>
      </c>
    </row>
    <row r="3" spans="1:20" ht="15.95" customHeight="1" x14ac:dyDescent="0.25">
      <c r="A3" s="17" t="s">
        <v>43</v>
      </c>
      <c r="B3" s="16" t="str">
        <f>TRIM(_xlfn.TEXTBEFORE(A3, ":"))</f>
        <v>Item Class</v>
      </c>
      <c r="C3" s="17" t="s">
        <v>64</v>
      </c>
      <c r="D3" s="16" t="str">
        <f>TRIM(_xlfn.TEXTBEFORE(C3, ":"))</f>
        <v>Gegenstandsklasse</v>
      </c>
      <c r="E3" s="17" t="s">
        <v>75</v>
      </c>
      <c r="F3" s="16" t="str">
        <f>TRIM(_xlfn.TEXTBEFORE(E3, ":"))</f>
        <v>Clase de objeto</v>
      </c>
      <c r="G3" s="17" t="s">
        <v>51</v>
      </c>
      <c r="H3" s="16" t="str">
        <f>TRIM(_xlfn.TEXTBEFORE(G3, ":"))</f>
        <v>Classe d'objet</v>
      </c>
      <c r="I3" s="17" t="s">
        <v>86</v>
      </c>
      <c r="J3" s="16" t="str">
        <f>TRIM(_xlfn.TEXTBEFORE(I3, ":"))</f>
        <v>アイテムクラス</v>
      </c>
      <c r="K3" s="17" t="s">
        <v>97</v>
      </c>
      <c r="L3" s="16" t="str">
        <f>TRIM(_xlfn.TEXTBEFORE(K3, ":"))</f>
        <v>아이템 종류</v>
      </c>
      <c r="M3" s="17" t="s">
        <v>108</v>
      </c>
      <c r="N3" s="16" t="str">
        <f>TRIM(_xlfn.TEXTBEFORE(M3, ":"))</f>
        <v>Classe do Item</v>
      </c>
      <c r="O3" s="17" t="s">
        <v>117</v>
      </c>
      <c r="P3" s="16" t="str">
        <f>TRIM(_xlfn.TEXTBEFORE(O3, ":"))</f>
        <v>Класс предмета</v>
      </c>
      <c r="Q3" s="17" t="s">
        <v>129</v>
      </c>
      <c r="R3" s="16" t="str">
        <f>TRIM(_xlfn.TEXTBEFORE(Q3, ":"))</f>
        <v>ชนิดไอเทม</v>
      </c>
      <c r="S3" s="17"/>
      <c r="T3" s="19" t="e">
        <f>TRIM(_xlfn.TEXTBEFORE(S3, ":"))</f>
        <v>#N/A</v>
      </c>
    </row>
    <row r="4" spans="1:20" ht="15.95" customHeight="1" x14ac:dyDescent="0.25">
      <c r="A4" s="18" t="s">
        <v>35</v>
      </c>
      <c r="B4" s="16" t="str">
        <f>TRIM(_xlfn.TEXTAFTER(A3, ":"))</f>
        <v>Contracts</v>
      </c>
      <c r="C4" s="18" t="s">
        <v>63</v>
      </c>
      <c r="D4" s="16" t="str">
        <f>TRIM(_xlfn.TEXTAFTER(C3, ":"))</f>
        <v>Aufträge</v>
      </c>
      <c r="E4" s="18" t="s">
        <v>74</v>
      </c>
      <c r="F4" s="16" t="str">
        <f>TRIM(_xlfn.TEXTAFTER(E3, ":"))</f>
        <v>Contratos</v>
      </c>
      <c r="G4" s="18" t="s">
        <v>50</v>
      </c>
      <c r="H4" s="16" t="str">
        <f>TRIM(_xlfn.TEXTAFTER(G3, ":"))</f>
        <v>Contrats</v>
      </c>
      <c r="I4" s="18" t="s">
        <v>85</v>
      </c>
      <c r="J4" s="16" t="str">
        <f>TRIM(_xlfn.TEXTAFTER(I3, ":"))</f>
        <v>依頼書</v>
      </c>
      <c r="K4" s="18" t="s">
        <v>96</v>
      </c>
      <c r="L4" s="16" t="str">
        <f>TRIM(_xlfn.TEXTAFTER(K3, ":"))</f>
        <v>계약</v>
      </c>
      <c r="M4" s="18" t="s">
        <v>107</v>
      </c>
      <c r="N4" s="16" t="str">
        <f>TRIM(_xlfn.TEXTAFTER(M3, ":"))</f>
        <v>Contratos</v>
      </c>
      <c r="O4" s="18" t="s">
        <v>116</v>
      </c>
      <c r="P4" s="16" t="str">
        <f>TRIM(_xlfn.TEXTAFTER(O3, ":"))</f>
        <v>Контракты</v>
      </c>
      <c r="Q4" s="18" t="s">
        <v>128</v>
      </c>
      <c r="R4" s="16" t="str">
        <f>TRIM(_xlfn.TEXTAFTER(Q3, ":"))</f>
        <v>สัญญาจ้าง</v>
      </c>
      <c r="S4" s="18"/>
      <c r="T4" s="19" t="e">
        <f>TRIM(_xlfn.TEXTAFTER(S3, ":"))</f>
        <v>#N/A</v>
      </c>
    </row>
    <row r="5" spans="1:20" ht="15.95" customHeight="1" x14ac:dyDescent="0.25">
      <c r="A5" s="18" t="s">
        <v>291</v>
      </c>
      <c r="B5" s="16" t="str">
        <f>TRIM(_xlfn.TEXTBEFORE(A4, ":"))</f>
        <v>Rarity</v>
      </c>
      <c r="C5" s="18" t="s">
        <v>362</v>
      </c>
      <c r="D5" s="16" t="str">
        <f>TRIM(_xlfn.TEXTBEFORE(C4, ":"))</f>
        <v>Seltenheit</v>
      </c>
      <c r="E5" s="18" t="s">
        <v>502</v>
      </c>
      <c r="F5" s="16" t="str">
        <f>TRIM(_xlfn.TEXTBEFORE(E4, ":"))</f>
        <v>Rareza</v>
      </c>
      <c r="G5" s="18" t="s">
        <v>323</v>
      </c>
      <c r="H5" s="16" t="str">
        <f>TRIM(_xlfn.TEXTBEFORE(G4, ":"))</f>
        <v>Rareté</v>
      </c>
      <c r="I5" s="18" t="s">
        <v>566</v>
      </c>
      <c r="J5" s="16" t="str">
        <f>TRIM(_xlfn.TEXTBEFORE(I4, ":"))</f>
        <v>レアリティ</v>
      </c>
      <c r="K5" s="18" t="s">
        <v>533</v>
      </c>
      <c r="L5" s="16" t="str">
        <f>TRIM(_xlfn.TEXTBEFORE(K4, ":"))</f>
        <v>아이템 희귀도</v>
      </c>
      <c r="M5" s="18" t="s">
        <v>397</v>
      </c>
      <c r="N5" s="16" t="str">
        <f>TRIM(_xlfn.TEXTBEFORE(M4, ":"))</f>
        <v>Raridade</v>
      </c>
      <c r="O5" s="18" t="s">
        <v>431</v>
      </c>
      <c r="P5" s="16" t="str">
        <f>TRIM(_xlfn.TEXTBEFORE(O4, ":"))</f>
        <v>Редкость</v>
      </c>
      <c r="Q5" s="18" t="s">
        <v>469</v>
      </c>
      <c r="R5" s="16" t="str">
        <f>TRIM(_xlfn.TEXTBEFORE(Q4, ":"))</f>
        <v>ความหายาก</v>
      </c>
      <c r="S5" s="18"/>
      <c r="T5" s="19" t="e">
        <f>TRIM(_xlfn.TEXTBEFORE(S4, ":"))</f>
        <v>#N/A</v>
      </c>
    </row>
    <row r="6" spans="1:20" ht="15.95" customHeight="1" x14ac:dyDescent="0.25">
      <c r="A6" s="18" t="s">
        <v>0</v>
      </c>
      <c r="B6" s="16" t="str">
        <f>TRIM(_xlfn.TEXTAFTER(A4,":"))</f>
        <v>Normal</v>
      </c>
      <c r="C6" s="18" t="s">
        <v>0</v>
      </c>
      <c r="D6" s="16" t="str">
        <f>TRIM(_xlfn.TEXTAFTER(C4,":"))</f>
        <v>Normal</v>
      </c>
      <c r="E6" s="18" t="s">
        <v>0</v>
      </c>
      <c r="F6" s="16" t="str">
        <f>TRIM(_xlfn.TEXTAFTER(E4,":"))</f>
        <v>Normal</v>
      </c>
      <c r="G6" s="18" t="s">
        <v>0</v>
      </c>
      <c r="H6" s="16" t="str">
        <f>TRIM(_xlfn.TEXTAFTER(G4,":"))</f>
        <v>Normal</v>
      </c>
      <c r="I6" s="18" t="s">
        <v>0</v>
      </c>
      <c r="J6" s="16" t="str">
        <f>TRIM(_xlfn.TEXTAFTER(I4,":"))</f>
        <v>ノーマル</v>
      </c>
      <c r="K6" s="18" t="s">
        <v>0</v>
      </c>
      <c r="L6" s="16" t="str">
        <f>TRIM(_xlfn.TEXTAFTER(K4,":"))</f>
        <v>일반</v>
      </c>
      <c r="M6" s="18" t="s">
        <v>0</v>
      </c>
      <c r="N6" s="16" t="str">
        <f>TRIM(_xlfn.TEXTAFTER(M4,":"))</f>
        <v>Normal</v>
      </c>
      <c r="O6" s="18" t="s">
        <v>0</v>
      </c>
      <c r="P6" s="16" t="str">
        <f>TRIM(_xlfn.TEXTAFTER(O4,":"))</f>
        <v>Обычный</v>
      </c>
      <c r="Q6" s="18" t="s">
        <v>0</v>
      </c>
      <c r="R6" s="16" t="str">
        <f>TRIM(_xlfn.TEXTAFTER(Q4,":"))</f>
        <v>ปกติ</v>
      </c>
      <c r="S6" s="18"/>
      <c r="T6" s="19" t="e">
        <f>TRIM(_xlfn.TEXTAFTER(S4,":"))</f>
        <v>#N/A</v>
      </c>
    </row>
    <row r="7" spans="1:20" ht="15.95" customHeight="1" x14ac:dyDescent="0.25">
      <c r="A7" s="18" t="s">
        <v>44</v>
      </c>
      <c r="B7" s="16"/>
      <c r="C7" s="18" t="s">
        <v>65</v>
      </c>
      <c r="D7" s="16"/>
      <c r="E7" s="18" t="s">
        <v>76</v>
      </c>
      <c r="F7" s="16"/>
      <c r="G7" s="18" t="s">
        <v>52</v>
      </c>
      <c r="H7" s="16"/>
      <c r="I7" s="18" t="s">
        <v>87</v>
      </c>
      <c r="J7" s="16"/>
      <c r="K7" s="18" t="s">
        <v>98</v>
      </c>
      <c r="L7" s="16"/>
      <c r="M7" s="18" t="s">
        <v>76</v>
      </c>
      <c r="N7" s="16"/>
      <c r="O7" s="18" t="s">
        <v>118</v>
      </c>
      <c r="P7" s="16"/>
      <c r="Q7" s="18" t="s">
        <v>130</v>
      </c>
      <c r="R7" s="16"/>
      <c r="S7" s="18"/>
      <c r="T7" s="19"/>
    </row>
    <row r="8" spans="1:20" ht="15.95" customHeight="1" x14ac:dyDescent="0.25">
      <c r="A8" s="18" t="s">
        <v>45</v>
      </c>
      <c r="B8" s="16" t="str">
        <f>TRIM(_xlfn.TEXTBEFORE(_xlfn.TEXTAFTER(A8, " ("), ")"))</f>
        <v>Moderate Value</v>
      </c>
      <c r="C8" s="18" t="s">
        <v>66</v>
      </c>
      <c r="D8" s="16" t="str">
        <f>TRIM(_xlfn.TEXTBEFORE(_xlfn.TEXTAFTER(C8, " ("), ")"))</f>
        <v>Mäßiger Wert</v>
      </c>
      <c r="E8" s="18" t="s">
        <v>77</v>
      </c>
      <c r="F8" s="16" t="str">
        <f>TRIM(_xlfn.TEXTBEFORE(_xlfn.TEXTAFTER(E8, " ("), ")"))</f>
        <v>valor moderado</v>
      </c>
      <c r="G8" s="18" t="s">
        <v>53</v>
      </c>
      <c r="H8" s="16" t="str">
        <f>TRIM(_xlfn.TEXTBEFORE(_xlfn.TEXTAFTER(G8, " ("), ")"))</f>
        <v>valeur : moyenne</v>
      </c>
      <c r="I8" s="18" t="s">
        <v>88</v>
      </c>
      <c r="J8" s="16" t="str">
        <f>TRIM(_xlfn.TEXTBEFORE(_xlfn.TEXTAFTER(I8, " ("), ")"))</f>
        <v>中程度な価値</v>
      </c>
      <c r="K8" s="18" t="s">
        <v>99</v>
      </c>
      <c r="L8" s="16" t="str">
        <f>TRIM(_xlfn.TEXTBEFORE(_xlfn.TEXTAFTER(K8, " ("), ")"))</f>
        <v>보통 가치</v>
      </c>
      <c r="M8" s="18" t="s">
        <v>109</v>
      </c>
      <c r="N8" s="16" t="str">
        <f>TRIM(_xlfn.TEXTBEFORE(_xlfn.TEXTAFTER(M8, " ("), ")"))</f>
        <v>Valor Moderado</v>
      </c>
      <c r="O8" s="18" t="s">
        <v>119</v>
      </c>
      <c r="P8" s="16" t="str">
        <f>TRIM(_xlfn.TEXTBEFORE(_xlfn.TEXTAFTER(O8, " ("), ")"))</f>
        <v>средней ценности</v>
      </c>
      <c r="Q8" s="18" t="s">
        <v>131</v>
      </c>
      <c r="R8" s="16" t="str">
        <f>TRIM(_xlfn.TEXTBEFORE(_xlfn.TEXTAFTER(Q8, " ("), ")"))</f>
        <v>มีมูลค่าพอประมาณ</v>
      </c>
      <c r="S8" s="18"/>
      <c r="T8" s="16" t="e">
        <f>TRIM(_xlfn.TEXTBEFORE(_xlfn.TEXTAFTER(S8, " ("), ")"))</f>
        <v>#N/A</v>
      </c>
    </row>
    <row r="9" spans="1:20" ht="15.95" customHeight="1" x14ac:dyDescent="0.25">
      <c r="A9" s="18" t="s">
        <v>289</v>
      </c>
      <c r="B9" s="16"/>
      <c r="C9" s="18" t="s">
        <v>354</v>
      </c>
      <c r="D9" s="16"/>
      <c r="E9" s="18" t="s">
        <v>494</v>
      </c>
      <c r="F9" s="16"/>
      <c r="G9" s="18" t="s">
        <v>315</v>
      </c>
      <c r="H9" s="16"/>
      <c r="I9" s="18" t="s">
        <v>558</v>
      </c>
      <c r="J9" s="16"/>
      <c r="K9" s="18" t="s">
        <v>525</v>
      </c>
      <c r="L9" s="16"/>
      <c r="M9" s="18" t="s">
        <v>389</v>
      </c>
      <c r="N9" s="16"/>
      <c r="O9" s="18" t="s">
        <v>423</v>
      </c>
      <c r="P9" s="16"/>
      <c r="Q9" s="18" t="s">
        <v>461</v>
      </c>
      <c r="R9" s="16"/>
      <c r="S9" s="18"/>
      <c r="T9" s="19"/>
    </row>
    <row r="10" spans="1:20" ht="15.95" customHeight="1" x14ac:dyDescent="0.25">
      <c r="A10" s="18" t="s">
        <v>594</v>
      </c>
      <c r="B10" s="16" t="str">
        <f>_xlfn.REGEXREPLACE(A10, "\d+", "#")</f>
        <v>Requires Counter-Thaumaturgy (Level #)</v>
      </c>
      <c r="C10" s="18" t="s">
        <v>363</v>
      </c>
      <c r="D10" s="16" t="str">
        <f>_xlfn.REGEXREPLACE(C10, "\d+", "#")</f>
        <v>Erfordert Thaumaturgie-Abwehr (Stufe #)</v>
      </c>
      <c r="E10" s="18" t="s">
        <v>503</v>
      </c>
      <c r="F10" s="16" t="str">
        <f>_xlfn.REGEXREPLACE(E10, "\d+", "#")</f>
        <v>Requiere Antitaumaturgia (Nivel#)</v>
      </c>
      <c r="G10" s="18" t="s">
        <v>324</v>
      </c>
      <c r="H10" s="16" t="str">
        <f>_xlfn.REGEXREPLACE(G10, "\d+", "#")</f>
        <v>Prérequis : Anti-thaumaturgie au niv. #</v>
      </c>
      <c r="I10" s="18" t="s">
        <v>567</v>
      </c>
      <c r="J10" s="16" t="str">
        <f>_xlfn.REGEXREPLACE(I10, "\d+", "#")</f>
        <v>必要ジョブ 対魔術 (レベル #)</v>
      </c>
      <c r="K10" s="18" t="s">
        <v>534</v>
      </c>
      <c r="L10" s="16" t="str">
        <f>_xlfn.REGEXREPLACE(K10, "\d+", "#")</f>
        <v>반-마석학 필요(#레벨)</v>
      </c>
      <c r="M10" s="18" t="s">
        <v>398</v>
      </c>
      <c r="N10" s="16" t="str">
        <f>_xlfn.REGEXREPLACE(M10, "\d+", "#")</f>
        <v>Requer Contra-Taumaturgia (Nível #)</v>
      </c>
      <c r="O10" s="18" t="s">
        <v>432</v>
      </c>
      <c r="P10" s="16" t="str">
        <f>_xlfn.REGEXREPLACE(O10, "\d+", "#")</f>
        <v>Требуется контрмагия (# уровень)</v>
      </c>
      <c r="Q10" s="18" t="s">
        <v>470</v>
      </c>
      <c r="R10" s="16" t="str">
        <f>_xlfn.REGEXREPLACE(Q10, "\d+", "#")</f>
        <v>ต้องมี โต้มนต์มณี (ระดับ #)</v>
      </c>
      <c r="S10" s="18"/>
      <c r="T10" s="16" t="str">
        <f>_xlfn.REGEXREPLACE(S10, "\d+", "#")</f>
        <v/>
      </c>
    </row>
    <row r="11" spans="1:20" ht="15.95" customHeight="1" x14ac:dyDescent="0.25">
      <c r="A11" s="18" t="s">
        <v>0</v>
      </c>
      <c r="B11" s="16"/>
      <c r="C11" s="18" t="s">
        <v>0</v>
      </c>
      <c r="D11" s="16"/>
      <c r="E11" s="18" t="s">
        <v>0</v>
      </c>
      <c r="F11" s="16"/>
      <c r="G11" s="18" t="s">
        <v>0</v>
      </c>
      <c r="H11" s="16"/>
      <c r="I11" s="18" t="s">
        <v>0</v>
      </c>
      <c r="J11" s="16"/>
      <c r="K11" s="18" t="s">
        <v>0</v>
      </c>
      <c r="L11" s="16"/>
      <c r="M11" s="18" t="s">
        <v>0</v>
      </c>
      <c r="N11" s="16"/>
      <c r="O11" s="18" t="s">
        <v>0</v>
      </c>
      <c r="P11" s="16"/>
      <c r="Q11" s="18" t="s">
        <v>0</v>
      </c>
      <c r="R11" s="16"/>
      <c r="S11" s="18"/>
      <c r="T11" s="19"/>
    </row>
    <row r="12" spans="1:20" ht="15.95" customHeight="1" x14ac:dyDescent="0.25">
      <c r="A12" s="18" t="s">
        <v>32</v>
      </c>
      <c r="B12" s="16"/>
      <c r="C12" s="18" t="s">
        <v>70</v>
      </c>
      <c r="D12" s="16"/>
      <c r="E12" s="18" t="s">
        <v>81</v>
      </c>
      <c r="F12" s="16"/>
      <c r="G12" s="18" t="s">
        <v>58</v>
      </c>
      <c r="H12" s="16"/>
      <c r="I12" s="18" t="s">
        <v>92</v>
      </c>
      <c r="J12" s="16"/>
      <c r="K12" s="18" t="s">
        <v>103</v>
      </c>
      <c r="L12" s="16"/>
      <c r="M12" s="18" t="s">
        <v>112</v>
      </c>
      <c r="N12" s="16"/>
      <c r="O12" s="18" t="s">
        <v>124</v>
      </c>
      <c r="P12" s="16"/>
      <c r="Q12" s="18" t="s">
        <v>135</v>
      </c>
      <c r="R12" s="16"/>
      <c r="S12" s="18"/>
      <c r="T12" s="19"/>
    </row>
    <row r="13" spans="1:20" ht="15.95" customHeight="1" x14ac:dyDescent="0.25">
      <c r="A13" s="18" t="s">
        <v>0</v>
      </c>
      <c r="B13" s="16"/>
      <c r="C13" s="18" t="s">
        <v>0</v>
      </c>
      <c r="D13" s="16"/>
      <c r="E13" s="18" t="s">
        <v>0</v>
      </c>
      <c r="F13" s="16"/>
      <c r="G13" s="18" t="s">
        <v>0</v>
      </c>
      <c r="H13" s="16"/>
      <c r="I13" s="18" t="s">
        <v>0</v>
      </c>
      <c r="J13" s="16"/>
      <c r="K13" s="18" t="s">
        <v>0</v>
      </c>
      <c r="L13" s="16"/>
      <c r="M13" s="18" t="s">
        <v>0</v>
      </c>
      <c r="N13" s="16"/>
      <c r="O13" s="18" t="s">
        <v>0</v>
      </c>
      <c r="P13" s="16"/>
      <c r="Q13" s="18" t="s">
        <v>0</v>
      </c>
      <c r="R13" s="16"/>
      <c r="S13" s="18"/>
      <c r="T13" s="19"/>
    </row>
    <row r="14" spans="1:20" ht="15.95" customHeight="1" x14ac:dyDescent="0.25">
      <c r="A14" s="18" t="s">
        <v>46</v>
      </c>
      <c r="B14" s="16"/>
      <c r="C14" s="18" t="s">
        <v>68</v>
      </c>
      <c r="D14" s="16"/>
      <c r="E14" s="18" t="s">
        <v>79</v>
      </c>
      <c r="F14" s="16"/>
      <c r="G14" s="18" t="s">
        <v>55</v>
      </c>
      <c r="H14" s="16"/>
      <c r="I14" s="18" t="s">
        <v>90</v>
      </c>
      <c r="J14" s="16"/>
      <c r="K14" s="18" t="s">
        <v>101</v>
      </c>
      <c r="L14" s="16"/>
      <c r="M14" s="18" t="s">
        <v>399</v>
      </c>
      <c r="N14" s="16"/>
      <c r="O14" s="18" t="s">
        <v>121</v>
      </c>
      <c r="P14" s="16"/>
      <c r="Q14" s="18" t="s">
        <v>133</v>
      </c>
      <c r="R14" s="16"/>
      <c r="S14" s="18"/>
      <c r="T14" s="19"/>
    </row>
    <row r="15" spans="1:20" ht="15.95" customHeight="1" x14ac:dyDescent="0.25">
      <c r="A15" s="18" t="s">
        <v>0</v>
      </c>
      <c r="B15" s="16"/>
      <c r="C15" s="18" t="s">
        <v>0</v>
      </c>
      <c r="D15" s="16"/>
      <c r="E15" s="18" t="s">
        <v>0</v>
      </c>
      <c r="F15" s="16"/>
      <c r="G15" s="18" t="s">
        <v>56</v>
      </c>
      <c r="H15" s="16"/>
      <c r="I15" s="18" t="s">
        <v>0</v>
      </c>
      <c r="J15" s="16"/>
      <c r="K15" s="18" t="s">
        <v>0</v>
      </c>
      <c r="L15" s="16"/>
      <c r="M15" s="18" t="s">
        <v>0</v>
      </c>
      <c r="N15" s="16"/>
      <c r="O15" s="18" t="s">
        <v>122</v>
      </c>
      <c r="P15" s="16"/>
      <c r="Q15" s="18" t="s">
        <v>0</v>
      </c>
      <c r="R15" s="16"/>
      <c r="S15" s="18"/>
      <c r="T15" s="19"/>
    </row>
    <row r="16" spans="1:20" ht="15.95" customHeight="1" x14ac:dyDescent="0.25">
      <c r="A16" s="18" t="s">
        <v>47</v>
      </c>
      <c r="B16" s="16"/>
      <c r="C16" s="18" t="s">
        <v>69</v>
      </c>
      <c r="D16" s="16"/>
      <c r="E16" s="18" t="s">
        <v>80</v>
      </c>
      <c r="F16" s="16"/>
      <c r="G16" s="18" t="s">
        <v>0</v>
      </c>
      <c r="H16" s="16"/>
      <c r="I16" s="18" t="s">
        <v>91</v>
      </c>
      <c r="J16" s="16"/>
      <c r="K16" s="18" t="s">
        <v>102</v>
      </c>
      <c r="L16" s="16"/>
      <c r="M16" s="18" t="s">
        <v>111</v>
      </c>
      <c r="N16" s="16"/>
      <c r="O16" s="18" t="s">
        <v>0</v>
      </c>
      <c r="P16" s="16"/>
      <c r="Q16" s="18" t="s">
        <v>134</v>
      </c>
      <c r="R16" s="16"/>
      <c r="S16" s="18"/>
      <c r="T16" s="19"/>
    </row>
    <row r="17" spans="1:20" ht="15.95" customHeight="1" x14ac:dyDescent="0.25">
      <c r="A17" s="18"/>
      <c r="B17" s="16"/>
      <c r="C17" s="18"/>
      <c r="D17" s="16"/>
      <c r="E17" s="18"/>
      <c r="F17" s="16"/>
      <c r="G17" s="18" t="s">
        <v>57</v>
      </c>
      <c r="H17" s="16"/>
      <c r="I17" s="18"/>
      <c r="J17" s="16"/>
      <c r="K17" s="18"/>
      <c r="L17" s="16"/>
      <c r="M17" s="18"/>
      <c r="N17" s="16"/>
      <c r="O17" s="18" t="s">
        <v>123</v>
      </c>
      <c r="P17" s="16"/>
      <c r="Q17" s="18"/>
      <c r="R17" s="16"/>
      <c r="S17" s="18"/>
      <c r="T17" s="19"/>
    </row>
    <row r="18" spans="1:20" ht="15.95" customHeight="1" x14ac:dyDescent="0.25">
      <c r="A18" s="18"/>
      <c r="B18" s="16"/>
      <c r="C18" s="18"/>
      <c r="D18" s="16"/>
      <c r="E18" s="18"/>
      <c r="F18" s="16"/>
      <c r="G18" s="18"/>
      <c r="H18" s="16"/>
      <c r="I18" s="18"/>
      <c r="J18" s="16"/>
      <c r="K18" s="18"/>
      <c r="L18" s="16"/>
      <c r="M18" s="18"/>
      <c r="N18" s="16"/>
      <c r="O18" s="18"/>
      <c r="P18" s="16"/>
      <c r="Q18" s="18"/>
      <c r="R18" s="16"/>
      <c r="S18" s="18"/>
      <c r="T18" s="19"/>
    </row>
    <row r="19" spans="1:20" ht="15.95" customHeight="1" x14ac:dyDescent="0.25">
      <c r="A19" s="18"/>
      <c r="B19" s="16"/>
      <c r="C19" s="18"/>
      <c r="D19" s="16"/>
      <c r="E19" s="18"/>
      <c r="F19" s="16"/>
      <c r="G19" s="18"/>
      <c r="H19" s="16"/>
      <c r="I19" s="18"/>
      <c r="J19" s="16"/>
      <c r="K19" s="18"/>
      <c r="L19" s="16"/>
      <c r="M19" s="18"/>
      <c r="N19" s="16"/>
      <c r="O19" s="18"/>
      <c r="P19" s="16"/>
      <c r="Q19" s="18"/>
      <c r="R19" s="16"/>
      <c r="S19" s="18"/>
      <c r="T19" s="19"/>
    </row>
    <row r="20" spans="1:20" ht="15.95" customHeight="1" x14ac:dyDescent="0.25">
      <c r="A20" s="18"/>
      <c r="B20" s="16"/>
      <c r="C20" s="18"/>
      <c r="D20" s="16"/>
      <c r="E20" s="18"/>
      <c r="F20" s="16"/>
      <c r="G20" s="18"/>
      <c r="H20" s="16"/>
      <c r="I20" s="18"/>
      <c r="J20" s="16"/>
      <c r="K20" s="18"/>
      <c r="L20" s="16"/>
      <c r="M20" s="18"/>
      <c r="N20" s="16"/>
      <c r="O20" s="18"/>
      <c r="P20" s="16"/>
      <c r="Q20" s="18"/>
      <c r="R20" s="16"/>
      <c r="S20" s="18"/>
      <c r="T20" s="19"/>
    </row>
    <row r="21" spans="1:20" ht="15.95" customHeight="1" x14ac:dyDescent="0.25">
      <c r="A21" s="18"/>
      <c r="B21" s="16"/>
      <c r="C21" s="18"/>
      <c r="D21" s="16"/>
      <c r="E21" s="18"/>
      <c r="F21" s="16"/>
      <c r="G21" s="18"/>
      <c r="H21" s="16"/>
      <c r="I21" s="18"/>
      <c r="J21" s="16"/>
      <c r="K21" s="18"/>
      <c r="L21" s="16"/>
      <c r="M21" s="18"/>
      <c r="N21" s="16"/>
      <c r="O21" s="18"/>
      <c r="P21" s="16"/>
      <c r="Q21" s="18"/>
      <c r="R21" s="16"/>
      <c r="S21" s="18"/>
      <c r="T21" s="19"/>
    </row>
    <row r="22" spans="1:20" ht="15.95" customHeight="1" x14ac:dyDescent="0.25">
      <c r="A22" s="18"/>
      <c r="B22" s="16"/>
      <c r="C22" s="18"/>
      <c r="D22" s="16"/>
      <c r="E22" s="18"/>
      <c r="F22" s="16"/>
      <c r="G22" s="18"/>
      <c r="H22" s="16"/>
      <c r="I22" s="18"/>
      <c r="J22" s="16"/>
      <c r="K22" s="18"/>
      <c r="L22" s="16"/>
      <c r="M22" s="18"/>
      <c r="N22" s="16"/>
      <c r="O22" s="18"/>
      <c r="P22" s="16"/>
      <c r="Q22" s="18"/>
      <c r="R22" s="16"/>
      <c r="S22" s="18"/>
      <c r="T22" s="19"/>
    </row>
    <row r="23" spans="1:20" ht="15.95" customHeight="1" x14ac:dyDescent="0.25">
      <c r="A23" s="18"/>
      <c r="B23" s="16"/>
      <c r="C23" s="18"/>
      <c r="D23" s="16"/>
      <c r="E23" s="18"/>
      <c r="F23" s="16"/>
      <c r="G23" s="18"/>
      <c r="H23" s="16"/>
      <c r="I23" s="18"/>
      <c r="J23" s="16"/>
      <c r="K23" s="18"/>
      <c r="L23" s="16"/>
      <c r="M23" s="18"/>
      <c r="N23" s="16"/>
      <c r="O23" s="18"/>
      <c r="P23" s="16"/>
      <c r="Q23" s="18"/>
      <c r="R23" s="16"/>
      <c r="S23" s="18"/>
      <c r="T23" s="19"/>
    </row>
    <row r="24" spans="1:20" ht="15.95" customHeight="1" x14ac:dyDescent="0.25">
      <c r="A24" s="18"/>
      <c r="B24" s="16"/>
      <c r="C24" s="18"/>
      <c r="D24" s="16"/>
      <c r="E24" s="18"/>
      <c r="F24" s="16"/>
      <c r="G24" s="18"/>
      <c r="H24" s="16"/>
      <c r="I24" s="18"/>
      <c r="J24" s="16"/>
      <c r="K24" s="18"/>
      <c r="L24" s="16"/>
      <c r="M24" s="18"/>
      <c r="N24" s="16"/>
      <c r="O24" s="18"/>
      <c r="P24" s="16"/>
      <c r="Q24" s="18"/>
      <c r="R24" s="16"/>
      <c r="S24" s="18"/>
      <c r="T24" s="19"/>
    </row>
    <row r="25" spans="1:20" ht="15.95" customHeight="1" x14ac:dyDescent="0.25">
      <c r="A25" s="18"/>
      <c r="B25" s="16"/>
      <c r="C25" s="18"/>
      <c r="D25" s="16"/>
      <c r="E25" s="18"/>
      <c r="F25" s="16"/>
      <c r="G25" s="18"/>
      <c r="H25" s="16"/>
      <c r="I25" s="18"/>
      <c r="J25" s="16"/>
      <c r="K25" s="18"/>
      <c r="L25" s="16"/>
      <c r="M25" s="18"/>
      <c r="N25" s="16"/>
      <c r="O25" s="18"/>
      <c r="P25" s="16"/>
      <c r="Q25" s="18"/>
      <c r="R25" s="16"/>
      <c r="S25" s="18"/>
      <c r="T25" s="19"/>
    </row>
    <row r="26" spans="1:20" ht="15.95" customHeight="1" x14ac:dyDescent="0.25">
      <c r="A26" s="18"/>
      <c r="B26" s="16"/>
      <c r="C26" s="18"/>
      <c r="D26" s="16"/>
      <c r="E26" s="18"/>
      <c r="F26" s="16"/>
      <c r="G26" s="18"/>
      <c r="H26" s="16"/>
      <c r="I26" s="18"/>
      <c r="J26" s="16"/>
      <c r="K26" s="18"/>
      <c r="L26" s="16"/>
      <c r="M26" s="18"/>
      <c r="N26" s="16"/>
      <c r="O26" s="18"/>
      <c r="P26" s="16"/>
      <c r="Q26" s="18"/>
      <c r="R26" s="16"/>
      <c r="S26" s="18"/>
      <c r="T26" s="19"/>
    </row>
    <row r="27" spans="1:20" ht="15.95" customHeight="1" x14ac:dyDescent="0.25">
      <c r="A27" s="18"/>
      <c r="B27" s="16"/>
      <c r="C27" s="18"/>
      <c r="D27" s="16"/>
      <c r="E27" s="18"/>
      <c r="F27" s="16"/>
      <c r="G27" s="18"/>
      <c r="H27" s="16"/>
      <c r="I27" s="18"/>
      <c r="J27" s="16"/>
      <c r="K27" s="18"/>
      <c r="L27" s="16"/>
      <c r="M27" s="18"/>
      <c r="N27" s="16"/>
      <c r="O27" s="18"/>
      <c r="P27" s="16"/>
      <c r="Q27" s="18"/>
      <c r="R27" s="16"/>
      <c r="S27" s="18"/>
      <c r="T27" s="19"/>
    </row>
    <row r="28" spans="1:20" ht="15.95" customHeight="1" x14ac:dyDescent="0.25">
      <c r="A28" s="18"/>
      <c r="B28" s="16"/>
      <c r="C28" s="18"/>
      <c r="D28" s="16"/>
      <c r="E28" s="18"/>
      <c r="F28" s="16"/>
      <c r="G28" s="18"/>
      <c r="H28" s="16"/>
      <c r="I28" s="18"/>
      <c r="J28" s="16"/>
      <c r="K28" s="18"/>
      <c r="L28" s="16"/>
      <c r="M28" s="18"/>
      <c r="N28" s="16"/>
      <c r="O28" s="18"/>
      <c r="P28" s="16"/>
      <c r="Q28" s="18"/>
      <c r="R28" s="16"/>
      <c r="S28" s="18"/>
      <c r="T28" s="19"/>
    </row>
    <row r="29" spans="1:20" ht="15.95" customHeight="1" x14ac:dyDescent="0.25">
      <c r="A29" s="18"/>
      <c r="B29" s="16"/>
      <c r="C29" s="18"/>
      <c r="D29" s="16"/>
      <c r="E29" s="18"/>
      <c r="F29" s="16"/>
      <c r="G29" s="18"/>
      <c r="H29" s="16"/>
      <c r="I29" s="18"/>
      <c r="J29" s="16"/>
      <c r="K29" s="18"/>
      <c r="L29" s="16"/>
      <c r="M29" s="18"/>
      <c r="N29" s="16"/>
      <c r="O29" s="18"/>
      <c r="P29" s="16"/>
      <c r="Q29" s="18"/>
      <c r="R29" s="16"/>
      <c r="S29" s="18"/>
      <c r="T29" s="19"/>
    </row>
    <row r="30" spans="1:20" ht="15.95" customHeight="1" x14ac:dyDescent="0.25">
      <c r="A30" s="18"/>
      <c r="B30" s="16"/>
      <c r="C30" s="18"/>
      <c r="D30" s="16"/>
      <c r="E30" s="18"/>
      <c r="F30" s="16"/>
      <c r="G30" s="18"/>
      <c r="H30" s="16"/>
      <c r="I30" s="18"/>
      <c r="J30" s="16"/>
      <c r="K30" s="18"/>
      <c r="L30" s="16"/>
      <c r="M30" s="18"/>
      <c r="N30" s="16"/>
      <c r="O30" s="18"/>
      <c r="P30" s="16"/>
      <c r="Q30" s="18"/>
      <c r="R30" s="16"/>
      <c r="S30" s="18"/>
      <c r="T30" s="19"/>
    </row>
    <row r="31" spans="1:20" ht="15.95" customHeight="1" x14ac:dyDescent="0.25">
      <c r="A31" s="18"/>
      <c r="B31" s="16"/>
      <c r="C31" s="18"/>
      <c r="D31" s="16"/>
      <c r="E31" s="18"/>
      <c r="F31" s="16"/>
      <c r="G31" s="18"/>
      <c r="H31" s="16"/>
      <c r="I31" s="18"/>
      <c r="J31" s="16"/>
      <c r="K31" s="18"/>
      <c r="L31" s="16"/>
      <c r="M31" s="18"/>
      <c r="N31" s="16"/>
      <c r="O31" s="18"/>
      <c r="P31" s="16"/>
      <c r="Q31" s="18"/>
      <c r="R31" s="16"/>
      <c r="S31" s="18"/>
      <c r="T31" s="19"/>
    </row>
    <row r="32" spans="1:20" ht="15.95" customHeight="1" x14ac:dyDescent="0.25">
      <c r="A32" s="18"/>
      <c r="B32" s="16"/>
      <c r="C32" s="18"/>
      <c r="D32" s="16"/>
      <c r="E32" s="18"/>
      <c r="F32" s="16"/>
      <c r="G32" s="18"/>
      <c r="H32" s="16"/>
      <c r="I32" s="18"/>
      <c r="J32" s="16"/>
      <c r="K32" s="18"/>
      <c r="L32" s="16"/>
      <c r="M32" s="18"/>
      <c r="N32" s="16"/>
      <c r="O32" s="18"/>
      <c r="P32" s="16"/>
      <c r="Q32" s="18"/>
      <c r="R32" s="16"/>
      <c r="S32" s="18"/>
      <c r="T32" s="19"/>
    </row>
    <row r="33" spans="1:20" ht="15.95" customHeight="1" x14ac:dyDescent="0.25">
      <c r="A33" s="21"/>
      <c r="B33" s="16"/>
      <c r="C33" s="18"/>
      <c r="D33" s="16"/>
      <c r="E33" s="18"/>
      <c r="F33" s="16"/>
      <c r="G33" s="18"/>
      <c r="H33" s="16"/>
      <c r="I33" s="18"/>
      <c r="J33" s="16"/>
      <c r="K33" s="18"/>
      <c r="L33" s="16"/>
      <c r="M33" s="18"/>
      <c r="N33" s="16"/>
      <c r="O33" s="18"/>
      <c r="P33" s="16"/>
      <c r="Q33" s="18"/>
      <c r="R33" s="16"/>
      <c r="S33" s="18"/>
      <c r="T33" s="19"/>
    </row>
    <row r="34" spans="1:20" ht="15.95" customHeight="1" x14ac:dyDescent="0.25">
      <c r="A34" s="18"/>
      <c r="B34" s="16"/>
      <c r="C34" s="18"/>
      <c r="D34" s="16"/>
      <c r="E34" s="18"/>
      <c r="F34" s="16"/>
      <c r="G34" s="18"/>
      <c r="H34" s="16"/>
      <c r="I34" s="18"/>
      <c r="J34" s="16"/>
      <c r="K34" s="18"/>
      <c r="L34" s="16"/>
      <c r="M34" s="18"/>
      <c r="N34" s="16"/>
      <c r="O34" s="18"/>
      <c r="P34" s="16"/>
      <c r="Q34" s="18"/>
      <c r="R34" s="16"/>
      <c r="S34" s="18"/>
      <c r="T34" s="19"/>
    </row>
    <row r="35" spans="1:20" ht="15.95" customHeight="1" x14ac:dyDescent="0.25">
      <c r="A35" s="18"/>
      <c r="B35" s="16"/>
      <c r="C35" s="18"/>
      <c r="D35" s="16"/>
      <c r="E35" s="18"/>
      <c r="F35" s="16"/>
      <c r="G35" s="18"/>
      <c r="H35" s="16"/>
      <c r="I35" s="18"/>
      <c r="J35" s="16"/>
      <c r="K35" s="18"/>
      <c r="L35" s="16"/>
      <c r="M35" s="18"/>
      <c r="N35" s="16"/>
      <c r="O35" s="18"/>
      <c r="P35" s="16"/>
      <c r="Q35" s="18"/>
      <c r="R35" s="16"/>
      <c r="S35" s="18"/>
      <c r="T35" s="19"/>
    </row>
    <row r="36" spans="1:20" ht="15.95" customHeight="1" x14ac:dyDescent="0.25">
      <c r="A36" s="18"/>
      <c r="B36" s="16"/>
      <c r="C36" s="18"/>
      <c r="D36" s="16"/>
      <c r="E36" s="18"/>
      <c r="F36" s="16"/>
      <c r="G36" s="18"/>
      <c r="H36" s="16"/>
      <c r="I36" s="18"/>
      <c r="J36" s="16"/>
      <c r="K36" s="18"/>
      <c r="L36" s="16"/>
      <c r="M36" s="18"/>
      <c r="N36" s="16"/>
      <c r="O36" s="18"/>
      <c r="P36" s="16"/>
      <c r="Q36" s="18"/>
      <c r="R36" s="16"/>
      <c r="S36" s="18"/>
      <c r="T36" s="19"/>
    </row>
    <row r="37" spans="1:20" ht="15.95" customHeight="1" x14ac:dyDescent="0.25">
      <c r="A37" s="18"/>
      <c r="B37" s="16"/>
      <c r="C37" s="18"/>
      <c r="D37" s="16"/>
      <c r="E37" s="18"/>
      <c r="F37" s="16"/>
      <c r="G37" s="18"/>
      <c r="H37" s="16"/>
      <c r="I37" s="18"/>
      <c r="J37" s="16"/>
      <c r="K37" s="18"/>
      <c r="L37" s="16"/>
      <c r="M37" s="18"/>
      <c r="N37" s="16"/>
      <c r="O37" s="18"/>
      <c r="P37" s="16"/>
      <c r="Q37" s="18"/>
      <c r="R37" s="16"/>
      <c r="S37" s="18"/>
      <c r="T37" s="19"/>
    </row>
    <row r="38" spans="1:20" ht="15.95" customHeight="1" x14ac:dyDescent="0.25">
      <c r="A38" s="18"/>
      <c r="B38" s="16"/>
      <c r="C38" s="18"/>
      <c r="D38" s="16"/>
      <c r="E38" s="18"/>
      <c r="F38" s="16"/>
      <c r="G38" s="18"/>
      <c r="H38" s="16"/>
      <c r="I38" s="18"/>
      <c r="J38" s="16"/>
      <c r="K38" s="18"/>
      <c r="L38" s="16"/>
      <c r="M38" s="18"/>
      <c r="N38" s="16"/>
      <c r="O38" s="18"/>
      <c r="P38" s="16"/>
      <c r="Q38" s="18"/>
      <c r="R38" s="16"/>
      <c r="S38" s="18"/>
      <c r="T38" s="20"/>
    </row>
    <row r="39" spans="1:20" ht="15.95" customHeight="1" x14ac:dyDescent="0.25">
      <c r="A39" s="18"/>
      <c r="B39" s="16"/>
      <c r="C39" s="18"/>
      <c r="D39" s="16"/>
      <c r="E39" s="18"/>
      <c r="F39" s="16"/>
      <c r="G39" s="18"/>
      <c r="H39" s="16"/>
      <c r="I39" s="18"/>
      <c r="J39" s="16"/>
      <c r="K39" s="18"/>
      <c r="L39" s="16"/>
      <c r="M39" s="18"/>
      <c r="N39" s="16"/>
      <c r="O39" s="18"/>
      <c r="P39" s="16"/>
      <c r="Q39" s="18"/>
      <c r="R39" s="16"/>
      <c r="S39" s="18"/>
      <c r="T39" s="20"/>
    </row>
    <row r="40" spans="1:20" ht="15.95" customHeight="1" x14ac:dyDescent="0.25">
      <c r="A40" s="18"/>
      <c r="B40" s="16"/>
      <c r="C40" s="18"/>
      <c r="D40" s="16"/>
      <c r="E40" s="18"/>
      <c r="F40" s="16"/>
      <c r="G40" s="18"/>
      <c r="H40" s="16"/>
      <c r="I40" s="18"/>
      <c r="J40" s="16"/>
      <c r="K40" s="18"/>
      <c r="L40" s="16"/>
      <c r="M40" s="18"/>
      <c r="N40" s="16"/>
      <c r="O40" s="18"/>
      <c r="P40" s="16"/>
      <c r="Q40" s="18"/>
      <c r="R40" s="16"/>
      <c r="S40" s="18"/>
      <c r="T40" s="20"/>
    </row>
    <row r="41" spans="1:20" ht="15.95" customHeight="1" x14ac:dyDescent="0.25">
      <c r="A41" s="18"/>
      <c r="B41" s="16"/>
      <c r="C41" s="18"/>
      <c r="D41" s="16"/>
      <c r="E41" s="18"/>
      <c r="F41" s="16"/>
      <c r="G41" s="18"/>
      <c r="H41" s="16"/>
      <c r="I41" s="18"/>
      <c r="J41" s="16"/>
      <c r="K41" s="18"/>
      <c r="L41" s="16"/>
      <c r="M41" s="18"/>
      <c r="N41" s="16"/>
      <c r="O41" s="18"/>
      <c r="P41" s="16"/>
      <c r="Q41" s="18"/>
      <c r="R41" s="16"/>
      <c r="S41" s="18"/>
      <c r="T41" s="20"/>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18" priority="63" stopIfTrue="1">
      <formula>NOT(ISERROR(A3))</formula>
    </cfRule>
  </conditionalFormatting>
  <conditionalFormatting sqref="A3:B9 A10 A11:B21 A22:T51">
    <cfRule type="notContainsBlanks" dxfId="217" priority="64">
      <formula>LEN(TRIM(A3))&gt;0</formula>
    </cfRule>
  </conditionalFormatting>
  <conditionalFormatting sqref="A3:T51">
    <cfRule type="containsErrors" dxfId="216" priority="1" stopIfTrue="1">
      <formula>ISERROR(A3)</formula>
    </cfRule>
  </conditionalFormatting>
  <conditionalFormatting sqref="B10">
    <cfRule type="notContainsBlanks" dxfId="215" priority="18">
      <formula>LEN(TRIM(B10))&gt;0</formula>
    </cfRule>
  </conditionalFormatting>
  <conditionalFormatting sqref="C3:C51 E3:E51 G3:G51 I3:I51 K3:K51 M3:M51 O3:O51 Q3:Q51 S3:S51">
    <cfRule type="notContainsErrors" dxfId="214" priority="58" stopIfTrue="1">
      <formula>NOT(ISERROR(C3))</formula>
    </cfRule>
  </conditionalFormatting>
  <conditionalFormatting sqref="C3:T7 C8 E8 G8 I8 K8 M8 O8 Q8 S8 C9:T9 C10 E10 G10 I10 K10 M10 O10 Q10 S10 C11:T21">
    <cfRule type="notContainsBlanks" dxfId="213" priority="59">
      <formula>LEN(TRIM(C3))&gt;0</formula>
    </cfRule>
  </conditionalFormatting>
  <conditionalFormatting sqref="D8">
    <cfRule type="notContainsBlanks" dxfId="212" priority="38">
      <formula>LEN(TRIM(D8))&gt;0</formula>
    </cfRule>
  </conditionalFormatting>
  <conditionalFormatting sqref="D10">
    <cfRule type="notContainsBlanks" dxfId="211" priority="14">
      <formula>LEN(TRIM(D10))&gt;0</formula>
    </cfRule>
  </conditionalFormatting>
  <conditionalFormatting sqref="F8">
    <cfRule type="notContainsBlanks" dxfId="210" priority="36">
      <formula>LEN(TRIM(F8))&gt;0</formula>
    </cfRule>
  </conditionalFormatting>
  <conditionalFormatting sqref="F10">
    <cfRule type="notContainsBlanks" dxfId="209" priority="16">
      <formula>LEN(TRIM(F10))&gt;0</formula>
    </cfRule>
  </conditionalFormatting>
  <conditionalFormatting sqref="H8">
    <cfRule type="notContainsBlanks" dxfId="208" priority="34">
      <formula>LEN(TRIM(H8))&gt;0</formula>
    </cfRule>
  </conditionalFormatting>
  <conditionalFormatting sqref="H10">
    <cfRule type="notContainsBlanks" dxfId="207" priority="20">
      <formula>LEN(TRIM(H10))&gt;0</formula>
    </cfRule>
  </conditionalFormatting>
  <conditionalFormatting sqref="J8">
    <cfRule type="notContainsBlanks" dxfId="206" priority="32">
      <formula>LEN(TRIM(J8))&gt;0</formula>
    </cfRule>
  </conditionalFormatting>
  <conditionalFormatting sqref="J10">
    <cfRule type="notContainsBlanks" dxfId="205" priority="12">
      <formula>LEN(TRIM(J10))&gt;0</formula>
    </cfRule>
  </conditionalFormatting>
  <conditionalFormatting sqref="L8">
    <cfRule type="notContainsBlanks" dxfId="204" priority="30">
      <formula>LEN(TRIM(L8))&gt;0</formula>
    </cfRule>
  </conditionalFormatting>
  <conditionalFormatting sqref="L10">
    <cfRule type="notContainsBlanks" dxfId="203" priority="10">
      <formula>LEN(TRIM(L10))&gt;0</formula>
    </cfRule>
  </conditionalFormatting>
  <conditionalFormatting sqref="N8">
    <cfRule type="notContainsBlanks" dxfId="202" priority="28">
      <formula>LEN(TRIM(N8))&gt;0</formula>
    </cfRule>
  </conditionalFormatting>
  <conditionalFormatting sqref="N10">
    <cfRule type="notContainsBlanks" dxfId="201" priority="8">
      <formula>LEN(TRIM(N10))&gt;0</formula>
    </cfRule>
  </conditionalFormatting>
  <conditionalFormatting sqref="P8">
    <cfRule type="notContainsBlanks" dxfId="200" priority="26">
      <formula>LEN(TRIM(P8))&gt;0</formula>
    </cfRule>
  </conditionalFormatting>
  <conditionalFormatting sqref="P10">
    <cfRule type="notContainsBlanks" dxfId="199" priority="6">
      <formula>LEN(TRIM(P10))&gt;0</formula>
    </cfRule>
  </conditionalFormatting>
  <conditionalFormatting sqref="R8">
    <cfRule type="notContainsBlanks" dxfId="198" priority="24">
      <formula>LEN(TRIM(R8))&gt;0</formula>
    </cfRule>
  </conditionalFormatting>
  <conditionalFormatting sqref="R10">
    <cfRule type="notContainsBlanks" dxfId="197" priority="4">
      <formula>LEN(TRIM(R10))&gt;0</formula>
    </cfRule>
  </conditionalFormatting>
  <conditionalFormatting sqref="T8">
    <cfRule type="notContainsBlanks" dxfId="196" priority="22">
      <formula>LEN(TRIM(T8))&gt;0</formula>
    </cfRule>
  </conditionalFormatting>
  <conditionalFormatting sqref="T10">
    <cfRule type="notContainsBlanks" dxfId="195" priority="2">
      <formula>LEN(TRIM(T10))&gt;0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D5614-146B-4696-B14A-C54B47A1A9D6}">
  <sheetPr codeName="Sheet105"/>
  <dimension ref="A1:T51"/>
  <sheetViews>
    <sheetView workbookViewId="0">
      <selection activeCell="A3" sqref="A3:A16"/>
    </sheetView>
  </sheetViews>
  <sheetFormatPr defaultColWidth="9.28515625" defaultRowHeight="15" x14ac:dyDescent="0.25"/>
  <cols>
    <col min="1" max="1" width="44.7109375" customWidth="1"/>
    <col min="2" max="2" width="13.85546875" customWidth="1"/>
  </cols>
  <sheetData>
    <row r="1" spans="1:20" x14ac:dyDescent="0.25">
      <c r="A1" s="23" t="str">
        <f>HYPERLINK("#Sheets!A1","Back to sheets")</f>
        <v>Back to sheets</v>
      </c>
    </row>
    <row r="2" spans="1:20" ht="15.95" customHeight="1" x14ac:dyDescent="0.25">
      <c r="A2" s="8" t="s">
        <v>3</v>
      </c>
      <c r="B2" s="9" t="s">
        <v>31</v>
      </c>
      <c r="C2" s="8" t="s">
        <v>7</v>
      </c>
      <c r="D2" s="9" t="s">
        <v>31</v>
      </c>
      <c r="E2" s="8" t="s">
        <v>9</v>
      </c>
      <c r="F2" s="9" t="s">
        <v>31</v>
      </c>
      <c r="G2" s="8" t="s">
        <v>10</v>
      </c>
      <c r="H2" s="9" t="s">
        <v>31</v>
      </c>
      <c r="I2" s="8" t="s">
        <v>11</v>
      </c>
      <c r="J2" s="9" t="s">
        <v>31</v>
      </c>
      <c r="K2" s="8" t="s">
        <v>12</v>
      </c>
      <c r="L2" s="9" t="s">
        <v>31</v>
      </c>
      <c r="M2" s="8" t="s">
        <v>13</v>
      </c>
      <c r="N2" s="9" t="s">
        <v>31</v>
      </c>
      <c r="O2" s="8" t="s">
        <v>14</v>
      </c>
      <c r="P2" s="9" t="s">
        <v>31</v>
      </c>
      <c r="Q2" s="8" t="s">
        <v>15</v>
      </c>
      <c r="R2" s="9" t="s">
        <v>31</v>
      </c>
      <c r="S2" s="8" t="s">
        <v>16</v>
      </c>
      <c r="T2" s="8" t="s">
        <v>31</v>
      </c>
    </row>
    <row r="3" spans="1:20" ht="15.95" customHeight="1" x14ac:dyDescent="0.25">
      <c r="A3" s="17" t="s">
        <v>43</v>
      </c>
      <c r="B3" s="16" t="str">
        <f>TRIM(_xlfn.TEXTBEFORE(A3, ":"))</f>
        <v>Item Class</v>
      </c>
      <c r="C3" s="17" t="s">
        <v>64</v>
      </c>
      <c r="D3" s="16" t="str">
        <f>TRIM(_xlfn.TEXTBEFORE(C3, ":"))</f>
        <v>Gegenstandsklasse</v>
      </c>
      <c r="E3" s="17" t="s">
        <v>75</v>
      </c>
      <c r="F3" s="16" t="str">
        <f>TRIM(_xlfn.TEXTBEFORE(E3, ":"))</f>
        <v>Clase de objeto</v>
      </c>
      <c r="G3" s="17" t="s">
        <v>51</v>
      </c>
      <c r="H3" s="16" t="str">
        <f>TRIM(_xlfn.TEXTBEFORE(G3, ":"))</f>
        <v>Classe d'objet</v>
      </c>
      <c r="I3" s="17" t="s">
        <v>86</v>
      </c>
      <c r="J3" s="16" t="str">
        <f>TRIM(_xlfn.TEXTBEFORE(I3, ":"))</f>
        <v>アイテムクラス</v>
      </c>
      <c r="K3" s="17" t="s">
        <v>97</v>
      </c>
      <c r="L3" s="16" t="str">
        <f>TRIM(_xlfn.TEXTBEFORE(K3, ":"))</f>
        <v>아이템 종류</v>
      </c>
      <c r="M3" s="17" t="s">
        <v>108</v>
      </c>
      <c r="N3" s="16" t="str">
        <f>TRIM(_xlfn.TEXTBEFORE(M3, ":"))</f>
        <v>Classe do Item</v>
      </c>
      <c r="O3" s="17" t="s">
        <v>117</v>
      </c>
      <c r="P3" s="16" t="str">
        <f>TRIM(_xlfn.TEXTBEFORE(O3, ":"))</f>
        <v>Класс предмета</v>
      </c>
      <c r="Q3" s="17" t="s">
        <v>129</v>
      </c>
      <c r="R3" s="16" t="str">
        <f>TRIM(_xlfn.TEXTBEFORE(Q3, ":"))</f>
        <v>ชนิดไอเทม</v>
      </c>
      <c r="S3" s="17"/>
      <c r="T3" s="16" t="e">
        <f>TRIM(_xlfn.TEXTBEFORE(S3, ":"))</f>
        <v>#N/A</v>
      </c>
    </row>
    <row r="4" spans="1:20" ht="15.95" customHeight="1" x14ac:dyDescent="0.25">
      <c r="A4" s="18" t="s">
        <v>35</v>
      </c>
      <c r="B4" s="16" t="str">
        <f>TRIM(_xlfn.TEXTAFTER(A3, ":"))</f>
        <v>Contracts</v>
      </c>
      <c r="C4" s="18" t="s">
        <v>63</v>
      </c>
      <c r="D4" s="16" t="str">
        <f>TRIM(_xlfn.TEXTAFTER(C3, ":"))</f>
        <v>Aufträge</v>
      </c>
      <c r="E4" s="18" t="s">
        <v>74</v>
      </c>
      <c r="F4" s="16" t="str">
        <f>TRIM(_xlfn.TEXTAFTER(E3, ":"))</f>
        <v>Contratos</v>
      </c>
      <c r="G4" s="18" t="s">
        <v>50</v>
      </c>
      <c r="H4" s="16" t="str">
        <f>TRIM(_xlfn.TEXTAFTER(G3, ":"))</f>
        <v>Contrats</v>
      </c>
      <c r="I4" s="18" t="s">
        <v>85</v>
      </c>
      <c r="J4" s="16" t="str">
        <f>TRIM(_xlfn.TEXTAFTER(I3, ":"))</f>
        <v>依頼書</v>
      </c>
      <c r="K4" s="18" t="s">
        <v>96</v>
      </c>
      <c r="L4" s="16" t="str">
        <f>TRIM(_xlfn.TEXTAFTER(K3, ":"))</f>
        <v>계약</v>
      </c>
      <c r="M4" s="18" t="s">
        <v>107</v>
      </c>
      <c r="N4" s="16" t="str">
        <f>TRIM(_xlfn.TEXTAFTER(M3, ":"))</f>
        <v>Contratos</v>
      </c>
      <c r="O4" s="18" t="s">
        <v>116</v>
      </c>
      <c r="P4" s="16" t="str">
        <f>TRIM(_xlfn.TEXTAFTER(O3, ":"))</f>
        <v>Контракты</v>
      </c>
      <c r="Q4" s="18" t="s">
        <v>128</v>
      </c>
      <c r="R4" s="16" t="str">
        <f>TRIM(_xlfn.TEXTAFTER(Q3, ":"))</f>
        <v>สัญญาจ้าง</v>
      </c>
      <c r="S4" s="18"/>
      <c r="T4" s="16" t="e">
        <f>TRIM(_xlfn.TEXTAFTER(S3, ":"))</f>
        <v>#N/A</v>
      </c>
    </row>
    <row r="5" spans="1:20" ht="15.95" customHeight="1" x14ac:dyDescent="0.25">
      <c r="A5" s="18" t="s">
        <v>291</v>
      </c>
      <c r="B5" s="16" t="str">
        <f>TRIM(_xlfn.TEXTBEFORE(A4, ":"))</f>
        <v>Rarity</v>
      </c>
      <c r="C5" s="18" t="s">
        <v>362</v>
      </c>
      <c r="D5" s="16" t="str">
        <f>TRIM(_xlfn.TEXTBEFORE(C4, ":"))</f>
        <v>Seltenheit</v>
      </c>
      <c r="E5" s="18" t="s">
        <v>502</v>
      </c>
      <c r="F5" s="16" t="str">
        <f>TRIM(_xlfn.TEXTBEFORE(E4, ":"))</f>
        <v>Rareza</v>
      </c>
      <c r="G5" s="18" t="s">
        <v>323</v>
      </c>
      <c r="H5" s="16" t="str">
        <f>TRIM(_xlfn.TEXTBEFORE(G4, ":"))</f>
        <v>Rareté</v>
      </c>
      <c r="I5" s="18" t="s">
        <v>566</v>
      </c>
      <c r="J5" s="16" t="str">
        <f>TRIM(_xlfn.TEXTBEFORE(I4, ":"))</f>
        <v>レアリティ</v>
      </c>
      <c r="K5" s="18" t="s">
        <v>533</v>
      </c>
      <c r="L5" s="16" t="str">
        <f>TRIM(_xlfn.TEXTBEFORE(K4, ":"))</f>
        <v>아이템 희귀도</v>
      </c>
      <c r="M5" s="18" t="s">
        <v>397</v>
      </c>
      <c r="N5" s="16" t="str">
        <f>TRIM(_xlfn.TEXTBEFORE(M4, ":"))</f>
        <v>Raridade</v>
      </c>
      <c r="O5" s="18" t="s">
        <v>431</v>
      </c>
      <c r="P5" s="16" t="str">
        <f>TRIM(_xlfn.TEXTBEFORE(O4, ":"))</f>
        <v>Редкость</v>
      </c>
      <c r="Q5" s="18" t="s">
        <v>469</v>
      </c>
      <c r="R5" s="16" t="str">
        <f>TRIM(_xlfn.TEXTBEFORE(Q4, ":"))</f>
        <v>ความหายาก</v>
      </c>
      <c r="S5" s="18"/>
      <c r="T5" s="16" t="e">
        <f>TRIM(_xlfn.TEXTBEFORE(S4, ":"))</f>
        <v>#N/A</v>
      </c>
    </row>
    <row r="6" spans="1:20" ht="15.95" customHeight="1" x14ac:dyDescent="0.25">
      <c r="A6" s="18" t="s">
        <v>0</v>
      </c>
      <c r="B6" s="16" t="str">
        <f>TRIM(_xlfn.TEXTAFTER(A4,":"))</f>
        <v>Normal</v>
      </c>
      <c r="C6" s="18" t="s">
        <v>0</v>
      </c>
      <c r="D6" s="16" t="str">
        <f>TRIM(_xlfn.TEXTAFTER(C4,":"))</f>
        <v>Normal</v>
      </c>
      <c r="E6" s="18" t="s">
        <v>0</v>
      </c>
      <c r="F6" s="16" t="str">
        <f>TRIM(_xlfn.TEXTAFTER(E4,":"))</f>
        <v>Normal</v>
      </c>
      <c r="G6" s="18" t="s">
        <v>0</v>
      </c>
      <c r="H6" s="16" t="str">
        <f>TRIM(_xlfn.TEXTAFTER(G4,":"))</f>
        <v>Normal</v>
      </c>
      <c r="I6" s="18" t="s">
        <v>0</v>
      </c>
      <c r="J6" s="16" t="str">
        <f>TRIM(_xlfn.TEXTAFTER(I4,":"))</f>
        <v>ノーマル</v>
      </c>
      <c r="K6" s="18" t="s">
        <v>0</v>
      </c>
      <c r="L6" s="16" t="str">
        <f>TRIM(_xlfn.TEXTAFTER(K4,":"))</f>
        <v>일반</v>
      </c>
      <c r="M6" s="18" t="s">
        <v>0</v>
      </c>
      <c r="N6" s="16" t="str">
        <f>TRIM(_xlfn.TEXTAFTER(M4,":"))</f>
        <v>Normal</v>
      </c>
      <c r="O6" s="18" t="s">
        <v>0</v>
      </c>
      <c r="P6" s="16" t="str">
        <f>TRIM(_xlfn.TEXTAFTER(O4,":"))</f>
        <v>Обычный</v>
      </c>
      <c r="Q6" s="18" t="s">
        <v>0</v>
      </c>
      <c r="R6" s="16" t="str">
        <f>TRIM(_xlfn.TEXTAFTER(Q4,":"))</f>
        <v>ปกติ</v>
      </c>
      <c r="S6" s="18"/>
      <c r="T6" s="16" t="e">
        <f>TRIM(_xlfn.TEXTAFTER(S4,":"))</f>
        <v>#N/A</v>
      </c>
    </row>
    <row r="7" spans="1:20" ht="15.95" customHeight="1" x14ac:dyDescent="0.25">
      <c r="A7" s="18" t="s">
        <v>292</v>
      </c>
      <c r="B7" s="16"/>
      <c r="C7" s="18" t="s">
        <v>364</v>
      </c>
      <c r="D7" s="16"/>
      <c r="E7" s="18" t="s">
        <v>504</v>
      </c>
      <c r="F7" s="16"/>
      <c r="G7" s="18" t="s">
        <v>325</v>
      </c>
      <c r="H7" s="16"/>
      <c r="I7" s="18" t="s">
        <v>568</v>
      </c>
      <c r="J7" s="16"/>
      <c r="K7" s="18" t="s">
        <v>535</v>
      </c>
      <c r="L7" s="16"/>
      <c r="M7" s="18" t="s">
        <v>400</v>
      </c>
      <c r="N7" s="16"/>
      <c r="O7" s="18" t="s">
        <v>433</v>
      </c>
      <c r="P7" s="16"/>
      <c r="Q7" s="18" t="s">
        <v>471</v>
      </c>
      <c r="R7" s="16"/>
      <c r="S7" s="18"/>
      <c r="T7" s="16"/>
    </row>
    <row r="8" spans="1:20" ht="15.95" customHeight="1" x14ac:dyDescent="0.25">
      <c r="A8" s="18" t="s">
        <v>293</v>
      </c>
      <c r="B8" s="16" t="str">
        <f>TRIM(_xlfn.TEXTBEFORE(_xlfn.TEXTAFTER(A8, " ("), ")"))</f>
        <v>Moderate Value</v>
      </c>
      <c r="C8" s="18" t="s">
        <v>365</v>
      </c>
      <c r="D8" s="16" t="str">
        <f>TRIM(_xlfn.TEXTBEFORE(_xlfn.TEXTAFTER(C8, " ("), ")"))</f>
        <v>Mäßiger Wert</v>
      </c>
      <c r="E8" s="18" t="s">
        <v>505</v>
      </c>
      <c r="F8" s="16" t="str">
        <f>TRIM(_xlfn.TEXTBEFORE(_xlfn.TEXTAFTER(E8, " ("), ")"))</f>
        <v>valor moderado</v>
      </c>
      <c r="G8" s="18" t="s">
        <v>326</v>
      </c>
      <c r="H8" s="16" t="str">
        <f>TRIM(_xlfn.TEXTBEFORE(_xlfn.TEXTAFTER(G8, " ("), ")"))</f>
        <v>valeur : moyenne</v>
      </c>
      <c r="I8" s="18" t="s">
        <v>569</v>
      </c>
      <c r="J8" s="16" t="str">
        <f>TRIM(_xlfn.TEXTBEFORE(_xlfn.TEXTAFTER(I8, " ("), ")"))</f>
        <v>中程度な価値</v>
      </c>
      <c r="K8" s="18" t="s">
        <v>536</v>
      </c>
      <c r="L8" s="16" t="str">
        <f>TRIM(_xlfn.TEXTBEFORE(_xlfn.TEXTAFTER(K8, " ("), ")"))</f>
        <v>보통 가치</v>
      </c>
      <c r="M8" s="18" t="s">
        <v>401</v>
      </c>
      <c r="N8" s="16" t="str">
        <f>TRIM(_xlfn.TEXTBEFORE(_xlfn.TEXTAFTER(M8, " ("), ")"))</f>
        <v>Valor Moderado</v>
      </c>
      <c r="O8" s="18" t="s">
        <v>434</v>
      </c>
      <c r="P8" s="16" t="str">
        <f>TRIM(_xlfn.TEXTBEFORE(_xlfn.TEXTAFTER(O8, " ("), ")"))</f>
        <v>средней ценности</v>
      </c>
      <c r="Q8" s="18" t="s">
        <v>472</v>
      </c>
      <c r="R8" s="16" t="str">
        <f>TRIM(_xlfn.TEXTBEFORE(_xlfn.TEXTAFTER(Q8, " ("), ")"))</f>
        <v>มีมูลค่าพอประมาณ</v>
      </c>
      <c r="S8" s="18"/>
      <c r="T8" s="16" t="e">
        <f>TRIM(_xlfn.TEXTBEFORE(_xlfn.TEXTAFTER(S8, " ("), ")"))</f>
        <v>#N/A</v>
      </c>
    </row>
    <row r="9" spans="1:20" ht="15.95" customHeight="1" x14ac:dyDescent="0.25">
      <c r="A9" s="18" t="s">
        <v>294</v>
      </c>
      <c r="B9" s="16"/>
      <c r="C9" s="18" t="s">
        <v>366</v>
      </c>
      <c r="D9" s="16"/>
      <c r="E9" s="18" t="s">
        <v>506</v>
      </c>
      <c r="F9" s="16"/>
      <c r="G9" s="18" t="s">
        <v>327</v>
      </c>
      <c r="H9" s="16"/>
      <c r="I9" s="18" t="s">
        <v>570</v>
      </c>
      <c r="J9" s="16"/>
      <c r="K9" s="18" t="s">
        <v>537</v>
      </c>
      <c r="L9" s="16"/>
      <c r="M9" s="18" t="s">
        <v>402</v>
      </c>
      <c r="N9" s="16"/>
      <c r="O9" s="18" t="s">
        <v>435</v>
      </c>
      <c r="P9" s="16"/>
      <c r="Q9" s="18" t="s">
        <v>473</v>
      </c>
      <c r="R9" s="16"/>
      <c r="S9" s="18"/>
      <c r="T9" s="16"/>
    </row>
    <row r="10" spans="1:20" ht="15.95" customHeight="1" x14ac:dyDescent="0.25">
      <c r="A10" s="18" t="s">
        <v>595</v>
      </c>
      <c r="B10" s="16" t="str">
        <f>_xlfn.REGEXREPLACE(A10, "\d+", "#")</f>
        <v>Requires Trap Disarmament (Level #)</v>
      </c>
      <c r="C10" s="18" t="s">
        <v>367</v>
      </c>
      <c r="D10" s="16" t="str">
        <f>_xlfn.REGEXREPLACE(C10, "\d+", "#")</f>
        <v>Erfordert Fallenentschärfung (Stufe #)</v>
      </c>
      <c r="E10" s="18" t="s">
        <v>507</v>
      </c>
      <c r="F10" s="16" t="str">
        <f>_xlfn.REGEXREPLACE(E10, "\d+", "#")</f>
        <v>Requiere Desarme de trampas (Nivel#)</v>
      </c>
      <c r="G10" s="18" t="s">
        <v>328</v>
      </c>
      <c r="H10" s="16" t="str">
        <f>_xlfn.REGEXREPLACE(G10, "\d+", "#")</f>
        <v>Prérequis : Désamorçage de pièges au niv. #</v>
      </c>
      <c r="I10" s="18" t="s">
        <v>571</v>
      </c>
      <c r="J10" s="16" t="str">
        <f>_xlfn.REGEXREPLACE(I10, "\d+", "#")</f>
        <v>必要ジョブ 罠解除 (レベル #)</v>
      </c>
      <c r="K10" s="18" t="s">
        <v>538</v>
      </c>
      <c r="L10" s="16" t="str">
        <f>_xlfn.REGEXREPLACE(K10, "\d+", "#")</f>
        <v>덫 해제 필요(#레벨)</v>
      </c>
      <c r="M10" s="18" t="s">
        <v>403</v>
      </c>
      <c r="N10" s="16" t="str">
        <f>_xlfn.REGEXREPLACE(M10, "\d+", "#")</f>
        <v>Requer Desarme de Armadilhas (Nível #)</v>
      </c>
      <c r="O10" s="18" t="s">
        <v>436</v>
      </c>
      <c r="P10" s="16" t="str">
        <f>_xlfn.REGEXREPLACE(O10, "\d+", "#")</f>
        <v>Требуется разминирование (# уровень)</v>
      </c>
      <c r="Q10" s="18" t="s">
        <v>474</v>
      </c>
      <c r="R10" s="16" t="str">
        <f>_xlfn.REGEXREPLACE(Q10, "\d+", "#")</f>
        <v>ต้องมี ปลดกับดัก (ระดับ #)</v>
      </c>
      <c r="S10" s="18"/>
      <c r="T10" s="16" t="str">
        <f>_xlfn.REGEXREPLACE(S10, "\d+", "#")</f>
        <v/>
      </c>
    </row>
    <row r="11" spans="1:20" ht="15.95" customHeight="1" x14ac:dyDescent="0.25">
      <c r="A11" s="18" t="s">
        <v>0</v>
      </c>
      <c r="B11" s="16"/>
      <c r="C11" s="18" t="s">
        <v>0</v>
      </c>
      <c r="D11" s="16"/>
      <c r="E11" s="18" t="s">
        <v>0</v>
      </c>
      <c r="F11" s="16"/>
      <c r="G11" s="18" t="s">
        <v>0</v>
      </c>
      <c r="H11" s="16"/>
      <c r="I11" s="18" t="s">
        <v>0</v>
      </c>
      <c r="J11" s="16"/>
      <c r="K11" s="18" t="s">
        <v>0</v>
      </c>
      <c r="L11" s="16"/>
      <c r="M11" s="18" t="s">
        <v>0</v>
      </c>
      <c r="N11" s="16"/>
      <c r="O11" s="18" t="s">
        <v>0</v>
      </c>
      <c r="P11" s="16"/>
      <c r="Q11" s="18" t="s">
        <v>0</v>
      </c>
      <c r="R11" s="16"/>
      <c r="S11" s="18"/>
      <c r="T11" s="16"/>
    </row>
    <row r="12" spans="1:20" ht="15.95" customHeight="1" x14ac:dyDescent="0.25">
      <c r="A12" s="18" t="s">
        <v>37</v>
      </c>
      <c r="B12" s="16"/>
      <c r="C12" s="18" t="s">
        <v>72</v>
      </c>
      <c r="D12" s="16"/>
      <c r="E12" s="18" t="s">
        <v>83</v>
      </c>
      <c r="F12" s="16"/>
      <c r="G12" s="18" t="s">
        <v>60</v>
      </c>
      <c r="H12" s="16"/>
      <c r="I12" s="18" t="s">
        <v>94</v>
      </c>
      <c r="J12" s="16"/>
      <c r="K12" s="18" t="s">
        <v>105</v>
      </c>
      <c r="L12" s="16"/>
      <c r="M12" s="18" t="s">
        <v>114</v>
      </c>
      <c r="N12" s="16"/>
      <c r="O12" s="18" t="s">
        <v>126</v>
      </c>
      <c r="P12" s="16"/>
      <c r="Q12" s="18" t="s">
        <v>137</v>
      </c>
      <c r="R12" s="16"/>
      <c r="S12" s="18"/>
      <c r="T12" s="16"/>
    </row>
    <row r="13" spans="1:20" ht="15.95" customHeight="1" x14ac:dyDescent="0.25">
      <c r="A13" s="18" t="s">
        <v>0</v>
      </c>
      <c r="B13" s="16"/>
      <c r="C13" s="18" t="s">
        <v>0</v>
      </c>
      <c r="D13" s="16"/>
      <c r="E13" s="18" t="s">
        <v>0</v>
      </c>
      <c r="F13" s="16"/>
      <c r="G13" s="18" t="s">
        <v>0</v>
      </c>
      <c r="H13" s="16"/>
      <c r="I13" s="18" t="s">
        <v>0</v>
      </c>
      <c r="J13" s="16"/>
      <c r="K13" s="18" t="s">
        <v>0</v>
      </c>
      <c r="L13" s="16"/>
      <c r="M13" s="18" t="s">
        <v>0</v>
      </c>
      <c r="N13" s="16"/>
      <c r="O13" s="18" t="s">
        <v>0</v>
      </c>
      <c r="P13" s="16"/>
      <c r="Q13" s="18" t="s">
        <v>0</v>
      </c>
      <c r="R13" s="16"/>
      <c r="S13" s="18"/>
      <c r="T13" s="16"/>
    </row>
    <row r="14" spans="1:20" ht="15.95" customHeight="1" x14ac:dyDescent="0.25">
      <c r="A14" s="18" t="s">
        <v>295</v>
      </c>
      <c r="B14" s="16"/>
      <c r="C14" s="18" t="s">
        <v>368</v>
      </c>
      <c r="D14" s="16"/>
      <c r="E14" s="18" t="s">
        <v>508</v>
      </c>
      <c r="F14" s="16"/>
      <c r="G14" s="18" t="s">
        <v>329</v>
      </c>
      <c r="H14" s="16"/>
      <c r="I14" s="18" t="s">
        <v>572</v>
      </c>
      <c r="J14" s="16"/>
      <c r="K14" s="18" t="s">
        <v>539</v>
      </c>
      <c r="L14" s="16"/>
      <c r="M14" s="18" t="s">
        <v>404</v>
      </c>
      <c r="N14" s="16"/>
      <c r="O14" s="18" t="s">
        <v>437</v>
      </c>
      <c r="P14" s="16"/>
      <c r="Q14" s="18" t="s">
        <v>475</v>
      </c>
      <c r="R14" s="16"/>
      <c r="S14" s="18"/>
      <c r="T14" s="16"/>
    </row>
    <row r="15" spans="1:20" ht="15.95" customHeight="1" x14ac:dyDescent="0.25">
      <c r="A15" s="18" t="s">
        <v>0</v>
      </c>
      <c r="B15" s="16"/>
      <c r="C15" s="18" t="s">
        <v>369</v>
      </c>
      <c r="D15" s="16"/>
      <c r="E15" s="18" t="s">
        <v>0</v>
      </c>
      <c r="F15" s="16"/>
      <c r="G15" s="18" t="s">
        <v>330</v>
      </c>
      <c r="H15" s="16"/>
      <c r="I15" s="18" t="s">
        <v>573</v>
      </c>
      <c r="J15" s="16"/>
      <c r="K15" s="18" t="s">
        <v>0</v>
      </c>
      <c r="L15" s="16"/>
      <c r="M15" s="18" t="s">
        <v>0</v>
      </c>
      <c r="N15" s="16"/>
      <c r="O15" s="18" t="s">
        <v>438</v>
      </c>
      <c r="P15" s="16"/>
      <c r="Q15" s="18" t="s">
        <v>0</v>
      </c>
      <c r="R15" s="16"/>
      <c r="S15" s="18"/>
      <c r="T15" s="19"/>
    </row>
    <row r="16" spans="1:20" ht="15.95" customHeight="1" x14ac:dyDescent="0.25">
      <c r="A16" s="18" t="s">
        <v>47</v>
      </c>
      <c r="B16" s="16"/>
      <c r="C16" s="18" t="s">
        <v>370</v>
      </c>
      <c r="D16" s="16"/>
      <c r="E16" s="18" t="s">
        <v>80</v>
      </c>
      <c r="F16" s="16"/>
      <c r="G16" s="18" t="s">
        <v>331</v>
      </c>
      <c r="H16" s="16"/>
      <c r="I16" s="18" t="s">
        <v>574</v>
      </c>
      <c r="J16" s="16"/>
      <c r="K16" s="18" t="s">
        <v>102</v>
      </c>
      <c r="L16" s="16"/>
      <c r="M16" s="18" t="s">
        <v>111</v>
      </c>
      <c r="N16" s="16"/>
      <c r="O16" s="18" t="s">
        <v>439</v>
      </c>
      <c r="P16" s="16"/>
      <c r="Q16" s="18" t="s">
        <v>134</v>
      </c>
      <c r="R16" s="16"/>
      <c r="S16" s="18"/>
      <c r="T16" s="19"/>
    </row>
    <row r="17" spans="1:20" ht="15.95" customHeight="1" x14ac:dyDescent="0.25">
      <c r="A17" s="18"/>
      <c r="B17" s="16"/>
      <c r="C17" s="18" t="s">
        <v>0</v>
      </c>
      <c r="D17" s="16"/>
      <c r="E17" s="18"/>
      <c r="F17" s="16"/>
      <c r="G17" s="18" t="s">
        <v>0</v>
      </c>
      <c r="H17" s="16"/>
      <c r="I17" s="18" t="s">
        <v>0</v>
      </c>
      <c r="J17" s="16"/>
      <c r="K17" s="18"/>
      <c r="L17" s="16"/>
      <c r="M17" s="18"/>
      <c r="N17" s="16"/>
      <c r="O17" s="18" t="s">
        <v>0</v>
      </c>
      <c r="P17" s="16"/>
      <c r="Q17" s="18"/>
      <c r="R17" s="16"/>
      <c r="S17" s="18"/>
      <c r="T17" s="19"/>
    </row>
    <row r="18" spans="1:20" ht="15.95" customHeight="1" x14ac:dyDescent="0.25">
      <c r="A18" s="18"/>
      <c r="B18" s="16"/>
      <c r="C18" s="18" t="s">
        <v>69</v>
      </c>
      <c r="D18" s="16"/>
      <c r="E18" s="18"/>
      <c r="F18" s="16"/>
      <c r="G18" s="18" t="s">
        <v>57</v>
      </c>
      <c r="H18" s="16"/>
      <c r="I18" s="18" t="s">
        <v>91</v>
      </c>
      <c r="J18" s="16"/>
      <c r="K18" s="18"/>
      <c r="L18" s="16"/>
      <c r="M18" s="18"/>
      <c r="N18" s="16"/>
      <c r="O18" s="18" t="s">
        <v>123</v>
      </c>
      <c r="P18" s="16"/>
      <c r="Q18" s="18"/>
      <c r="R18" s="16"/>
      <c r="S18" s="18"/>
      <c r="T18" s="19"/>
    </row>
    <row r="19" spans="1:20" ht="15.95" customHeight="1" x14ac:dyDescent="0.25">
      <c r="A19" s="18"/>
      <c r="B19" s="16"/>
      <c r="C19" s="18"/>
      <c r="D19" s="16"/>
      <c r="E19" s="18"/>
      <c r="F19" s="16"/>
      <c r="G19" s="18"/>
      <c r="H19" s="16"/>
      <c r="I19" s="18"/>
      <c r="J19" s="16"/>
      <c r="K19" s="18"/>
      <c r="L19" s="16"/>
      <c r="M19" s="18"/>
      <c r="N19" s="16"/>
      <c r="O19" s="18"/>
      <c r="P19" s="16"/>
      <c r="Q19" s="18"/>
      <c r="R19" s="16"/>
      <c r="S19" s="18"/>
      <c r="T19" s="19"/>
    </row>
    <row r="20" spans="1:20" ht="15.95" customHeight="1" x14ac:dyDescent="0.25">
      <c r="A20" s="18"/>
      <c r="B20" s="16"/>
      <c r="C20" s="18"/>
      <c r="D20" s="16"/>
      <c r="E20" s="18"/>
      <c r="F20" s="16"/>
      <c r="G20" s="18"/>
      <c r="H20" s="16"/>
      <c r="I20" s="18"/>
      <c r="J20" s="16"/>
      <c r="K20" s="18"/>
      <c r="L20" s="16"/>
      <c r="M20" s="18"/>
      <c r="N20" s="16"/>
      <c r="O20" s="18"/>
      <c r="P20" s="16"/>
      <c r="Q20" s="18"/>
      <c r="R20" s="16"/>
      <c r="S20" s="18"/>
      <c r="T20" s="19"/>
    </row>
    <row r="21" spans="1:20" ht="15.95" customHeight="1" x14ac:dyDescent="0.25">
      <c r="A21" s="18"/>
      <c r="B21" s="16"/>
      <c r="C21" s="18"/>
      <c r="D21" s="16"/>
      <c r="E21" s="18"/>
      <c r="F21" s="16"/>
      <c r="G21" s="18"/>
      <c r="H21" s="16"/>
      <c r="I21" s="18"/>
      <c r="J21" s="16"/>
      <c r="K21" s="18"/>
      <c r="L21" s="16"/>
      <c r="M21" s="18"/>
      <c r="N21" s="16"/>
      <c r="O21" s="18"/>
      <c r="P21" s="16"/>
      <c r="Q21" s="18"/>
      <c r="R21" s="16"/>
      <c r="S21" s="18"/>
      <c r="T21" s="19"/>
    </row>
    <row r="22" spans="1:20" ht="15.95" customHeight="1" x14ac:dyDescent="0.25">
      <c r="A22" s="18"/>
      <c r="B22" s="16"/>
      <c r="C22" s="18"/>
      <c r="D22" s="16"/>
      <c r="E22" s="18"/>
      <c r="F22" s="16"/>
      <c r="G22" s="18"/>
      <c r="H22" s="16"/>
      <c r="I22" s="18"/>
      <c r="J22" s="16"/>
      <c r="K22" s="18"/>
      <c r="L22" s="16"/>
      <c r="M22" s="18"/>
      <c r="N22" s="16"/>
      <c r="O22" s="18"/>
      <c r="P22" s="16"/>
      <c r="Q22" s="18"/>
      <c r="R22" s="16"/>
      <c r="S22" s="18"/>
      <c r="T22" s="19"/>
    </row>
    <row r="23" spans="1:20" ht="15.95" customHeight="1" x14ac:dyDescent="0.25">
      <c r="A23" s="18"/>
      <c r="B23" s="16"/>
      <c r="C23" s="18"/>
      <c r="D23" s="16"/>
      <c r="E23" s="18"/>
      <c r="F23" s="16"/>
      <c r="G23" s="18"/>
      <c r="H23" s="16"/>
      <c r="I23" s="18"/>
      <c r="J23" s="16"/>
      <c r="K23" s="18"/>
      <c r="L23" s="16"/>
      <c r="M23" s="18"/>
      <c r="N23" s="16"/>
      <c r="O23" s="18"/>
      <c r="P23" s="16"/>
      <c r="Q23" s="18"/>
      <c r="R23" s="16"/>
      <c r="S23" s="18"/>
      <c r="T23" s="19"/>
    </row>
    <row r="24" spans="1:20" ht="15.95" customHeight="1" x14ac:dyDescent="0.25">
      <c r="A24" s="18"/>
      <c r="B24" s="16"/>
      <c r="C24" s="18"/>
      <c r="D24" s="16"/>
      <c r="E24" s="18"/>
      <c r="F24" s="16"/>
      <c r="G24" s="18"/>
      <c r="H24" s="16"/>
      <c r="I24" s="18"/>
      <c r="J24" s="16"/>
      <c r="K24" s="18"/>
      <c r="L24" s="16"/>
      <c r="M24" s="18"/>
      <c r="N24" s="16"/>
      <c r="O24" s="18"/>
      <c r="P24" s="16"/>
      <c r="Q24" s="18"/>
      <c r="R24" s="16"/>
      <c r="S24" s="18"/>
      <c r="T24" s="19"/>
    </row>
    <row r="25" spans="1:20" ht="15.95" customHeight="1" x14ac:dyDescent="0.25">
      <c r="A25" s="18"/>
      <c r="B25" s="16"/>
      <c r="C25" s="18"/>
      <c r="D25" s="16"/>
      <c r="E25" s="18"/>
      <c r="F25" s="16"/>
      <c r="G25" s="18"/>
      <c r="H25" s="16"/>
      <c r="I25" s="18"/>
      <c r="J25" s="16"/>
      <c r="K25" s="18"/>
      <c r="L25" s="16"/>
      <c r="M25" s="18"/>
      <c r="N25" s="16"/>
      <c r="O25" s="18"/>
      <c r="P25" s="16"/>
      <c r="Q25" s="18"/>
      <c r="R25" s="16"/>
      <c r="S25" s="18"/>
      <c r="T25" s="19"/>
    </row>
    <row r="26" spans="1:20" ht="15.95" customHeight="1" x14ac:dyDescent="0.25">
      <c r="A26" s="18"/>
      <c r="B26" s="16"/>
      <c r="C26" s="18"/>
      <c r="D26" s="16"/>
      <c r="E26" s="18"/>
      <c r="F26" s="16"/>
      <c r="G26" s="18"/>
      <c r="H26" s="16"/>
      <c r="I26" s="18"/>
      <c r="J26" s="16"/>
      <c r="K26" s="18"/>
      <c r="L26" s="16"/>
      <c r="M26" s="18"/>
      <c r="N26" s="16"/>
      <c r="O26" s="18"/>
      <c r="P26" s="16"/>
      <c r="Q26" s="18"/>
      <c r="R26" s="16"/>
      <c r="S26" s="18"/>
      <c r="T26" s="19"/>
    </row>
    <row r="27" spans="1:20" ht="15.95" customHeight="1" x14ac:dyDescent="0.25">
      <c r="A27" s="18"/>
      <c r="B27" s="16"/>
      <c r="C27" s="18"/>
      <c r="D27" s="16"/>
      <c r="E27" s="18"/>
      <c r="F27" s="16"/>
      <c r="G27" s="18"/>
      <c r="H27" s="16"/>
      <c r="I27" s="18"/>
      <c r="J27" s="16"/>
      <c r="K27" s="18"/>
      <c r="L27" s="16"/>
      <c r="M27" s="18"/>
      <c r="N27" s="16"/>
      <c r="O27" s="18"/>
      <c r="P27" s="16"/>
      <c r="Q27" s="18"/>
      <c r="R27" s="16"/>
      <c r="S27" s="18"/>
      <c r="T27" s="19"/>
    </row>
    <row r="28" spans="1:20" ht="15.95" customHeight="1" x14ac:dyDescent="0.25">
      <c r="A28" s="18"/>
      <c r="B28" s="16"/>
      <c r="C28" s="18"/>
      <c r="D28" s="16"/>
      <c r="E28" s="18"/>
      <c r="F28" s="16"/>
      <c r="G28" s="18"/>
      <c r="H28" s="16"/>
      <c r="I28" s="18"/>
      <c r="J28" s="16"/>
      <c r="K28" s="18"/>
      <c r="L28" s="16"/>
      <c r="M28" s="18"/>
      <c r="N28" s="16"/>
      <c r="O28" s="18"/>
      <c r="P28" s="16"/>
      <c r="Q28" s="18"/>
      <c r="R28" s="16"/>
      <c r="S28" s="18"/>
      <c r="T28" s="19"/>
    </row>
    <row r="29" spans="1:20" ht="15.95" customHeight="1" x14ac:dyDescent="0.25">
      <c r="A29" s="18"/>
      <c r="B29" s="16"/>
      <c r="C29" s="18"/>
      <c r="D29" s="16"/>
      <c r="E29" s="18"/>
      <c r="F29" s="16"/>
      <c r="G29" s="18"/>
      <c r="H29" s="16"/>
      <c r="I29" s="18"/>
      <c r="J29" s="16"/>
      <c r="K29" s="18"/>
      <c r="L29" s="16"/>
      <c r="M29" s="18"/>
      <c r="N29" s="16"/>
      <c r="O29" s="18"/>
      <c r="P29" s="16"/>
      <c r="Q29" s="18"/>
      <c r="R29" s="16"/>
      <c r="S29" s="18"/>
      <c r="T29" s="19"/>
    </row>
    <row r="30" spans="1:20" ht="15.95" customHeight="1" x14ac:dyDescent="0.25">
      <c r="A30" s="18"/>
      <c r="B30" s="16"/>
      <c r="C30" s="18"/>
      <c r="D30" s="16"/>
      <c r="E30" s="18"/>
      <c r="F30" s="16"/>
      <c r="G30" s="18"/>
      <c r="H30" s="16"/>
      <c r="I30" s="18"/>
      <c r="J30" s="16"/>
      <c r="K30" s="18"/>
      <c r="L30" s="16"/>
      <c r="M30" s="18"/>
      <c r="N30" s="16"/>
      <c r="O30" s="18"/>
      <c r="P30" s="16"/>
      <c r="Q30" s="18"/>
      <c r="R30" s="16"/>
      <c r="S30" s="18"/>
      <c r="T30" s="19"/>
    </row>
    <row r="31" spans="1:20" ht="15.95" customHeight="1" x14ac:dyDescent="0.25">
      <c r="A31" s="18"/>
      <c r="B31" s="16"/>
      <c r="C31" s="18"/>
      <c r="D31" s="16"/>
      <c r="E31" s="18"/>
      <c r="F31" s="16"/>
      <c r="G31" s="18"/>
      <c r="H31" s="16"/>
      <c r="I31" s="18"/>
      <c r="J31" s="16"/>
      <c r="K31" s="18"/>
      <c r="L31" s="16"/>
      <c r="M31" s="18"/>
      <c r="N31" s="16"/>
      <c r="O31" s="18"/>
      <c r="P31" s="16"/>
      <c r="Q31" s="18"/>
      <c r="R31" s="16"/>
      <c r="S31" s="18"/>
      <c r="T31" s="19"/>
    </row>
    <row r="32" spans="1:20" ht="15.95" customHeight="1" x14ac:dyDescent="0.25">
      <c r="A32" s="18"/>
      <c r="B32" s="16"/>
      <c r="C32" s="18"/>
      <c r="D32" s="16"/>
      <c r="E32" s="18"/>
      <c r="F32" s="16"/>
      <c r="G32" s="18"/>
      <c r="H32" s="16"/>
      <c r="I32" s="18"/>
      <c r="J32" s="16"/>
      <c r="K32" s="18"/>
      <c r="L32" s="16"/>
      <c r="M32" s="18"/>
      <c r="N32" s="16"/>
      <c r="O32" s="18"/>
      <c r="P32" s="16"/>
      <c r="Q32" s="18"/>
      <c r="R32" s="16"/>
      <c r="S32" s="18"/>
      <c r="T32" s="19"/>
    </row>
    <row r="33" spans="1:20" ht="15.95" customHeight="1" x14ac:dyDescent="0.25">
      <c r="A33" s="21"/>
      <c r="B33" s="16"/>
      <c r="C33" s="18"/>
      <c r="D33" s="16"/>
      <c r="E33" s="18"/>
      <c r="F33" s="16"/>
      <c r="G33" s="18"/>
      <c r="H33" s="16"/>
      <c r="I33" s="18"/>
      <c r="J33" s="16"/>
      <c r="K33" s="18"/>
      <c r="L33" s="16"/>
      <c r="M33" s="18"/>
      <c r="N33" s="16"/>
      <c r="O33" s="18"/>
      <c r="P33" s="16"/>
      <c r="Q33" s="18"/>
      <c r="R33" s="16"/>
      <c r="S33" s="18"/>
      <c r="T33" s="19"/>
    </row>
    <row r="34" spans="1:20" ht="15.95" customHeight="1" x14ac:dyDescent="0.25">
      <c r="A34" s="18"/>
      <c r="B34" s="16"/>
      <c r="C34" s="18"/>
      <c r="D34" s="16"/>
      <c r="E34" s="18"/>
      <c r="F34" s="16"/>
      <c r="G34" s="18"/>
      <c r="H34" s="16"/>
      <c r="I34" s="18"/>
      <c r="J34" s="16"/>
      <c r="K34" s="18"/>
      <c r="L34" s="16"/>
      <c r="M34" s="18"/>
      <c r="N34" s="16"/>
      <c r="O34" s="18"/>
      <c r="P34" s="16"/>
      <c r="Q34" s="18"/>
      <c r="R34" s="16"/>
      <c r="S34" s="18"/>
      <c r="T34" s="19"/>
    </row>
    <row r="35" spans="1:20" ht="15.95" customHeight="1" x14ac:dyDescent="0.25">
      <c r="A35" s="18"/>
      <c r="B35" s="16"/>
      <c r="C35" s="18"/>
      <c r="D35" s="16"/>
      <c r="E35" s="18"/>
      <c r="F35" s="16"/>
      <c r="G35" s="18"/>
      <c r="H35" s="16"/>
      <c r="I35" s="18"/>
      <c r="J35" s="16"/>
      <c r="K35" s="18"/>
      <c r="L35" s="16"/>
      <c r="M35" s="18"/>
      <c r="N35" s="16"/>
      <c r="O35" s="18"/>
      <c r="P35" s="16"/>
      <c r="Q35" s="18"/>
      <c r="R35" s="16"/>
      <c r="S35" s="18"/>
      <c r="T35" s="19"/>
    </row>
    <row r="36" spans="1:20" ht="15.95" customHeight="1" x14ac:dyDescent="0.25">
      <c r="A36" s="18"/>
      <c r="B36" s="16"/>
      <c r="C36" s="18"/>
      <c r="D36" s="16"/>
      <c r="E36" s="18"/>
      <c r="F36" s="16"/>
      <c r="G36" s="18"/>
      <c r="H36" s="16"/>
      <c r="I36" s="18"/>
      <c r="J36" s="16"/>
      <c r="K36" s="18"/>
      <c r="L36" s="16"/>
      <c r="M36" s="18"/>
      <c r="N36" s="16"/>
      <c r="O36" s="18"/>
      <c r="P36" s="16"/>
      <c r="Q36" s="18"/>
      <c r="R36" s="16"/>
      <c r="S36" s="18"/>
      <c r="T36" s="19"/>
    </row>
    <row r="37" spans="1:20" ht="15.95" customHeight="1" x14ac:dyDescent="0.25">
      <c r="A37" s="18"/>
      <c r="B37" s="16"/>
      <c r="C37" s="18"/>
      <c r="D37" s="16"/>
      <c r="E37" s="18"/>
      <c r="F37" s="16"/>
      <c r="G37" s="18"/>
      <c r="H37" s="16"/>
      <c r="I37" s="18"/>
      <c r="J37" s="16"/>
      <c r="K37" s="18"/>
      <c r="L37" s="16"/>
      <c r="M37" s="18"/>
      <c r="N37" s="16"/>
      <c r="O37" s="18"/>
      <c r="P37" s="16"/>
      <c r="Q37" s="18"/>
      <c r="R37" s="16"/>
      <c r="S37" s="18"/>
      <c r="T37" s="19"/>
    </row>
    <row r="38" spans="1:20" ht="15.95" customHeight="1" x14ac:dyDescent="0.25">
      <c r="A38" s="18"/>
      <c r="B38" s="16"/>
      <c r="C38" s="18"/>
      <c r="D38" s="16"/>
      <c r="E38" s="18"/>
      <c r="F38" s="16"/>
      <c r="G38" s="18"/>
      <c r="H38" s="16"/>
      <c r="I38" s="18"/>
      <c r="J38" s="16"/>
      <c r="K38" s="18"/>
      <c r="L38" s="16"/>
      <c r="M38" s="18"/>
      <c r="N38" s="16"/>
      <c r="O38" s="18"/>
      <c r="P38" s="16"/>
      <c r="Q38" s="18"/>
      <c r="R38" s="16"/>
      <c r="S38" s="18"/>
      <c r="T38" s="20"/>
    </row>
    <row r="39" spans="1:20" ht="15.95" customHeight="1" x14ac:dyDescent="0.25">
      <c r="A39" s="18"/>
      <c r="B39" s="16"/>
      <c r="C39" s="18"/>
      <c r="D39" s="16"/>
      <c r="E39" s="18"/>
      <c r="F39" s="16"/>
      <c r="G39" s="18"/>
      <c r="H39" s="16"/>
      <c r="I39" s="18"/>
      <c r="J39" s="16"/>
      <c r="K39" s="18"/>
      <c r="L39" s="16"/>
      <c r="M39" s="18"/>
      <c r="N39" s="16"/>
      <c r="O39" s="18"/>
      <c r="P39" s="16"/>
      <c r="Q39" s="18"/>
      <c r="R39" s="16"/>
      <c r="S39" s="18"/>
      <c r="T39" s="20"/>
    </row>
    <row r="40" spans="1:20" ht="15.95" customHeight="1" x14ac:dyDescent="0.25">
      <c r="A40" s="18"/>
      <c r="B40" s="16"/>
      <c r="C40" s="18"/>
      <c r="D40" s="16"/>
      <c r="E40" s="18"/>
      <c r="F40" s="16"/>
      <c r="G40" s="18"/>
      <c r="H40" s="16"/>
      <c r="I40" s="18"/>
      <c r="J40" s="16"/>
      <c r="K40" s="18"/>
      <c r="L40" s="16"/>
      <c r="M40" s="18"/>
      <c r="N40" s="16"/>
      <c r="O40" s="18"/>
      <c r="P40" s="16"/>
      <c r="Q40" s="18"/>
      <c r="R40" s="16"/>
      <c r="S40" s="18"/>
      <c r="T40" s="20"/>
    </row>
    <row r="41" spans="1:20" ht="15.95" customHeight="1" x14ac:dyDescent="0.25">
      <c r="A41" s="18"/>
      <c r="B41" s="16"/>
      <c r="C41" s="18"/>
      <c r="D41" s="16"/>
      <c r="E41" s="18"/>
      <c r="F41" s="16"/>
      <c r="G41" s="18"/>
      <c r="H41" s="16"/>
      <c r="I41" s="18"/>
      <c r="J41" s="16"/>
      <c r="K41" s="18"/>
      <c r="L41" s="16"/>
      <c r="M41" s="18"/>
      <c r="N41" s="16"/>
      <c r="O41" s="18"/>
      <c r="P41" s="16"/>
      <c r="Q41" s="18"/>
      <c r="R41" s="16"/>
      <c r="S41" s="18"/>
      <c r="T41" s="20"/>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17 A18:B21 A22:T51">
    <cfRule type="notContainsBlanks" dxfId="194" priority="97">
      <formula>LEN(TRIM(A3))&gt;0</formula>
    </cfRule>
  </conditionalFormatting>
  <conditionalFormatting sqref="A3:A51">
    <cfRule type="notContainsErrors" dxfId="193" priority="96" stopIfTrue="1">
      <formula>NOT(ISERROR(A3))</formula>
    </cfRule>
  </conditionalFormatting>
  <conditionalFormatting sqref="A3:T9">
    <cfRule type="containsErrors" dxfId="192" priority="29" stopIfTrue="1">
      <formula>ISERROR(A3)</formula>
    </cfRule>
  </conditionalFormatting>
  <conditionalFormatting sqref="A10:T51">
    <cfRule type="containsErrors" dxfId="191" priority="1" stopIfTrue="1">
      <formula>ISERROR(A10)</formula>
    </cfRule>
  </conditionalFormatting>
  <conditionalFormatting sqref="B3:B9">
    <cfRule type="notContainsBlanks" dxfId="190" priority="69">
      <formula>LEN(TRIM(B3))&gt;0</formula>
    </cfRule>
  </conditionalFormatting>
  <conditionalFormatting sqref="B10:B17">
    <cfRule type="notContainsBlanks" dxfId="189" priority="2">
      <formula>LEN(TRIM(B10))&gt;0</formula>
    </cfRule>
  </conditionalFormatting>
  <conditionalFormatting sqref="C3:C51 E3:E51 G3:G51 I3:I51 K3:K51 M3:M51 O3:O51 Q3:Q51 S3:S51">
    <cfRule type="notContainsErrors" dxfId="188" priority="66" stopIfTrue="1">
      <formula>NOT(ISERROR(C3))</formula>
    </cfRule>
  </conditionalFormatting>
  <conditionalFormatting sqref="C3:T7 C8 E8 G8 I8 K8 M8 O8 Q8 S8 C9:T9 C10 E10 G10 I10 K10 M10 O10 Q10 S10 C11:T21">
    <cfRule type="notContainsBlanks" dxfId="187" priority="67">
      <formula>LEN(TRIM(C3))&gt;0</formula>
    </cfRule>
  </conditionalFormatting>
  <conditionalFormatting sqref="D8">
    <cfRule type="notContainsBlanks" dxfId="186" priority="46">
      <formula>LEN(TRIM(D8))&gt;0</formula>
    </cfRule>
  </conditionalFormatting>
  <conditionalFormatting sqref="D10">
    <cfRule type="notContainsBlanks" dxfId="185" priority="28">
      <formula>LEN(TRIM(D10))&gt;0</formula>
    </cfRule>
  </conditionalFormatting>
  <conditionalFormatting sqref="F8">
    <cfRule type="notContainsBlanks" dxfId="184" priority="26">
      <formula>LEN(TRIM(F8))&gt;0</formula>
    </cfRule>
  </conditionalFormatting>
  <conditionalFormatting sqref="F10">
    <cfRule type="notContainsBlanks" dxfId="183" priority="25">
      <formula>LEN(TRIM(F10))&gt;0</formula>
    </cfRule>
  </conditionalFormatting>
  <conditionalFormatting sqref="H8">
    <cfRule type="notContainsBlanks" dxfId="182" priority="23">
      <formula>LEN(TRIM(H8))&gt;0</formula>
    </cfRule>
  </conditionalFormatting>
  <conditionalFormatting sqref="H10">
    <cfRule type="notContainsBlanks" dxfId="181" priority="22">
      <formula>LEN(TRIM(H10))&gt;0</formula>
    </cfRule>
  </conditionalFormatting>
  <conditionalFormatting sqref="J8">
    <cfRule type="notContainsBlanks" dxfId="180" priority="20">
      <formula>LEN(TRIM(J8))&gt;0</formula>
    </cfRule>
  </conditionalFormatting>
  <conditionalFormatting sqref="J10">
    <cfRule type="notContainsBlanks" dxfId="179" priority="19">
      <formula>LEN(TRIM(J10))&gt;0</formula>
    </cfRule>
  </conditionalFormatting>
  <conditionalFormatting sqref="L8">
    <cfRule type="notContainsBlanks" dxfId="178" priority="17">
      <formula>LEN(TRIM(L8))&gt;0</formula>
    </cfRule>
  </conditionalFormatting>
  <conditionalFormatting sqref="L10">
    <cfRule type="notContainsBlanks" dxfId="177" priority="16">
      <formula>LEN(TRIM(L10))&gt;0</formula>
    </cfRule>
  </conditionalFormatting>
  <conditionalFormatting sqref="N8">
    <cfRule type="notContainsBlanks" dxfId="176" priority="14">
      <formula>LEN(TRIM(N8))&gt;0</formula>
    </cfRule>
  </conditionalFormatting>
  <conditionalFormatting sqref="N10">
    <cfRule type="notContainsBlanks" dxfId="175" priority="13">
      <formula>LEN(TRIM(N10))&gt;0</formula>
    </cfRule>
  </conditionalFormatting>
  <conditionalFormatting sqref="P8">
    <cfRule type="notContainsBlanks" dxfId="174" priority="11">
      <formula>LEN(TRIM(P8))&gt;0</formula>
    </cfRule>
  </conditionalFormatting>
  <conditionalFormatting sqref="P10">
    <cfRule type="notContainsBlanks" dxfId="173" priority="10">
      <formula>LEN(TRIM(P10))&gt;0</formula>
    </cfRule>
  </conditionalFormatting>
  <conditionalFormatting sqref="R8">
    <cfRule type="notContainsBlanks" dxfId="172" priority="8">
      <formula>LEN(TRIM(R8))&gt;0</formula>
    </cfRule>
  </conditionalFormatting>
  <conditionalFormatting sqref="R10">
    <cfRule type="notContainsBlanks" dxfId="171" priority="7">
      <formula>LEN(TRIM(R10))&gt;0</formula>
    </cfRule>
  </conditionalFormatting>
  <conditionalFormatting sqref="T8">
    <cfRule type="notContainsBlanks" dxfId="170" priority="5">
      <formula>LEN(TRIM(T8))&gt;0</formula>
    </cfRule>
  </conditionalFormatting>
  <conditionalFormatting sqref="T10">
    <cfRule type="notContainsBlanks" dxfId="169" priority="4">
      <formula>LEN(TRIM(T10))&gt;0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6139B8-64D4-4E51-9667-EEB054C38555}">
  <sheetPr codeName="Sheet104"/>
  <dimension ref="A1:T51"/>
  <sheetViews>
    <sheetView workbookViewId="0">
      <selection activeCell="A3" sqref="A3:A16"/>
    </sheetView>
  </sheetViews>
  <sheetFormatPr defaultColWidth="9.28515625" defaultRowHeight="15" x14ac:dyDescent="0.25"/>
  <cols>
    <col min="1" max="1" width="44.7109375" customWidth="1"/>
    <col min="2" max="2" width="13.85546875" customWidth="1"/>
  </cols>
  <sheetData>
    <row r="1" spans="1:20" x14ac:dyDescent="0.25">
      <c r="A1" s="23" t="str">
        <f>HYPERLINK("#Sheets!A1","Back to sheets")</f>
        <v>Back to sheets</v>
      </c>
    </row>
    <row r="2" spans="1:20" ht="15.95" customHeight="1" x14ac:dyDescent="0.25">
      <c r="A2" s="8" t="s">
        <v>3</v>
      </c>
      <c r="B2" s="9" t="s">
        <v>31</v>
      </c>
      <c r="C2" s="8" t="s">
        <v>7</v>
      </c>
      <c r="D2" s="9" t="s">
        <v>31</v>
      </c>
      <c r="E2" s="8" t="s">
        <v>9</v>
      </c>
      <c r="F2" s="9" t="s">
        <v>31</v>
      </c>
      <c r="G2" s="8" t="s">
        <v>10</v>
      </c>
      <c r="H2" s="9" t="s">
        <v>31</v>
      </c>
      <c r="I2" s="8" t="s">
        <v>11</v>
      </c>
      <c r="J2" s="9" t="s">
        <v>31</v>
      </c>
      <c r="K2" s="8" t="s">
        <v>12</v>
      </c>
      <c r="L2" s="9" t="s">
        <v>31</v>
      </c>
      <c r="M2" s="8" t="s">
        <v>13</v>
      </c>
      <c r="N2" s="9" t="s">
        <v>31</v>
      </c>
      <c r="O2" s="8" t="s">
        <v>14</v>
      </c>
      <c r="P2" s="9" t="s">
        <v>31</v>
      </c>
      <c r="Q2" s="8" t="s">
        <v>15</v>
      </c>
      <c r="R2" s="9" t="s">
        <v>31</v>
      </c>
      <c r="S2" s="8" t="s">
        <v>16</v>
      </c>
      <c r="T2" s="8" t="s">
        <v>31</v>
      </c>
    </row>
    <row r="3" spans="1:20" ht="15.95" customHeight="1" x14ac:dyDescent="0.25">
      <c r="A3" s="17" t="s">
        <v>43</v>
      </c>
      <c r="B3" s="16" t="str">
        <f>TRIM(_xlfn.TEXTBEFORE(A3, ":"))</f>
        <v>Item Class</v>
      </c>
      <c r="C3" s="17" t="s">
        <v>64</v>
      </c>
      <c r="D3" s="16" t="str">
        <f>TRIM(_xlfn.TEXTBEFORE(C3, ":"))</f>
        <v>Gegenstandsklasse</v>
      </c>
      <c r="E3" s="17" t="s">
        <v>75</v>
      </c>
      <c r="F3" s="16" t="str">
        <f>TRIM(_xlfn.TEXTBEFORE(E3, ":"))</f>
        <v>Clase de objeto</v>
      </c>
      <c r="G3" s="17" t="s">
        <v>51</v>
      </c>
      <c r="H3" s="16" t="str">
        <f>TRIM(_xlfn.TEXTBEFORE(G3, ":"))</f>
        <v>Classe d'objet</v>
      </c>
      <c r="I3" s="17" t="s">
        <v>86</v>
      </c>
      <c r="J3" s="16" t="str">
        <f>TRIM(_xlfn.TEXTBEFORE(I3, ":"))</f>
        <v>アイテムクラス</v>
      </c>
      <c r="K3" s="17" t="s">
        <v>97</v>
      </c>
      <c r="L3" s="16" t="str">
        <f>TRIM(_xlfn.TEXTBEFORE(K3, ":"))</f>
        <v>아이템 종류</v>
      </c>
      <c r="M3" s="17" t="s">
        <v>108</v>
      </c>
      <c r="N3" s="16" t="str">
        <f>TRIM(_xlfn.TEXTBEFORE(M3, ":"))</f>
        <v>Classe do Item</v>
      </c>
      <c r="O3" s="17" t="s">
        <v>117</v>
      </c>
      <c r="P3" s="16" t="str">
        <f>TRIM(_xlfn.TEXTBEFORE(O3, ":"))</f>
        <v>Класс предмета</v>
      </c>
      <c r="Q3" s="17" t="s">
        <v>129</v>
      </c>
      <c r="R3" s="16" t="str">
        <f>TRIM(_xlfn.TEXTBEFORE(Q3, ":"))</f>
        <v>ชนิดไอเทม</v>
      </c>
      <c r="S3" s="17"/>
      <c r="T3" s="16" t="e">
        <f>TRIM(_xlfn.TEXTBEFORE(S3, ":"))</f>
        <v>#N/A</v>
      </c>
    </row>
    <row r="4" spans="1:20" ht="15.95" customHeight="1" x14ac:dyDescent="0.25">
      <c r="A4" s="18" t="s">
        <v>35</v>
      </c>
      <c r="B4" s="16" t="str">
        <f>TRIM(_xlfn.TEXTAFTER(A3, ":"))</f>
        <v>Contracts</v>
      </c>
      <c r="C4" s="18" t="s">
        <v>63</v>
      </c>
      <c r="D4" s="16" t="str">
        <f>TRIM(_xlfn.TEXTAFTER(C3, ":"))</f>
        <v>Aufträge</v>
      </c>
      <c r="E4" s="18" t="s">
        <v>74</v>
      </c>
      <c r="F4" s="16" t="str">
        <f>TRIM(_xlfn.TEXTAFTER(E3, ":"))</f>
        <v>Contratos</v>
      </c>
      <c r="G4" s="18" t="s">
        <v>50</v>
      </c>
      <c r="H4" s="16" t="str">
        <f>TRIM(_xlfn.TEXTAFTER(G3, ":"))</f>
        <v>Contrats</v>
      </c>
      <c r="I4" s="18" t="s">
        <v>85</v>
      </c>
      <c r="J4" s="16" t="str">
        <f>TRIM(_xlfn.TEXTAFTER(I3, ":"))</f>
        <v>依頼書</v>
      </c>
      <c r="K4" s="18" t="s">
        <v>96</v>
      </c>
      <c r="L4" s="16" t="str">
        <f>TRIM(_xlfn.TEXTAFTER(K3, ":"))</f>
        <v>계약</v>
      </c>
      <c r="M4" s="18" t="s">
        <v>107</v>
      </c>
      <c r="N4" s="16" t="str">
        <f>TRIM(_xlfn.TEXTAFTER(M3, ":"))</f>
        <v>Contratos</v>
      </c>
      <c r="O4" s="18" t="s">
        <v>116</v>
      </c>
      <c r="P4" s="16" t="str">
        <f>TRIM(_xlfn.TEXTAFTER(O3, ":"))</f>
        <v>Контракты</v>
      </c>
      <c r="Q4" s="18" t="s">
        <v>128</v>
      </c>
      <c r="R4" s="16" t="str">
        <f>TRIM(_xlfn.TEXTAFTER(Q3, ":"))</f>
        <v>สัญญาจ้าง</v>
      </c>
      <c r="S4" s="18"/>
      <c r="T4" s="16" t="e">
        <f>TRIM(_xlfn.TEXTAFTER(S3, ":"))</f>
        <v>#N/A</v>
      </c>
    </row>
    <row r="5" spans="1:20" ht="15.95" customHeight="1" x14ac:dyDescent="0.25">
      <c r="A5" s="18" t="s">
        <v>296</v>
      </c>
      <c r="B5" s="16" t="str">
        <f>TRIM(_xlfn.TEXTBEFORE(A4, ":"))</f>
        <v>Rarity</v>
      </c>
      <c r="C5" s="18" t="s">
        <v>371</v>
      </c>
      <c r="D5" s="16" t="str">
        <f>TRIM(_xlfn.TEXTBEFORE(C4, ":"))</f>
        <v>Seltenheit</v>
      </c>
      <c r="E5" s="18" t="s">
        <v>509</v>
      </c>
      <c r="F5" s="16" t="str">
        <f>TRIM(_xlfn.TEXTBEFORE(E4, ":"))</f>
        <v>Rareza</v>
      </c>
      <c r="G5" s="18" t="s">
        <v>332</v>
      </c>
      <c r="H5" s="16" t="str">
        <f>TRIM(_xlfn.TEXTBEFORE(G4, ":"))</f>
        <v>Rareté</v>
      </c>
      <c r="I5" s="18" t="s">
        <v>575</v>
      </c>
      <c r="J5" s="16" t="str">
        <f>TRIM(_xlfn.TEXTBEFORE(I4, ":"))</f>
        <v>レアリティ</v>
      </c>
      <c r="K5" s="18" t="s">
        <v>540</v>
      </c>
      <c r="L5" s="16" t="str">
        <f>TRIM(_xlfn.TEXTBEFORE(K4, ":"))</f>
        <v>아이템 희귀도</v>
      </c>
      <c r="M5" s="18" t="s">
        <v>405</v>
      </c>
      <c r="N5" s="16" t="str">
        <f>TRIM(_xlfn.TEXTBEFORE(M4, ":"))</f>
        <v>Raridade</v>
      </c>
      <c r="O5" s="18" t="s">
        <v>440</v>
      </c>
      <c r="P5" s="16" t="str">
        <f>TRIM(_xlfn.TEXTBEFORE(O4, ":"))</f>
        <v>Редкость</v>
      </c>
      <c r="Q5" s="18" t="s">
        <v>476</v>
      </c>
      <c r="R5" s="16" t="str">
        <f>TRIM(_xlfn.TEXTBEFORE(Q4, ":"))</f>
        <v>ความหายาก</v>
      </c>
      <c r="S5" s="18"/>
      <c r="T5" s="16" t="e">
        <f>TRIM(_xlfn.TEXTBEFORE(S4, ":"))</f>
        <v>#N/A</v>
      </c>
    </row>
    <row r="6" spans="1:20" ht="15.95" customHeight="1" x14ac:dyDescent="0.25">
      <c r="A6" s="18" t="s">
        <v>0</v>
      </c>
      <c r="B6" s="16" t="str">
        <f>TRIM(_xlfn.TEXTAFTER(A4,":"))</f>
        <v>Normal</v>
      </c>
      <c r="C6" s="18" t="s">
        <v>0</v>
      </c>
      <c r="D6" s="16" t="str">
        <f>TRIM(_xlfn.TEXTAFTER(C4,":"))</f>
        <v>Normal</v>
      </c>
      <c r="E6" s="18" t="s">
        <v>0</v>
      </c>
      <c r="F6" s="16" t="str">
        <f>TRIM(_xlfn.TEXTAFTER(E4,":"))</f>
        <v>Normal</v>
      </c>
      <c r="G6" s="18" t="s">
        <v>0</v>
      </c>
      <c r="H6" s="16" t="str">
        <f>TRIM(_xlfn.TEXTAFTER(G4,":"))</f>
        <v>Normal</v>
      </c>
      <c r="I6" s="18" t="s">
        <v>0</v>
      </c>
      <c r="J6" s="16" t="str">
        <f>TRIM(_xlfn.TEXTAFTER(I4,":"))</f>
        <v>ノーマル</v>
      </c>
      <c r="K6" s="18" t="s">
        <v>0</v>
      </c>
      <c r="L6" s="16" t="str">
        <f>TRIM(_xlfn.TEXTAFTER(K4,":"))</f>
        <v>일반</v>
      </c>
      <c r="M6" s="18" t="s">
        <v>0</v>
      </c>
      <c r="N6" s="16" t="str">
        <f>TRIM(_xlfn.TEXTAFTER(M4,":"))</f>
        <v>Normal</v>
      </c>
      <c r="O6" s="18" t="s">
        <v>0</v>
      </c>
      <c r="P6" s="16" t="str">
        <f>TRIM(_xlfn.TEXTAFTER(O4,":"))</f>
        <v>Обычный</v>
      </c>
      <c r="Q6" s="18" t="s">
        <v>0</v>
      </c>
      <c r="R6" s="16" t="str">
        <f>TRIM(_xlfn.TEXTAFTER(Q4,":"))</f>
        <v>ปกติ</v>
      </c>
      <c r="S6" s="18"/>
      <c r="T6" s="16" t="e">
        <f>TRIM(_xlfn.TEXTAFTER(S4,":"))</f>
        <v>#N/A</v>
      </c>
    </row>
    <row r="7" spans="1:20" ht="15.95" customHeight="1" x14ac:dyDescent="0.25">
      <c r="A7" s="18" t="s">
        <v>297</v>
      </c>
      <c r="B7" s="16"/>
      <c r="C7" s="18" t="s">
        <v>372</v>
      </c>
      <c r="D7" s="16"/>
      <c r="E7" s="18" t="s">
        <v>406</v>
      </c>
      <c r="F7" s="16"/>
      <c r="G7" s="18" t="s">
        <v>333</v>
      </c>
      <c r="H7" s="16"/>
      <c r="I7" s="18" t="s">
        <v>576</v>
      </c>
      <c r="J7" s="16"/>
      <c r="K7" s="18" t="s">
        <v>541</v>
      </c>
      <c r="L7" s="16"/>
      <c r="M7" s="18" t="s">
        <v>406</v>
      </c>
      <c r="N7" s="16"/>
      <c r="O7" s="18" t="s">
        <v>441</v>
      </c>
      <c r="P7" s="16"/>
      <c r="Q7" s="18" t="s">
        <v>477</v>
      </c>
      <c r="R7" s="16"/>
      <c r="S7" s="18"/>
      <c r="T7" s="16"/>
    </row>
    <row r="8" spans="1:20" ht="15.95" customHeight="1" x14ac:dyDescent="0.25">
      <c r="A8" s="18" t="s">
        <v>298</v>
      </c>
      <c r="B8" s="16" t="str">
        <f>TRIM(_xlfn.TEXTBEFORE(_xlfn.TEXTAFTER(A8, " ("), ")"))</f>
        <v>High Value</v>
      </c>
      <c r="C8" s="18" t="s">
        <v>373</v>
      </c>
      <c r="D8" s="16" t="str">
        <f>TRIM(_xlfn.TEXTBEFORE(_xlfn.TEXTAFTER(C8, " ("), ")"))</f>
        <v>Hoher Wert</v>
      </c>
      <c r="E8" s="18" t="s">
        <v>510</v>
      </c>
      <c r="F8" s="16" t="str">
        <f>TRIM(_xlfn.TEXTBEFORE(_xlfn.TEXTAFTER(E8, " ("), ")"))</f>
        <v>valor alto</v>
      </c>
      <c r="G8" s="18" t="s">
        <v>334</v>
      </c>
      <c r="H8" s="16" t="str">
        <f>TRIM(_xlfn.TEXTBEFORE(_xlfn.TEXTAFTER(G8, " ("), ")"))</f>
        <v>valeur : élevée</v>
      </c>
      <c r="I8" s="18" t="s">
        <v>577</v>
      </c>
      <c r="J8" s="16" t="str">
        <f>TRIM(_xlfn.TEXTBEFORE(_xlfn.TEXTAFTER(I8, " ("), ")"))</f>
        <v>高価値</v>
      </c>
      <c r="K8" s="18" t="s">
        <v>542</v>
      </c>
      <c r="L8" s="16" t="str">
        <f>TRIM(_xlfn.TEXTBEFORE(_xlfn.TEXTAFTER(K8, " ("), ")"))</f>
        <v>높은 가치</v>
      </c>
      <c r="M8" s="18" t="s">
        <v>407</v>
      </c>
      <c r="N8" s="16" t="str">
        <f>TRIM(_xlfn.TEXTBEFORE(_xlfn.TEXTAFTER(M8, " ("), ")"))</f>
        <v>Valor Alto</v>
      </c>
      <c r="O8" s="18" t="s">
        <v>442</v>
      </c>
      <c r="P8" s="16" t="str">
        <f>TRIM(_xlfn.TEXTBEFORE(_xlfn.TEXTAFTER(O8, " ("), ")"))</f>
        <v>ценный</v>
      </c>
      <c r="Q8" s="18" t="s">
        <v>478</v>
      </c>
      <c r="R8" s="16" t="str">
        <f>TRIM(_xlfn.TEXTBEFORE(_xlfn.TEXTAFTER(Q8, " ("), ")"))</f>
        <v>มีมูลค่าสูง</v>
      </c>
      <c r="S8" s="18"/>
      <c r="T8" s="16" t="e">
        <f>TRIM(_xlfn.TEXTBEFORE(_xlfn.TEXTAFTER(S8, " ("), ")"))</f>
        <v>#N/A</v>
      </c>
    </row>
    <row r="9" spans="1:20" ht="15.95" customHeight="1" x14ac:dyDescent="0.25">
      <c r="A9" s="18" t="s">
        <v>289</v>
      </c>
      <c r="B9" s="16"/>
      <c r="C9" s="18" t="s">
        <v>354</v>
      </c>
      <c r="D9" s="16"/>
      <c r="E9" s="18" t="s">
        <v>494</v>
      </c>
      <c r="F9" s="16"/>
      <c r="G9" s="18" t="s">
        <v>315</v>
      </c>
      <c r="H9" s="16"/>
      <c r="I9" s="18" t="s">
        <v>558</v>
      </c>
      <c r="J9" s="16"/>
      <c r="K9" s="18" t="s">
        <v>525</v>
      </c>
      <c r="L9" s="16"/>
      <c r="M9" s="18" t="s">
        <v>389</v>
      </c>
      <c r="N9" s="16"/>
      <c r="O9" s="18" t="s">
        <v>423</v>
      </c>
      <c r="P9" s="16"/>
      <c r="Q9" s="18" t="s">
        <v>461</v>
      </c>
      <c r="R9" s="16"/>
      <c r="S9" s="18"/>
      <c r="T9" s="16"/>
    </row>
    <row r="10" spans="1:20" ht="15.95" customHeight="1" x14ac:dyDescent="0.25">
      <c r="A10" s="18" t="s">
        <v>596</v>
      </c>
      <c r="B10" s="16" t="str">
        <f>_xlfn.REGEXREPLACE(A10, "\d+", "#")</f>
        <v>Requires Perception (Level #)</v>
      </c>
      <c r="C10" s="18" t="s">
        <v>374</v>
      </c>
      <c r="D10" s="16" t="str">
        <f>_xlfn.REGEXREPLACE(C10, "\d+", "#")</f>
        <v>Erfordert Wahrnehmung (Stufe #)</v>
      </c>
      <c r="E10" s="18" t="s">
        <v>511</v>
      </c>
      <c r="F10" s="16" t="str">
        <f>_xlfn.REGEXREPLACE(E10, "\d+", "#")</f>
        <v>Requiere Percepción (Nivel#)</v>
      </c>
      <c r="G10" s="18" t="s">
        <v>335</v>
      </c>
      <c r="H10" s="16" t="str">
        <f>_xlfn.REGEXREPLACE(G10, "\d+", "#")</f>
        <v>Prérequis : Perception au niv. #</v>
      </c>
      <c r="I10" s="18" t="s">
        <v>578</v>
      </c>
      <c r="J10" s="16" t="str">
        <f>_xlfn.REGEXREPLACE(I10, "\d+", "#")</f>
        <v>必要ジョブ 知覚能力 (レベル #)</v>
      </c>
      <c r="K10" s="18" t="s">
        <v>543</v>
      </c>
      <c r="L10" s="16" t="str">
        <f>_xlfn.REGEXREPLACE(K10, "\d+", "#")</f>
        <v>통찰력 필요(#레벨)</v>
      </c>
      <c r="M10" s="18" t="s">
        <v>408</v>
      </c>
      <c r="N10" s="16" t="str">
        <f>_xlfn.REGEXREPLACE(M10, "\d+", "#")</f>
        <v>Requer Percepção (Nível #)</v>
      </c>
      <c r="O10" s="18" t="s">
        <v>443</v>
      </c>
      <c r="P10" s="16" t="str">
        <f>_xlfn.REGEXREPLACE(O10, "\d+", "#")</f>
        <v>Требуется восприятие (# уровень)</v>
      </c>
      <c r="Q10" s="18" t="s">
        <v>479</v>
      </c>
      <c r="R10" s="16" t="str">
        <f>_xlfn.REGEXREPLACE(Q10, "\d+", "#")</f>
        <v>ต้องมี การรับรู้ (ระดับ #)</v>
      </c>
      <c r="S10" s="18"/>
      <c r="T10" s="16" t="str">
        <f>_xlfn.REGEXREPLACE(S10, "\d+", "#")</f>
        <v/>
      </c>
    </row>
    <row r="11" spans="1:20" ht="15.95" customHeight="1" x14ac:dyDescent="0.25">
      <c r="A11" s="18" t="s">
        <v>0</v>
      </c>
      <c r="B11" s="16"/>
      <c r="C11" s="18" t="s">
        <v>0</v>
      </c>
      <c r="D11" s="16"/>
      <c r="E11" s="18" t="s">
        <v>0</v>
      </c>
      <c r="F11" s="16"/>
      <c r="G11" s="18" t="s">
        <v>0</v>
      </c>
      <c r="H11" s="16"/>
      <c r="I11" s="18" t="s">
        <v>0</v>
      </c>
      <c r="J11" s="16"/>
      <c r="K11" s="18" t="s">
        <v>0</v>
      </c>
      <c r="L11" s="16"/>
      <c r="M11" s="18" t="s">
        <v>0</v>
      </c>
      <c r="N11" s="16"/>
      <c r="O11" s="18" t="s">
        <v>0</v>
      </c>
      <c r="P11" s="16"/>
      <c r="Q11" s="18" t="s">
        <v>0</v>
      </c>
      <c r="R11" s="16"/>
      <c r="S11" s="18"/>
      <c r="T11" s="16"/>
    </row>
    <row r="12" spans="1:20" ht="15.95" customHeight="1" x14ac:dyDescent="0.25">
      <c r="A12" s="18" t="s">
        <v>32</v>
      </c>
      <c r="B12" s="16"/>
      <c r="C12" s="18" t="s">
        <v>70</v>
      </c>
      <c r="D12" s="16"/>
      <c r="E12" s="18" t="s">
        <v>81</v>
      </c>
      <c r="F12" s="16"/>
      <c r="G12" s="18" t="s">
        <v>58</v>
      </c>
      <c r="H12" s="16"/>
      <c r="I12" s="18" t="s">
        <v>92</v>
      </c>
      <c r="J12" s="16"/>
      <c r="K12" s="18" t="s">
        <v>103</v>
      </c>
      <c r="L12" s="16"/>
      <c r="M12" s="18" t="s">
        <v>112</v>
      </c>
      <c r="N12" s="16"/>
      <c r="O12" s="18" t="s">
        <v>124</v>
      </c>
      <c r="P12" s="16"/>
      <c r="Q12" s="18" t="s">
        <v>135</v>
      </c>
      <c r="R12" s="16"/>
      <c r="S12" s="18"/>
      <c r="T12" s="16"/>
    </row>
    <row r="13" spans="1:20" ht="15.95" customHeight="1" x14ac:dyDescent="0.25">
      <c r="A13" s="18" t="s">
        <v>0</v>
      </c>
      <c r="B13" s="16"/>
      <c r="C13" s="18" t="s">
        <v>0</v>
      </c>
      <c r="D13" s="16"/>
      <c r="E13" s="18" t="s">
        <v>0</v>
      </c>
      <c r="F13" s="16"/>
      <c r="G13" s="18" t="s">
        <v>0</v>
      </c>
      <c r="H13" s="16"/>
      <c r="I13" s="18" t="s">
        <v>0</v>
      </c>
      <c r="J13" s="16"/>
      <c r="K13" s="18" t="s">
        <v>0</v>
      </c>
      <c r="L13" s="16"/>
      <c r="M13" s="18" t="s">
        <v>0</v>
      </c>
      <c r="N13" s="16"/>
      <c r="O13" s="18" t="s">
        <v>0</v>
      </c>
      <c r="P13" s="16"/>
      <c r="Q13" s="18" t="s">
        <v>0</v>
      </c>
      <c r="R13" s="16"/>
      <c r="S13" s="18"/>
      <c r="T13" s="16"/>
    </row>
    <row r="14" spans="1:20" ht="15.95" customHeight="1" x14ac:dyDescent="0.25">
      <c r="A14" s="18" t="s">
        <v>299</v>
      </c>
      <c r="B14" s="16"/>
      <c r="C14" s="18" t="s">
        <v>375</v>
      </c>
      <c r="D14" s="16"/>
      <c r="E14" s="18" t="s">
        <v>512</v>
      </c>
      <c r="F14" s="16"/>
      <c r="G14" s="18" t="s">
        <v>336</v>
      </c>
      <c r="H14" s="16"/>
      <c r="I14" s="18" t="s">
        <v>579</v>
      </c>
      <c r="J14" s="16"/>
      <c r="K14" s="18" t="s">
        <v>544</v>
      </c>
      <c r="L14" s="16"/>
      <c r="M14" s="18" t="s">
        <v>409</v>
      </c>
      <c r="N14" s="16"/>
      <c r="O14" s="18" t="s">
        <v>444</v>
      </c>
      <c r="P14" s="16"/>
      <c r="Q14" s="18" t="s">
        <v>480</v>
      </c>
      <c r="R14" s="16"/>
      <c r="S14" s="18"/>
      <c r="T14" s="16"/>
    </row>
    <row r="15" spans="1:20" ht="15.95" customHeight="1" x14ac:dyDescent="0.25">
      <c r="A15" s="18" t="s">
        <v>0</v>
      </c>
      <c r="B15" s="16"/>
      <c r="C15" s="18" t="s">
        <v>0</v>
      </c>
      <c r="D15" s="16"/>
      <c r="E15" s="18" t="s">
        <v>0</v>
      </c>
      <c r="F15" s="16"/>
      <c r="G15" s="18" t="s">
        <v>337</v>
      </c>
      <c r="H15" s="16"/>
      <c r="I15" s="18" t="s">
        <v>0</v>
      </c>
      <c r="J15" s="16"/>
      <c r="K15" s="18" t="s">
        <v>0</v>
      </c>
      <c r="L15" s="16"/>
      <c r="M15" s="18" t="s">
        <v>0</v>
      </c>
      <c r="N15" s="16"/>
      <c r="O15" s="18" t="s">
        <v>445</v>
      </c>
      <c r="P15" s="16"/>
      <c r="Q15" s="18" t="s">
        <v>0</v>
      </c>
      <c r="R15" s="16"/>
      <c r="S15" s="18"/>
      <c r="T15" s="19"/>
    </row>
    <row r="16" spans="1:20" ht="15.95" customHeight="1" x14ac:dyDescent="0.25">
      <c r="A16" s="18" t="s">
        <v>47</v>
      </c>
      <c r="B16" s="16"/>
      <c r="C16" s="18" t="s">
        <v>69</v>
      </c>
      <c r="D16" s="16"/>
      <c r="E16" s="18" t="s">
        <v>80</v>
      </c>
      <c r="F16" s="16"/>
      <c r="G16" s="18" t="s">
        <v>338</v>
      </c>
      <c r="H16" s="16"/>
      <c r="I16" s="18" t="s">
        <v>91</v>
      </c>
      <c r="J16" s="16"/>
      <c r="K16" s="18" t="s">
        <v>102</v>
      </c>
      <c r="L16" s="16"/>
      <c r="M16" s="18" t="s">
        <v>111</v>
      </c>
      <c r="N16" s="16"/>
      <c r="O16" s="18" t="s">
        <v>0</v>
      </c>
      <c r="P16" s="16"/>
      <c r="Q16" s="18" t="s">
        <v>134</v>
      </c>
      <c r="R16" s="16"/>
      <c r="S16" s="18"/>
      <c r="T16" s="19"/>
    </row>
    <row r="17" spans="1:20" ht="15.95" customHeight="1" x14ac:dyDescent="0.25">
      <c r="A17" s="18"/>
      <c r="B17" s="16"/>
      <c r="C17" s="18"/>
      <c r="D17" s="16"/>
      <c r="E17" s="18"/>
      <c r="F17" s="16"/>
      <c r="G17" s="18" t="s">
        <v>0</v>
      </c>
      <c r="H17" s="16"/>
      <c r="I17" s="18"/>
      <c r="J17" s="16"/>
      <c r="K17" s="18"/>
      <c r="L17" s="16"/>
      <c r="M17" s="18"/>
      <c r="N17" s="16"/>
      <c r="O17" s="18" t="s">
        <v>123</v>
      </c>
      <c r="P17" s="16"/>
      <c r="Q17" s="18"/>
      <c r="R17" s="16"/>
      <c r="S17" s="18"/>
      <c r="T17" s="19"/>
    </row>
    <row r="18" spans="1:20" ht="15.95" customHeight="1" x14ac:dyDescent="0.25">
      <c r="A18" s="18"/>
      <c r="B18" s="16"/>
      <c r="C18" s="18"/>
      <c r="D18" s="16"/>
      <c r="E18" s="18"/>
      <c r="F18" s="16"/>
      <c r="G18" s="18" t="s">
        <v>57</v>
      </c>
      <c r="H18" s="16"/>
      <c r="I18" s="18"/>
      <c r="J18" s="16"/>
      <c r="K18" s="18"/>
      <c r="L18" s="16"/>
      <c r="M18" s="18"/>
      <c r="N18" s="16"/>
      <c r="O18" s="18"/>
      <c r="P18" s="16"/>
      <c r="Q18" s="18"/>
      <c r="R18" s="16"/>
      <c r="S18" s="18"/>
      <c r="T18" s="19"/>
    </row>
    <row r="19" spans="1:20" ht="15.95" customHeight="1" x14ac:dyDescent="0.25">
      <c r="A19" s="18"/>
      <c r="B19" s="16"/>
      <c r="C19" s="18"/>
      <c r="D19" s="16"/>
      <c r="E19" s="18"/>
      <c r="F19" s="16"/>
      <c r="G19" s="18"/>
      <c r="H19" s="16"/>
      <c r="I19" s="18"/>
      <c r="J19" s="16"/>
      <c r="K19" s="18"/>
      <c r="L19" s="16"/>
      <c r="M19" s="18"/>
      <c r="N19" s="16"/>
      <c r="O19" s="18"/>
      <c r="P19" s="16"/>
      <c r="Q19" s="18"/>
      <c r="R19" s="16"/>
      <c r="S19" s="18"/>
      <c r="T19" s="19"/>
    </row>
    <row r="20" spans="1:20" ht="15.95" customHeight="1" x14ac:dyDescent="0.25">
      <c r="A20" s="18"/>
      <c r="B20" s="16"/>
      <c r="C20" s="18"/>
      <c r="D20" s="16"/>
      <c r="E20" s="18"/>
      <c r="F20" s="16"/>
      <c r="G20" s="18"/>
      <c r="H20" s="16"/>
      <c r="I20" s="18"/>
      <c r="J20" s="16"/>
      <c r="K20" s="18"/>
      <c r="L20" s="16"/>
      <c r="M20" s="18"/>
      <c r="N20" s="16"/>
      <c r="O20" s="18"/>
      <c r="P20" s="16"/>
      <c r="Q20" s="18"/>
      <c r="R20" s="16"/>
      <c r="S20" s="18"/>
      <c r="T20" s="19"/>
    </row>
    <row r="21" spans="1:20" ht="15.95" customHeight="1" x14ac:dyDescent="0.25">
      <c r="A21" s="18"/>
      <c r="B21" s="16"/>
      <c r="C21" s="18"/>
      <c r="D21" s="16"/>
      <c r="E21" s="18"/>
      <c r="F21" s="16"/>
      <c r="G21" s="18"/>
      <c r="H21" s="16"/>
      <c r="I21" s="18"/>
      <c r="J21" s="16"/>
      <c r="K21" s="18"/>
      <c r="L21" s="16"/>
      <c r="M21" s="18"/>
      <c r="N21" s="16"/>
      <c r="O21" s="18"/>
      <c r="P21" s="16"/>
      <c r="Q21" s="18"/>
      <c r="R21" s="16"/>
      <c r="S21" s="18"/>
      <c r="T21" s="19"/>
    </row>
    <row r="22" spans="1:20" ht="15.95" customHeight="1" x14ac:dyDescent="0.25">
      <c r="A22" s="18"/>
      <c r="B22" s="16"/>
      <c r="C22" s="18"/>
      <c r="D22" s="16"/>
      <c r="E22" s="18"/>
      <c r="F22" s="16"/>
      <c r="G22" s="18"/>
      <c r="H22" s="16"/>
      <c r="I22" s="18"/>
      <c r="J22" s="16"/>
      <c r="K22" s="18"/>
      <c r="L22" s="16"/>
      <c r="M22" s="18"/>
      <c r="N22" s="16"/>
      <c r="O22" s="18"/>
      <c r="P22" s="16"/>
      <c r="Q22" s="18"/>
      <c r="R22" s="16"/>
      <c r="S22" s="18"/>
      <c r="T22" s="19"/>
    </row>
    <row r="23" spans="1:20" ht="15.95" customHeight="1" x14ac:dyDescent="0.25">
      <c r="A23" s="18"/>
      <c r="B23" s="16"/>
      <c r="C23" s="18"/>
      <c r="D23" s="16"/>
      <c r="E23" s="18"/>
      <c r="F23" s="16"/>
      <c r="G23" s="18"/>
      <c r="H23" s="16"/>
      <c r="I23" s="18"/>
      <c r="J23" s="16"/>
      <c r="K23" s="18"/>
      <c r="L23" s="16"/>
      <c r="M23" s="18"/>
      <c r="N23" s="16"/>
      <c r="O23" s="18"/>
      <c r="P23" s="16"/>
      <c r="Q23" s="18"/>
      <c r="R23" s="16"/>
      <c r="S23" s="18"/>
      <c r="T23" s="19"/>
    </row>
    <row r="24" spans="1:20" ht="15.95" customHeight="1" x14ac:dyDescent="0.25">
      <c r="A24" s="18"/>
      <c r="B24" s="16"/>
      <c r="C24" s="18"/>
      <c r="D24" s="16"/>
      <c r="E24" s="18"/>
      <c r="F24" s="16"/>
      <c r="G24" s="18"/>
      <c r="H24" s="16"/>
      <c r="I24" s="18"/>
      <c r="J24" s="16"/>
      <c r="K24" s="18"/>
      <c r="L24" s="16"/>
      <c r="M24" s="18"/>
      <c r="N24" s="16"/>
      <c r="O24" s="18"/>
      <c r="P24" s="16"/>
      <c r="Q24" s="18"/>
      <c r="R24" s="16"/>
      <c r="S24" s="18"/>
      <c r="T24" s="19"/>
    </row>
    <row r="25" spans="1:20" ht="15.95" customHeight="1" x14ac:dyDescent="0.25">
      <c r="A25" s="18"/>
      <c r="B25" s="16"/>
      <c r="C25" s="18"/>
      <c r="D25" s="16"/>
      <c r="E25" s="18"/>
      <c r="F25" s="16"/>
      <c r="G25" s="18"/>
      <c r="H25" s="16"/>
      <c r="I25" s="18"/>
      <c r="J25" s="16"/>
      <c r="K25" s="18"/>
      <c r="L25" s="16"/>
      <c r="M25" s="18"/>
      <c r="N25" s="16"/>
      <c r="O25" s="18"/>
      <c r="P25" s="16"/>
      <c r="Q25" s="18"/>
      <c r="R25" s="16"/>
      <c r="S25" s="18"/>
      <c r="T25" s="19"/>
    </row>
    <row r="26" spans="1:20" ht="15.95" customHeight="1" x14ac:dyDescent="0.25">
      <c r="A26" s="18"/>
      <c r="B26" s="16"/>
      <c r="C26" s="18"/>
      <c r="D26" s="16"/>
      <c r="E26" s="18"/>
      <c r="F26" s="16"/>
      <c r="G26" s="18"/>
      <c r="H26" s="16"/>
      <c r="I26" s="18"/>
      <c r="J26" s="16"/>
      <c r="K26" s="18"/>
      <c r="L26" s="16"/>
      <c r="M26" s="18"/>
      <c r="N26" s="16"/>
      <c r="O26" s="18"/>
      <c r="P26" s="16"/>
      <c r="Q26" s="18"/>
      <c r="R26" s="16"/>
      <c r="S26" s="18"/>
      <c r="T26" s="19"/>
    </row>
    <row r="27" spans="1:20" ht="15.95" customHeight="1" x14ac:dyDescent="0.25">
      <c r="A27" s="18"/>
      <c r="B27" s="16"/>
      <c r="C27" s="18"/>
      <c r="D27" s="16"/>
      <c r="E27" s="18"/>
      <c r="F27" s="16"/>
      <c r="G27" s="18"/>
      <c r="H27" s="16"/>
      <c r="I27" s="18"/>
      <c r="J27" s="16"/>
      <c r="K27" s="18"/>
      <c r="L27" s="16"/>
      <c r="M27" s="18"/>
      <c r="N27" s="16"/>
      <c r="O27" s="18"/>
      <c r="P27" s="16"/>
      <c r="Q27" s="18"/>
      <c r="R27" s="16"/>
      <c r="S27" s="18"/>
      <c r="T27" s="19"/>
    </row>
    <row r="28" spans="1:20" ht="15.95" customHeight="1" x14ac:dyDescent="0.25">
      <c r="A28" s="18"/>
      <c r="B28" s="16"/>
      <c r="C28" s="18"/>
      <c r="D28" s="16"/>
      <c r="E28" s="18"/>
      <c r="F28" s="16"/>
      <c r="G28" s="18"/>
      <c r="H28" s="16"/>
      <c r="I28" s="18"/>
      <c r="J28" s="16"/>
      <c r="K28" s="18"/>
      <c r="L28" s="16"/>
      <c r="M28" s="18"/>
      <c r="N28" s="16"/>
      <c r="O28" s="18"/>
      <c r="P28" s="16"/>
      <c r="Q28" s="18"/>
      <c r="R28" s="16"/>
      <c r="S28" s="18"/>
      <c r="T28" s="19"/>
    </row>
    <row r="29" spans="1:20" ht="15.95" customHeight="1" x14ac:dyDescent="0.25">
      <c r="A29" s="18"/>
      <c r="B29" s="16"/>
      <c r="C29" s="18"/>
      <c r="D29" s="16"/>
      <c r="E29" s="18"/>
      <c r="F29" s="16"/>
      <c r="G29" s="18"/>
      <c r="H29" s="16"/>
      <c r="I29" s="18"/>
      <c r="J29" s="16"/>
      <c r="K29" s="18"/>
      <c r="L29" s="16"/>
      <c r="M29" s="18"/>
      <c r="N29" s="16"/>
      <c r="O29" s="18"/>
      <c r="P29" s="16"/>
      <c r="Q29" s="18"/>
      <c r="R29" s="16"/>
      <c r="S29" s="18"/>
      <c r="T29" s="19"/>
    </row>
    <row r="30" spans="1:20" ht="15.95" customHeight="1" x14ac:dyDescent="0.25">
      <c r="A30" s="18"/>
      <c r="B30" s="16"/>
      <c r="C30" s="18"/>
      <c r="D30" s="16"/>
      <c r="E30" s="18"/>
      <c r="F30" s="16"/>
      <c r="G30" s="18"/>
      <c r="H30" s="16"/>
      <c r="I30" s="18"/>
      <c r="J30" s="16"/>
      <c r="K30" s="18"/>
      <c r="L30" s="16"/>
      <c r="M30" s="18"/>
      <c r="N30" s="16"/>
      <c r="O30" s="18"/>
      <c r="P30" s="16"/>
      <c r="Q30" s="18"/>
      <c r="R30" s="16"/>
      <c r="S30" s="18"/>
      <c r="T30" s="19"/>
    </row>
    <row r="31" spans="1:20" ht="15.95" customHeight="1" x14ac:dyDescent="0.25">
      <c r="A31" s="18"/>
      <c r="B31" s="16"/>
      <c r="C31" s="18"/>
      <c r="D31" s="16"/>
      <c r="E31" s="18"/>
      <c r="F31" s="16"/>
      <c r="G31" s="18"/>
      <c r="H31" s="16"/>
      <c r="I31" s="18"/>
      <c r="J31" s="16"/>
      <c r="K31" s="18"/>
      <c r="L31" s="16"/>
      <c r="M31" s="18"/>
      <c r="N31" s="16"/>
      <c r="O31" s="18"/>
      <c r="P31" s="16"/>
      <c r="Q31" s="18"/>
      <c r="R31" s="16"/>
      <c r="S31" s="18"/>
      <c r="T31" s="19"/>
    </row>
    <row r="32" spans="1:20" ht="15.95" customHeight="1" x14ac:dyDescent="0.25">
      <c r="A32" s="18"/>
      <c r="B32" s="16"/>
      <c r="C32" s="18"/>
      <c r="D32" s="16"/>
      <c r="E32" s="18"/>
      <c r="F32" s="16"/>
      <c r="G32" s="18"/>
      <c r="H32" s="16"/>
      <c r="I32" s="18"/>
      <c r="J32" s="16"/>
      <c r="K32" s="18"/>
      <c r="L32" s="16"/>
      <c r="M32" s="18"/>
      <c r="N32" s="16"/>
      <c r="O32" s="18"/>
      <c r="P32" s="16"/>
      <c r="Q32" s="18"/>
      <c r="R32" s="16"/>
      <c r="S32" s="18"/>
      <c r="T32" s="19"/>
    </row>
    <row r="33" spans="1:20" ht="15.95" customHeight="1" x14ac:dyDescent="0.25">
      <c r="A33" s="21"/>
      <c r="B33" s="16"/>
      <c r="C33" s="18"/>
      <c r="D33" s="16"/>
      <c r="E33" s="18"/>
      <c r="F33" s="16"/>
      <c r="G33" s="18"/>
      <c r="H33" s="16"/>
      <c r="I33" s="18"/>
      <c r="J33" s="16"/>
      <c r="K33" s="18"/>
      <c r="L33" s="16"/>
      <c r="M33" s="18"/>
      <c r="N33" s="16"/>
      <c r="O33" s="18"/>
      <c r="P33" s="16"/>
      <c r="Q33" s="18"/>
      <c r="R33" s="16"/>
      <c r="S33" s="18"/>
      <c r="T33" s="19"/>
    </row>
    <row r="34" spans="1:20" ht="15.95" customHeight="1" x14ac:dyDescent="0.25">
      <c r="A34" s="18"/>
      <c r="B34" s="16"/>
      <c r="C34" s="18"/>
      <c r="D34" s="16"/>
      <c r="E34" s="18"/>
      <c r="F34" s="16"/>
      <c r="G34" s="18"/>
      <c r="H34" s="16"/>
      <c r="I34" s="18"/>
      <c r="J34" s="16"/>
      <c r="K34" s="18"/>
      <c r="L34" s="16"/>
      <c r="M34" s="18"/>
      <c r="N34" s="16"/>
      <c r="O34" s="18"/>
      <c r="P34" s="16"/>
      <c r="Q34" s="18"/>
      <c r="R34" s="16"/>
      <c r="S34" s="18"/>
      <c r="T34" s="19"/>
    </row>
    <row r="35" spans="1:20" ht="15.95" customHeight="1" x14ac:dyDescent="0.25">
      <c r="A35" s="18"/>
      <c r="B35" s="16"/>
      <c r="C35" s="18"/>
      <c r="D35" s="16"/>
      <c r="E35" s="18"/>
      <c r="F35" s="16"/>
      <c r="G35" s="18"/>
      <c r="H35" s="16"/>
      <c r="I35" s="18"/>
      <c r="J35" s="16"/>
      <c r="K35" s="18"/>
      <c r="L35" s="16"/>
      <c r="M35" s="18"/>
      <c r="N35" s="16"/>
      <c r="O35" s="18"/>
      <c r="P35" s="16"/>
      <c r="Q35" s="18"/>
      <c r="R35" s="16"/>
      <c r="S35" s="18"/>
      <c r="T35" s="19"/>
    </row>
    <row r="36" spans="1:20" ht="15.95" customHeight="1" x14ac:dyDescent="0.25">
      <c r="A36" s="18"/>
      <c r="B36" s="16"/>
      <c r="C36" s="18"/>
      <c r="D36" s="16"/>
      <c r="E36" s="18"/>
      <c r="F36" s="16"/>
      <c r="G36" s="18"/>
      <c r="H36" s="16"/>
      <c r="I36" s="18"/>
      <c r="J36" s="16"/>
      <c r="K36" s="18"/>
      <c r="L36" s="16"/>
      <c r="M36" s="18"/>
      <c r="N36" s="16"/>
      <c r="O36" s="18"/>
      <c r="P36" s="16"/>
      <c r="Q36" s="18"/>
      <c r="R36" s="16"/>
      <c r="S36" s="18"/>
      <c r="T36" s="19"/>
    </row>
    <row r="37" spans="1:20" ht="15.95" customHeight="1" x14ac:dyDescent="0.25">
      <c r="A37" s="18"/>
      <c r="B37" s="16"/>
      <c r="C37" s="18"/>
      <c r="D37" s="16"/>
      <c r="E37" s="18"/>
      <c r="F37" s="16"/>
      <c r="G37" s="18"/>
      <c r="H37" s="16"/>
      <c r="I37" s="18"/>
      <c r="J37" s="16"/>
      <c r="K37" s="18"/>
      <c r="L37" s="16"/>
      <c r="M37" s="18"/>
      <c r="N37" s="16"/>
      <c r="O37" s="18"/>
      <c r="P37" s="16"/>
      <c r="Q37" s="18"/>
      <c r="R37" s="16"/>
      <c r="S37" s="18"/>
      <c r="T37" s="19"/>
    </row>
    <row r="38" spans="1:20" ht="15.95" customHeight="1" x14ac:dyDescent="0.25">
      <c r="A38" s="18"/>
      <c r="B38" s="16"/>
      <c r="C38" s="18"/>
      <c r="D38" s="16"/>
      <c r="E38" s="18"/>
      <c r="F38" s="16"/>
      <c r="G38" s="18"/>
      <c r="H38" s="16"/>
      <c r="I38" s="18"/>
      <c r="J38" s="16"/>
      <c r="K38" s="18"/>
      <c r="L38" s="16"/>
      <c r="M38" s="18"/>
      <c r="N38" s="16"/>
      <c r="O38" s="18"/>
      <c r="P38" s="16"/>
      <c r="Q38" s="18"/>
      <c r="R38" s="16"/>
      <c r="S38" s="18"/>
      <c r="T38" s="20"/>
    </row>
    <row r="39" spans="1:20" ht="15.95" customHeight="1" x14ac:dyDescent="0.25">
      <c r="A39" s="18"/>
      <c r="B39" s="16"/>
      <c r="C39" s="18"/>
      <c r="D39" s="16"/>
      <c r="E39" s="18"/>
      <c r="F39" s="16"/>
      <c r="G39" s="18"/>
      <c r="H39" s="16"/>
      <c r="I39" s="18"/>
      <c r="J39" s="16"/>
      <c r="K39" s="18"/>
      <c r="L39" s="16"/>
      <c r="M39" s="18"/>
      <c r="N39" s="16"/>
      <c r="O39" s="18"/>
      <c r="P39" s="16"/>
      <c r="Q39" s="18"/>
      <c r="R39" s="16"/>
      <c r="S39" s="18"/>
      <c r="T39" s="20"/>
    </row>
    <row r="40" spans="1:20" ht="15.95" customHeight="1" x14ac:dyDescent="0.25">
      <c r="A40" s="18"/>
      <c r="B40" s="16"/>
      <c r="C40" s="18"/>
      <c r="D40" s="16"/>
      <c r="E40" s="18"/>
      <c r="F40" s="16"/>
      <c r="G40" s="18"/>
      <c r="H40" s="16"/>
      <c r="I40" s="18"/>
      <c r="J40" s="16"/>
      <c r="K40" s="18"/>
      <c r="L40" s="16"/>
      <c r="M40" s="18"/>
      <c r="N40" s="16"/>
      <c r="O40" s="18"/>
      <c r="P40" s="16"/>
      <c r="Q40" s="18"/>
      <c r="R40" s="16"/>
      <c r="S40" s="18"/>
      <c r="T40" s="20"/>
    </row>
    <row r="41" spans="1:20" ht="15.95" customHeight="1" x14ac:dyDescent="0.25">
      <c r="A41" s="18"/>
      <c r="B41" s="16"/>
      <c r="C41" s="18"/>
      <c r="D41" s="16"/>
      <c r="E41" s="18"/>
      <c r="F41" s="16"/>
      <c r="G41" s="18"/>
      <c r="H41" s="16"/>
      <c r="I41" s="18"/>
      <c r="J41" s="16"/>
      <c r="K41" s="18"/>
      <c r="L41" s="16"/>
      <c r="M41" s="18"/>
      <c r="N41" s="16"/>
      <c r="O41" s="18"/>
      <c r="P41" s="16"/>
      <c r="Q41" s="18"/>
      <c r="R41" s="16"/>
      <c r="S41" s="18"/>
      <c r="T41" s="20"/>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17 A18:B21 A22:T51">
    <cfRule type="notContainsBlanks" dxfId="168" priority="101">
      <formula>LEN(TRIM(A3))&gt;0</formula>
    </cfRule>
  </conditionalFormatting>
  <conditionalFormatting sqref="A3:A51">
    <cfRule type="notContainsErrors" dxfId="167" priority="100" stopIfTrue="1">
      <formula>NOT(ISERROR(A3))</formula>
    </cfRule>
  </conditionalFormatting>
  <conditionalFormatting sqref="A3:T9">
    <cfRule type="containsErrors" dxfId="166" priority="29" stopIfTrue="1">
      <formula>ISERROR(A3)</formula>
    </cfRule>
  </conditionalFormatting>
  <conditionalFormatting sqref="A10:T51">
    <cfRule type="containsErrors" dxfId="165" priority="1" stopIfTrue="1">
      <formula>ISERROR(A10)</formula>
    </cfRule>
  </conditionalFormatting>
  <conditionalFormatting sqref="B3:B9">
    <cfRule type="notContainsBlanks" dxfId="164" priority="73">
      <formula>LEN(TRIM(B3))&gt;0</formula>
    </cfRule>
  </conditionalFormatting>
  <conditionalFormatting sqref="B10:B17">
    <cfRule type="notContainsBlanks" dxfId="163" priority="2">
      <formula>LEN(TRIM(B10))&gt;0</formula>
    </cfRule>
  </conditionalFormatting>
  <conditionalFormatting sqref="C3:C51 E3:E51 G3:G51 I3:I51 K3:K51 M3:M51 O3:O51 Q3:Q51 S3:S51">
    <cfRule type="notContainsErrors" dxfId="162" priority="31" stopIfTrue="1">
      <formula>NOT(ISERROR(C3))</formula>
    </cfRule>
  </conditionalFormatting>
  <conditionalFormatting sqref="C3:T7 C8 E8 G8 I8 K8 M8 O8 Q8 S8 C9:T9 C10 E10 G10 I10 K10 M10 O10 Q10 S10 C11:T21">
    <cfRule type="notContainsBlanks" dxfId="161" priority="32">
      <formula>LEN(TRIM(C3))&gt;0</formula>
    </cfRule>
  </conditionalFormatting>
  <conditionalFormatting sqref="D8">
    <cfRule type="notContainsBlanks" dxfId="160" priority="30">
      <formula>LEN(TRIM(D8))&gt;0</formula>
    </cfRule>
  </conditionalFormatting>
  <conditionalFormatting sqref="D10">
    <cfRule type="notContainsBlanks" dxfId="159" priority="28">
      <formula>LEN(TRIM(D10))&gt;0</formula>
    </cfRule>
  </conditionalFormatting>
  <conditionalFormatting sqref="F8">
    <cfRule type="notContainsBlanks" dxfId="158" priority="26">
      <formula>LEN(TRIM(F8))&gt;0</formula>
    </cfRule>
  </conditionalFormatting>
  <conditionalFormatting sqref="F10">
    <cfRule type="notContainsBlanks" dxfId="157" priority="25">
      <formula>LEN(TRIM(F10))&gt;0</formula>
    </cfRule>
  </conditionalFormatting>
  <conditionalFormatting sqref="H8">
    <cfRule type="notContainsBlanks" dxfId="156" priority="23">
      <formula>LEN(TRIM(H8))&gt;0</formula>
    </cfRule>
  </conditionalFormatting>
  <conditionalFormatting sqref="H10">
    <cfRule type="notContainsBlanks" dxfId="155" priority="22">
      <formula>LEN(TRIM(H10))&gt;0</formula>
    </cfRule>
  </conditionalFormatting>
  <conditionalFormatting sqref="J8">
    <cfRule type="notContainsBlanks" dxfId="154" priority="20">
      <formula>LEN(TRIM(J8))&gt;0</formula>
    </cfRule>
  </conditionalFormatting>
  <conditionalFormatting sqref="J10">
    <cfRule type="notContainsBlanks" dxfId="153" priority="19">
      <formula>LEN(TRIM(J10))&gt;0</formula>
    </cfRule>
  </conditionalFormatting>
  <conditionalFormatting sqref="L8">
    <cfRule type="notContainsBlanks" dxfId="152" priority="17">
      <formula>LEN(TRIM(L8))&gt;0</formula>
    </cfRule>
  </conditionalFormatting>
  <conditionalFormatting sqref="L10">
    <cfRule type="notContainsBlanks" dxfId="151" priority="16">
      <formula>LEN(TRIM(L10))&gt;0</formula>
    </cfRule>
  </conditionalFormatting>
  <conditionalFormatting sqref="N8">
    <cfRule type="notContainsBlanks" dxfId="150" priority="14">
      <formula>LEN(TRIM(N8))&gt;0</formula>
    </cfRule>
  </conditionalFormatting>
  <conditionalFormatting sqref="N10">
    <cfRule type="notContainsBlanks" dxfId="149" priority="13">
      <formula>LEN(TRIM(N10))&gt;0</formula>
    </cfRule>
  </conditionalFormatting>
  <conditionalFormatting sqref="P8">
    <cfRule type="notContainsBlanks" dxfId="148" priority="11">
      <formula>LEN(TRIM(P8))&gt;0</formula>
    </cfRule>
  </conditionalFormatting>
  <conditionalFormatting sqref="P10">
    <cfRule type="notContainsBlanks" dxfId="147" priority="10">
      <formula>LEN(TRIM(P10))&gt;0</formula>
    </cfRule>
  </conditionalFormatting>
  <conditionalFormatting sqref="R8">
    <cfRule type="notContainsBlanks" dxfId="146" priority="8">
      <formula>LEN(TRIM(R8))&gt;0</formula>
    </cfRule>
  </conditionalFormatting>
  <conditionalFormatting sqref="R10">
    <cfRule type="notContainsBlanks" dxfId="145" priority="7">
      <formula>LEN(TRIM(R10))&gt;0</formula>
    </cfRule>
  </conditionalFormatting>
  <conditionalFormatting sqref="T8">
    <cfRule type="notContainsBlanks" dxfId="144" priority="5">
      <formula>LEN(TRIM(T8))&gt;0</formula>
    </cfRule>
  </conditionalFormatting>
  <conditionalFormatting sqref="T10">
    <cfRule type="notContainsBlanks" dxfId="143" priority="4">
      <formula>LEN(TRIM(T10))&gt;0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45B4E-6E63-42F2-9A1A-78588C39F666}">
  <sheetPr codeName="Sheet103"/>
  <dimension ref="A1:T51"/>
  <sheetViews>
    <sheetView workbookViewId="0">
      <selection activeCell="A3" sqref="A3:A16"/>
    </sheetView>
  </sheetViews>
  <sheetFormatPr defaultColWidth="9.28515625" defaultRowHeight="15" x14ac:dyDescent="0.25"/>
  <cols>
    <col min="1" max="1" width="44.7109375" customWidth="1"/>
    <col min="2" max="2" width="13.85546875" customWidth="1"/>
  </cols>
  <sheetData>
    <row r="1" spans="1:20" x14ac:dyDescent="0.25">
      <c r="A1" s="23" t="str">
        <f>HYPERLINK("#Sheets!A1","Back to sheets")</f>
        <v>Back to sheets</v>
      </c>
    </row>
    <row r="2" spans="1:20" ht="15.95" customHeight="1" x14ac:dyDescent="0.25">
      <c r="A2" s="8" t="s">
        <v>3</v>
      </c>
      <c r="B2" s="9" t="s">
        <v>31</v>
      </c>
      <c r="C2" s="8" t="s">
        <v>7</v>
      </c>
      <c r="D2" s="9" t="s">
        <v>31</v>
      </c>
      <c r="E2" s="8" t="s">
        <v>9</v>
      </c>
      <c r="F2" s="9" t="s">
        <v>31</v>
      </c>
      <c r="G2" s="8" t="s">
        <v>10</v>
      </c>
      <c r="H2" s="9" t="s">
        <v>31</v>
      </c>
      <c r="I2" s="8" t="s">
        <v>11</v>
      </c>
      <c r="J2" s="9" t="s">
        <v>31</v>
      </c>
      <c r="K2" s="8" t="s">
        <v>12</v>
      </c>
      <c r="L2" s="9" t="s">
        <v>31</v>
      </c>
      <c r="M2" s="8" t="s">
        <v>13</v>
      </c>
      <c r="N2" s="9" t="s">
        <v>31</v>
      </c>
      <c r="O2" s="8" t="s">
        <v>14</v>
      </c>
      <c r="P2" s="9" t="s">
        <v>31</v>
      </c>
      <c r="Q2" s="8" t="s">
        <v>15</v>
      </c>
      <c r="R2" s="9" t="s">
        <v>31</v>
      </c>
      <c r="S2" s="8" t="s">
        <v>16</v>
      </c>
      <c r="T2" s="8" t="s">
        <v>31</v>
      </c>
    </row>
    <row r="3" spans="1:20" ht="15.95" customHeight="1" x14ac:dyDescent="0.25">
      <c r="A3" s="17" t="s">
        <v>43</v>
      </c>
      <c r="B3" s="16" t="str">
        <f>TRIM(_xlfn.TEXTBEFORE(A3, ":"))</f>
        <v>Item Class</v>
      </c>
      <c r="C3" s="17" t="s">
        <v>64</v>
      </c>
      <c r="D3" s="16" t="str">
        <f>TRIM(_xlfn.TEXTBEFORE(C3, ":"))</f>
        <v>Gegenstandsklasse</v>
      </c>
      <c r="E3" s="17" t="s">
        <v>75</v>
      </c>
      <c r="F3" s="16" t="str">
        <f>TRIM(_xlfn.TEXTBEFORE(E3, ":"))</f>
        <v>Clase de objeto</v>
      </c>
      <c r="G3" s="17" t="s">
        <v>51</v>
      </c>
      <c r="H3" s="16" t="str">
        <f>TRIM(_xlfn.TEXTBEFORE(G3, ":"))</f>
        <v>Classe d'objet</v>
      </c>
      <c r="I3" s="17" t="s">
        <v>86</v>
      </c>
      <c r="J3" s="16" t="str">
        <f>TRIM(_xlfn.TEXTBEFORE(I3, ":"))</f>
        <v>アイテムクラス</v>
      </c>
      <c r="K3" s="17" t="s">
        <v>97</v>
      </c>
      <c r="L3" s="16" t="str">
        <f>TRIM(_xlfn.TEXTBEFORE(K3, ":"))</f>
        <v>아이템 종류</v>
      </c>
      <c r="M3" s="17" t="s">
        <v>108</v>
      </c>
      <c r="N3" s="16" t="str">
        <f>TRIM(_xlfn.TEXTBEFORE(M3, ":"))</f>
        <v>Classe do Item</v>
      </c>
      <c r="O3" s="17" t="s">
        <v>117</v>
      </c>
      <c r="P3" s="16" t="str">
        <f>TRIM(_xlfn.TEXTBEFORE(O3, ":"))</f>
        <v>Класс предмета</v>
      </c>
      <c r="Q3" s="17" t="s">
        <v>129</v>
      </c>
      <c r="R3" s="16" t="str">
        <f>TRIM(_xlfn.TEXTBEFORE(Q3, ":"))</f>
        <v>ชนิดไอเทม</v>
      </c>
      <c r="S3" s="17"/>
      <c r="T3" s="16" t="e">
        <f>TRIM(_xlfn.TEXTBEFORE(S3, ":"))</f>
        <v>#N/A</v>
      </c>
    </row>
    <row r="4" spans="1:20" ht="15.95" customHeight="1" x14ac:dyDescent="0.25">
      <c r="A4" s="18" t="s">
        <v>35</v>
      </c>
      <c r="B4" s="16" t="str">
        <f>TRIM(_xlfn.TEXTAFTER(A3, ":"))</f>
        <v>Contracts</v>
      </c>
      <c r="C4" s="18" t="s">
        <v>63</v>
      </c>
      <c r="D4" s="16" t="str">
        <f>TRIM(_xlfn.TEXTAFTER(C3, ":"))</f>
        <v>Aufträge</v>
      </c>
      <c r="E4" s="18" t="s">
        <v>74</v>
      </c>
      <c r="F4" s="16" t="str">
        <f>TRIM(_xlfn.TEXTAFTER(E3, ":"))</f>
        <v>Contratos</v>
      </c>
      <c r="G4" s="18" t="s">
        <v>50</v>
      </c>
      <c r="H4" s="16" t="str">
        <f>TRIM(_xlfn.TEXTAFTER(G3, ":"))</f>
        <v>Contrats</v>
      </c>
      <c r="I4" s="18" t="s">
        <v>85</v>
      </c>
      <c r="J4" s="16" t="str">
        <f>TRIM(_xlfn.TEXTAFTER(I3, ":"))</f>
        <v>依頼書</v>
      </c>
      <c r="K4" s="18" t="s">
        <v>96</v>
      </c>
      <c r="L4" s="16" t="str">
        <f>TRIM(_xlfn.TEXTAFTER(K3, ":"))</f>
        <v>계약</v>
      </c>
      <c r="M4" s="18" t="s">
        <v>107</v>
      </c>
      <c r="N4" s="16" t="str">
        <f>TRIM(_xlfn.TEXTAFTER(M3, ":"))</f>
        <v>Contratos</v>
      </c>
      <c r="O4" s="18" t="s">
        <v>116</v>
      </c>
      <c r="P4" s="16" t="str">
        <f>TRIM(_xlfn.TEXTAFTER(O3, ":"))</f>
        <v>Контракты</v>
      </c>
      <c r="Q4" s="18" t="s">
        <v>128</v>
      </c>
      <c r="R4" s="16" t="str">
        <f>TRIM(_xlfn.TEXTAFTER(Q3, ":"))</f>
        <v>สัญญาจ้าง</v>
      </c>
      <c r="S4" s="18"/>
      <c r="T4" s="16" t="e">
        <f>TRIM(_xlfn.TEXTAFTER(S3, ":"))</f>
        <v>#N/A</v>
      </c>
    </row>
    <row r="5" spans="1:20" ht="15.95" customHeight="1" x14ac:dyDescent="0.25">
      <c r="A5" s="18" t="s">
        <v>291</v>
      </c>
      <c r="B5" s="16" t="str">
        <f>TRIM(_xlfn.TEXTBEFORE(A4, ":"))</f>
        <v>Rarity</v>
      </c>
      <c r="C5" s="18" t="s">
        <v>362</v>
      </c>
      <c r="D5" s="16" t="str">
        <f>TRIM(_xlfn.TEXTBEFORE(C4, ":"))</f>
        <v>Seltenheit</v>
      </c>
      <c r="E5" s="18" t="s">
        <v>502</v>
      </c>
      <c r="F5" s="16" t="str">
        <f>TRIM(_xlfn.TEXTBEFORE(E4, ":"))</f>
        <v>Rareza</v>
      </c>
      <c r="G5" s="18" t="s">
        <v>323</v>
      </c>
      <c r="H5" s="16" t="str">
        <f>TRIM(_xlfn.TEXTBEFORE(G4, ":"))</f>
        <v>Rareté</v>
      </c>
      <c r="I5" s="18" t="s">
        <v>566</v>
      </c>
      <c r="J5" s="16" t="str">
        <f>TRIM(_xlfn.TEXTBEFORE(I4, ":"))</f>
        <v>レアリティ</v>
      </c>
      <c r="K5" s="18" t="s">
        <v>533</v>
      </c>
      <c r="L5" s="16" t="str">
        <f>TRIM(_xlfn.TEXTBEFORE(K4, ":"))</f>
        <v>아이템 희귀도</v>
      </c>
      <c r="M5" s="18" t="s">
        <v>397</v>
      </c>
      <c r="N5" s="16" t="str">
        <f>TRIM(_xlfn.TEXTBEFORE(M4, ":"))</f>
        <v>Raridade</v>
      </c>
      <c r="O5" s="18" t="s">
        <v>431</v>
      </c>
      <c r="P5" s="16" t="str">
        <f>TRIM(_xlfn.TEXTBEFORE(O4, ":"))</f>
        <v>Редкость</v>
      </c>
      <c r="Q5" s="18" t="s">
        <v>469</v>
      </c>
      <c r="R5" s="16" t="str">
        <f>TRIM(_xlfn.TEXTBEFORE(Q4, ":"))</f>
        <v>ความหายาก</v>
      </c>
      <c r="S5" s="18"/>
      <c r="T5" s="16" t="e">
        <f>TRIM(_xlfn.TEXTBEFORE(S4, ":"))</f>
        <v>#N/A</v>
      </c>
    </row>
    <row r="6" spans="1:20" ht="15.95" customHeight="1" x14ac:dyDescent="0.25">
      <c r="A6" s="18" t="s">
        <v>0</v>
      </c>
      <c r="B6" s="16" t="str">
        <f>TRIM(_xlfn.TEXTAFTER(A4,":"))</f>
        <v>Normal</v>
      </c>
      <c r="C6" s="18" t="s">
        <v>0</v>
      </c>
      <c r="D6" s="16" t="str">
        <f>TRIM(_xlfn.TEXTAFTER(C4,":"))</f>
        <v>Normal</v>
      </c>
      <c r="E6" s="18" t="s">
        <v>0</v>
      </c>
      <c r="F6" s="16" t="str">
        <f>TRIM(_xlfn.TEXTAFTER(E4,":"))</f>
        <v>Normal</v>
      </c>
      <c r="G6" s="18" t="s">
        <v>0</v>
      </c>
      <c r="H6" s="16" t="str">
        <f>TRIM(_xlfn.TEXTAFTER(G4,":"))</f>
        <v>Normal</v>
      </c>
      <c r="I6" s="18" t="s">
        <v>0</v>
      </c>
      <c r="J6" s="16" t="str">
        <f>TRIM(_xlfn.TEXTAFTER(I4,":"))</f>
        <v>ノーマル</v>
      </c>
      <c r="K6" s="18" t="s">
        <v>0</v>
      </c>
      <c r="L6" s="16" t="str">
        <f>TRIM(_xlfn.TEXTAFTER(K4,":"))</f>
        <v>일반</v>
      </c>
      <c r="M6" s="18" t="s">
        <v>0</v>
      </c>
      <c r="N6" s="16" t="str">
        <f>TRIM(_xlfn.TEXTAFTER(M4,":"))</f>
        <v>Normal</v>
      </c>
      <c r="O6" s="18" t="s">
        <v>0</v>
      </c>
      <c r="P6" s="16" t="str">
        <f>TRIM(_xlfn.TEXTAFTER(O4,":"))</f>
        <v>Обычный</v>
      </c>
      <c r="Q6" s="18" t="s">
        <v>0</v>
      </c>
      <c r="R6" s="16" t="str">
        <f>TRIM(_xlfn.TEXTAFTER(Q4,":"))</f>
        <v>ปกติ</v>
      </c>
      <c r="S6" s="18"/>
      <c r="T6" s="16" t="e">
        <f>TRIM(_xlfn.TEXTAFTER(S4,":"))</f>
        <v>#N/A</v>
      </c>
    </row>
    <row r="7" spans="1:20" ht="15.95" customHeight="1" x14ac:dyDescent="0.25">
      <c r="A7" s="18" t="s">
        <v>300</v>
      </c>
      <c r="B7" s="16"/>
      <c r="C7" s="18" t="s">
        <v>376</v>
      </c>
      <c r="D7" s="16"/>
      <c r="E7" s="18" t="s">
        <v>513</v>
      </c>
      <c r="F7" s="16"/>
      <c r="G7" s="18" t="s">
        <v>339</v>
      </c>
      <c r="H7" s="16"/>
      <c r="I7" s="18" t="s">
        <v>580</v>
      </c>
      <c r="J7" s="16"/>
      <c r="K7" s="18" t="s">
        <v>545</v>
      </c>
      <c r="L7" s="16"/>
      <c r="M7" s="18" t="s">
        <v>410</v>
      </c>
      <c r="N7" s="16"/>
      <c r="O7" s="18" t="s">
        <v>446</v>
      </c>
      <c r="P7" s="16"/>
      <c r="Q7" s="18" t="s">
        <v>481</v>
      </c>
      <c r="R7" s="16"/>
      <c r="S7" s="18"/>
      <c r="T7" s="16"/>
    </row>
    <row r="8" spans="1:20" ht="15.95" customHeight="1" x14ac:dyDescent="0.25">
      <c r="A8" s="18" t="s">
        <v>301</v>
      </c>
      <c r="B8" s="16" t="str">
        <f>TRIM(_xlfn.TEXTBEFORE(_xlfn.TEXTAFTER(A8, " ("), ")"))</f>
        <v>Precious</v>
      </c>
      <c r="C8" s="18" t="s">
        <v>377</v>
      </c>
      <c r="D8" s="16" t="str">
        <f>TRIM(_xlfn.TEXTBEFORE(_xlfn.TEXTAFTER(C8, " ("), ")"))</f>
        <v>Kostbar</v>
      </c>
      <c r="E8" s="18" t="s">
        <v>514</v>
      </c>
      <c r="F8" s="16" t="str">
        <f>TRIM(_xlfn.TEXTBEFORE(_xlfn.TEXTAFTER(E8, " ("), ")"))</f>
        <v>valor muy alto</v>
      </c>
      <c r="G8" s="18" t="s">
        <v>340</v>
      </c>
      <c r="H8" s="16" t="str">
        <f>TRIM(_xlfn.TEXTBEFORE(_xlfn.TEXTAFTER(G8, " ("), ")"))</f>
        <v>valeur : importante</v>
      </c>
      <c r="I8" s="18" t="s">
        <v>581</v>
      </c>
      <c r="J8" s="16" t="str">
        <f>TRIM(_xlfn.TEXTBEFORE(_xlfn.TEXTAFTER(I8, " ("), ")"))</f>
        <v>貴重</v>
      </c>
      <c r="K8" s="18" t="s">
        <v>546</v>
      </c>
      <c r="L8" s="16" t="str">
        <f>TRIM(_xlfn.TEXTBEFORE(_xlfn.TEXTAFTER(K8, " ("), ")"))</f>
        <v>귀중한 가치</v>
      </c>
      <c r="M8" s="18" t="s">
        <v>411</v>
      </c>
      <c r="N8" s="16" t="str">
        <f>TRIM(_xlfn.TEXTBEFORE(_xlfn.TEXTAFTER(M8, " ("), ")"))</f>
        <v>Precioso</v>
      </c>
      <c r="O8" s="18" t="s">
        <v>447</v>
      </c>
      <c r="P8" s="16" t="str">
        <f>TRIM(_xlfn.TEXTBEFORE(_xlfn.TEXTAFTER(O8, " ("), ")"))</f>
        <v>драгоценный</v>
      </c>
      <c r="Q8" s="18" t="s">
        <v>482</v>
      </c>
      <c r="R8" s="16" t="str">
        <f>TRIM(_xlfn.TEXTBEFORE(_xlfn.TEXTAFTER(Q8, " ("), ")"))</f>
        <v>มีมูลค่าสูงส่ง</v>
      </c>
      <c r="S8" s="18"/>
      <c r="T8" s="16" t="e">
        <f>TRIM(_xlfn.TEXTBEFORE(_xlfn.TEXTAFTER(S8, " ("), ")"))</f>
        <v>#N/A</v>
      </c>
    </row>
    <row r="9" spans="1:20" ht="15.95" customHeight="1" x14ac:dyDescent="0.25">
      <c r="A9" s="18" t="s">
        <v>289</v>
      </c>
      <c r="B9" s="16"/>
      <c r="C9" s="18" t="s">
        <v>354</v>
      </c>
      <c r="D9" s="16"/>
      <c r="E9" s="18" t="s">
        <v>494</v>
      </c>
      <c r="F9" s="16"/>
      <c r="G9" s="18" t="s">
        <v>315</v>
      </c>
      <c r="H9" s="16"/>
      <c r="I9" s="18" t="s">
        <v>558</v>
      </c>
      <c r="J9" s="16"/>
      <c r="K9" s="18" t="s">
        <v>525</v>
      </c>
      <c r="L9" s="16"/>
      <c r="M9" s="18" t="s">
        <v>389</v>
      </c>
      <c r="N9" s="16"/>
      <c r="O9" s="18" t="s">
        <v>423</v>
      </c>
      <c r="P9" s="16"/>
      <c r="Q9" s="18" t="s">
        <v>461</v>
      </c>
      <c r="R9" s="16"/>
      <c r="S9" s="18"/>
      <c r="T9" s="16"/>
    </row>
    <row r="10" spans="1:20" ht="15.95" customHeight="1" x14ac:dyDescent="0.25">
      <c r="A10" s="18" t="s">
        <v>597</v>
      </c>
      <c r="B10" s="16" t="str">
        <f>_xlfn.REGEXREPLACE(A10, "\d+", "#")</f>
        <v>Requires Brute Force (Level #)</v>
      </c>
      <c r="C10" s="18" t="s">
        <v>378</v>
      </c>
      <c r="D10" s="16" t="str">
        <f>_xlfn.REGEXREPLACE(C10, "\d+", "#")</f>
        <v>Erfordert Brachialgewalt (Stufe #)</v>
      </c>
      <c r="E10" s="18" t="s">
        <v>515</v>
      </c>
      <c r="F10" s="16" t="str">
        <f>_xlfn.REGEXREPLACE(E10, "\d+", "#")</f>
        <v>Requiere Fuerza bruta (Nivel#)</v>
      </c>
      <c r="G10" s="18" t="s">
        <v>341</v>
      </c>
      <c r="H10" s="16" t="str">
        <f>_xlfn.REGEXREPLACE(G10, "\d+", "#")</f>
        <v>Prérequis : Force brute au niv. #</v>
      </c>
      <c r="I10" s="18" t="s">
        <v>582</v>
      </c>
      <c r="J10" s="16" t="str">
        <f>_xlfn.REGEXREPLACE(I10, "\d+", "#")</f>
        <v>必要ジョブ 怪力 (レベル #)</v>
      </c>
      <c r="K10" s="18" t="s">
        <v>547</v>
      </c>
      <c r="L10" s="16" t="str">
        <f>_xlfn.REGEXREPLACE(K10, "\d+", "#")</f>
        <v>완력 필요(#레벨)</v>
      </c>
      <c r="M10" s="18" t="s">
        <v>412</v>
      </c>
      <c r="N10" s="16" t="str">
        <f>_xlfn.REGEXREPLACE(M10, "\d+", "#")</f>
        <v>Requer Força Bruta (Nível #)</v>
      </c>
      <c r="O10" s="18" t="s">
        <v>448</v>
      </c>
      <c r="P10" s="16" t="str">
        <f>_xlfn.REGEXREPLACE(O10, "\d+", "#")</f>
        <v>Требуется грубая сила (# уровень)</v>
      </c>
      <c r="Q10" s="18" t="s">
        <v>483</v>
      </c>
      <c r="R10" s="16" t="str">
        <f>_xlfn.REGEXREPLACE(Q10, "\d+", "#")</f>
        <v>ต้องมี เอากำลังเข้าแลก (ระดับ #)</v>
      </c>
      <c r="S10" s="18"/>
      <c r="T10" s="16" t="str">
        <f>_xlfn.REGEXREPLACE(S10, "\d+", "#")</f>
        <v/>
      </c>
    </row>
    <row r="11" spans="1:20" ht="15.95" customHeight="1" x14ac:dyDescent="0.25">
      <c r="A11" s="18" t="s">
        <v>0</v>
      </c>
      <c r="B11" s="16"/>
      <c r="C11" s="18" t="s">
        <v>0</v>
      </c>
      <c r="D11" s="16"/>
      <c r="E11" s="18" t="s">
        <v>0</v>
      </c>
      <c r="F11" s="16"/>
      <c r="G11" s="18" t="s">
        <v>0</v>
      </c>
      <c r="H11" s="16"/>
      <c r="I11" s="18" t="s">
        <v>0</v>
      </c>
      <c r="J11" s="16"/>
      <c r="K11" s="18" t="s">
        <v>0</v>
      </c>
      <c r="L11" s="16"/>
      <c r="M11" s="18" t="s">
        <v>0</v>
      </c>
      <c r="N11" s="16"/>
      <c r="O11" s="18" t="s">
        <v>0</v>
      </c>
      <c r="P11" s="16"/>
      <c r="Q11" s="18" t="s">
        <v>0</v>
      </c>
      <c r="R11" s="16"/>
      <c r="S11" s="18"/>
      <c r="T11" s="16"/>
    </row>
    <row r="12" spans="1:20" ht="15.95" customHeight="1" x14ac:dyDescent="0.25">
      <c r="A12" s="18" t="s">
        <v>32</v>
      </c>
      <c r="B12" s="16"/>
      <c r="C12" s="18" t="s">
        <v>70</v>
      </c>
      <c r="D12" s="16"/>
      <c r="E12" s="18" t="s">
        <v>81</v>
      </c>
      <c r="F12" s="16"/>
      <c r="G12" s="18" t="s">
        <v>58</v>
      </c>
      <c r="H12" s="16"/>
      <c r="I12" s="18" t="s">
        <v>92</v>
      </c>
      <c r="J12" s="16"/>
      <c r="K12" s="18" t="s">
        <v>103</v>
      </c>
      <c r="L12" s="16"/>
      <c r="M12" s="18" t="s">
        <v>112</v>
      </c>
      <c r="N12" s="16"/>
      <c r="O12" s="18" t="s">
        <v>124</v>
      </c>
      <c r="P12" s="16"/>
      <c r="Q12" s="18" t="s">
        <v>135</v>
      </c>
      <c r="R12" s="16"/>
      <c r="S12" s="18"/>
      <c r="T12" s="16"/>
    </row>
    <row r="13" spans="1:20" ht="15.95" customHeight="1" x14ac:dyDescent="0.25">
      <c r="A13" s="18" t="s">
        <v>0</v>
      </c>
      <c r="B13" s="16"/>
      <c r="C13" s="18" t="s">
        <v>0</v>
      </c>
      <c r="D13" s="16"/>
      <c r="E13" s="18" t="s">
        <v>0</v>
      </c>
      <c r="F13" s="16"/>
      <c r="G13" s="18" t="s">
        <v>0</v>
      </c>
      <c r="H13" s="16"/>
      <c r="I13" s="18" t="s">
        <v>0</v>
      </c>
      <c r="J13" s="16"/>
      <c r="K13" s="18" t="s">
        <v>0</v>
      </c>
      <c r="L13" s="16"/>
      <c r="M13" s="18" t="s">
        <v>0</v>
      </c>
      <c r="N13" s="16"/>
      <c r="O13" s="18" t="s">
        <v>0</v>
      </c>
      <c r="P13" s="16"/>
      <c r="Q13" s="18" t="s">
        <v>0</v>
      </c>
      <c r="R13" s="16"/>
      <c r="S13" s="18"/>
      <c r="T13" s="16"/>
    </row>
    <row r="14" spans="1:20" ht="15.95" customHeight="1" x14ac:dyDescent="0.25">
      <c r="A14" s="18" t="s">
        <v>302</v>
      </c>
      <c r="B14" s="16"/>
      <c r="C14" s="18" t="s">
        <v>379</v>
      </c>
      <c r="D14" s="16"/>
      <c r="E14" s="18" t="s">
        <v>516</v>
      </c>
      <c r="F14" s="16"/>
      <c r="G14" s="18" t="s">
        <v>342</v>
      </c>
      <c r="H14" s="16"/>
      <c r="I14" s="18" t="s">
        <v>583</v>
      </c>
      <c r="J14" s="16"/>
      <c r="K14" s="18" t="s">
        <v>548</v>
      </c>
      <c r="L14" s="16"/>
      <c r="M14" s="18" t="s">
        <v>413</v>
      </c>
      <c r="N14" s="16"/>
      <c r="O14" s="18" t="s">
        <v>449</v>
      </c>
      <c r="P14" s="16"/>
      <c r="Q14" s="18" t="s">
        <v>484</v>
      </c>
      <c r="R14" s="16"/>
      <c r="S14" s="18"/>
      <c r="T14" s="16"/>
    </row>
    <row r="15" spans="1:20" ht="15.95" customHeight="1" x14ac:dyDescent="0.25">
      <c r="A15" s="18" t="s">
        <v>0</v>
      </c>
      <c r="B15" s="16"/>
      <c r="C15" s="18" t="s">
        <v>0</v>
      </c>
      <c r="D15" s="16"/>
      <c r="E15" s="18" t="s">
        <v>0</v>
      </c>
      <c r="F15" s="16"/>
      <c r="G15" s="18" t="s">
        <v>343</v>
      </c>
      <c r="H15" s="16"/>
      <c r="I15" s="18" t="s">
        <v>0</v>
      </c>
      <c r="J15" s="16"/>
      <c r="K15" s="18" t="s">
        <v>0</v>
      </c>
      <c r="L15" s="16"/>
      <c r="M15" s="18" t="s">
        <v>0</v>
      </c>
      <c r="N15" s="16"/>
      <c r="O15" s="18" t="s">
        <v>450</v>
      </c>
      <c r="P15" s="16"/>
      <c r="Q15" s="18" t="s">
        <v>0</v>
      </c>
      <c r="R15" s="16"/>
      <c r="S15" s="18"/>
      <c r="T15" s="19"/>
    </row>
    <row r="16" spans="1:20" ht="15.95" customHeight="1" x14ac:dyDescent="0.25">
      <c r="A16" s="18" t="s">
        <v>47</v>
      </c>
      <c r="B16" s="16"/>
      <c r="C16" s="18" t="s">
        <v>69</v>
      </c>
      <c r="D16" s="16"/>
      <c r="E16" s="18" t="s">
        <v>80</v>
      </c>
      <c r="F16" s="16"/>
      <c r="G16" s="18" t="s">
        <v>0</v>
      </c>
      <c r="H16" s="16"/>
      <c r="I16" s="18" t="s">
        <v>91</v>
      </c>
      <c r="J16" s="16"/>
      <c r="K16" s="18" t="s">
        <v>102</v>
      </c>
      <c r="L16" s="16"/>
      <c r="M16" s="18" t="s">
        <v>111</v>
      </c>
      <c r="N16" s="16"/>
      <c r="O16" s="18" t="s">
        <v>0</v>
      </c>
      <c r="P16" s="16"/>
      <c r="Q16" s="18" t="s">
        <v>134</v>
      </c>
      <c r="R16" s="16"/>
      <c r="S16" s="18"/>
      <c r="T16" s="19"/>
    </row>
    <row r="17" spans="1:20" ht="15.95" customHeight="1" x14ac:dyDescent="0.25">
      <c r="A17" s="18"/>
      <c r="B17" s="16"/>
      <c r="C17" s="18"/>
      <c r="D17" s="16"/>
      <c r="E17" s="18"/>
      <c r="F17" s="16"/>
      <c r="G17" s="18" t="s">
        <v>57</v>
      </c>
      <c r="H17" s="16"/>
      <c r="I17" s="18"/>
      <c r="J17" s="16"/>
      <c r="K17" s="18"/>
      <c r="L17" s="16"/>
      <c r="M17" s="18"/>
      <c r="N17" s="16"/>
      <c r="O17" s="18" t="s">
        <v>123</v>
      </c>
      <c r="P17" s="16"/>
      <c r="Q17" s="18"/>
      <c r="R17" s="16"/>
      <c r="S17" s="18"/>
      <c r="T17" s="19"/>
    </row>
    <row r="18" spans="1:20" ht="15.95" customHeight="1" x14ac:dyDescent="0.25">
      <c r="A18" s="18"/>
      <c r="B18" s="16"/>
      <c r="C18" s="18"/>
      <c r="D18" s="16"/>
      <c r="E18" s="18"/>
      <c r="F18" s="16"/>
      <c r="G18" s="18"/>
      <c r="H18" s="16"/>
      <c r="I18" s="18"/>
      <c r="J18" s="16"/>
      <c r="K18" s="18"/>
      <c r="L18" s="16"/>
      <c r="M18" s="18"/>
      <c r="N18" s="16"/>
      <c r="O18" s="18"/>
      <c r="P18" s="16"/>
      <c r="Q18" s="18"/>
      <c r="R18" s="16"/>
      <c r="S18" s="18"/>
      <c r="T18" s="19"/>
    </row>
    <row r="19" spans="1:20" ht="15.95" customHeight="1" x14ac:dyDescent="0.25">
      <c r="A19" s="18"/>
      <c r="B19" s="16"/>
      <c r="C19" s="18"/>
      <c r="D19" s="16"/>
      <c r="E19" s="18"/>
      <c r="F19" s="16"/>
      <c r="G19" s="18"/>
      <c r="H19" s="16"/>
      <c r="I19" s="18"/>
      <c r="J19" s="16"/>
      <c r="K19" s="18"/>
      <c r="L19" s="16"/>
      <c r="M19" s="18"/>
      <c r="N19" s="16"/>
      <c r="O19" s="18"/>
      <c r="P19" s="16"/>
      <c r="Q19" s="18"/>
      <c r="R19" s="16"/>
      <c r="S19" s="18"/>
      <c r="T19" s="19"/>
    </row>
    <row r="20" spans="1:20" ht="15.95" customHeight="1" x14ac:dyDescent="0.25">
      <c r="A20" s="18"/>
      <c r="B20" s="16"/>
      <c r="C20" s="18"/>
      <c r="D20" s="16"/>
      <c r="E20" s="18"/>
      <c r="F20" s="16"/>
      <c r="G20" s="18"/>
      <c r="H20" s="16"/>
      <c r="I20" s="18"/>
      <c r="J20" s="16"/>
      <c r="K20" s="18"/>
      <c r="L20" s="16"/>
      <c r="M20" s="18"/>
      <c r="N20" s="16"/>
      <c r="O20" s="18"/>
      <c r="P20" s="16"/>
      <c r="Q20" s="18"/>
      <c r="R20" s="16"/>
      <c r="S20" s="18"/>
      <c r="T20" s="19"/>
    </row>
    <row r="21" spans="1:20" ht="15.95" customHeight="1" x14ac:dyDescent="0.25">
      <c r="A21" s="18"/>
      <c r="B21" s="16"/>
      <c r="C21" s="18"/>
      <c r="D21" s="16"/>
      <c r="E21" s="18"/>
      <c r="F21" s="16"/>
      <c r="G21" s="18"/>
      <c r="H21" s="16"/>
      <c r="I21" s="18"/>
      <c r="J21" s="16"/>
      <c r="K21" s="18"/>
      <c r="L21" s="16"/>
      <c r="M21" s="18"/>
      <c r="N21" s="16"/>
      <c r="O21" s="18"/>
      <c r="P21" s="16"/>
      <c r="Q21" s="18"/>
      <c r="R21" s="16"/>
      <c r="S21" s="18"/>
      <c r="T21" s="19"/>
    </row>
    <row r="22" spans="1:20" ht="15.95" customHeight="1" x14ac:dyDescent="0.25">
      <c r="A22" s="18"/>
      <c r="B22" s="16"/>
      <c r="C22" s="18"/>
      <c r="D22" s="16"/>
      <c r="E22" s="18"/>
      <c r="F22" s="16"/>
      <c r="G22" s="18"/>
      <c r="H22" s="16"/>
      <c r="I22" s="18"/>
      <c r="J22" s="16"/>
      <c r="K22" s="18"/>
      <c r="L22" s="16"/>
      <c r="M22" s="18"/>
      <c r="N22" s="16"/>
      <c r="O22" s="18"/>
      <c r="P22" s="16"/>
      <c r="Q22" s="18"/>
      <c r="R22" s="16"/>
      <c r="S22" s="18"/>
      <c r="T22" s="19"/>
    </row>
    <row r="23" spans="1:20" ht="15.95" customHeight="1" x14ac:dyDescent="0.25">
      <c r="A23" s="18"/>
      <c r="B23" s="16"/>
      <c r="C23" s="18"/>
      <c r="D23" s="16"/>
      <c r="E23" s="18"/>
      <c r="F23" s="16"/>
      <c r="G23" s="18"/>
      <c r="H23" s="16"/>
      <c r="I23" s="18"/>
      <c r="J23" s="16"/>
      <c r="K23" s="18"/>
      <c r="L23" s="16"/>
      <c r="M23" s="18"/>
      <c r="N23" s="16"/>
      <c r="O23" s="18"/>
      <c r="P23" s="16"/>
      <c r="Q23" s="18"/>
      <c r="R23" s="16"/>
      <c r="S23" s="18"/>
      <c r="T23" s="19"/>
    </row>
    <row r="24" spans="1:20" ht="15.95" customHeight="1" x14ac:dyDescent="0.25">
      <c r="A24" s="18"/>
      <c r="B24" s="16"/>
      <c r="C24" s="18"/>
      <c r="D24" s="16"/>
      <c r="E24" s="18"/>
      <c r="F24" s="16"/>
      <c r="G24" s="18"/>
      <c r="H24" s="16"/>
      <c r="I24" s="18"/>
      <c r="J24" s="16"/>
      <c r="K24" s="18"/>
      <c r="L24" s="16"/>
      <c r="M24" s="18"/>
      <c r="N24" s="16"/>
      <c r="O24" s="18"/>
      <c r="P24" s="16"/>
      <c r="Q24" s="18"/>
      <c r="R24" s="16"/>
      <c r="S24" s="18"/>
      <c r="T24" s="19"/>
    </row>
    <row r="25" spans="1:20" ht="15.95" customHeight="1" x14ac:dyDescent="0.25">
      <c r="A25" s="18"/>
      <c r="B25" s="16"/>
      <c r="C25" s="18"/>
      <c r="D25" s="16"/>
      <c r="E25" s="18"/>
      <c r="F25" s="16"/>
      <c r="G25" s="18"/>
      <c r="H25" s="16"/>
      <c r="I25" s="18"/>
      <c r="J25" s="16"/>
      <c r="K25" s="18"/>
      <c r="L25" s="16"/>
      <c r="M25" s="18"/>
      <c r="N25" s="16"/>
      <c r="O25" s="18"/>
      <c r="P25" s="16"/>
      <c r="Q25" s="18"/>
      <c r="R25" s="16"/>
      <c r="S25" s="18"/>
      <c r="T25" s="19"/>
    </row>
    <row r="26" spans="1:20" ht="15.95" customHeight="1" x14ac:dyDescent="0.25">
      <c r="A26" s="18"/>
      <c r="B26" s="16"/>
      <c r="C26" s="18"/>
      <c r="D26" s="16"/>
      <c r="E26" s="18"/>
      <c r="F26" s="16"/>
      <c r="G26" s="18"/>
      <c r="H26" s="16"/>
      <c r="I26" s="18"/>
      <c r="J26" s="16"/>
      <c r="K26" s="18"/>
      <c r="L26" s="16"/>
      <c r="M26" s="18"/>
      <c r="N26" s="16"/>
      <c r="O26" s="18"/>
      <c r="P26" s="16"/>
      <c r="Q26" s="18"/>
      <c r="R26" s="16"/>
      <c r="S26" s="18"/>
      <c r="T26" s="19"/>
    </row>
    <row r="27" spans="1:20" ht="15.95" customHeight="1" x14ac:dyDescent="0.25">
      <c r="A27" s="18"/>
      <c r="B27" s="16"/>
      <c r="C27" s="18"/>
      <c r="D27" s="16"/>
      <c r="E27" s="18"/>
      <c r="F27" s="16"/>
      <c r="G27" s="18"/>
      <c r="H27" s="16"/>
      <c r="I27" s="18"/>
      <c r="J27" s="16"/>
      <c r="K27" s="18"/>
      <c r="L27" s="16"/>
      <c r="M27" s="18"/>
      <c r="N27" s="16"/>
      <c r="O27" s="18"/>
      <c r="P27" s="16"/>
      <c r="Q27" s="18"/>
      <c r="R27" s="16"/>
      <c r="S27" s="18"/>
      <c r="T27" s="19"/>
    </row>
    <row r="28" spans="1:20" ht="15.95" customHeight="1" x14ac:dyDescent="0.25">
      <c r="A28" s="18"/>
      <c r="B28" s="16"/>
      <c r="C28" s="18"/>
      <c r="D28" s="16"/>
      <c r="E28" s="18"/>
      <c r="F28" s="16"/>
      <c r="G28" s="18"/>
      <c r="H28" s="16"/>
      <c r="I28" s="18"/>
      <c r="J28" s="16"/>
      <c r="K28" s="18"/>
      <c r="L28" s="16"/>
      <c r="M28" s="18"/>
      <c r="N28" s="16"/>
      <c r="O28" s="18"/>
      <c r="P28" s="16"/>
      <c r="Q28" s="18"/>
      <c r="R28" s="16"/>
      <c r="S28" s="18"/>
      <c r="T28" s="19"/>
    </row>
    <row r="29" spans="1:20" ht="15.95" customHeight="1" x14ac:dyDescent="0.25">
      <c r="A29" s="18"/>
      <c r="B29" s="16"/>
      <c r="C29" s="18"/>
      <c r="D29" s="16"/>
      <c r="E29" s="18"/>
      <c r="F29" s="16"/>
      <c r="G29" s="18"/>
      <c r="H29" s="16"/>
      <c r="I29" s="18"/>
      <c r="J29" s="16"/>
      <c r="K29" s="18"/>
      <c r="L29" s="16"/>
      <c r="M29" s="18"/>
      <c r="N29" s="16"/>
      <c r="O29" s="18"/>
      <c r="P29" s="16"/>
      <c r="Q29" s="18"/>
      <c r="R29" s="16"/>
      <c r="S29" s="18"/>
      <c r="T29" s="19"/>
    </row>
    <row r="30" spans="1:20" ht="15.95" customHeight="1" x14ac:dyDescent="0.25">
      <c r="A30" s="18"/>
      <c r="B30" s="16"/>
      <c r="C30" s="18"/>
      <c r="D30" s="16"/>
      <c r="E30" s="18"/>
      <c r="F30" s="16"/>
      <c r="G30" s="18"/>
      <c r="H30" s="16"/>
      <c r="I30" s="18"/>
      <c r="J30" s="16"/>
      <c r="K30" s="18"/>
      <c r="L30" s="16"/>
      <c r="M30" s="18"/>
      <c r="N30" s="16"/>
      <c r="O30" s="18"/>
      <c r="P30" s="16"/>
      <c r="Q30" s="18"/>
      <c r="R30" s="16"/>
      <c r="S30" s="18"/>
      <c r="T30" s="19"/>
    </row>
    <row r="31" spans="1:20" ht="15.95" customHeight="1" x14ac:dyDescent="0.25">
      <c r="A31" s="18"/>
      <c r="B31" s="16"/>
      <c r="C31" s="18"/>
      <c r="D31" s="16"/>
      <c r="E31" s="18"/>
      <c r="F31" s="16"/>
      <c r="G31" s="18"/>
      <c r="H31" s="16"/>
      <c r="I31" s="18"/>
      <c r="J31" s="16"/>
      <c r="K31" s="18"/>
      <c r="L31" s="16"/>
      <c r="M31" s="18"/>
      <c r="N31" s="16"/>
      <c r="O31" s="18"/>
      <c r="P31" s="16"/>
      <c r="Q31" s="18"/>
      <c r="R31" s="16"/>
      <c r="S31" s="18"/>
      <c r="T31" s="19"/>
    </row>
    <row r="32" spans="1:20" ht="15.95" customHeight="1" x14ac:dyDescent="0.25">
      <c r="A32" s="18"/>
      <c r="B32" s="16"/>
      <c r="C32" s="18"/>
      <c r="D32" s="16"/>
      <c r="E32" s="18"/>
      <c r="F32" s="16"/>
      <c r="G32" s="18"/>
      <c r="H32" s="16"/>
      <c r="I32" s="18"/>
      <c r="J32" s="16"/>
      <c r="K32" s="18"/>
      <c r="L32" s="16"/>
      <c r="M32" s="18"/>
      <c r="N32" s="16"/>
      <c r="O32" s="18"/>
      <c r="P32" s="16"/>
      <c r="Q32" s="18"/>
      <c r="R32" s="16"/>
      <c r="S32" s="18"/>
      <c r="T32" s="19"/>
    </row>
    <row r="33" spans="1:20" ht="15.95" customHeight="1" x14ac:dyDescent="0.25">
      <c r="A33" s="21"/>
      <c r="B33" s="16"/>
      <c r="C33" s="18"/>
      <c r="D33" s="16"/>
      <c r="E33" s="18"/>
      <c r="F33" s="16"/>
      <c r="G33" s="18"/>
      <c r="H33" s="16"/>
      <c r="I33" s="18"/>
      <c r="J33" s="16"/>
      <c r="K33" s="18"/>
      <c r="L33" s="16"/>
      <c r="M33" s="18"/>
      <c r="N33" s="16"/>
      <c r="O33" s="18"/>
      <c r="P33" s="16"/>
      <c r="Q33" s="18"/>
      <c r="R33" s="16"/>
      <c r="S33" s="18"/>
      <c r="T33" s="19"/>
    </row>
    <row r="34" spans="1:20" ht="15.95" customHeight="1" x14ac:dyDescent="0.25">
      <c r="A34" s="18"/>
      <c r="B34" s="16"/>
      <c r="C34" s="18"/>
      <c r="D34" s="16"/>
      <c r="E34" s="18"/>
      <c r="F34" s="16"/>
      <c r="G34" s="18"/>
      <c r="H34" s="16"/>
      <c r="I34" s="18"/>
      <c r="J34" s="16"/>
      <c r="K34" s="18"/>
      <c r="L34" s="16"/>
      <c r="M34" s="18"/>
      <c r="N34" s="16"/>
      <c r="O34" s="18"/>
      <c r="P34" s="16"/>
      <c r="Q34" s="18"/>
      <c r="R34" s="16"/>
      <c r="S34" s="18"/>
      <c r="T34" s="19"/>
    </row>
    <row r="35" spans="1:20" ht="15.95" customHeight="1" x14ac:dyDescent="0.25">
      <c r="A35" s="18"/>
      <c r="B35" s="16"/>
      <c r="C35" s="18"/>
      <c r="D35" s="16"/>
      <c r="E35" s="18"/>
      <c r="F35" s="16"/>
      <c r="G35" s="18"/>
      <c r="H35" s="16"/>
      <c r="I35" s="18"/>
      <c r="J35" s="16"/>
      <c r="K35" s="18"/>
      <c r="L35" s="16"/>
      <c r="M35" s="18"/>
      <c r="N35" s="16"/>
      <c r="O35" s="18"/>
      <c r="P35" s="16"/>
      <c r="Q35" s="18"/>
      <c r="R35" s="16"/>
      <c r="S35" s="18"/>
      <c r="T35" s="19"/>
    </row>
    <row r="36" spans="1:20" ht="15.95" customHeight="1" x14ac:dyDescent="0.25">
      <c r="A36" s="18"/>
      <c r="B36" s="16"/>
      <c r="C36" s="18"/>
      <c r="D36" s="16"/>
      <c r="E36" s="18"/>
      <c r="F36" s="16"/>
      <c r="G36" s="18"/>
      <c r="H36" s="16"/>
      <c r="I36" s="18"/>
      <c r="J36" s="16"/>
      <c r="K36" s="18"/>
      <c r="L36" s="16"/>
      <c r="M36" s="18"/>
      <c r="N36" s="16"/>
      <c r="O36" s="18"/>
      <c r="P36" s="16"/>
      <c r="Q36" s="18"/>
      <c r="R36" s="16"/>
      <c r="S36" s="18"/>
      <c r="T36" s="19"/>
    </row>
    <row r="37" spans="1:20" ht="15.95" customHeight="1" x14ac:dyDescent="0.25">
      <c r="A37" s="18"/>
      <c r="B37" s="16"/>
      <c r="C37" s="18"/>
      <c r="D37" s="16"/>
      <c r="E37" s="18"/>
      <c r="F37" s="16"/>
      <c r="G37" s="18"/>
      <c r="H37" s="16"/>
      <c r="I37" s="18"/>
      <c r="J37" s="16"/>
      <c r="K37" s="18"/>
      <c r="L37" s="16"/>
      <c r="M37" s="18"/>
      <c r="N37" s="16"/>
      <c r="O37" s="18"/>
      <c r="P37" s="16"/>
      <c r="Q37" s="18"/>
      <c r="R37" s="16"/>
      <c r="S37" s="18"/>
      <c r="T37" s="19"/>
    </row>
    <row r="38" spans="1:20" ht="15.95" customHeight="1" x14ac:dyDescent="0.25">
      <c r="A38" s="18"/>
      <c r="B38" s="16"/>
      <c r="C38" s="18"/>
      <c r="D38" s="16"/>
      <c r="E38" s="18"/>
      <c r="F38" s="16"/>
      <c r="G38" s="18"/>
      <c r="H38" s="16"/>
      <c r="I38" s="18"/>
      <c r="J38" s="16"/>
      <c r="K38" s="18"/>
      <c r="L38" s="16"/>
      <c r="M38" s="18"/>
      <c r="N38" s="16"/>
      <c r="O38" s="18"/>
      <c r="P38" s="16"/>
      <c r="Q38" s="18"/>
      <c r="R38" s="16"/>
      <c r="S38" s="18"/>
      <c r="T38" s="20"/>
    </row>
    <row r="39" spans="1:20" ht="15.95" customHeight="1" x14ac:dyDescent="0.25">
      <c r="A39" s="18"/>
      <c r="B39" s="16"/>
      <c r="C39" s="18"/>
      <c r="D39" s="16"/>
      <c r="E39" s="18"/>
      <c r="F39" s="16"/>
      <c r="G39" s="18"/>
      <c r="H39" s="16"/>
      <c r="I39" s="18"/>
      <c r="J39" s="16"/>
      <c r="K39" s="18"/>
      <c r="L39" s="16"/>
      <c r="M39" s="18"/>
      <c r="N39" s="16"/>
      <c r="O39" s="18"/>
      <c r="P39" s="16"/>
      <c r="Q39" s="18"/>
      <c r="R39" s="16"/>
      <c r="S39" s="18"/>
      <c r="T39" s="20"/>
    </row>
    <row r="40" spans="1:20" ht="15.95" customHeight="1" x14ac:dyDescent="0.25">
      <c r="A40" s="18"/>
      <c r="B40" s="16"/>
      <c r="C40" s="18"/>
      <c r="D40" s="16"/>
      <c r="E40" s="18"/>
      <c r="F40" s="16"/>
      <c r="G40" s="18"/>
      <c r="H40" s="16"/>
      <c r="I40" s="18"/>
      <c r="J40" s="16"/>
      <c r="K40" s="18"/>
      <c r="L40" s="16"/>
      <c r="M40" s="18"/>
      <c r="N40" s="16"/>
      <c r="O40" s="18"/>
      <c r="P40" s="16"/>
      <c r="Q40" s="18"/>
      <c r="R40" s="16"/>
      <c r="S40" s="18"/>
      <c r="T40" s="20"/>
    </row>
    <row r="41" spans="1:20" ht="15.95" customHeight="1" x14ac:dyDescent="0.25">
      <c r="A41" s="18"/>
      <c r="B41" s="16"/>
      <c r="C41" s="18"/>
      <c r="D41" s="16"/>
      <c r="E41" s="18"/>
      <c r="F41" s="16"/>
      <c r="G41" s="18"/>
      <c r="H41" s="16"/>
      <c r="I41" s="18"/>
      <c r="J41" s="16"/>
      <c r="K41" s="18"/>
      <c r="L41" s="16"/>
      <c r="M41" s="18"/>
      <c r="N41" s="16"/>
      <c r="O41" s="18"/>
      <c r="P41" s="16"/>
      <c r="Q41" s="18"/>
      <c r="R41" s="16"/>
      <c r="S41" s="18"/>
      <c r="T41" s="20"/>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17 A18:B21 A22:T51">
    <cfRule type="notContainsBlanks" dxfId="142" priority="101">
      <formula>LEN(TRIM(A3))&gt;0</formula>
    </cfRule>
  </conditionalFormatting>
  <conditionalFormatting sqref="A3:A51">
    <cfRule type="notContainsErrors" dxfId="141" priority="100" stopIfTrue="1">
      <formula>NOT(ISERROR(A3))</formula>
    </cfRule>
  </conditionalFormatting>
  <conditionalFormatting sqref="A3:T9">
    <cfRule type="containsErrors" dxfId="140" priority="29" stopIfTrue="1">
      <formula>ISERROR(A3)</formula>
    </cfRule>
  </conditionalFormatting>
  <conditionalFormatting sqref="A10:T51">
    <cfRule type="containsErrors" dxfId="139" priority="1" stopIfTrue="1">
      <formula>ISERROR(A10)</formula>
    </cfRule>
  </conditionalFormatting>
  <conditionalFormatting sqref="B3:B9">
    <cfRule type="notContainsBlanks" dxfId="138" priority="73">
      <formula>LEN(TRIM(B3))&gt;0</formula>
    </cfRule>
  </conditionalFormatting>
  <conditionalFormatting sqref="B10:B17">
    <cfRule type="notContainsBlanks" dxfId="137" priority="2">
      <formula>LEN(TRIM(B10))&gt;0</formula>
    </cfRule>
  </conditionalFormatting>
  <conditionalFormatting sqref="C3:C51 E3:E51 G3:G51 I3:I51 K3:K51 M3:M51 O3:O51 Q3:Q51 S3:S51">
    <cfRule type="notContainsErrors" dxfId="136" priority="31" stopIfTrue="1">
      <formula>NOT(ISERROR(C3))</formula>
    </cfRule>
  </conditionalFormatting>
  <conditionalFormatting sqref="C3:T7 C8 E8 G8 I8 K8 M8 O8 Q8 S8 C9:T9 C10 E10 G10 I10 K10 M10 O10 Q10 S10 C11:T21">
    <cfRule type="notContainsBlanks" dxfId="135" priority="32">
      <formula>LEN(TRIM(C3))&gt;0</formula>
    </cfRule>
  </conditionalFormatting>
  <conditionalFormatting sqref="D8">
    <cfRule type="notContainsBlanks" dxfId="134" priority="30">
      <formula>LEN(TRIM(D8))&gt;0</formula>
    </cfRule>
  </conditionalFormatting>
  <conditionalFormatting sqref="D10">
    <cfRule type="notContainsBlanks" dxfId="133" priority="28">
      <formula>LEN(TRIM(D10))&gt;0</formula>
    </cfRule>
  </conditionalFormatting>
  <conditionalFormatting sqref="F8">
    <cfRule type="notContainsBlanks" dxfId="132" priority="26">
      <formula>LEN(TRIM(F8))&gt;0</formula>
    </cfRule>
  </conditionalFormatting>
  <conditionalFormatting sqref="F10">
    <cfRule type="notContainsBlanks" dxfId="131" priority="25">
      <formula>LEN(TRIM(F10))&gt;0</formula>
    </cfRule>
  </conditionalFormatting>
  <conditionalFormatting sqref="H8">
    <cfRule type="notContainsBlanks" dxfId="130" priority="23">
      <formula>LEN(TRIM(H8))&gt;0</formula>
    </cfRule>
  </conditionalFormatting>
  <conditionalFormatting sqref="H10">
    <cfRule type="notContainsBlanks" dxfId="129" priority="22">
      <formula>LEN(TRIM(H10))&gt;0</formula>
    </cfRule>
  </conditionalFormatting>
  <conditionalFormatting sqref="J8">
    <cfRule type="notContainsBlanks" dxfId="128" priority="20">
      <formula>LEN(TRIM(J8))&gt;0</formula>
    </cfRule>
  </conditionalFormatting>
  <conditionalFormatting sqref="J10">
    <cfRule type="notContainsBlanks" dxfId="127" priority="19">
      <formula>LEN(TRIM(J10))&gt;0</formula>
    </cfRule>
  </conditionalFormatting>
  <conditionalFormatting sqref="L8">
    <cfRule type="notContainsBlanks" dxfId="126" priority="17">
      <formula>LEN(TRIM(L8))&gt;0</formula>
    </cfRule>
  </conditionalFormatting>
  <conditionalFormatting sqref="L10">
    <cfRule type="notContainsBlanks" dxfId="125" priority="16">
      <formula>LEN(TRIM(L10))&gt;0</formula>
    </cfRule>
  </conditionalFormatting>
  <conditionalFormatting sqref="N8">
    <cfRule type="notContainsBlanks" dxfId="124" priority="14">
      <formula>LEN(TRIM(N8))&gt;0</formula>
    </cfRule>
  </conditionalFormatting>
  <conditionalFormatting sqref="N10">
    <cfRule type="notContainsBlanks" dxfId="123" priority="13">
      <formula>LEN(TRIM(N10))&gt;0</formula>
    </cfRule>
  </conditionalFormatting>
  <conditionalFormatting sqref="P8">
    <cfRule type="notContainsBlanks" dxfId="122" priority="11">
      <formula>LEN(TRIM(P8))&gt;0</formula>
    </cfRule>
  </conditionalFormatting>
  <conditionalFormatting sqref="P10">
    <cfRule type="notContainsBlanks" dxfId="121" priority="10">
      <formula>LEN(TRIM(P10))&gt;0</formula>
    </cfRule>
  </conditionalFormatting>
  <conditionalFormatting sqref="R8">
    <cfRule type="notContainsBlanks" dxfId="120" priority="8">
      <formula>LEN(TRIM(R8))&gt;0</formula>
    </cfRule>
  </conditionalFormatting>
  <conditionalFormatting sqref="R10">
    <cfRule type="notContainsBlanks" dxfId="119" priority="7">
      <formula>LEN(TRIM(R10))&gt;0</formula>
    </cfRule>
  </conditionalFormatting>
  <conditionalFormatting sqref="T8">
    <cfRule type="notContainsBlanks" dxfId="118" priority="5">
      <formula>LEN(TRIM(T8))&gt;0</formula>
    </cfRule>
  </conditionalFormatting>
  <conditionalFormatting sqref="T10">
    <cfRule type="notContainsBlanks" dxfId="117" priority="4">
      <formula>LEN(TRIM(T10))&gt;0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B9701-50EF-412B-9705-F17F1DAB4A3E}">
  <sheetPr codeName="Sheet102"/>
  <dimension ref="A1:T51"/>
  <sheetViews>
    <sheetView workbookViewId="0">
      <selection activeCell="A3" sqref="A3:A16"/>
    </sheetView>
  </sheetViews>
  <sheetFormatPr defaultColWidth="9.28515625" defaultRowHeight="15" x14ac:dyDescent="0.25"/>
  <cols>
    <col min="1" max="1" width="44.7109375" customWidth="1"/>
    <col min="2" max="2" width="13.85546875" customWidth="1"/>
    <col min="3" max="4" width="9.28515625" customWidth="1"/>
  </cols>
  <sheetData>
    <row r="1" spans="1:20" x14ac:dyDescent="0.25">
      <c r="A1" s="23" t="str">
        <f>HYPERLINK("#Sheets!A1","Back to sheets")</f>
        <v>Back to sheets</v>
      </c>
    </row>
    <row r="2" spans="1:20" ht="15.95" customHeight="1" x14ac:dyDescent="0.25">
      <c r="A2" s="8" t="s">
        <v>3</v>
      </c>
      <c r="B2" s="9" t="s">
        <v>31</v>
      </c>
      <c r="C2" s="8" t="s">
        <v>7</v>
      </c>
      <c r="D2" s="9" t="s">
        <v>31</v>
      </c>
      <c r="E2" s="8" t="s">
        <v>9</v>
      </c>
      <c r="F2" s="9" t="s">
        <v>31</v>
      </c>
      <c r="G2" s="8" t="s">
        <v>10</v>
      </c>
      <c r="H2" s="9" t="s">
        <v>31</v>
      </c>
      <c r="I2" s="8" t="s">
        <v>11</v>
      </c>
      <c r="J2" s="9" t="s">
        <v>31</v>
      </c>
      <c r="K2" s="8" t="s">
        <v>12</v>
      </c>
      <c r="L2" s="9" t="s">
        <v>31</v>
      </c>
      <c r="M2" s="8" t="s">
        <v>13</v>
      </c>
      <c r="N2" s="9" t="s">
        <v>31</v>
      </c>
      <c r="O2" s="8" t="s">
        <v>14</v>
      </c>
      <c r="P2" s="9" t="s">
        <v>31</v>
      </c>
      <c r="Q2" s="8" t="s">
        <v>15</v>
      </c>
      <c r="R2" s="9" t="s">
        <v>31</v>
      </c>
      <c r="S2" s="8" t="s">
        <v>16</v>
      </c>
      <c r="T2" s="8" t="s">
        <v>31</v>
      </c>
    </row>
    <row r="3" spans="1:20" ht="15.95" customHeight="1" x14ac:dyDescent="0.25">
      <c r="A3" s="17" t="s">
        <v>43</v>
      </c>
      <c r="B3" s="16" t="str">
        <f>TRIM(_xlfn.TEXTBEFORE(A3, ":"))</f>
        <v>Item Class</v>
      </c>
      <c r="C3" s="17" t="s">
        <v>64</v>
      </c>
      <c r="D3" s="16" t="str">
        <f>TRIM(_xlfn.TEXTBEFORE(C3, ":"))</f>
        <v>Gegenstandsklasse</v>
      </c>
      <c r="E3" s="17" t="s">
        <v>75</v>
      </c>
      <c r="F3" s="16" t="str">
        <f>TRIM(_xlfn.TEXTBEFORE(E3, ":"))</f>
        <v>Clase de objeto</v>
      </c>
      <c r="G3" s="17" t="s">
        <v>51</v>
      </c>
      <c r="H3" s="16" t="str">
        <f>TRIM(_xlfn.TEXTBEFORE(G3, ":"))</f>
        <v>Classe d'objet</v>
      </c>
      <c r="I3" s="17" t="s">
        <v>86</v>
      </c>
      <c r="J3" s="16" t="str">
        <f>TRIM(_xlfn.TEXTBEFORE(I3, ":"))</f>
        <v>アイテムクラス</v>
      </c>
      <c r="K3" s="17" t="s">
        <v>97</v>
      </c>
      <c r="L3" s="16" t="str">
        <f>TRIM(_xlfn.TEXTBEFORE(K3, ":"))</f>
        <v>아이템 종류</v>
      </c>
      <c r="M3" s="17" t="s">
        <v>108</v>
      </c>
      <c r="N3" s="16" t="str">
        <f>TRIM(_xlfn.TEXTBEFORE(M3, ":"))</f>
        <v>Classe do Item</v>
      </c>
      <c r="O3" s="17" t="s">
        <v>117</v>
      </c>
      <c r="P3" s="16" t="str">
        <f>TRIM(_xlfn.TEXTBEFORE(O3, ":"))</f>
        <v>Класс предмета</v>
      </c>
      <c r="Q3" s="17" t="s">
        <v>129</v>
      </c>
      <c r="R3" s="16" t="str">
        <f>TRIM(_xlfn.TEXTBEFORE(Q3, ":"))</f>
        <v>ชนิดไอเทม</v>
      </c>
      <c r="S3" s="17"/>
      <c r="T3" s="16" t="e">
        <f>TRIM(_xlfn.TEXTBEFORE(S3, ":"))</f>
        <v>#N/A</v>
      </c>
    </row>
    <row r="4" spans="1:20" ht="15.95" customHeight="1" x14ac:dyDescent="0.25">
      <c r="A4" s="18" t="s">
        <v>35</v>
      </c>
      <c r="B4" s="16" t="str">
        <f>TRIM(_xlfn.TEXTAFTER(A3, ":"))</f>
        <v>Contracts</v>
      </c>
      <c r="C4" s="18" t="s">
        <v>63</v>
      </c>
      <c r="D4" s="16" t="str">
        <f>TRIM(_xlfn.TEXTAFTER(C3, ":"))</f>
        <v>Aufträge</v>
      </c>
      <c r="E4" s="18" t="s">
        <v>74</v>
      </c>
      <c r="F4" s="16" t="str">
        <f>TRIM(_xlfn.TEXTAFTER(E3, ":"))</f>
        <v>Contratos</v>
      </c>
      <c r="G4" s="18" t="s">
        <v>50</v>
      </c>
      <c r="H4" s="16" t="str">
        <f>TRIM(_xlfn.TEXTAFTER(G3, ":"))</f>
        <v>Contrats</v>
      </c>
      <c r="I4" s="18" t="s">
        <v>85</v>
      </c>
      <c r="J4" s="16" t="str">
        <f>TRIM(_xlfn.TEXTAFTER(I3, ":"))</f>
        <v>依頼書</v>
      </c>
      <c r="K4" s="18" t="s">
        <v>96</v>
      </c>
      <c r="L4" s="16" t="str">
        <f>TRIM(_xlfn.TEXTAFTER(K3, ":"))</f>
        <v>계약</v>
      </c>
      <c r="M4" s="18" t="s">
        <v>107</v>
      </c>
      <c r="N4" s="16" t="str">
        <f>TRIM(_xlfn.TEXTAFTER(M3, ":"))</f>
        <v>Contratos</v>
      </c>
      <c r="O4" s="18" t="s">
        <v>116</v>
      </c>
      <c r="P4" s="16" t="str">
        <f>TRIM(_xlfn.TEXTAFTER(O3, ":"))</f>
        <v>Контракты</v>
      </c>
      <c r="Q4" s="18" t="s">
        <v>128</v>
      </c>
      <c r="R4" s="16" t="str">
        <f>TRIM(_xlfn.TEXTAFTER(Q3, ":"))</f>
        <v>สัญญาจ้าง</v>
      </c>
      <c r="S4" s="18"/>
      <c r="T4" s="16" t="e">
        <f>TRIM(_xlfn.TEXTAFTER(S3, ":"))</f>
        <v>#N/A</v>
      </c>
    </row>
    <row r="5" spans="1:20" ht="15.95" customHeight="1" x14ac:dyDescent="0.25">
      <c r="A5" s="18" t="s">
        <v>303</v>
      </c>
      <c r="B5" s="16" t="str">
        <f>TRIM(_xlfn.TEXTBEFORE(A4, ":"))</f>
        <v>Rarity</v>
      </c>
      <c r="C5" s="18" t="s">
        <v>380</v>
      </c>
      <c r="D5" s="16" t="str">
        <f>TRIM(_xlfn.TEXTBEFORE(C4, ":"))</f>
        <v>Seltenheit</v>
      </c>
      <c r="E5" s="18" t="s">
        <v>517</v>
      </c>
      <c r="F5" s="16" t="str">
        <f>TRIM(_xlfn.TEXTBEFORE(E4, ":"))</f>
        <v>Rareza</v>
      </c>
      <c r="G5" s="18" t="s">
        <v>344</v>
      </c>
      <c r="H5" s="16" t="str">
        <f>TRIM(_xlfn.TEXTBEFORE(G4, ":"))</f>
        <v>Rareté</v>
      </c>
      <c r="I5" s="18" t="s">
        <v>584</v>
      </c>
      <c r="J5" s="16" t="str">
        <f>TRIM(_xlfn.TEXTBEFORE(I4, ":"))</f>
        <v>レアリティ</v>
      </c>
      <c r="K5" s="18" t="s">
        <v>549</v>
      </c>
      <c r="L5" s="16" t="str">
        <f>TRIM(_xlfn.TEXTBEFORE(K4, ":"))</f>
        <v>아이템 희귀도</v>
      </c>
      <c r="M5" s="18" t="s">
        <v>414</v>
      </c>
      <c r="N5" s="16" t="str">
        <f>TRIM(_xlfn.TEXTBEFORE(M4, ":"))</f>
        <v>Raridade</v>
      </c>
      <c r="O5" s="18" t="s">
        <v>451</v>
      </c>
      <c r="P5" s="16" t="str">
        <f>TRIM(_xlfn.TEXTBEFORE(O4, ":"))</f>
        <v>Редкость</v>
      </c>
      <c r="Q5" s="18" t="s">
        <v>485</v>
      </c>
      <c r="R5" s="16" t="str">
        <f>TRIM(_xlfn.TEXTBEFORE(Q4, ":"))</f>
        <v>ความหายาก</v>
      </c>
      <c r="S5" s="18"/>
      <c r="T5" s="16" t="e">
        <f>TRIM(_xlfn.TEXTBEFORE(S4, ":"))</f>
        <v>#N/A</v>
      </c>
    </row>
    <row r="6" spans="1:20" ht="15.95" customHeight="1" x14ac:dyDescent="0.25">
      <c r="A6" s="18" t="s">
        <v>0</v>
      </c>
      <c r="B6" s="16" t="str">
        <f>TRIM(_xlfn.TEXTAFTER(A4,":"))</f>
        <v>Normal</v>
      </c>
      <c r="C6" s="18" t="s">
        <v>0</v>
      </c>
      <c r="D6" s="16" t="str">
        <f>TRIM(_xlfn.TEXTAFTER(C4,":"))</f>
        <v>Normal</v>
      </c>
      <c r="E6" s="18" t="s">
        <v>0</v>
      </c>
      <c r="F6" s="16" t="str">
        <f>TRIM(_xlfn.TEXTAFTER(E4,":"))</f>
        <v>Normal</v>
      </c>
      <c r="G6" s="18" t="s">
        <v>0</v>
      </c>
      <c r="H6" s="16" t="str">
        <f>TRIM(_xlfn.TEXTAFTER(G4,":"))</f>
        <v>Normal</v>
      </c>
      <c r="I6" s="18" t="s">
        <v>0</v>
      </c>
      <c r="J6" s="16" t="str">
        <f>TRIM(_xlfn.TEXTAFTER(I4,":"))</f>
        <v>ノーマル</v>
      </c>
      <c r="K6" s="18" t="s">
        <v>0</v>
      </c>
      <c r="L6" s="16" t="str">
        <f>TRIM(_xlfn.TEXTAFTER(K4,":"))</f>
        <v>일반</v>
      </c>
      <c r="M6" s="18" t="s">
        <v>0</v>
      </c>
      <c r="N6" s="16" t="str">
        <f>TRIM(_xlfn.TEXTAFTER(M4,":"))</f>
        <v>Normal</v>
      </c>
      <c r="O6" s="18" t="s">
        <v>0</v>
      </c>
      <c r="P6" s="16" t="str">
        <f>TRIM(_xlfn.TEXTAFTER(O4,":"))</f>
        <v>Обычный</v>
      </c>
      <c r="Q6" s="18" t="s">
        <v>0</v>
      </c>
      <c r="R6" s="16" t="str">
        <f>TRIM(_xlfn.TEXTAFTER(Q4,":"))</f>
        <v>ปกติ</v>
      </c>
      <c r="S6" s="18"/>
      <c r="T6" s="16" t="e">
        <f>TRIM(_xlfn.TEXTAFTER(S4,":"))</f>
        <v>#N/A</v>
      </c>
    </row>
    <row r="7" spans="1:20" ht="15.95" customHeight="1" x14ac:dyDescent="0.25">
      <c r="A7" s="18" t="s">
        <v>300</v>
      </c>
      <c r="B7" s="16"/>
      <c r="C7" s="18" t="s">
        <v>376</v>
      </c>
      <c r="D7" s="16"/>
      <c r="E7" s="18" t="s">
        <v>513</v>
      </c>
      <c r="F7" s="16"/>
      <c r="G7" s="18" t="s">
        <v>339</v>
      </c>
      <c r="H7" s="16"/>
      <c r="I7" s="18" t="s">
        <v>580</v>
      </c>
      <c r="J7" s="16"/>
      <c r="K7" s="18" t="s">
        <v>545</v>
      </c>
      <c r="L7" s="16"/>
      <c r="M7" s="18" t="s">
        <v>410</v>
      </c>
      <c r="N7" s="16"/>
      <c r="O7" s="18" t="s">
        <v>446</v>
      </c>
      <c r="P7" s="16"/>
      <c r="Q7" s="18" t="s">
        <v>481</v>
      </c>
      <c r="R7" s="16"/>
      <c r="S7" s="18"/>
      <c r="T7" s="16"/>
    </row>
    <row r="8" spans="1:20" ht="15.95" customHeight="1" x14ac:dyDescent="0.25">
      <c r="A8" s="18" t="s">
        <v>301</v>
      </c>
      <c r="B8" s="16" t="str">
        <f>TRIM(_xlfn.TEXTBEFORE(_xlfn.TEXTAFTER(A8, " ("), ")"))</f>
        <v>Precious</v>
      </c>
      <c r="C8" s="18" t="s">
        <v>377</v>
      </c>
      <c r="D8" s="16" t="str">
        <f>TRIM(_xlfn.TEXTBEFORE(_xlfn.TEXTAFTER(C8, " ("), ")"))</f>
        <v>Kostbar</v>
      </c>
      <c r="E8" s="18" t="s">
        <v>514</v>
      </c>
      <c r="F8" s="16" t="str">
        <f>TRIM(_xlfn.TEXTBEFORE(_xlfn.TEXTAFTER(E8, " ("), ")"))</f>
        <v>valor muy alto</v>
      </c>
      <c r="G8" s="18" t="s">
        <v>340</v>
      </c>
      <c r="H8" s="16" t="str">
        <f>TRIM(_xlfn.TEXTBEFORE(_xlfn.TEXTAFTER(G8, " ("), ")"))</f>
        <v>valeur : importante</v>
      </c>
      <c r="I8" s="18" t="s">
        <v>581</v>
      </c>
      <c r="J8" s="16" t="str">
        <f>TRIM(_xlfn.TEXTBEFORE(_xlfn.TEXTAFTER(I8, " ("), ")"))</f>
        <v>貴重</v>
      </c>
      <c r="K8" s="18" t="s">
        <v>546</v>
      </c>
      <c r="L8" s="16" t="str">
        <f>TRIM(_xlfn.TEXTBEFORE(_xlfn.TEXTAFTER(K8, " ("), ")"))</f>
        <v>귀중한 가치</v>
      </c>
      <c r="M8" s="18" t="s">
        <v>411</v>
      </c>
      <c r="N8" s="16" t="str">
        <f>TRIM(_xlfn.TEXTBEFORE(_xlfn.TEXTAFTER(M8, " ("), ")"))</f>
        <v>Precioso</v>
      </c>
      <c r="O8" s="18" t="s">
        <v>447</v>
      </c>
      <c r="P8" s="16" t="str">
        <f>TRIM(_xlfn.TEXTBEFORE(_xlfn.TEXTAFTER(O8, " ("), ")"))</f>
        <v>драгоценный</v>
      </c>
      <c r="Q8" s="18" t="s">
        <v>482</v>
      </c>
      <c r="R8" s="16" t="str">
        <f>TRIM(_xlfn.TEXTBEFORE(_xlfn.TEXTAFTER(Q8, " ("), ")"))</f>
        <v>มีมูลค่าสูงส่ง</v>
      </c>
      <c r="S8" s="18"/>
      <c r="T8" s="16" t="e">
        <f>TRIM(_xlfn.TEXTBEFORE(_xlfn.TEXTAFTER(S8, " ("), ")"))</f>
        <v>#N/A</v>
      </c>
    </row>
    <row r="9" spans="1:20" ht="15.95" customHeight="1" x14ac:dyDescent="0.25">
      <c r="A9" s="18" t="s">
        <v>294</v>
      </c>
      <c r="B9" s="16"/>
      <c r="C9" s="18" t="s">
        <v>366</v>
      </c>
      <c r="D9" s="16"/>
      <c r="E9" s="18" t="s">
        <v>506</v>
      </c>
      <c r="F9" s="16"/>
      <c r="G9" s="18" t="s">
        <v>327</v>
      </c>
      <c r="H9" s="16"/>
      <c r="I9" s="18" t="s">
        <v>570</v>
      </c>
      <c r="J9" s="16"/>
      <c r="K9" s="18" t="s">
        <v>537</v>
      </c>
      <c r="L9" s="16"/>
      <c r="M9" s="18" t="s">
        <v>402</v>
      </c>
      <c r="N9" s="16"/>
      <c r="O9" s="18" t="s">
        <v>435</v>
      </c>
      <c r="P9" s="16"/>
      <c r="Q9" s="18" t="s">
        <v>473</v>
      </c>
      <c r="R9" s="16"/>
      <c r="S9" s="18"/>
      <c r="T9" s="16"/>
    </row>
    <row r="10" spans="1:20" ht="15.95" customHeight="1" x14ac:dyDescent="0.25">
      <c r="A10" s="18" t="s">
        <v>598</v>
      </c>
      <c r="B10" s="16" t="str">
        <f>_xlfn.REGEXREPLACE(A10, "\d+", "#")</f>
        <v>Requires Deception (Level #)</v>
      </c>
      <c r="C10" s="18" t="s">
        <v>381</v>
      </c>
      <c r="D10" s="16" t="str">
        <f>_xlfn.REGEXREPLACE(C10, "\d+", "#")</f>
        <v>Erfordert Täuschung (Stufe #)</v>
      </c>
      <c r="E10" s="18" t="s">
        <v>518</v>
      </c>
      <c r="F10" s="16" t="str">
        <f>_xlfn.REGEXREPLACE(E10, "\d+", "#")</f>
        <v>Requiere Engaño (Nivel#)</v>
      </c>
      <c r="G10" s="18" t="s">
        <v>345</v>
      </c>
      <c r="H10" s="16" t="str">
        <f>_xlfn.REGEXREPLACE(G10, "\d+", "#")</f>
        <v>Prérequis : Duperie au niv. #</v>
      </c>
      <c r="I10" s="18" t="s">
        <v>585</v>
      </c>
      <c r="J10" s="16" t="str">
        <f>_xlfn.REGEXREPLACE(I10, "\d+", "#")</f>
        <v>必要ジョブ 欺瞞 (レベル #)</v>
      </c>
      <c r="K10" s="18" t="s">
        <v>550</v>
      </c>
      <c r="L10" s="16" t="str">
        <f>_xlfn.REGEXREPLACE(K10, "\d+", "#")</f>
        <v>기만 필요(#레벨)</v>
      </c>
      <c r="M10" s="18" t="s">
        <v>415</v>
      </c>
      <c r="N10" s="16" t="str">
        <f>_xlfn.REGEXREPLACE(M10, "\d+", "#")</f>
        <v>Requer Enganação (Nível #)</v>
      </c>
      <c r="O10" s="18" t="s">
        <v>452</v>
      </c>
      <c r="P10" s="16" t="str">
        <f>_xlfn.REGEXREPLACE(O10, "\d+", "#")</f>
        <v>Требуется маскировка (# уровень)</v>
      </c>
      <c r="Q10" s="18" t="s">
        <v>486</v>
      </c>
      <c r="R10" s="16" t="str">
        <f>_xlfn.REGEXREPLACE(Q10, "\d+", "#")</f>
        <v>ต้องมี กลฉ้อฉล (ระดับ #)</v>
      </c>
      <c r="S10" s="18"/>
      <c r="T10" s="16" t="str">
        <f>_xlfn.REGEXREPLACE(S10, "\d+", "#")</f>
        <v/>
      </c>
    </row>
    <row r="11" spans="1:20" ht="15.95" customHeight="1" x14ac:dyDescent="0.25">
      <c r="A11" s="18" t="s">
        <v>0</v>
      </c>
      <c r="B11" s="16"/>
      <c r="C11" s="18" t="s">
        <v>0</v>
      </c>
      <c r="D11" s="16"/>
      <c r="E11" s="18" t="s">
        <v>0</v>
      </c>
      <c r="F11" s="16"/>
      <c r="G11" s="18" t="s">
        <v>0</v>
      </c>
      <c r="H11" s="16"/>
      <c r="I11" s="18" t="s">
        <v>0</v>
      </c>
      <c r="J11" s="16"/>
      <c r="K11" s="18" t="s">
        <v>0</v>
      </c>
      <c r="L11" s="16"/>
      <c r="M11" s="18" t="s">
        <v>0</v>
      </c>
      <c r="N11" s="16"/>
      <c r="O11" s="18" t="s">
        <v>0</v>
      </c>
      <c r="P11" s="16"/>
      <c r="Q11" s="18" t="s">
        <v>0</v>
      </c>
      <c r="R11" s="16"/>
      <c r="S11" s="18"/>
      <c r="T11" s="16"/>
    </row>
    <row r="12" spans="1:20" ht="15.95" customHeight="1" x14ac:dyDescent="0.25">
      <c r="A12" s="18" t="s">
        <v>37</v>
      </c>
      <c r="B12" s="16"/>
      <c r="C12" s="18" t="s">
        <v>72</v>
      </c>
      <c r="D12" s="16"/>
      <c r="E12" s="18" t="s">
        <v>83</v>
      </c>
      <c r="F12" s="16"/>
      <c r="G12" s="18" t="s">
        <v>60</v>
      </c>
      <c r="H12" s="16"/>
      <c r="I12" s="18" t="s">
        <v>94</v>
      </c>
      <c r="J12" s="16"/>
      <c r="K12" s="18" t="s">
        <v>105</v>
      </c>
      <c r="L12" s="16"/>
      <c r="M12" s="18" t="s">
        <v>114</v>
      </c>
      <c r="N12" s="16"/>
      <c r="O12" s="18" t="s">
        <v>126</v>
      </c>
      <c r="P12" s="16"/>
      <c r="Q12" s="18" t="s">
        <v>137</v>
      </c>
      <c r="R12" s="16"/>
      <c r="S12" s="18"/>
      <c r="T12" s="16"/>
    </row>
    <row r="13" spans="1:20" ht="15.95" customHeight="1" x14ac:dyDescent="0.25">
      <c r="A13" s="18" t="s">
        <v>0</v>
      </c>
      <c r="B13" s="16"/>
      <c r="C13" s="18" t="s">
        <v>0</v>
      </c>
      <c r="D13" s="16"/>
      <c r="E13" s="18" t="s">
        <v>0</v>
      </c>
      <c r="F13" s="16"/>
      <c r="G13" s="18" t="s">
        <v>0</v>
      </c>
      <c r="H13" s="16"/>
      <c r="I13" s="18" t="s">
        <v>0</v>
      </c>
      <c r="J13" s="16"/>
      <c r="K13" s="18" t="s">
        <v>0</v>
      </c>
      <c r="L13" s="16"/>
      <c r="M13" s="18" t="s">
        <v>0</v>
      </c>
      <c r="N13" s="16"/>
      <c r="O13" s="18" t="s">
        <v>0</v>
      </c>
      <c r="P13" s="16"/>
      <c r="Q13" s="18" t="s">
        <v>0</v>
      </c>
      <c r="R13" s="16"/>
      <c r="S13" s="18"/>
      <c r="T13" s="16"/>
    </row>
    <row r="14" spans="1:20" ht="15.95" customHeight="1" x14ac:dyDescent="0.25">
      <c r="A14" s="18" t="s">
        <v>302</v>
      </c>
      <c r="B14" s="16"/>
      <c r="C14" s="18" t="s">
        <v>379</v>
      </c>
      <c r="D14" s="16"/>
      <c r="E14" s="18" t="s">
        <v>516</v>
      </c>
      <c r="F14" s="16"/>
      <c r="G14" s="18" t="s">
        <v>342</v>
      </c>
      <c r="H14" s="16"/>
      <c r="I14" s="18" t="s">
        <v>583</v>
      </c>
      <c r="J14" s="16"/>
      <c r="K14" s="18" t="s">
        <v>548</v>
      </c>
      <c r="L14" s="16"/>
      <c r="M14" s="18" t="s">
        <v>413</v>
      </c>
      <c r="N14" s="16"/>
      <c r="O14" s="18" t="s">
        <v>449</v>
      </c>
      <c r="P14" s="16"/>
      <c r="Q14" s="18" t="s">
        <v>484</v>
      </c>
      <c r="R14" s="16"/>
      <c r="S14" s="18"/>
      <c r="T14" s="16"/>
    </row>
    <row r="15" spans="1:20" ht="15.95" customHeight="1" x14ac:dyDescent="0.25">
      <c r="A15" s="18" t="s">
        <v>0</v>
      </c>
      <c r="B15" s="16"/>
      <c r="C15" s="18" t="s">
        <v>0</v>
      </c>
      <c r="D15" s="16"/>
      <c r="E15" s="18" t="s">
        <v>0</v>
      </c>
      <c r="F15" s="16"/>
      <c r="G15" s="18" t="s">
        <v>343</v>
      </c>
      <c r="H15" s="16"/>
      <c r="I15" s="18" t="s">
        <v>0</v>
      </c>
      <c r="J15" s="16"/>
      <c r="K15" s="18" t="s">
        <v>0</v>
      </c>
      <c r="L15" s="16"/>
      <c r="M15" s="18" t="s">
        <v>0</v>
      </c>
      <c r="N15" s="16"/>
      <c r="O15" s="18" t="s">
        <v>450</v>
      </c>
      <c r="P15" s="16"/>
      <c r="Q15" s="18" t="s">
        <v>0</v>
      </c>
      <c r="R15" s="16"/>
      <c r="S15" s="18"/>
      <c r="T15" s="19"/>
    </row>
    <row r="16" spans="1:20" ht="15.95" customHeight="1" x14ac:dyDescent="0.25">
      <c r="A16" s="18" t="s">
        <v>47</v>
      </c>
      <c r="B16" s="16"/>
      <c r="C16" s="18" t="s">
        <v>69</v>
      </c>
      <c r="D16" s="16"/>
      <c r="E16" s="18" t="s">
        <v>80</v>
      </c>
      <c r="F16" s="16"/>
      <c r="G16" s="18" t="s">
        <v>0</v>
      </c>
      <c r="H16" s="16"/>
      <c r="I16" s="18" t="s">
        <v>91</v>
      </c>
      <c r="J16" s="16"/>
      <c r="K16" s="18" t="s">
        <v>102</v>
      </c>
      <c r="L16" s="16"/>
      <c r="M16" s="18" t="s">
        <v>111</v>
      </c>
      <c r="N16" s="16"/>
      <c r="O16" s="18" t="s">
        <v>0</v>
      </c>
      <c r="P16" s="16"/>
      <c r="Q16" s="18" t="s">
        <v>134</v>
      </c>
      <c r="R16" s="16"/>
      <c r="S16" s="18"/>
      <c r="T16" s="19"/>
    </row>
    <row r="17" spans="1:20" ht="15.95" customHeight="1" x14ac:dyDescent="0.25">
      <c r="A17" s="18"/>
      <c r="B17" s="16"/>
      <c r="C17" s="18"/>
      <c r="D17" s="16"/>
      <c r="E17" s="18"/>
      <c r="F17" s="16"/>
      <c r="G17" s="18" t="s">
        <v>57</v>
      </c>
      <c r="H17" s="16"/>
      <c r="I17" s="18"/>
      <c r="J17" s="16"/>
      <c r="K17" s="18"/>
      <c r="L17" s="16"/>
      <c r="M17" s="18"/>
      <c r="N17" s="16"/>
      <c r="O17" s="18" t="s">
        <v>123</v>
      </c>
      <c r="P17" s="16"/>
      <c r="Q17" s="18"/>
      <c r="R17" s="16"/>
      <c r="S17" s="18"/>
      <c r="T17" s="19"/>
    </row>
    <row r="18" spans="1:20" ht="15.95" customHeight="1" x14ac:dyDescent="0.25">
      <c r="A18" s="18"/>
      <c r="B18" s="16"/>
      <c r="C18" s="18"/>
      <c r="D18" s="16"/>
      <c r="E18" s="18"/>
      <c r="F18" s="16"/>
      <c r="G18" s="18"/>
      <c r="H18" s="16"/>
      <c r="I18" s="18"/>
      <c r="J18" s="16"/>
      <c r="K18" s="18"/>
      <c r="L18" s="16"/>
      <c r="M18" s="18"/>
      <c r="N18" s="16"/>
      <c r="O18" s="18"/>
      <c r="P18" s="16"/>
      <c r="Q18" s="18"/>
      <c r="R18" s="16"/>
      <c r="S18" s="18"/>
      <c r="T18" s="19"/>
    </row>
    <row r="19" spans="1:20" ht="15.95" customHeight="1" x14ac:dyDescent="0.25">
      <c r="A19" s="18"/>
      <c r="B19" s="16"/>
      <c r="C19" s="18"/>
      <c r="D19" s="16"/>
      <c r="E19" s="18"/>
      <c r="F19" s="16"/>
      <c r="G19" s="18"/>
      <c r="H19" s="16"/>
      <c r="I19" s="18"/>
      <c r="J19" s="16"/>
      <c r="K19" s="18"/>
      <c r="L19" s="16"/>
      <c r="M19" s="18"/>
      <c r="N19" s="16"/>
      <c r="O19" s="18"/>
      <c r="P19" s="16"/>
      <c r="Q19" s="18"/>
      <c r="R19" s="16"/>
      <c r="S19" s="18"/>
      <c r="T19" s="19"/>
    </row>
    <row r="20" spans="1:20" ht="15.95" customHeight="1" x14ac:dyDescent="0.25">
      <c r="A20" s="18"/>
      <c r="B20" s="16"/>
      <c r="C20" s="18"/>
      <c r="D20" s="16"/>
      <c r="E20" s="18"/>
      <c r="F20" s="16"/>
      <c r="G20" s="18"/>
      <c r="H20" s="16"/>
      <c r="I20" s="18"/>
      <c r="J20" s="16"/>
      <c r="K20" s="18"/>
      <c r="L20" s="16"/>
      <c r="M20" s="18"/>
      <c r="N20" s="16"/>
      <c r="O20" s="18"/>
      <c r="P20" s="16"/>
      <c r="Q20" s="18"/>
      <c r="R20" s="16"/>
      <c r="S20" s="18"/>
      <c r="T20" s="19"/>
    </row>
    <row r="21" spans="1:20" ht="15.95" customHeight="1" x14ac:dyDescent="0.25">
      <c r="A21" s="18"/>
      <c r="B21" s="16"/>
      <c r="C21" s="18"/>
      <c r="D21" s="16"/>
      <c r="E21" s="18"/>
      <c r="F21" s="16"/>
      <c r="G21" s="18"/>
      <c r="H21" s="16"/>
      <c r="I21" s="18"/>
      <c r="J21" s="16"/>
      <c r="K21" s="18"/>
      <c r="L21" s="16"/>
      <c r="M21" s="18"/>
      <c r="N21" s="16"/>
      <c r="O21" s="18"/>
      <c r="P21" s="16"/>
      <c r="Q21" s="18"/>
      <c r="R21" s="16"/>
      <c r="S21" s="18"/>
      <c r="T21" s="19"/>
    </row>
    <row r="22" spans="1:20" ht="15.95" customHeight="1" x14ac:dyDescent="0.25">
      <c r="A22" s="18"/>
      <c r="B22" s="16"/>
      <c r="C22" s="18"/>
      <c r="D22" s="16"/>
      <c r="E22" s="18"/>
      <c r="F22" s="16"/>
      <c r="G22" s="18"/>
      <c r="H22" s="16"/>
      <c r="I22" s="18"/>
      <c r="J22" s="16"/>
      <c r="K22" s="18"/>
      <c r="L22" s="16"/>
      <c r="M22" s="18"/>
      <c r="N22" s="16"/>
      <c r="O22" s="18"/>
      <c r="P22" s="16"/>
      <c r="Q22" s="18"/>
      <c r="R22" s="16"/>
      <c r="S22" s="18"/>
      <c r="T22" s="19"/>
    </row>
    <row r="23" spans="1:20" ht="15.95" customHeight="1" x14ac:dyDescent="0.25">
      <c r="A23" s="18"/>
      <c r="B23" s="16"/>
      <c r="C23" s="18"/>
      <c r="D23" s="16"/>
      <c r="E23" s="18"/>
      <c r="F23" s="16"/>
      <c r="G23" s="18"/>
      <c r="H23" s="16"/>
      <c r="I23" s="18"/>
      <c r="J23" s="16"/>
      <c r="K23" s="18"/>
      <c r="L23" s="16"/>
      <c r="M23" s="18"/>
      <c r="N23" s="16"/>
      <c r="O23" s="18"/>
      <c r="P23" s="16"/>
      <c r="Q23" s="18"/>
      <c r="R23" s="16"/>
      <c r="S23" s="18"/>
      <c r="T23" s="19"/>
    </row>
    <row r="24" spans="1:20" ht="15.95" customHeight="1" x14ac:dyDescent="0.25">
      <c r="A24" s="18"/>
      <c r="B24" s="16"/>
      <c r="C24" s="18"/>
      <c r="D24" s="16"/>
      <c r="E24" s="18"/>
      <c r="F24" s="16"/>
      <c r="G24" s="18"/>
      <c r="H24" s="16"/>
      <c r="I24" s="18"/>
      <c r="J24" s="16"/>
      <c r="K24" s="18"/>
      <c r="L24" s="16"/>
      <c r="M24" s="18"/>
      <c r="N24" s="16"/>
      <c r="O24" s="18"/>
      <c r="P24" s="16"/>
      <c r="Q24" s="18"/>
      <c r="R24" s="16"/>
      <c r="S24" s="18"/>
      <c r="T24" s="19"/>
    </row>
    <row r="25" spans="1:20" ht="15.95" customHeight="1" x14ac:dyDescent="0.25">
      <c r="A25" s="18"/>
      <c r="B25" s="16"/>
      <c r="C25" s="18"/>
      <c r="D25" s="16"/>
      <c r="E25" s="18"/>
      <c r="F25" s="16"/>
      <c r="G25" s="18"/>
      <c r="H25" s="16"/>
      <c r="I25" s="18"/>
      <c r="J25" s="16"/>
      <c r="K25" s="18"/>
      <c r="L25" s="16"/>
      <c r="M25" s="18"/>
      <c r="N25" s="16"/>
      <c r="O25" s="18"/>
      <c r="P25" s="16"/>
      <c r="Q25" s="18"/>
      <c r="R25" s="16"/>
      <c r="S25" s="18"/>
      <c r="T25" s="19"/>
    </row>
    <row r="26" spans="1:20" ht="15.95" customHeight="1" x14ac:dyDescent="0.25">
      <c r="A26" s="18"/>
      <c r="B26" s="16"/>
      <c r="C26" s="18"/>
      <c r="D26" s="16"/>
      <c r="E26" s="18"/>
      <c r="F26" s="16"/>
      <c r="G26" s="18"/>
      <c r="H26" s="16"/>
      <c r="I26" s="18"/>
      <c r="J26" s="16"/>
      <c r="K26" s="18"/>
      <c r="L26" s="16"/>
      <c r="M26" s="18"/>
      <c r="N26" s="16"/>
      <c r="O26" s="18"/>
      <c r="P26" s="16"/>
      <c r="Q26" s="18"/>
      <c r="R26" s="16"/>
      <c r="S26" s="18"/>
      <c r="T26" s="19"/>
    </row>
    <row r="27" spans="1:20" ht="15.95" customHeight="1" x14ac:dyDescent="0.25">
      <c r="A27" s="18"/>
      <c r="B27" s="16"/>
      <c r="C27" s="18"/>
      <c r="D27" s="16"/>
      <c r="E27" s="18"/>
      <c r="F27" s="16"/>
      <c r="G27" s="18"/>
      <c r="H27" s="16"/>
      <c r="I27" s="18"/>
      <c r="J27" s="16"/>
      <c r="K27" s="18"/>
      <c r="L27" s="16"/>
      <c r="M27" s="18"/>
      <c r="N27" s="16"/>
      <c r="O27" s="18"/>
      <c r="P27" s="16"/>
      <c r="Q27" s="18"/>
      <c r="R27" s="16"/>
      <c r="S27" s="18"/>
      <c r="T27" s="19"/>
    </row>
    <row r="28" spans="1:20" ht="15.95" customHeight="1" x14ac:dyDescent="0.25">
      <c r="A28" s="18"/>
      <c r="B28" s="16"/>
      <c r="C28" s="18"/>
      <c r="D28" s="16"/>
      <c r="E28" s="18"/>
      <c r="F28" s="16"/>
      <c r="G28" s="18"/>
      <c r="H28" s="16"/>
      <c r="I28" s="18"/>
      <c r="J28" s="16"/>
      <c r="K28" s="18"/>
      <c r="L28" s="16"/>
      <c r="M28" s="18"/>
      <c r="N28" s="16"/>
      <c r="O28" s="18"/>
      <c r="P28" s="16"/>
      <c r="Q28" s="18"/>
      <c r="R28" s="16"/>
      <c r="S28" s="18"/>
      <c r="T28" s="19"/>
    </row>
    <row r="29" spans="1:20" ht="15.95" customHeight="1" x14ac:dyDescent="0.25">
      <c r="A29" s="18"/>
      <c r="B29" s="16"/>
      <c r="C29" s="18"/>
      <c r="D29" s="16"/>
      <c r="E29" s="18"/>
      <c r="F29" s="16"/>
      <c r="G29" s="18"/>
      <c r="H29" s="16"/>
      <c r="I29" s="18"/>
      <c r="J29" s="16"/>
      <c r="K29" s="18"/>
      <c r="L29" s="16"/>
      <c r="M29" s="18"/>
      <c r="N29" s="16"/>
      <c r="O29" s="18"/>
      <c r="P29" s="16"/>
      <c r="Q29" s="18"/>
      <c r="R29" s="16"/>
      <c r="S29" s="18"/>
      <c r="T29" s="19"/>
    </row>
    <row r="30" spans="1:20" ht="15.95" customHeight="1" x14ac:dyDescent="0.25">
      <c r="A30" s="18"/>
      <c r="B30" s="16"/>
      <c r="C30" s="18"/>
      <c r="D30" s="16"/>
      <c r="E30" s="18"/>
      <c r="F30" s="16"/>
      <c r="G30" s="18"/>
      <c r="H30" s="16"/>
      <c r="I30" s="18"/>
      <c r="J30" s="16"/>
      <c r="K30" s="18"/>
      <c r="L30" s="16"/>
      <c r="M30" s="18"/>
      <c r="N30" s="16"/>
      <c r="O30" s="18"/>
      <c r="P30" s="16"/>
      <c r="Q30" s="18"/>
      <c r="R30" s="16"/>
      <c r="S30" s="18"/>
      <c r="T30" s="19"/>
    </row>
    <row r="31" spans="1:20" ht="15.95" customHeight="1" x14ac:dyDescent="0.25">
      <c r="A31" s="18"/>
      <c r="B31" s="16"/>
      <c r="C31" s="18"/>
      <c r="D31" s="16"/>
      <c r="E31" s="18"/>
      <c r="F31" s="16"/>
      <c r="G31" s="18"/>
      <c r="H31" s="16"/>
      <c r="I31" s="18"/>
      <c r="J31" s="16"/>
      <c r="K31" s="18"/>
      <c r="L31" s="16"/>
      <c r="M31" s="18"/>
      <c r="N31" s="16"/>
      <c r="O31" s="18"/>
      <c r="P31" s="16"/>
      <c r="Q31" s="18"/>
      <c r="R31" s="16"/>
      <c r="S31" s="18"/>
      <c r="T31" s="19"/>
    </row>
    <row r="32" spans="1:20" ht="15.95" customHeight="1" x14ac:dyDescent="0.25">
      <c r="A32" s="18"/>
      <c r="B32" s="16"/>
      <c r="C32" s="18"/>
      <c r="D32" s="16"/>
      <c r="E32" s="18"/>
      <c r="F32" s="16"/>
      <c r="G32" s="18"/>
      <c r="H32" s="16"/>
      <c r="I32" s="18"/>
      <c r="J32" s="16"/>
      <c r="K32" s="18"/>
      <c r="L32" s="16"/>
      <c r="M32" s="18"/>
      <c r="N32" s="16"/>
      <c r="O32" s="18"/>
      <c r="P32" s="16"/>
      <c r="Q32" s="18"/>
      <c r="R32" s="16"/>
      <c r="S32" s="18"/>
      <c r="T32" s="19"/>
    </row>
    <row r="33" spans="1:20" ht="15.95" customHeight="1" x14ac:dyDescent="0.25">
      <c r="A33" s="21"/>
      <c r="B33" s="16"/>
      <c r="C33" s="18"/>
      <c r="D33" s="16"/>
      <c r="E33" s="18"/>
      <c r="F33" s="16"/>
      <c r="G33" s="18"/>
      <c r="H33" s="16"/>
      <c r="I33" s="18"/>
      <c r="J33" s="16"/>
      <c r="K33" s="18"/>
      <c r="L33" s="16"/>
      <c r="M33" s="18"/>
      <c r="N33" s="16"/>
      <c r="O33" s="18"/>
      <c r="P33" s="16"/>
      <c r="Q33" s="18"/>
      <c r="R33" s="16"/>
      <c r="S33" s="18"/>
      <c r="T33" s="19"/>
    </row>
    <row r="34" spans="1:20" ht="15.95" customHeight="1" x14ac:dyDescent="0.25">
      <c r="A34" s="18"/>
      <c r="B34" s="16"/>
      <c r="C34" s="18"/>
      <c r="D34" s="16"/>
      <c r="E34" s="18"/>
      <c r="F34" s="16"/>
      <c r="G34" s="18"/>
      <c r="H34" s="16"/>
      <c r="I34" s="18"/>
      <c r="J34" s="16"/>
      <c r="K34" s="18"/>
      <c r="L34" s="16"/>
      <c r="M34" s="18"/>
      <c r="N34" s="16"/>
      <c r="O34" s="18"/>
      <c r="P34" s="16"/>
      <c r="Q34" s="18"/>
      <c r="R34" s="16"/>
      <c r="S34" s="18"/>
      <c r="T34" s="19"/>
    </row>
    <row r="35" spans="1:20" ht="15.95" customHeight="1" x14ac:dyDescent="0.25">
      <c r="A35" s="18"/>
      <c r="B35" s="16"/>
      <c r="C35" s="18"/>
      <c r="D35" s="16"/>
      <c r="E35" s="18"/>
      <c r="F35" s="16"/>
      <c r="G35" s="18"/>
      <c r="H35" s="16"/>
      <c r="I35" s="18"/>
      <c r="J35" s="16"/>
      <c r="K35" s="18"/>
      <c r="L35" s="16"/>
      <c r="M35" s="18"/>
      <c r="N35" s="16"/>
      <c r="O35" s="18"/>
      <c r="P35" s="16"/>
      <c r="Q35" s="18"/>
      <c r="R35" s="16"/>
      <c r="S35" s="18"/>
      <c r="T35" s="19"/>
    </row>
    <row r="36" spans="1:20" ht="15.95" customHeight="1" x14ac:dyDescent="0.25">
      <c r="A36" s="18"/>
      <c r="B36" s="16"/>
      <c r="C36" s="18"/>
      <c r="D36" s="16"/>
      <c r="E36" s="18"/>
      <c r="F36" s="16"/>
      <c r="G36" s="18"/>
      <c r="H36" s="16"/>
      <c r="I36" s="18"/>
      <c r="J36" s="16"/>
      <c r="K36" s="18"/>
      <c r="L36" s="16"/>
      <c r="M36" s="18"/>
      <c r="N36" s="16"/>
      <c r="O36" s="18"/>
      <c r="P36" s="16"/>
      <c r="Q36" s="18"/>
      <c r="R36" s="16"/>
      <c r="S36" s="18"/>
      <c r="T36" s="19"/>
    </row>
    <row r="37" spans="1:20" ht="15.95" customHeight="1" x14ac:dyDescent="0.25">
      <c r="A37" s="18"/>
      <c r="B37" s="16"/>
      <c r="C37" s="18"/>
      <c r="D37" s="16"/>
      <c r="E37" s="18"/>
      <c r="F37" s="16"/>
      <c r="G37" s="18"/>
      <c r="H37" s="16"/>
      <c r="I37" s="18"/>
      <c r="J37" s="16"/>
      <c r="K37" s="18"/>
      <c r="L37" s="16"/>
      <c r="M37" s="18"/>
      <c r="N37" s="16"/>
      <c r="O37" s="18"/>
      <c r="P37" s="16"/>
      <c r="Q37" s="18"/>
      <c r="R37" s="16"/>
      <c r="S37" s="18"/>
      <c r="T37" s="19"/>
    </row>
    <row r="38" spans="1:20" ht="15.95" customHeight="1" x14ac:dyDescent="0.25">
      <c r="A38" s="18"/>
      <c r="B38" s="16"/>
      <c r="C38" s="18"/>
      <c r="D38" s="16"/>
      <c r="E38" s="18"/>
      <c r="F38" s="16"/>
      <c r="G38" s="18"/>
      <c r="H38" s="16"/>
      <c r="I38" s="18"/>
      <c r="J38" s="16"/>
      <c r="K38" s="18"/>
      <c r="L38" s="16"/>
      <c r="M38" s="18"/>
      <c r="N38" s="16"/>
      <c r="O38" s="18"/>
      <c r="P38" s="16"/>
      <c r="Q38" s="18"/>
      <c r="R38" s="16"/>
      <c r="S38" s="18"/>
      <c r="T38" s="20"/>
    </row>
    <row r="39" spans="1:20" ht="15.95" customHeight="1" x14ac:dyDescent="0.25">
      <c r="A39" s="18"/>
      <c r="B39" s="16"/>
      <c r="C39" s="18"/>
      <c r="D39" s="16"/>
      <c r="E39" s="18"/>
      <c r="F39" s="16"/>
      <c r="G39" s="18"/>
      <c r="H39" s="16"/>
      <c r="I39" s="18"/>
      <c r="J39" s="16"/>
      <c r="K39" s="18"/>
      <c r="L39" s="16"/>
      <c r="M39" s="18"/>
      <c r="N39" s="16"/>
      <c r="O39" s="18"/>
      <c r="P39" s="16"/>
      <c r="Q39" s="18"/>
      <c r="R39" s="16"/>
      <c r="S39" s="18"/>
      <c r="T39" s="20"/>
    </row>
    <row r="40" spans="1:20" ht="15.95" customHeight="1" x14ac:dyDescent="0.25">
      <c r="A40" s="18"/>
      <c r="B40" s="16"/>
      <c r="C40" s="18"/>
      <c r="D40" s="16"/>
      <c r="E40" s="18"/>
      <c r="F40" s="16"/>
      <c r="G40" s="18"/>
      <c r="H40" s="16"/>
      <c r="I40" s="18"/>
      <c r="J40" s="16"/>
      <c r="K40" s="18"/>
      <c r="L40" s="16"/>
      <c r="M40" s="18"/>
      <c r="N40" s="16"/>
      <c r="O40" s="18"/>
      <c r="P40" s="16"/>
      <c r="Q40" s="18"/>
      <c r="R40" s="16"/>
      <c r="S40" s="18"/>
      <c r="T40" s="20"/>
    </row>
    <row r="41" spans="1:20" ht="15.95" customHeight="1" x14ac:dyDescent="0.25">
      <c r="A41" s="18"/>
      <c r="B41" s="16"/>
      <c r="C41" s="18"/>
      <c r="D41" s="16"/>
      <c r="E41" s="18"/>
      <c r="F41" s="16"/>
      <c r="G41" s="18"/>
      <c r="H41" s="16"/>
      <c r="I41" s="18"/>
      <c r="J41" s="16"/>
      <c r="K41" s="18"/>
      <c r="L41" s="16"/>
      <c r="M41" s="18"/>
      <c r="N41" s="16"/>
      <c r="O41" s="18"/>
      <c r="P41" s="16"/>
      <c r="Q41" s="18"/>
      <c r="R41" s="16"/>
      <c r="S41" s="18"/>
      <c r="T41" s="20"/>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17 A18:B21 A22:T51">
    <cfRule type="notContainsBlanks" dxfId="116" priority="101">
      <formula>LEN(TRIM(A3))&gt;0</formula>
    </cfRule>
  </conditionalFormatting>
  <conditionalFormatting sqref="A3:A51">
    <cfRule type="notContainsErrors" dxfId="115" priority="100" stopIfTrue="1">
      <formula>NOT(ISERROR(A3))</formula>
    </cfRule>
  </conditionalFormatting>
  <conditionalFormatting sqref="A3:T9">
    <cfRule type="containsErrors" dxfId="114" priority="29" stopIfTrue="1">
      <formula>ISERROR(A3)</formula>
    </cfRule>
  </conditionalFormatting>
  <conditionalFormatting sqref="A10:T51">
    <cfRule type="containsErrors" dxfId="113" priority="1" stopIfTrue="1">
      <formula>ISERROR(A10)</formula>
    </cfRule>
  </conditionalFormatting>
  <conditionalFormatting sqref="B3:B9">
    <cfRule type="notContainsBlanks" dxfId="112" priority="73">
      <formula>LEN(TRIM(B3))&gt;0</formula>
    </cfRule>
  </conditionalFormatting>
  <conditionalFormatting sqref="B10:B17">
    <cfRule type="notContainsBlanks" dxfId="111" priority="2">
      <formula>LEN(TRIM(B10))&gt;0</formula>
    </cfRule>
  </conditionalFormatting>
  <conditionalFormatting sqref="C3:C51 E3:E51 G3:G51 I3:I51 K3:K51 M3:M51 O3:O51 Q3:Q51 S3:S51">
    <cfRule type="notContainsErrors" dxfId="110" priority="31" stopIfTrue="1">
      <formula>NOT(ISERROR(C3))</formula>
    </cfRule>
  </conditionalFormatting>
  <conditionalFormatting sqref="C3:T7 C8 E8 G8 I8 K8 M8 O8 Q8 S8 C9:T9 C10 E10 G10 I10 K10 M10 O10 Q10 S10 C11:T21">
    <cfRule type="notContainsBlanks" dxfId="109" priority="32">
      <formula>LEN(TRIM(C3))&gt;0</formula>
    </cfRule>
  </conditionalFormatting>
  <conditionalFormatting sqref="D8">
    <cfRule type="notContainsBlanks" dxfId="108" priority="30">
      <formula>LEN(TRIM(D8))&gt;0</formula>
    </cfRule>
  </conditionalFormatting>
  <conditionalFormatting sqref="D10">
    <cfRule type="notContainsBlanks" dxfId="107" priority="28">
      <formula>LEN(TRIM(D10))&gt;0</formula>
    </cfRule>
  </conditionalFormatting>
  <conditionalFormatting sqref="F8">
    <cfRule type="notContainsBlanks" dxfId="106" priority="26">
      <formula>LEN(TRIM(F8))&gt;0</formula>
    </cfRule>
  </conditionalFormatting>
  <conditionalFormatting sqref="F10">
    <cfRule type="notContainsBlanks" dxfId="105" priority="25">
      <formula>LEN(TRIM(F10))&gt;0</formula>
    </cfRule>
  </conditionalFormatting>
  <conditionalFormatting sqref="H8">
    <cfRule type="notContainsBlanks" dxfId="104" priority="23">
      <formula>LEN(TRIM(H8))&gt;0</formula>
    </cfRule>
  </conditionalFormatting>
  <conditionalFormatting sqref="H10">
    <cfRule type="notContainsBlanks" dxfId="103" priority="22">
      <formula>LEN(TRIM(H10))&gt;0</formula>
    </cfRule>
  </conditionalFormatting>
  <conditionalFormatting sqref="J8">
    <cfRule type="notContainsBlanks" dxfId="102" priority="20">
      <formula>LEN(TRIM(J8))&gt;0</formula>
    </cfRule>
  </conditionalFormatting>
  <conditionalFormatting sqref="J10">
    <cfRule type="notContainsBlanks" dxfId="101" priority="19">
      <formula>LEN(TRIM(J10))&gt;0</formula>
    </cfRule>
  </conditionalFormatting>
  <conditionalFormatting sqref="L8">
    <cfRule type="notContainsBlanks" dxfId="100" priority="17">
      <formula>LEN(TRIM(L8))&gt;0</formula>
    </cfRule>
  </conditionalFormatting>
  <conditionalFormatting sqref="L10">
    <cfRule type="notContainsBlanks" dxfId="99" priority="16">
      <formula>LEN(TRIM(L10))&gt;0</formula>
    </cfRule>
  </conditionalFormatting>
  <conditionalFormatting sqref="N8">
    <cfRule type="notContainsBlanks" dxfId="98" priority="14">
      <formula>LEN(TRIM(N8))&gt;0</formula>
    </cfRule>
  </conditionalFormatting>
  <conditionalFormatting sqref="N10">
    <cfRule type="notContainsBlanks" dxfId="97" priority="13">
      <formula>LEN(TRIM(N10))&gt;0</formula>
    </cfRule>
  </conditionalFormatting>
  <conditionalFormatting sqref="P8">
    <cfRule type="notContainsBlanks" dxfId="96" priority="11">
      <formula>LEN(TRIM(P8))&gt;0</formula>
    </cfRule>
  </conditionalFormatting>
  <conditionalFormatting sqref="P10">
    <cfRule type="notContainsBlanks" dxfId="95" priority="10">
      <formula>LEN(TRIM(P10))&gt;0</formula>
    </cfRule>
  </conditionalFormatting>
  <conditionalFormatting sqref="R8">
    <cfRule type="notContainsBlanks" dxfId="94" priority="8">
      <formula>LEN(TRIM(R8))&gt;0</formula>
    </cfRule>
  </conditionalFormatting>
  <conditionalFormatting sqref="R10">
    <cfRule type="notContainsBlanks" dxfId="93" priority="7">
      <formula>LEN(TRIM(R10))&gt;0</formula>
    </cfRule>
  </conditionalFormatting>
  <conditionalFormatting sqref="T8">
    <cfRule type="notContainsBlanks" dxfId="92" priority="5">
      <formula>LEN(TRIM(T8))&gt;0</formula>
    </cfRule>
  </conditionalFormatting>
  <conditionalFormatting sqref="T10">
    <cfRule type="notContainsBlanks" dxfId="91" priority="4">
      <formula>LEN(TRIM(T10))&gt;0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A26" sqref="A26"/>
    </sheetView>
  </sheetViews>
  <sheetFormatPr defaultColWidth="9.28515625" defaultRowHeight="15" x14ac:dyDescent="0.25"/>
  <cols>
    <col min="1" max="1" width="44.7109375" customWidth="1"/>
    <col min="2" max="2" width="13.85546875" customWidth="1"/>
  </cols>
  <sheetData>
    <row r="1" spans="1:20" x14ac:dyDescent="0.25">
      <c r="A1" s="23" t="str">
        <f>HYPERLINK("#Sheets!A1","Back to sheets")</f>
        <v>Back to sheets</v>
      </c>
    </row>
    <row r="2" spans="1:20" ht="15.95" customHeight="1" x14ac:dyDescent="0.25">
      <c r="A2" s="8" t="s">
        <v>3</v>
      </c>
      <c r="B2" s="9" t="s">
        <v>31</v>
      </c>
      <c r="C2" s="8" t="s">
        <v>7</v>
      </c>
      <c r="D2" s="9" t="s">
        <v>31</v>
      </c>
      <c r="E2" s="8" t="s">
        <v>9</v>
      </c>
      <c r="F2" s="9" t="s">
        <v>31</v>
      </c>
      <c r="G2" s="8" t="s">
        <v>10</v>
      </c>
      <c r="H2" s="9" t="s">
        <v>31</v>
      </c>
      <c r="I2" s="8" t="s">
        <v>11</v>
      </c>
      <c r="J2" s="9" t="s">
        <v>31</v>
      </c>
      <c r="K2" s="8" t="s">
        <v>12</v>
      </c>
      <c r="L2" s="9" t="s">
        <v>31</v>
      </c>
      <c r="M2" s="8" t="s">
        <v>13</v>
      </c>
      <c r="N2" s="9" t="s">
        <v>31</v>
      </c>
      <c r="O2" s="8" t="s">
        <v>14</v>
      </c>
      <c r="P2" s="9" t="s">
        <v>31</v>
      </c>
      <c r="Q2" s="8" t="s">
        <v>15</v>
      </c>
      <c r="R2" s="9" t="s">
        <v>31</v>
      </c>
      <c r="S2" s="8" t="s">
        <v>16</v>
      </c>
      <c r="T2" s="8" t="s">
        <v>31</v>
      </c>
    </row>
    <row r="3" spans="1:20" ht="15.95" customHeight="1" x14ac:dyDescent="0.25">
      <c r="A3" s="17" t="s">
        <v>43</v>
      </c>
      <c r="B3" s="16" t="str">
        <f>TRIM(_xlfn.TEXTBEFORE(A3, ":"))</f>
        <v>Item Class</v>
      </c>
      <c r="C3" s="17" t="s">
        <v>64</v>
      </c>
      <c r="D3" s="16" t="str">
        <f>TRIM(_xlfn.TEXTBEFORE(C3, ":"))</f>
        <v>Gegenstandsklasse</v>
      </c>
      <c r="E3" s="17" t="s">
        <v>75</v>
      </c>
      <c r="F3" s="16" t="str">
        <f>TRIM(_xlfn.TEXTBEFORE(E3, ":"))</f>
        <v>Clase de objeto</v>
      </c>
      <c r="G3" s="17" t="s">
        <v>51</v>
      </c>
      <c r="H3" s="16" t="str">
        <f>TRIM(_xlfn.TEXTBEFORE(G3, ":"))</f>
        <v>Classe d'objet</v>
      </c>
      <c r="I3" s="17" t="s">
        <v>86</v>
      </c>
      <c r="J3" s="16" t="str">
        <f>TRIM(_xlfn.TEXTBEFORE(I3, ":"))</f>
        <v>アイテムクラス</v>
      </c>
      <c r="K3" s="17" t="s">
        <v>97</v>
      </c>
      <c r="L3" s="16" t="str">
        <f>TRIM(_xlfn.TEXTBEFORE(K3, ":"))</f>
        <v>아이템 종류</v>
      </c>
      <c r="M3" s="17" t="s">
        <v>108</v>
      </c>
      <c r="N3" s="16" t="str">
        <f>TRIM(_xlfn.TEXTBEFORE(M3, ":"))</f>
        <v>Classe do Item</v>
      </c>
      <c r="O3" s="17" t="s">
        <v>117</v>
      </c>
      <c r="P3" s="16" t="str">
        <f>TRIM(_xlfn.TEXTBEFORE(O3, ":"))</f>
        <v>Класс предмета</v>
      </c>
      <c r="Q3" s="17" t="s">
        <v>129</v>
      </c>
      <c r="R3" s="16" t="str">
        <f>TRIM(_xlfn.TEXTBEFORE(Q3, ":"))</f>
        <v>ชนิดไอเทม</v>
      </c>
      <c r="S3" s="17"/>
      <c r="T3" s="16" t="e">
        <f>TRIM(_xlfn.TEXTBEFORE(S3, ":"))</f>
        <v>#N/A</v>
      </c>
    </row>
    <row r="4" spans="1:20" ht="15.95" customHeight="1" x14ac:dyDescent="0.25">
      <c r="A4" s="18" t="s">
        <v>35</v>
      </c>
      <c r="B4" s="16" t="str">
        <f>TRIM(_xlfn.TEXTAFTER(A3, ":"))</f>
        <v>Contracts</v>
      </c>
      <c r="C4" s="18" t="s">
        <v>63</v>
      </c>
      <c r="D4" s="16" t="str">
        <f>TRIM(_xlfn.TEXTAFTER(C3, ":"))</f>
        <v>Aufträge</v>
      </c>
      <c r="E4" s="18" t="s">
        <v>74</v>
      </c>
      <c r="F4" s="16" t="str">
        <f>TRIM(_xlfn.TEXTAFTER(E3, ":"))</f>
        <v>Contratos</v>
      </c>
      <c r="G4" s="18" t="s">
        <v>50</v>
      </c>
      <c r="H4" s="16" t="str">
        <f>TRIM(_xlfn.TEXTAFTER(G3, ":"))</f>
        <v>Contrats</v>
      </c>
      <c r="I4" s="18" t="s">
        <v>85</v>
      </c>
      <c r="J4" s="16" t="str">
        <f>TRIM(_xlfn.TEXTAFTER(I3, ":"))</f>
        <v>依頼書</v>
      </c>
      <c r="K4" s="18" t="s">
        <v>96</v>
      </c>
      <c r="L4" s="16" t="str">
        <f>TRIM(_xlfn.TEXTAFTER(K3, ":"))</f>
        <v>계약</v>
      </c>
      <c r="M4" s="18" t="s">
        <v>107</v>
      </c>
      <c r="N4" s="16" t="str">
        <f>TRIM(_xlfn.TEXTAFTER(M3, ":"))</f>
        <v>Contratos</v>
      </c>
      <c r="O4" s="18" t="s">
        <v>116</v>
      </c>
      <c r="P4" s="16" t="str">
        <f>TRIM(_xlfn.TEXTAFTER(O3, ":"))</f>
        <v>Контракты</v>
      </c>
      <c r="Q4" s="18" t="s">
        <v>128</v>
      </c>
      <c r="R4" s="16" t="str">
        <f>TRIM(_xlfn.TEXTAFTER(Q3, ":"))</f>
        <v>สัญญาจ้าง</v>
      </c>
      <c r="S4" s="18"/>
      <c r="T4" s="16" t="e">
        <f>TRIM(_xlfn.TEXTAFTER(S3, ":"))</f>
        <v>#N/A</v>
      </c>
    </row>
    <row r="5" spans="1:20" ht="15.95" customHeight="1" x14ac:dyDescent="0.25">
      <c r="A5" s="18" t="s">
        <v>296</v>
      </c>
      <c r="B5" s="16" t="str">
        <f>TRIM(_xlfn.TEXTBEFORE(A4, ":"))</f>
        <v>Rarity</v>
      </c>
      <c r="C5" s="18" t="s">
        <v>371</v>
      </c>
      <c r="D5" s="16" t="str">
        <f>TRIM(_xlfn.TEXTBEFORE(C4, ":"))</f>
        <v>Seltenheit</v>
      </c>
      <c r="E5" s="18" t="s">
        <v>509</v>
      </c>
      <c r="F5" s="16" t="str">
        <f>TRIM(_xlfn.TEXTBEFORE(E4, ":"))</f>
        <v>Rareza</v>
      </c>
      <c r="G5" s="18" t="s">
        <v>332</v>
      </c>
      <c r="H5" s="16" t="str">
        <f>TRIM(_xlfn.TEXTBEFORE(G4, ":"))</f>
        <v>Rareté</v>
      </c>
      <c r="I5" s="18" t="s">
        <v>575</v>
      </c>
      <c r="J5" s="16" t="str">
        <f>TRIM(_xlfn.TEXTBEFORE(I4, ":"))</f>
        <v>レアリティ</v>
      </c>
      <c r="K5" s="18" t="s">
        <v>540</v>
      </c>
      <c r="L5" s="16" t="str">
        <f>TRIM(_xlfn.TEXTBEFORE(K4, ":"))</f>
        <v>아이템 희귀도</v>
      </c>
      <c r="M5" s="18" t="s">
        <v>405</v>
      </c>
      <c r="N5" s="16" t="str">
        <f>TRIM(_xlfn.TEXTBEFORE(M4, ":"))</f>
        <v>Raridade</v>
      </c>
      <c r="O5" s="18" t="s">
        <v>440</v>
      </c>
      <c r="P5" s="16" t="str">
        <f>TRIM(_xlfn.TEXTBEFORE(O4, ":"))</f>
        <v>Редкость</v>
      </c>
      <c r="Q5" s="18" t="s">
        <v>476</v>
      </c>
      <c r="R5" s="16" t="str">
        <f>TRIM(_xlfn.TEXTBEFORE(Q4, ":"))</f>
        <v>ความหายาก</v>
      </c>
      <c r="S5" s="18"/>
      <c r="T5" s="16" t="e">
        <f>TRIM(_xlfn.TEXTBEFORE(S4, ":"))</f>
        <v>#N/A</v>
      </c>
    </row>
    <row r="6" spans="1:20" ht="15.95" customHeight="1" x14ac:dyDescent="0.25">
      <c r="A6" s="18" t="s">
        <v>0</v>
      </c>
      <c r="B6" s="16" t="str">
        <f>TRIM(_xlfn.TEXTAFTER(A4,":"))</f>
        <v>Normal</v>
      </c>
      <c r="C6" s="18" t="s">
        <v>0</v>
      </c>
      <c r="D6" s="16" t="str">
        <f>TRIM(_xlfn.TEXTAFTER(C4,":"))</f>
        <v>Normal</v>
      </c>
      <c r="E6" s="18" t="s">
        <v>0</v>
      </c>
      <c r="F6" s="16" t="str">
        <f>TRIM(_xlfn.TEXTAFTER(E4,":"))</f>
        <v>Normal</v>
      </c>
      <c r="G6" s="18" t="s">
        <v>0</v>
      </c>
      <c r="H6" s="16" t="str">
        <f>TRIM(_xlfn.TEXTAFTER(G4,":"))</f>
        <v>Normal</v>
      </c>
      <c r="I6" s="18" t="s">
        <v>0</v>
      </c>
      <c r="J6" s="16" t="str">
        <f>TRIM(_xlfn.TEXTAFTER(I4,":"))</f>
        <v>ノーマル</v>
      </c>
      <c r="K6" s="18" t="s">
        <v>0</v>
      </c>
      <c r="L6" s="16" t="str">
        <f>TRIM(_xlfn.TEXTAFTER(K4,":"))</f>
        <v>일반</v>
      </c>
      <c r="M6" s="18" t="s">
        <v>0</v>
      </c>
      <c r="N6" s="16" t="str">
        <f>TRIM(_xlfn.TEXTAFTER(M4,":"))</f>
        <v>Normal</v>
      </c>
      <c r="O6" s="18" t="s">
        <v>0</v>
      </c>
      <c r="P6" s="16" t="str">
        <f>TRIM(_xlfn.TEXTAFTER(O4,":"))</f>
        <v>Обычный</v>
      </c>
      <c r="Q6" s="18" t="s">
        <v>0</v>
      </c>
      <c r="R6" s="16" t="str">
        <f>TRIM(_xlfn.TEXTAFTER(Q4,":"))</f>
        <v>ปกติ</v>
      </c>
      <c r="S6" s="18"/>
      <c r="T6" s="16" t="e">
        <f>TRIM(_xlfn.TEXTAFTER(S4,":"))</f>
        <v>#N/A</v>
      </c>
    </row>
    <row r="7" spans="1:20" ht="15.95" customHeight="1" x14ac:dyDescent="0.25">
      <c r="A7" s="18" t="s">
        <v>304</v>
      </c>
      <c r="B7" s="16"/>
      <c r="C7" s="18" t="s">
        <v>382</v>
      </c>
      <c r="D7" s="16"/>
      <c r="E7" s="18" t="s">
        <v>416</v>
      </c>
      <c r="F7" s="16"/>
      <c r="G7" s="18" t="s">
        <v>346</v>
      </c>
      <c r="H7" s="16"/>
      <c r="I7" s="18" t="s">
        <v>586</v>
      </c>
      <c r="J7" s="16"/>
      <c r="K7" s="18" t="s">
        <v>551</v>
      </c>
      <c r="L7" s="16"/>
      <c r="M7" s="18" t="s">
        <v>416</v>
      </c>
      <c r="N7" s="16"/>
      <c r="O7" s="18" t="s">
        <v>453</v>
      </c>
      <c r="P7" s="16"/>
      <c r="Q7" s="18" t="s">
        <v>487</v>
      </c>
      <c r="R7" s="16"/>
      <c r="S7" s="18"/>
      <c r="T7" s="16"/>
    </row>
    <row r="8" spans="1:20" ht="15.95" customHeight="1" x14ac:dyDescent="0.25">
      <c r="A8" s="18" t="s">
        <v>305</v>
      </c>
      <c r="B8" s="16" t="str">
        <f>TRIM(_xlfn.TEXTBEFORE(_xlfn.TEXTAFTER(A8, " ("), ")"))</f>
        <v>Priceless</v>
      </c>
      <c r="C8" s="18" t="s">
        <v>383</v>
      </c>
      <c r="D8" s="16" t="str">
        <f>TRIM(_xlfn.TEXTBEFORE(_xlfn.TEXTAFTER(C8, " ("), ")"))</f>
        <v>Unschätzbar</v>
      </c>
      <c r="E8" s="18" t="s">
        <v>519</v>
      </c>
      <c r="F8" s="16" t="str">
        <f>TRIM(_xlfn.TEXTBEFORE(_xlfn.TEXTAFTER(E8, " ("), ")"))</f>
        <v>valor incalculable</v>
      </c>
      <c r="G8" s="18" t="s">
        <v>347</v>
      </c>
      <c r="H8" s="16" t="str">
        <f>TRIM(_xlfn.TEXTBEFORE(_xlfn.TEXTAFTER(G8, " ("), ")"))</f>
        <v>valeur : inestimable</v>
      </c>
      <c r="I8" s="18" t="s">
        <v>587</v>
      </c>
      <c r="J8" s="16" t="str">
        <f>TRIM(_xlfn.TEXTBEFORE(_xlfn.TEXTAFTER(I8, " ("), ")"))</f>
        <v>プライスレス</v>
      </c>
      <c r="K8" s="18" t="s">
        <v>552</v>
      </c>
      <c r="L8" s="16" t="str">
        <f>TRIM(_xlfn.TEXTBEFORE(_xlfn.TEXTAFTER(K8, " ("), ")"))</f>
        <v>환산 불가능한 가치</v>
      </c>
      <c r="M8" s="18" t="s">
        <v>417</v>
      </c>
      <c r="N8" s="16" t="str">
        <f>TRIM(_xlfn.TEXTBEFORE(_xlfn.TEXTAFTER(M8, " ("), ")"))</f>
        <v>Sem Preço</v>
      </c>
      <c r="O8" s="18" t="s">
        <v>454</v>
      </c>
      <c r="P8" s="16" t="str">
        <f>TRIM(_xlfn.TEXTBEFORE(_xlfn.TEXTAFTER(O8, " ("), ")"))</f>
        <v>бесценный</v>
      </c>
      <c r="Q8" s="18" t="s">
        <v>488</v>
      </c>
      <c r="R8" s="16" t="str">
        <f>TRIM(_xlfn.TEXTBEFORE(_xlfn.TEXTAFTER(Q8, " ("), ")"))</f>
        <v>มีมูลค่าอันมิอาจเทียบ</v>
      </c>
      <c r="S8" s="18"/>
      <c r="T8" s="16" t="e">
        <f>TRIM(_xlfn.TEXTBEFORE(_xlfn.TEXTAFTER(S8, " ("), ")"))</f>
        <v>#N/A</v>
      </c>
    </row>
    <row r="9" spans="1:20" ht="15.95" customHeight="1" x14ac:dyDescent="0.25">
      <c r="A9" s="18" t="s">
        <v>306</v>
      </c>
      <c r="B9" s="16"/>
      <c r="C9" s="18" t="s">
        <v>384</v>
      </c>
      <c r="D9" s="16"/>
      <c r="E9" s="18" t="s">
        <v>520</v>
      </c>
      <c r="F9" s="16"/>
      <c r="G9" s="18" t="s">
        <v>348</v>
      </c>
      <c r="H9" s="16"/>
      <c r="I9" s="18" t="s">
        <v>588</v>
      </c>
      <c r="J9" s="16"/>
      <c r="K9" s="18" t="s">
        <v>553</v>
      </c>
      <c r="L9" s="16"/>
      <c r="M9" s="18" t="s">
        <v>418</v>
      </c>
      <c r="N9" s="16"/>
      <c r="O9" s="18" t="s">
        <v>455</v>
      </c>
      <c r="P9" s="16"/>
      <c r="Q9" s="18" t="s">
        <v>489</v>
      </c>
      <c r="R9" s="16"/>
      <c r="S9" s="18"/>
      <c r="T9" s="16"/>
    </row>
    <row r="10" spans="1:20" ht="15.95" customHeight="1" x14ac:dyDescent="0.25">
      <c r="A10" s="18" t="s">
        <v>599</v>
      </c>
      <c r="B10" s="16" t="str">
        <f>_xlfn.REGEXREPLACE(A10, "\d+", "#")</f>
        <v>Requires Engineering (Level #)</v>
      </c>
      <c r="C10" s="18" t="s">
        <v>67</v>
      </c>
      <c r="D10" s="16" t="str">
        <f>_xlfn.REGEXREPLACE(C10, "\d+", "#")</f>
        <v>Erfordert Ingenieurwesen (Stufe #)</v>
      </c>
      <c r="E10" s="18" t="s">
        <v>78</v>
      </c>
      <c r="F10" s="16" t="str">
        <f>_xlfn.REGEXREPLACE(E10, "\d+", "#")</f>
        <v>Requiere Ingeniería (Nivel#)</v>
      </c>
      <c r="G10" s="18" t="s">
        <v>54</v>
      </c>
      <c r="H10" s="16" t="str">
        <f>_xlfn.REGEXREPLACE(G10, "\d+", "#")</f>
        <v>Prérequis : Ingénierie au niv. #</v>
      </c>
      <c r="I10" s="18" t="s">
        <v>89</v>
      </c>
      <c r="J10" s="16" t="str">
        <f>_xlfn.REGEXREPLACE(I10, "\d+", "#")</f>
        <v>必要ジョブ 工作 (レベル #)</v>
      </c>
      <c r="K10" s="18" t="s">
        <v>100</v>
      </c>
      <c r="L10" s="16" t="str">
        <f>_xlfn.REGEXREPLACE(K10, "\d+", "#")</f>
        <v>공학 필요(#레벨)</v>
      </c>
      <c r="M10" s="18" t="s">
        <v>110</v>
      </c>
      <c r="N10" s="16" t="str">
        <f>_xlfn.REGEXREPLACE(M10, "\d+", "#")</f>
        <v>Requer Engenharia (Nível #)</v>
      </c>
      <c r="O10" s="18" t="s">
        <v>120</v>
      </c>
      <c r="P10" s="16" t="str">
        <f>_xlfn.REGEXREPLACE(O10, "\d+", "#")</f>
        <v>Требуется инженерное дело (# уровень)</v>
      </c>
      <c r="Q10" s="18" t="s">
        <v>132</v>
      </c>
      <c r="R10" s="16" t="str">
        <f>_xlfn.REGEXREPLACE(Q10, "\d+", "#")</f>
        <v>ต้องมี งานช่าง (ระดับ #)</v>
      </c>
      <c r="S10" s="18"/>
      <c r="T10" s="16" t="str">
        <f>_xlfn.REGEXREPLACE(S10, "\d+", "#")</f>
        <v/>
      </c>
    </row>
    <row r="11" spans="1:20" ht="15.95" customHeight="1" x14ac:dyDescent="0.25">
      <c r="A11" s="18" t="s">
        <v>0</v>
      </c>
      <c r="B11" s="16"/>
      <c r="C11" s="18" t="s">
        <v>0</v>
      </c>
      <c r="D11" s="16"/>
      <c r="E11" s="18" t="s">
        <v>0</v>
      </c>
      <c r="F11" s="16"/>
      <c r="G11" s="18" t="s">
        <v>0</v>
      </c>
      <c r="H11" s="16"/>
      <c r="I11" s="18" t="s">
        <v>0</v>
      </c>
      <c r="J11" s="16"/>
      <c r="K11" s="18" t="s">
        <v>0</v>
      </c>
      <c r="L11" s="16"/>
      <c r="M11" s="18" t="s">
        <v>0</v>
      </c>
      <c r="N11" s="16"/>
      <c r="O11" s="18" t="s">
        <v>0</v>
      </c>
      <c r="P11" s="16"/>
      <c r="Q11" s="18" t="s">
        <v>0</v>
      </c>
      <c r="R11" s="16"/>
      <c r="S11" s="18"/>
      <c r="T11" s="16"/>
    </row>
    <row r="12" spans="1:20" ht="15.95" customHeight="1" x14ac:dyDescent="0.25">
      <c r="A12" s="18" t="s">
        <v>307</v>
      </c>
      <c r="B12" s="16"/>
      <c r="C12" s="18" t="s">
        <v>385</v>
      </c>
      <c r="D12" s="16"/>
      <c r="E12" s="18" t="s">
        <v>521</v>
      </c>
      <c r="F12" s="16"/>
      <c r="G12" s="18" t="s">
        <v>349</v>
      </c>
      <c r="H12" s="16"/>
      <c r="I12" s="18" t="s">
        <v>589</v>
      </c>
      <c r="J12" s="16"/>
      <c r="K12" s="18" t="s">
        <v>554</v>
      </c>
      <c r="L12" s="16"/>
      <c r="M12" s="18" t="s">
        <v>419</v>
      </c>
      <c r="N12" s="16"/>
      <c r="O12" s="18" t="s">
        <v>456</v>
      </c>
      <c r="P12" s="16"/>
      <c r="Q12" s="18" t="s">
        <v>490</v>
      </c>
      <c r="R12" s="16"/>
      <c r="S12" s="18"/>
      <c r="T12" s="16"/>
    </row>
    <row r="13" spans="1:20" ht="15.95" customHeight="1" x14ac:dyDescent="0.25">
      <c r="A13" s="18" t="s">
        <v>0</v>
      </c>
      <c r="B13" s="16"/>
      <c r="C13" s="18" t="s">
        <v>0</v>
      </c>
      <c r="D13" s="16"/>
      <c r="E13" s="18" t="s">
        <v>0</v>
      </c>
      <c r="F13" s="16"/>
      <c r="G13" s="18" t="s">
        <v>0</v>
      </c>
      <c r="H13" s="16"/>
      <c r="I13" s="18" t="s">
        <v>0</v>
      </c>
      <c r="J13" s="16"/>
      <c r="K13" s="18" t="s">
        <v>0</v>
      </c>
      <c r="L13" s="16"/>
      <c r="M13" s="18" t="s">
        <v>0</v>
      </c>
      <c r="N13" s="16"/>
      <c r="O13" s="18" t="s">
        <v>0</v>
      </c>
      <c r="P13" s="16"/>
      <c r="Q13" s="18" t="s">
        <v>0</v>
      </c>
      <c r="R13" s="16"/>
      <c r="S13" s="18"/>
      <c r="T13" s="16"/>
    </row>
    <row r="14" spans="1:20" ht="15.95" customHeight="1" x14ac:dyDescent="0.25">
      <c r="A14" s="18" t="s">
        <v>308</v>
      </c>
      <c r="B14" s="16"/>
      <c r="C14" s="18" t="s">
        <v>386</v>
      </c>
      <c r="D14" s="16"/>
      <c r="E14" s="18" t="s">
        <v>522</v>
      </c>
      <c r="F14" s="16"/>
      <c r="G14" s="18" t="s">
        <v>350</v>
      </c>
      <c r="H14" s="16"/>
      <c r="I14" s="18" t="s">
        <v>590</v>
      </c>
      <c r="J14" s="16"/>
      <c r="K14" s="18" t="s">
        <v>555</v>
      </c>
      <c r="L14" s="16"/>
      <c r="M14" s="18" t="s">
        <v>420</v>
      </c>
      <c r="N14" s="16"/>
      <c r="O14" s="18" t="s">
        <v>457</v>
      </c>
      <c r="P14" s="16"/>
      <c r="Q14" s="18" t="s">
        <v>491</v>
      </c>
      <c r="R14" s="16"/>
      <c r="S14" s="18"/>
      <c r="T14" s="16"/>
    </row>
    <row r="15" spans="1:20" ht="15.95" customHeight="1" x14ac:dyDescent="0.25">
      <c r="A15" s="18" t="s">
        <v>0</v>
      </c>
      <c r="B15" s="16"/>
      <c r="C15" s="18" t="s">
        <v>0</v>
      </c>
      <c r="D15" s="16"/>
      <c r="E15" s="18" t="s">
        <v>0</v>
      </c>
      <c r="F15" s="16"/>
      <c r="G15" s="18" t="s">
        <v>351</v>
      </c>
      <c r="H15" s="16"/>
      <c r="I15" s="18" t="s">
        <v>0</v>
      </c>
      <c r="J15" s="16"/>
      <c r="K15" s="18" t="s">
        <v>0</v>
      </c>
      <c r="L15" s="16"/>
      <c r="M15" s="18" t="s">
        <v>0</v>
      </c>
      <c r="N15" s="16"/>
      <c r="O15" s="18" t="s">
        <v>458</v>
      </c>
      <c r="P15" s="16"/>
      <c r="Q15" s="18"/>
      <c r="R15" s="16"/>
      <c r="S15" s="18"/>
      <c r="T15" s="19"/>
    </row>
    <row r="16" spans="1:20" ht="15.95" customHeight="1" x14ac:dyDescent="0.25">
      <c r="A16" s="18" t="s">
        <v>47</v>
      </c>
      <c r="B16" s="16"/>
      <c r="C16" s="18" t="s">
        <v>69</v>
      </c>
      <c r="D16" s="16"/>
      <c r="E16" s="18" t="s">
        <v>80</v>
      </c>
      <c r="F16" s="16"/>
      <c r="G16" s="18" t="s">
        <v>0</v>
      </c>
      <c r="H16" s="16"/>
      <c r="I16" s="18" t="s">
        <v>91</v>
      </c>
      <c r="J16" s="16"/>
      <c r="K16" s="18" t="s">
        <v>102</v>
      </c>
      <c r="L16" s="16"/>
      <c r="M16" s="18" t="s">
        <v>111</v>
      </c>
      <c r="N16" s="16"/>
      <c r="O16" s="18" t="s">
        <v>0</v>
      </c>
      <c r="P16" s="16"/>
      <c r="Q16" s="18"/>
      <c r="R16" s="16"/>
      <c r="S16" s="18"/>
      <c r="T16" s="19"/>
    </row>
    <row r="17" spans="1:20" ht="15.95" customHeight="1" x14ac:dyDescent="0.25">
      <c r="A17" s="18"/>
      <c r="B17" s="16"/>
      <c r="C17" s="18"/>
      <c r="D17" s="16"/>
      <c r="E17" s="18"/>
      <c r="F17" s="16"/>
      <c r="G17" s="18" t="s">
        <v>57</v>
      </c>
      <c r="H17" s="16"/>
      <c r="I17" s="18"/>
      <c r="J17" s="16"/>
      <c r="K17" s="18"/>
      <c r="L17" s="16"/>
      <c r="M17" s="18"/>
      <c r="N17" s="16"/>
      <c r="O17" s="18" t="s">
        <v>123</v>
      </c>
      <c r="P17" s="16"/>
      <c r="Q17" s="18"/>
      <c r="R17" s="16"/>
      <c r="S17" s="18"/>
      <c r="T17" s="19"/>
    </row>
    <row r="18" spans="1:20" ht="15.95" customHeight="1" x14ac:dyDescent="0.25">
      <c r="A18" s="18"/>
      <c r="B18" s="16"/>
      <c r="C18" s="18"/>
      <c r="D18" s="16"/>
      <c r="E18" s="18"/>
      <c r="F18" s="16"/>
      <c r="G18" s="18"/>
      <c r="H18" s="16"/>
      <c r="I18" s="18"/>
      <c r="J18" s="16"/>
      <c r="K18" s="18"/>
      <c r="L18" s="16"/>
      <c r="M18" s="18"/>
      <c r="N18" s="16"/>
      <c r="O18" s="18"/>
      <c r="P18" s="16"/>
      <c r="Q18" s="18"/>
      <c r="R18" s="16"/>
      <c r="S18" s="18"/>
      <c r="T18" s="19"/>
    </row>
    <row r="19" spans="1:20" ht="15.95" customHeight="1" x14ac:dyDescent="0.25">
      <c r="A19" s="18"/>
      <c r="B19" s="16"/>
      <c r="C19" s="18"/>
      <c r="D19" s="16"/>
      <c r="E19" s="18"/>
      <c r="F19" s="16"/>
      <c r="G19" s="18"/>
      <c r="H19" s="16"/>
      <c r="I19" s="18"/>
      <c r="J19" s="16"/>
      <c r="K19" s="18"/>
      <c r="L19" s="16"/>
      <c r="M19" s="18"/>
      <c r="N19" s="16"/>
      <c r="O19" s="18"/>
      <c r="P19" s="16"/>
      <c r="Q19" s="18"/>
      <c r="R19" s="16"/>
      <c r="S19" s="18"/>
      <c r="T19" s="19"/>
    </row>
    <row r="20" spans="1:20" ht="15.95" customHeight="1" x14ac:dyDescent="0.25">
      <c r="A20" s="18"/>
      <c r="B20" s="16"/>
      <c r="C20" s="18"/>
      <c r="D20" s="16"/>
      <c r="E20" s="18"/>
      <c r="F20" s="16"/>
      <c r="G20" s="18"/>
      <c r="H20" s="16"/>
      <c r="I20" s="18"/>
      <c r="J20" s="16"/>
      <c r="K20" s="18"/>
      <c r="L20" s="16"/>
      <c r="M20" s="18"/>
      <c r="N20" s="16"/>
      <c r="O20" s="18"/>
      <c r="P20" s="16"/>
      <c r="Q20" s="18"/>
      <c r="R20" s="16"/>
      <c r="S20" s="18"/>
      <c r="T20" s="19"/>
    </row>
    <row r="21" spans="1:20" ht="15.95" customHeight="1" x14ac:dyDescent="0.25">
      <c r="A21" s="18"/>
      <c r="B21" s="16"/>
      <c r="C21" s="18"/>
      <c r="D21" s="16"/>
      <c r="E21" s="18"/>
      <c r="F21" s="16"/>
      <c r="G21" s="18"/>
      <c r="H21" s="16"/>
      <c r="I21" s="18"/>
      <c r="J21" s="16"/>
      <c r="K21" s="18"/>
      <c r="L21" s="16"/>
      <c r="M21" s="18"/>
      <c r="N21" s="16"/>
      <c r="O21" s="18"/>
      <c r="P21" s="16"/>
      <c r="Q21" s="18"/>
      <c r="R21" s="16"/>
      <c r="S21" s="18"/>
      <c r="T21" s="19"/>
    </row>
    <row r="22" spans="1:20" ht="15.95" customHeight="1" x14ac:dyDescent="0.25">
      <c r="A22" s="18"/>
      <c r="B22" s="16"/>
      <c r="C22" s="18"/>
      <c r="D22" s="16"/>
      <c r="E22" s="18"/>
      <c r="F22" s="16"/>
      <c r="G22" s="18"/>
      <c r="H22" s="16"/>
      <c r="I22" s="18"/>
      <c r="J22" s="16"/>
      <c r="K22" s="18"/>
      <c r="L22" s="16"/>
      <c r="M22" s="18"/>
      <c r="N22" s="16"/>
      <c r="O22" s="18"/>
      <c r="P22" s="16"/>
      <c r="Q22" s="18"/>
      <c r="R22" s="16"/>
      <c r="S22" s="18"/>
      <c r="T22" s="19"/>
    </row>
    <row r="23" spans="1:20" ht="15.95" customHeight="1" x14ac:dyDescent="0.25">
      <c r="A23" s="18"/>
      <c r="B23" s="16"/>
      <c r="C23" s="18"/>
      <c r="D23" s="16"/>
      <c r="E23" s="18"/>
      <c r="F23" s="16"/>
      <c r="G23" s="18"/>
      <c r="H23" s="16"/>
      <c r="I23" s="18"/>
      <c r="J23" s="16"/>
      <c r="K23" s="18"/>
      <c r="L23" s="16"/>
      <c r="M23" s="18"/>
      <c r="N23" s="16"/>
      <c r="O23" s="18"/>
      <c r="P23" s="16"/>
      <c r="Q23" s="18"/>
      <c r="R23" s="16"/>
      <c r="S23" s="18"/>
      <c r="T23" s="19"/>
    </row>
    <row r="24" spans="1:20" ht="15.95" customHeight="1" x14ac:dyDescent="0.25">
      <c r="A24" s="18"/>
      <c r="B24" s="16"/>
      <c r="C24" s="18"/>
      <c r="D24" s="16"/>
      <c r="E24" s="18"/>
      <c r="F24" s="16"/>
      <c r="G24" s="18"/>
      <c r="H24" s="16"/>
      <c r="I24" s="18"/>
      <c r="J24" s="16"/>
      <c r="K24" s="18"/>
      <c r="L24" s="16"/>
      <c r="M24" s="18"/>
      <c r="N24" s="16"/>
      <c r="O24" s="18"/>
      <c r="P24" s="16"/>
      <c r="Q24" s="18"/>
      <c r="R24" s="16"/>
      <c r="S24" s="18"/>
      <c r="T24" s="19"/>
    </row>
    <row r="25" spans="1:20" ht="15.95" customHeight="1" x14ac:dyDescent="0.25">
      <c r="A25" s="18"/>
      <c r="B25" s="16"/>
      <c r="C25" s="18"/>
      <c r="D25" s="16"/>
      <c r="E25" s="18"/>
      <c r="F25" s="16"/>
      <c r="G25" s="18"/>
      <c r="H25" s="16"/>
      <c r="I25" s="18"/>
      <c r="J25" s="16"/>
      <c r="K25" s="18"/>
      <c r="L25" s="16"/>
      <c r="M25" s="18"/>
      <c r="N25" s="16"/>
      <c r="O25" s="18"/>
      <c r="P25" s="16"/>
      <c r="Q25" s="18"/>
      <c r="R25" s="16"/>
      <c r="S25" s="18"/>
      <c r="T25" s="19"/>
    </row>
    <row r="26" spans="1:20" ht="15.95" customHeight="1" x14ac:dyDescent="0.25">
      <c r="A26" s="18"/>
      <c r="B26" s="16"/>
      <c r="C26" s="18"/>
      <c r="D26" s="16"/>
      <c r="E26" s="18"/>
      <c r="F26" s="16"/>
      <c r="G26" s="18"/>
      <c r="H26" s="16"/>
      <c r="I26" s="18"/>
      <c r="J26" s="16"/>
      <c r="K26" s="18"/>
      <c r="L26" s="16"/>
      <c r="M26" s="18"/>
      <c r="N26" s="16"/>
      <c r="O26" s="18"/>
      <c r="P26" s="16"/>
      <c r="Q26" s="18"/>
      <c r="R26" s="16"/>
      <c r="S26" s="18"/>
      <c r="T26" s="19"/>
    </row>
    <row r="27" spans="1:20" ht="15.95" customHeight="1" x14ac:dyDescent="0.25">
      <c r="A27" s="18"/>
      <c r="B27" s="16"/>
      <c r="C27" s="18"/>
      <c r="D27" s="16"/>
      <c r="E27" s="18"/>
      <c r="F27" s="16"/>
      <c r="G27" s="18"/>
      <c r="H27" s="16"/>
      <c r="I27" s="18"/>
      <c r="J27" s="16"/>
      <c r="K27" s="18"/>
      <c r="L27" s="16"/>
      <c r="M27" s="18"/>
      <c r="N27" s="16"/>
      <c r="O27" s="18"/>
      <c r="P27" s="16"/>
      <c r="Q27" s="18"/>
      <c r="R27" s="16"/>
      <c r="S27" s="18"/>
      <c r="T27" s="19"/>
    </row>
    <row r="28" spans="1:20" ht="15.95" customHeight="1" x14ac:dyDescent="0.25">
      <c r="A28" s="18"/>
      <c r="B28" s="16"/>
      <c r="C28" s="18"/>
      <c r="D28" s="16"/>
      <c r="E28" s="18"/>
      <c r="F28" s="16"/>
      <c r="G28" s="18"/>
      <c r="H28" s="16"/>
      <c r="I28" s="18"/>
      <c r="J28" s="16"/>
      <c r="K28" s="18"/>
      <c r="L28" s="16"/>
      <c r="M28" s="18"/>
      <c r="N28" s="16"/>
      <c r="O28" s="18"/>
      <c r="P28" s="16"/>
      <c r="Q28" s="18"/>
      <c r="R28" s="16"/>
      <c r="S28" s="18"/>
      <c r="T28" s="19"/>
    </row>
    <row r="29" spans="1:20" ht="15.95" customHeight="1" x14ac:dyDescent="0.25">
      <c r="A29" s="18"/>
      <c r="B29" s="16"/>
      <c r="C29" s="18"/>
      <c r="D29" s="16"/>
      <c r="E29" s="18"/>
      <c r="F29" s="16"/>
      <c r="G29" s="18"/>
      <c r="H29" s="16"/>
      <c r="I29" s="18"/>
      <c r="J29" s="16"/>
      <c r="K29" s="18"/>
      <c r="L29" s="16"/>
      <c r="M29" s="18"/>
      <c r="N29" s="16"/>
      <c r="O29" s="18"/>
      <c r="P29" s="16"/>
      <c r="Q29" s="18"/>
      <c r="R29" s="16"/>
      <c r="S29" s="18"/>
      <c r="T29" s="19"/>
    </row>
    <row r="30" spans="1:20" ht="15.95" customHeight="1" x14ac:dyDescent="0.25">
      <c r="A30" s="18"/>
      <c r="B30" s="16"/>
      <c r="C30" s="18"/>
      <c r="D30" s="16"/>
      <c r="E30" s="18"/>
      <c r="F30" s="16"/>
      <c r="G30" s="18"/>
      <c r="H30" s="16"/>
      <c r="I30" s="18"/>
      <c r="J30" s="16"/>
      <c r="K30" s="18"/>
      <c r="L30" s="16"/>
      <c r="M30" s="18"/>
      <c r="N30" s="16"/>
      <c r="O30" s="18"/>
      <c r="P30" s="16"/>
      <c r="Q30" s="18"/>
      <c r="R30" s="16"/>
      <c r="S30" s="18"/>
      <c r="T30" s="19"/>
    </row>
    <row r="31" spans="1:20" ht="15.95" customHeight="1" x14ac:dyDescent="0.25">
      <c r="A31" s="18"/>
      <c r="B31" s="16"/>
      <c r="C31" s="18"/>
      <c r="D31" s="16"/>
      <c r="E31" s="18"/>
      <c r="F31" s="16"/>
      <c r="G31" s="18"/>
      <c r="H31" s="16"/>
      <c r="I31" s="18"/>
      <c r="J31" s="16"/>
      <c r="K31" s="18"/>
      <c r="L31" s="16"/>
      <c r="M31" s="18"/>
      <c r="N31" s="16"/>
      <c r="O31" s="18"/>
      <c r="P31" s="16"/>
      <c r="Q31" s="18"/>
      <c r="R31" s="16"/>
      <c r="S31" s="18"/>
      <c r="T31" s="19"/>
    </row>
    <row r="32" spans="1:20" ht="15.95" customHeight="1" x14ac:dyDescent="0.25">
      <c r="A32" s="18"/>
      <c r="B32" s="16"/>
      <c r="C32" s="18"/>
      <c r="D32" s="16"/>
      <c r="E32" s="18"/>
      <c r="F32" s="16"/>
      <c r="G32" s="18"/>
      <c r="H32" s="16"/>
      <c r="I32" s="18"/>
      <c r="J32" s="16"/>
      <c r="K32" s="18"/>
      <c r="L32" s="16"/>
      <c r="M32" s="18"/>
      <c r="N32" s="16"/>
      <c r="O32" s="18"/>
      <c r="P32" s="16"/>
      <c r="Q32" s="18"/>
      <c r="R32" s="16"/>
      <c r="S32" s="18"/>
      <c r="T32" s="19"/>
    </row>
    <row r="33" spans="1:20" ht="15.95" customHeight="1" x14ac:dyDescent="0.25">
      <c r="A33" s="21"/>
      <c r="B33" s="16"/>
      <c r="C33" s="18"/>
      <c r="D33" s="16"/>
      <c r="E33" s="18"/>
      <c r="F33" s="16"/>
      <c r="G33" s="18"/>
      <c r="H33" s="16"/>
      <c r="I33" s="18"/>
      <c r="J33" s="16"/>
      <c r="K33" s="18"/>
      <c r="L33" s="16"/>
      <c r="M33" s="18"/>
      <c r="N33" s="16"/>
      <c r="O33" s="18"/>
      <c r="P33" s="16"/>
      <c r="Q33" s="18"/>
      <c r="R33" s="16"/>
      <c r="S33" s="18"/>
      <c r="T33" s="19"/>
    </row>
    <row r="34" spans="1:20" ht="15.95" customHeight="1" x14ac:dyDescent="0.25">
      <c r="A34" s="18"/>
      <c r="B34" s="16"/>
      <c r="C34" s="18"/>
      <c r="D34" s="16"/>
      <c r="E34" s="18"/>
      <c r="F34" s="16"/>
      <c r="G34" s="18"/>
      <c r="H34" s="16"/>
      <c r="I34" s="18"/>
      <c r="J34" s="16"/>
      <c r="K34" s="18"/>
      <c r="L34" s="16"/>
      <c r="M34" s="18"/>
      <c r="N34" s="16"/>
      <c r="O34" s="18"/>
      <c r="P34" s="16"/>
      <c r="Q34" s="18"/>
      <c r="R34" s="16"/>
      <c r="S34" s="18"/>
      <c r="T34" s="19"/>
    </row>
    <row r="35" spans="1:20" ht="15.95" customHeight="1" x14ac:dyDescent="0.25">
      <c r="A35" s="18"/>
      <c r="B35" s="16"/>
      <c r="C35" s="18"/>
      <c r="D35" s="16"/>
      <c r="E35" s="18"/>
      <c r="F35" s="16"/>
      <c r="G35" s="18"/>
      <c r="H35" s="16"/>
      <c r="I35" s="18"/>
      <c r="J35" s="16"/>
      <c r="K35" s="18"/>
      <c r="L35" s="16"/>
      <c r="M35" s="18"/>
      <c r="N35" s="16"/>
      <c r="O35" s="18"/>
      <c r="P35" s="16"/>
      <c r="Q35" s="18"/>
      <c r="R35" s="16"/>
      <c r="S35" s="18"/>
      <c r="T35" s="19"/>
    </row>
    <row r="36" spans="1:20" ht="15.95" customHeight="1" x14ac:dyDescent="0.25">
      <c r="A36" s="18"/>
      <c r="B36" s="16"/>
      <c r="C36" s="18"/>
      <c r="D36" s="16"/>
      <c r="E36" s="18"/>
      <c r="F36" s="16"/>
      <c r="G36" s="18"/>
      <c r="H36" s="16"/>
      <c r="I36" s="18"/>
      <c r="J36" s="16"/>
      <c r="K36" s="18"/>
      <c r="L36" s="16"/>
      <c r="M36" s="18"/>
      <c r="N36" s="16"/>
      <c r="O36" s="18"/>
      <c r="P36" s="16"/>
      <c r="Q36" s="18"/>
      <c r="R36" s="16"/>
      <c r="S36" s="18"/>
      <c r="T36" s="19"/>
    </row>
    <row r="37" spans="1:20" ht="15.95" customHeight="1" x14ac:dyDescent="0.25">
      <c r="A37" s="18"/>
      <c r="B37" s="16"/>
      <c r="C37" s="18"/>
      <c r="D37" s="16"/>
      <c r="E37" s="18"/>
      <c r="F37" s="16"/>
      <c r="G37" s="18"/>
      <c r="H37" s="16"/>
      <c r="I37" s="18"/>
      <c r="J37" s="16"/>
      <c r="K37" s="18"/>
      <c r="L37" s="16"/>
      <c r="M37" s="18"/>
      <c r="N37" s="16"/>
      <c r="O37" s="18"/>
      <c r="P37" s="16"/>
      <c r="Q37" s="18"/>
      <c r="R37" s="16"/>
      <c r="S37" s="18"/>
      <c r="T37" s="19"/>
    </row>
    <row r="38" spans="1:20" ht="15.95" customHeight="1" x14ac:dyDescent="0.25">
      <c r="A38" s="18"/>
      <c r="B38" s="16"/>
      <c r="C38" s="18"/>
      <c r="D38" s="16"/>
      <c r="E38" s="18"/>
      <c r="F38" s="16"/>
      <c r="G38" s="18"/>
      <c r="H38" s="16"/>
      <c r="I38" s="18"/>
      <c r="J38" s="16"/>
      <c r="K38" s="18"/>
      <c r="L38" s="16"/>
      <c r="M38" s="18"/>
      <c r="N38" s="16"/>
      <c r="O38" s="18"/>
      <c r="P38" s="16"/>
      <c r="Q38" s="18"/>
      <c r="R38" s="16"/>
      <c r="S38" s="18"/>
      <c r="T38" s="20"/>
    </row>
    <row r="39" spans="1:20" ht="15.95" customHeight="1" x14ac:dyDescent="0.25">
      <c r="A39" s="18"/>
      <c r="B39" s="16"/>
      <c r="C39" s="18"/>
      <c r="D39" s="16"/>
      <c r="E39" s="18"/>
      <c r="F39" s="16"/>
      <c r="G39" s="18"/>
      <c r="H39" s="16"/>
      <c r="I39" s="18"/>
      <c r="J39" s="16"/>
      <c r="K39" s="18"/>
      <c r="L39" s="16"/>
      <c r="M39" s="18"/>
      <c r="N39" s="16"/>
      <c r="O39" s="18"/>
      <c r="P39" s="16"/>
      <c r="Q39" s="18"/>
      <c r="R39" s="16"/>
      <c r="S39" s="18"/>
      <c r="T39" s="20"/>
    </row>
    <row r="40" spans="1:20" ht="15.95" customHeight="1" x14ac:dyDescent="0.25">
      <c r="A40" s="18"/>
      <c r="B40" s="16"/>
      <c r="C40" s="18"/>
      <c r="D40" s="16"/>
      <c r="E40" s="18"/>
      <c r="F40" s="16"/>
      <c r="G40" s="18"/>
      <c r="H40" s="16"/>
      <c r="I40" s="18"/>
      <c r="J40" s="16"/>
      <c r="K40" s="18"/>
      <c r="L40" s="16"/>
      <c r="M40" s="18"/>
      <c r="N40" s="16"/>
      <c r="O40" s="18"/>
      <c r="P40" s="16"/>
      <c r="Q40" s="18"/>
      <c r="R40" s="16"/>
      <c r="S40" s="18"/>
      <c r="T40" s="20"/>
    </row>
    <row r="41" spans="1:20" ht="15.95" customHeight="1" x14ac:dyDescent="0.25">
      <c r="A41" s="18"/>
      <c r="B41" s="16"/>
      <c r="C41" s="18"/>
      <c r="D41" s="16"/>
      <c r="E41" s="18"/>
      <c r="F41" s="16"/>
      <c r="G41" s="18"/>
      <c r="H41" s="16"/>
      <c r="I41" s="18"/>
      <c r="J41" s="16"/>
      <c r="K41" s="18"/>
      <c r="L41" s="16"/>
      <c r="M41" s="18"/>
      <c r="N41" s="16"/>
      <c r="O41" s="18"/>
      <c r="P41" s="16"/>
      <c r="Q41" s="18"/>
      <c r="R41" s="16"/>
      <c r="S41" s="18"/>
      <c r="T41" s="20"/>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17 A18:T51">
    <cfRule type="notContainsBlanks" dxfId="90" priority="98">
      <formula>LEN(TRIM(A3))&gt;0</formula>
    </cfRule>
  </conditionalFormatting>
  <conditionalFormatting sqref="A3:A51">
    <cfRule type="notContainsErrors" dxfId="89" priority="97" stopIfTrue="1">
      <formula>NOT(ISERROR(A3))</formula>
    </cfRule>
  </conditionalFormatting>
  <conditionalFormatting sqref="A3:T9">
    <cfRule type="containsErrors" dxfId="88" priority="29" stopIfTrue="1">
      <formula>ISERROR(A3)</formula>
    </cfRule>
  </conditionalFormatting>
  <conditionalFormatting sqref="A10:T51">
    <cfRule type="containsErrors" dxfId="87" priority="1" stopIfTrue="1">
      <formula>ISERROR(A10)</formula>
    </cfRule>
  </conditionalFormatting>
  <conditionalFormatting sqref="B3:B9">
    <cfRule type="notContainsBlanks" dxfId="86" priority="73">
      <formula>LEN(TRIM(B3))&gt;0</formula>
    </cfRule>
  </conditionalFormatting>
  <conditionalFormatting sqref="B10">
    <cfRule type="notContainsBlanks" dxfId="85" priority="2">
      <formula>LEN(TRIM(B10))&gt;0</formula>
    </cfRule>
  </conditionalFormatting>
  <conditionalFormatting sqref="C3:C51 E3:E51 G3:G51 I3:I51 K3:K51 M3:M51 O3:O51 Q3:Q51 S3:S51">
    <cfRule type="notContainsErrors" dxfId="84" priority="31" stopIfTrue="1">
      <formula>NOT(ISERROR(C3))</formula>
    </cfRule>
  </conditionalFormatting>
  <conditionalFormatting sqref="C3:T7 C8 E8 G8 I8 K8 M8 O8 Q8 S8 C9:T9 C10 E10 G10 I10 K10 M10 O10 Q10 S10 B11:T17">
    <cfRule type="notContainsBlanks" dxfId="83" priority="32">
      <formula>LEN(TRIM(B3))&gt;0</formula>
    </cfRule>
  </conditionalFormatting>
  <conditionalFormatting sqref="D8">
    <cfRule type="notContainsBlanks" dxfId="82" priority="30">
      <formula>LEN(TRIM(D8))&gt;0</formula>
    </cfRule>
  </conditionalFormatting>
  <conditionalFormatting sqref="D10">
    <cfRule type="notContainsBlanks" dxfId="81" priority="28">
      <formula>LEN(TRIM(D10))&gt;0</formula>
    </cfRule>
  </conditionalFormatting>
  <conditionalFormatting sqref="F8">
    <cfRule type="notContainsBlanks" dxfId="80" priority="26">
      <formula>LEN(TRIM(F8))&gt;0</formula>
    </cfRule>
  </conditionalFormatting>
  <conditionalFormatting sqref="F10">
    <cfRule type="notContainsBlanks" dxfId="79" priority="25">
      <formula>LEN(TRIM(F10))&gt;0</formula>
    </cfRule>
  </conditionalFormatting>
  <conditionalFormatting sqref="H8">
    <cfRule type="notContainsBlanks" dxfId="78" priority="23">
      <formula>LEN(TRIM(H8))&gt;0</formula>
    </cfRule>
  </conditionalFormatting>
  <conditionalFormatting sqref="H10">
    <cfRule type="notContainsBlanks" dxfId="77" priority="22">
      <formula>LEN(TRIM(H10))&gt;0</formula>
    </cfRule>
  </conditionalFormatting>
  <conditionalFormatting sqref="J8">
    <cfRule type="notContainsBlanks" dxfId="76" priority="20">
      <formula>LEN(TRIM(J8))&gt;0</formula>
    </cfRule>
  </conditionalFormatting>
  <conditionalFormatting sqref="J10">
    <cfRule type="notContainsBlanks" dxfId="75" priority="19">
      <formula>LEN(TRIM(J10))&gt;0</formula>
    </cfRule>
  </conditionalFormatting>
  <conditionalFormatting sqref="L8">
    <cfRule type="notContainsBlanks" dxfId="74" priority="17">
      <formula>LEN(TRIM(L8))&gt;0</formula>
    </cfRule>
  </conditionalFormatting>
  <conditionalFormatting sqref="L10">
    <cfRule type="notContainsBlanks" dxfId="73" priority="16">
      <formula>LEN(TRIM(L10))&gt;0</formula>
    </cfRule>
  </conditionalFormatting>
  <conditionalFormatting sqref="N8">
    <cfRule type="notContainsBlanks" dxfId="72" priority="14">
      <formula>LEN(TRIM(N8))&gt;0</formula>
    </cfRule>
  </conditionalFormatting>
  <conditionalFormatting sqref="N10">
    <cfRule type="notContainsBlanks" dxfId="71" priority="13">
      <formula>LEN(TRIM(N10))&gt;0</formula>
    </cfRule>
  </conditionalFormatting>
  <conditionalFormatting sqref="P8">
    <cfRule type="notContainsBlanks" dxfId="70" priority="11">
      <formula>LEN(TRIM(P8))&gt;0</formula>
    </cfRule>
  </conditionalFormatting>
  <conditionalFormatting sqref="P10">
    <cfRule type="notContainsBlanks" dxfId="69" priority="10">
      <formula>LEN(TRIM(P10))&gt;0</formula>
    </cfRule>
  </conditionalFormatting>
  <conditionalFormatting sqref="R8">
    <cfRule type="notContainsBlanks" dxfId="68" priority="8">
      <formula>LEN(TRIM(R8))&gt;0</formula>
    </cfRule>
  </conditionalFormatting>
  <conditionalFormatting sqref="R10">
    <cfRule type="notContainsBlanks" dxfId="67" priority="7">
      <formula>LEN(TRIM(R10))&gt;0</formula>
    </cfRule>
  </conditionalFormatting>
  <conditionalFormatting sqref="T8">
    <cfRule type="notContainsBlanks" dxfId="66" priority="5">
      <formula>LEN(TRIM(T8))&gt;0</formula>
    </cfRule>
  </conditionalFormatting>
  <conditionalFormatting sqref="T10">
    <cfRule type="notContainsBlanks" dxfId="65" priority="4">
      <formula>LEN(TRIM(T10))&gt;0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9D9EE-F6E9-4224-931B-DC26E6BDC9C7}">
  <sheetPr codeName="Sheet97"/>
  <dimension ref="A1:T51"/>
  <sheetViews>
    <sheetView workbookViewId="0">
      <selection activeCell="I3" sqref="I3:I14"/>
    </sheetView>
  </sheetViews>
  <sheetFormatPr defaultColWidth="9.28515625" defaultRowHeight="15" x14ac:dyDescent="0.25"/>
  <cols>
    <col min="1" max="1" width="44.7109375" customWidth="1"/>
    <col min="2" max="2" width="13.85546875" customWidth="1"/>
    <col min="7" max="7" width="9.28515625" customWidth="1"/>
  </cols>
  <sheetData>
    <row r="1" spans="1:20" x14ac:dyDescent="0.25">
      <c r="A1" s="23" t="str">
        <f>HYPERLINK("#Sheets!A1","Back to sheets")</f>
        <v>Back to sheets</v>
      </c>
    </row>
    <row r="2" spans="1:20" ht="15.95" customHeight="1" x14ac:dyDescent="0.25">
      <c r="A2" s="8" t="s">
        <v>3</v>
      </c>
      <c r="B2" s="9" t="s">
        <v>31</v>
      </c>
      <c r="C2" s="8" t="s">
        <v>7</v>
      </c>
      <c r="D2" s="9" t="s">
        <v>31</v>
      </c>
      <c r="E2" s="8" t="s">
        <v>9</v>
      </c>
      <c r="F2" s="9" t="s">
        <v>31</v>
      </c>
      <c r="G2" s="8" t="s">
        <v>10</v>
      </c>
      <c r="H2" s="9" t="s">
        <v>31</v>
      </c>
      <c r="I2" s="8" t="s">
        <v>11</v>
      </c>
      <c r="J2" s="9" t="s">
        <v>31</v>
      </c>
      <c r="K2" s="8" t="s">
        <v>12</v>
      </c>
      <c r="L2" s="9" t="s">
        <v>31</v>
      </c>
      <c r="M2" s="8" t="s">
        <v>13</v>
      </c>
      <c r="N2" s="9" t="s">
        <v>31</v>
      </c>
      <c r="O2" s="8" t="s">
        <v>14</v>
      </c>
      <c r="P2" s="9" t="s">
        <v>31</v>
      </c>
      <c r="Q2" s="8" t="s">
        <v>15</v>
      </c>
      <c r="R2" s="9" t="s">
        <v>31</v>
      </c>
      <c r="S2" s="8" t="s">
        <v>16</v>
      </c>
      <c r="T2" s="8" t="s">
        <v>31</v>
      </c>
    </row>
    <row r="3" spans="1:20" ht="15.95" customHeight="1" x14ac:dyDescent="0.25">
      <c r="A3" s="17" t="s">
        <v>34</v>
      </c>
      <c r="B3" s="16" t="str">
        <f>TRIM(_xlfn.TEXTBEFORE(A3, ":"))</f>
        <v>Item Class</v>
      </c>
      <c r="C3" s="17" t="s">
        <v>62</v>
      </c>
      <c r="D3" s="16" t="str">
        <f>TRIM(_xlfn.TEXTBEFORE(C3, ":"))</f>
        <v>Gegenstandsklasse</v>
      </c>
      <c r="E3" s="17" t="s">
        <v>73</v>
      </c>
      <c r="F3" s="16" t="str">
        <f>TRIM(_xlfn.TEXTBEFORE(E3, ":"))</f>
        <v>Clase de objeto</v>
      </c>
      <c r="G3" s="17" t="s">
        <v>49</v>
      </c>
      <c r="H3" s="16" t="str">
        <f>TRIM(_xlfn.TEXTBEFORE(G3, ":"))</f>
        <v>Classe d'objet</v>
      </c>
      <c r="I3" s="17" t="s">
        <v>84</v>
      </c>
      <c r="J3" s="16" t="str">
        <f>TRIM(_xlfn.TEXTBEFORE(I3, ":"))</f>
        <v>アイテムクラス</v>
      </c>
      <c r="K3" s="17" t="s">
        <v>95</v>
      </c>
      <c r="L3" s="16" t="str">
        <f>TRIM(_xlfn.TEXTBEFORE(K3, ":"))</f>
        <v>아이템 종류</v>
      </c>
      <c r="M3" s="17" t="s">
        <v>106</v>
      </c>
      <c r="N3" s="16" t="str">
        <f>TRIM(_xlfn.TEXTBEFORE(M3, ":"))</f>
        <v>Classe do Item</v>
      </c>
      <c r="O3" s="17" t="s">
        <v>115</v>
      </c>
      <c r="P3" s="16" t="str">
        <f>TRIM(_xlfn.TEXTBEFORE(O3, ":"))</f>
        <v>Класс предмета</v>
      </c>
      <c r="Q3" s="17" t="s">
        <v>127</v>
      </c>
      <c r="R3" s="16" t="str">
        <f>TRIM(_xlfn.TEXTBEFORE(Q3, ":"))</f>
        <v>ชนิดไอเทม</v>
      </c>
      <c r="S3" s="17"/>
      <c r="T3" s="19" t="e">
        <f>TRIM(_xlfn.TEXTBEFORE(S3, ":"))</f>
        <v>#N/A</v>
      </c>
    </row>
    <row r="4" spans="1:20" ht="15.95" customHeight="1" x14ac:dyDescent="0.25">
      <c r="A4" s="18" t="s">
        <v>35</v>
      </c>
      <c r="B4" s="16" t="str">
        <f>TRIM(_xlfn.TEXTAFTER(A3, ":"))</f>
        <v>Maps</v>
      </c>
      <c r="C4" s="18" t="s">
        <v>63</v>
      </c>
      <c r="D4" s="16" t="str">
        <f>TRIM(_xlfn.TEXTAFTER(C3, ":"))</f>
        <v>Karten</v>
      </c>
      <c r="E4" s="18" t="s">
        <v>74</v>
      </c>
      <c r="F4" s="16" t="str">
        <f>TRIM(_xlfn.TEXTAFTER(E3, ":"))</f>
        <v>Mapas</v>
      </c>
      <c r="G4" s="18" t="s">
        <v>50</v>
      </c>
      <c r="H4" s="16" t="str">
        <f>TRIM(_xlfn.TEXTAFTER(G3, ":"))</f>
        <v>Cartes</v>
      </c>
      <c r="I4" s="18" t="s">
        <v>85</v>
      </c>
      <c r="J4" s="16" t="str">
        <f>TRIM(_xlfn.TEXTAFTER(I3, ":"))</f>
        <v>マップ</v>
      </c>
      <c r="K4" s="18" t="s">
        <v>96</v>
      </c>
      <c r="L4" s="16" t="str">
        <f>TRIM(_xlfn.TEXTAFTER(K3, ":"))</f>
        <v>지도</v>
      </c>
      <c r="M4" s="18" t="s">
        <v>107</v>
      </c>
      <c r="N4" s="16" t="str">
        <f>TRIM(_xlfn.TEXTAFTER(M3, ":"))</f>
        <v>Mapas</v>
      </c>
      <c r="O4" s="18" t="s">
        <v>116</v>
      </c>
      <c r="P4" s="16" t="str">
        <f>TRIM(_xlfn.TEXTAFTER(O3, ":"))</f>
        <v>Карты</v>
      </c>
      <c r="Q4" s="18" t="s">
        <v>128</v>
      </c>
      <c r="R4" s="16" t="str">
        <f>TRIM(_xlfn.TEXTAFTER(Q3, ":"))</f>
        <v>แผนที่</v>
      </c>
      <c r="S4" s="18"/>
      <c r="T4" s="19" t="e">
        <f>TRIM(_xlfn.TEXTAFTER(S3, ":"))</f>
        <v>#N/A</v>
      </c>
    </row>
    <row r="5" spans="1:20" ht="15.95" customHeight="1" x14ac:dyDescent="0.25">
      <c r="A5" s="18" t="s">
        <v>163</v>
      </c>
      <c r="B5" s="16" t="str">
        <f>TRIM(_xlfn.TEXTBEFORE(A4, ":"))</f>
        <v>Rarity</v>
      </c>
      <c r="C5" s="18" t="s">
        <v>192</v>
      </c>
      <c r="D5" s="16" t="str">
        <f>TRIM(_xlfn.TEXTBEFORE(C4, ":"))</f>
        <v>Seltenheit</v>
      </c>
      <c r="E5" s="18" t="s">
        <v>240</v>
      </c>
      <c r="F5" s="16" t="str">
        <f>TRIM(_xlfn.TEXTBEFORE(E4, ":"))</f>
        <v>Rareza</v>
      </c>
      <c r="G5" s="18" t="s">
        <v>180</v>
      </c>
      <c r="H5" s="16" t="str">
        <f>TRIM(_xlfn.TEXTBEFORE(G4, ":"))</f>
        <v>Rareté</v>
      </c>
      <c r="I5" s="18" t="s">
        <v>264</v>
      </c>
      <c r="J5" s="16" t="str">
        <f>TRIM(_xlfn.TEXTBEFORE(I4, ":"))</f>
        <v>レアリティ</v>
      </c>
      <c r="K5" s="18" t="s">
        <v>252</v>
      </c>
      <c r="L5" s="16" t="str">
        <f>TRIM(_xlfn.TEXTBEFORE(K4, ":"))</f>
        <v>아이템 희귀도</v>
      </c>
      <c r="M5" s="18" t="s">
        <v>204</v>
      </c>
      <c r="N5" s="16" t="str">
        <f>TRIM(_xlfn.TEXTBEFORE(M4, ":"))</f>
        <v>Raridade</v>
      </c>
      <c r="O5" s="18" t="s">
        <v>216</v>
      </c>
      <c r="P5" s="16" t="str">
        <f>TRIM(_xlfn.TEXTBEFORE(O4, ":"))</f>
        <v>Редкость</v>
      </c>
      <c r="Q5" s="18" t="s">
        <v>228</v>
      </c>
      <c r="R5" s="16" t="str">
        <f>TRIM(_xlfn.TEXTBEFORE(Q4, ":"))</f>
        <v>ความหายาก</v>
      </c>
      <c r="S5" s="18"/>
      <c r="T5" s="19" t="e">
        <f>TRIM(_xlfn.TEXTBEFORE(S4, ":"))</f>
        <v>#N/A</v>
      </c>
    </row>
    <row r="6" spans="1:20" ht="15.95" customHeight="1" x14ac:dyDescent="0.25">
      <c r="A6" s="18" t="s">
        <v>0</v>
      </c>
      <c r="B6" s="16" t="str">
        <f>TRIM(_xlfn.TEXTAFTER(A4,":"))</f>
        <v>Normal</v>
      </c>
      <c r="C6" s="18" t="s">
        <v>0</v>
      </c>
      <c r="D6" s="16" t="str">
        <f>TRIM(_xlfn.TEXTAFTER(C4,":"))</f>
        <v>Normal</v>
      </c>
      <c r="E6" s="18" t="s">
        <v>0</v>
      </c>
      <c r="F6" s="16" t="str">
        <f>TRIM(_xlfn.TEXTAFTER(E4,":"))</f>
        <v>Normal</v>
      </c>
      <c r="G6" s="18" t="s">
        <v>0</v>
      </c>
      <c r="H6" s="16" t="str">
        <f>TRIM(_xlfn.TEXTAFTER(G4,":"))</f>
        <v>Normal</v>
      </c>
      <c r="I6" s="18" t="s">
        <v>0</v>
      </c>
      <c r="J6" s="16" t="str">
        <f>TRIM(_xlfn.TEXTAFTER(I4,":"))</f>
        <v>ノーマル</v>
      </c>
      <c r="K6" s="18" t="s">
        <v>0</v>
      </c>
      <c r="L6" s="16" t="str">
        <f>TRIM(_xlfn.TEXTAFTER(K4,":"))</f>
        <v>일반</v>
      </c>
      <c r="M6" s="18" t="s">
        <v>0</v>
      </c>
      <c r="N6" s="16" t="str">
        <f>TRIM(_xlfn.TEXTAFTER(M4,":"))</f>
        <v>Normal</v>
      </c>
      <c r="O6" s="18" t="s">
        <v>0</v>
      </c>
      <c r="P6" s="16" t="str">
        <f>TRIM(_xlfn.TEXTAFTER(O4,":"))</f>
        <v>Обычный</v>
      </c>
      <c r="Q6" s="18" t="s">
        <v>0</v>
      </c>
      <c r="R6" s="16" t="str">
        <f>TRIM(_xlfn.TEXTAFTER(Q4,":"))</f>
        <v>ปกติ</v>
      </c>
      <c r="S6" s="18"/>
      <c r="T6" s="19" t="e">
        <f>TRIM(_xlfn.TEXTAFTER(S4,":"))</f>
        <v>#N/A</v>
      </c>
    </row>
    <row r="7" spans="1:20" ht="15.95" customHeight="1" x14ac:dyDescent="0.25">
      <c r="A7" s="18" t="s">
        <v>166</v>
      </c>
      <c r="B7" s="16"/>
      <c r="C7" s="18" t="s">
        <v>195</v>
      </c>
      <c r="D7" s="16"/>
      <c r="E7" s="18" t="s">
        <v>243</v>
      </c>
      <c r="F7" s="16"/>
      <c r="G7" s="18" t="s">
        <v>183</v>
      </c>
      <c r="H7" s="16"/>
      <c r="I7" s="18" t="s">
        <v>267</v>
      </c>
      <c r="J7" s="16"/>
      <c r="K7" s="18" t="s">
        <v>255</v>
      </c>
      <c r="L7" s="16"/>
      <c r="M7" s="18" t="s">
        <v>207</v>
      </c>
      <c r="N7" s="16"/>
      <c r="O7" s="18" t="s">
        <v>219</v>
      </c>
      <c r="P7" s="16"/>
      <c r="Q7" s="18" t="s">
        <v>231</v>
      </c>
      <c r="R7" s="16"/>
      <c r="S7" s="18"/>
      <c r="T7" s="19"/>
    </row>
    <row r="8" spans="1:20" ht="15.95" customHeight="1" x14ac:dyDescent="0.25">
      <c r="A8" s="18" t="s">
        <v>167</v>
      </c>
      <c r="B8" s="16" t="str">
        <f>TRIM(_xlfn.TEXTBEFORE(A8,":"))</f>
        <v>Quality (Currency)</v>
      </c>
      <c r="C8" s="18" t="s">
        <v>196</v>
      </c>
      <c r="D8" s="16" t="str">
        <f>TRIM(_xlfn.TEXTBEFORE(C8,":"))</f>
        <v>Qualität (Währung)</v>
      </c>
      <c r="E8" s="18" t="s">
        <v>244</v>
      </c>
      <c r="F8" s="16" t="str">
        <f>TRIM(_xlfn.TEXTBEFORE(E8,":"))</f>
        <v>Calidad (objetos monetarios)</v>
      </c>
      <c r="G8" s="18" t="s">
        <v>184</v>
      </c>
      <c r="H8" s="16" t="str">
        <f>TRIM(_xlfn.TEXTBEFORE(G8,":"))</f>
        <v>Qualité (Objets monétaires)</v>
      </c>
      <c r="I8" s="18" t="s">
        <v>268</v>
      </c>
      <c r="J8" s="16" t="str">
        <f>TRIM(_xlfn.TEXTBEFORE(I8,":"))</f>
        <v>品質 (カレンシー)</v>
      </c>
      <c r="K8" s="18" t="s">
        <v>256</v>
      </c>
      <c r="L8" s="16" t="str">
        <f>TRIM(_xlfn.TEXTBEFORE(K8,":"))</f>
        <v>퀄리티 (화폐)</v>
      </c>
      <c r="M8" s="18" t="s">
        <v>208</v>
      </c>
      <c r="N8" s="16" t="str">
        <f>TRIM(_xlfn.TEXTBEFORE(M8,":"))</f>
        <v>Qualidade (Moedas)</v>
      </c>
      <c r="O8" s="18" t="s">
        <v>220</v>
      </c>
      <c r="P8" s="16" t="str">
        <f>TRIM(_xlfn.TEXTBEFORE(O8,":"))</f>
        <v>Качество (валюта)</v>
      </c>
      <c r="Q8" s="18" t="s">
        <v>232</v>
      </c>
      <c r="R8" s="16" t="str">
        <f>TRIM(_xlfn.TEXTBEFORE(Q8,":"))</f>
        <v>ค่าคุณภาพ (เงินตรา)</v>
      </c>
      <c r="S8" s="18"/>
      <c r="T8" s="16" t="e">
        <f>TRIM(_xlfn.TEXTBEFORE(S8,":"))</f>
        <v>#N/A</v>
      </c>
    </row>
    <row r="9" spans="1:20" ht="15.95" customHeight="1" x14ac:dyDescent="0.25">
      <c r="A9" s="18" t="s">
        <v>0</v>
      </c>
      <c r="B9" s="16"/>
      <c r="C9" s="18" t="s">
        <v>0</v>
      </c>
      <c r="D9" s="16"/>
      <c r="E9" s="18" t="s">
        <v>0</v>
      </c>
      <c r="F9" s="16"/>
      <c r="G9" s="18" t="s">
        <v>0</v>
      </c>
      <c r="H9" s="16"/>
      <c r="I9" s="18" t="s">
        <v>0</v>
      </c>
      <c r="J9" s="16"/>
      <c r="K9" s="18" t="s">
        <v>0</v>
      </c>
      <c r="L9" s="16"/>
      <c r="M9" s="18" t="s">
        <v>0</v>
      </c>
      <c r="N9" s="16"/>
      <c r="O9" s="18" t="s">
        <v>0</v>
      </c>
      <c r="P9" s="16"/>
      <c r="Q9" s="18" t="s">
        <v>0</v>
      </c>
      <c r="R9" s="16"/>
      <c r="S9" s="18"/>
      <c r="T9" s="19"/>
    </row>
    <row r="10" spans="1:20" ht="15.95" customHeight="1" x14ac:dyDescent="0.25">
      <c r="A10" s="18" t="s">
        <v>33</v>
      </c>
      <c r="B10" s="16"/>
      <c r="C10" s="18" t="s">
        <v>71</v>
      </c>
      <c r="D10" s="16"/>
      <c r="E10" s="18" t="s">
        <v>82</v>
      </c>
      <c r="F10" s="16"/>
      <c r="G10" s="18" t="s">
        <v>59</v>
      </c>
      <c r="H10" s="16"/>
      <c r="I10" s="18" t="s">
        <v>93</v>
      </c>
      <c r="J10" s="16"/>
      <c r="K10" s="18" t="s">
        <v>104</v>
      </c>
      <c r="L10" s="16"/>
      <c r="M10" s="18" t="s">
        <v>113</v>
      </c>
      <c r="N10" s="16"/>
      <c r="O10" s="18" t="s">
        <v>125</v>
      </c>
      <c r="P10" s="16"/>
      <c r="Q10" s="18" t="s">
        <v>136</v>
      </c>
      <c r="R10" s="16"/>
      <c r="S10" s="18"/>
      <c r="T10" s="19"/>
    </row>
    <row r="11" spans="1:20" ht="15.95" customHeight="1" x14ac:dyDescent="0.25">
      <c r="A11" s="18" t="s">
        <v>0</v>
      </c>
      <c r="B11" s="16"/>
      <c r="C11" s="18" t="s">
        <v>0</v>
      </c>
      <c r="D11" s="16"/>
      <c r="E11" s="18" t="s">
        <v>0</v>
      </c>
      <c r="F11" s="16"/>
      <c r="G11" s="18" t="s">
        <v>0</v>
      </c>
      <c r="H11" s="16"/>
      <c r="I11" s="18" t="s">
        <v>0</v>
      </c>
      <c r="J11" s="16"/>
      <c r="K11" s="18" t="s">
        <v>0</v>
      </c>
      <c r="L11" s="16"/>
      <c r="M11" s="18" t="s">
        <v>0</v>
      </c>
      <c r="N11" s="16"/>
      <c r="O11" s="18" t="s">
        <v>0</v>
      </c>
      <c r="P11" s="16"/>
      <c r="Q11" s="18" t="s">
        <v>0</v>
      </c>
      <c r="R11" s="16"/>
      <c r="S11" s="18"/>
      <c r="T11" s="19"/>
    </row>
    <row r="12" spans="1:20" ht="15.95" customHeight="1" x14ac:dyDescent="0.25">
      <c r="A12" s="18" t="s">
        <v>164</v>
      </c>
      <c r="B12" s="16"/>
      <c r="C12" s="18" t="s">
        <v>193</v>
      </c>
      <c r="D12" s="16"/>
      <c r="E12" s="18" t="s">
        <v>241</v>
      </c>
      <c r="F12" s="16"/>
      <c r="G12" s="18" t="s">
        <v>181</v>
      </c>
      <c r="H12" s="16"/>
      <c r="I12" s="18" t="s">
        <v>265</v>
      </c>
      <c r="J12" s="16"/>
      <c r="K12" s="18" t="s">
        <v>253</v>
      </c>
      <c r="L12" s="16"/>
      <c r="M12" s="18" t="s">
        <v>205</v>
      </c>
      <c r="N12" s="16"/>
      <c r="O12" s="18" t="s">
        <v>217</v>
      </c>
      <c r="P12" s="16"/>
      <c r="Q12" s="18" t="s">
        <v>229</v>
      </c>
      <c r="R12" s="16"/>
      <c r="S12" s="18"/>
      <c r="T12" s="19"/>
    </row>
    <row r="13" spans="1:20" ht="15.95" customHeight="1" x14ac:dyDescent="0.25">
      <c r="A13" s="18" t="s">
        <v>0</v>
      </c>
      <c r="B13" s="16"/>
      <c r="C13" s="18" t="s">
        <v>0</v>
      </c>
      <c r="D13" s="16"/>
      <c r="E13" s="18" t="s">
        <v>0</v>
      </c>
      <c r="F13" s="16"/>
      <c r="G13" s="18" t="s">
        <v>0</v>
      </c>
      <c r="H13" s="16"/>
      <c r="I13" s="18" t="s">
        <v>0</v>
      </c>
      <c r="J13" s="16"/>
      <c r="K13" s="18" t="s">
        <v>0</v>
      </c>
      <c r="L13" s="16"/>
      <c r="M13" s="18" t="s">
        <v>0</v>
      </c>
      <c r="N13" s="16"/>
      <c r="O13" s="18" t="s">
        <v>0</v>
      </c>
      <c r="P13" s="16"/>
      <c r="Q13" s="18" t="s">
        <v>0</v>
      </c>
      <c r="R13" s="16"/>
      <c r="S13" s="18"/>
      <c r="T13" s="19"/>
    </row>
    <row r="14" spans="1:20" ht="15.95" customHeight="1" x14ac:dyDescent="0.25">
      <c r="A14" s="18" t="s">
        <v>165</v>
      </c>
      <c r="B14" s="16"/>
      <c r="C14" s="18" t="s">
        <v>194</v>
      </c>
      <c r="D14" s="16"/>
      <c r="E14" s="18" t="s">
        <v>242</v>
      </c>
      <c r="F14" s="16"/>
      <c r="G14" s="18" t="s">
        <v>182</v>
      </c>
      <c r="H14" s="16"/>
      <c r="I14" s="18" t="s">
        <v>266</v>
      </c>
      <c r="J14" s="16"/>
      <c r="K14" s="18" t="s">
        <v>254</v>
      </c>
      <c r="L14" s="16"/>
      <c r="M14" s="18" t="s">
        <v>206</v>
      </c>
      <c r="N14" s="16"/>
      <c r="O14" s="18" t="s">
        <v>218</v>
      </c>
      <c r="P14" s="16"/>
      <c r="Q14" s="18" t="s">
        <v>230</v>
      </c>
      <c r="R14" s="16"/>
      <c r="S14" s="18"/>
      <c r="T14" s="19"/>
    </row>
    <row r="15" spans="1:20" ht="15.95" customHeight="1" x14ac:dyDescent="0.25">
      <c r="A15" s="18"/>
      <c r="B15" s="16"/>
      <c r="C15" s="18"/>
      <c r="D15" s="16"/>
      <c r="E15" s="18"/>
      <c r="F15" s="16"/>
      <c r="G15" s="18"/>
      <c r="H15" s="16"/>
      <c r="I15" s="18"/>
      <c r="J15" s="16"/>
      <c r="K15" s="18"/>
      <c r="L15" s="16"/>
      <c r="M15" s="18"/>
      <c r="N15" s="16"/>
      <c r="O15" s="18"/>
      <c r="P15" s="16"/>
      <c r="Q15" s="18"/>
      <c r="R15" s="16"/>
      <c r="S15" s="18"/>
      <c r="T15" s="19"/>
    </row>
    <row r="16" spans="1:20" ht="15.95" customHeight="1" x14ac:dyDescent="0.25">
      <c r="A16" s="18"/>
      <c r="B16" s="16"/>
      <c r="C16" s="18"/>
      <c r="D16" s="16"/>
      <c r="E16" s="18"/>
      <c r="F16" s="16"/>
      <c r="G16" s="18"/>
      <c r="H16" s="16"/>
      <c r="I16" s="18"/>
      <c r="J16" s="16"/>
      <c r="K16" s="18"/>
      <c r="L16" s="16"/>
      <c r="M16" s="18"/>
      <c r="N16" s="16"/>
      <c r="O16" s="18"/>
      <c r="P16" s="16"/>
      <c r="Q16" s="18"/>
      <c r="R16" s="16"/>
      <c r="S16" s="18"/>
      <c r="T16" s="19"/>
    </row>
    <row r="17" spans="1:20" ht="15.95" customHeight="1" x14ac:dyDescent="0.25">
      <c r="A17" s="18"/>
      <c r="B17" s="16"/>
      <c r="C17" s="18"/>
      <c r="D17" s="16"/>
      <c r="E17" s="18"/>
      <c r="F17" s="16"/>
      <c r="G17" s="18"/>
      <c r="H17" s="16"/>
      <c r="I17" s="18"/>
      <c r="J17" s="16"/>
      <c r="K17" s="18"/>
      <c r="L17" s="16"/>
      <c r="M17" s="18"/>
      <c r="N17" s="16"/>
      <c r="O17" s="18"/>
      <c r="P17" s="16"/>
      <c r="Q17" s="18"/>
      <c r="R17" s="16"/>
      <c r="S17" s="18"/>
      <c r="T17" s="19"/>
    </row>
    <row r="18" spans="1:20" ht="15.95" customHeight="1" x14ac:dyDescent="0.25">
      <c r="A18" s="18"/>
      <c r="B18" s="16"/>
      <c r="C18" s="18"/>
      <c r="D18" s="16"/>
      <c r="E18" s="18"/>
      <c r="F18" s="16"/>
      <c r="G18" s="18"/>
      <c r="H18" s="16"/>
      <c r="I18" s="18"/>
      <c r="J18" s="16"/>
      <c r="K18" s="18"/>
      <c r="L18" s="16"/>
      <c r="M18" s="18"/>
      <c r="N18" s="16"/>
      <c r="O18" s="18"/>
      <c r="P18" s="16"/>
      <c r="Q18" s="18"/>
      <c r="R18" s="16"/>
      <c r="S18" s="18"/>
      <c r="T18" s="19"/>
    </row>
    <row r="19" spans="1:20" ht="15.95" customHeight="1" x14ac:dyDescent="0.25">
      <c r="A19" s="18"/>
      <c r="B19" s="16"/>
      <c r="C19" s="18"/>
      <c r="D19" s="16"/>
      <c r="E19" s="18"/>
      <c r="F19" s="16"/>
      <c r="G19" s="18"/>
      <c r="H19" s="16"/>
      <c r="I19" s="18"/>
      <c r="J19" s="16"/>
      <c r="K19" s="18"/>
      <c r="L19" s="16"/>
      <c r="M19" s="18"/>
      <c r="N19" s="16"/>
      <c r="O19" s="18"/>
      <c r="P19" s="16"/>
      <c r="Q19" s="18"/>
      <c r="R19" s="16"/>
      <c r="S19" s="18"/>
      <c r="T19" s="19"/>
    </row>
    <row r="20" spans="1:20" ht="15.95" customHeight="1" x14ac:dyDescent="0.25">
      <c r="A20" s="18"/>
      <c r="B20" s="16"/>
      <c r="C20" s="18"/>
      <c r="D20" s="16"/>
      <c r="E20" s="18"/>
      <c r="F20" s="16"/>
      <c r="G20" s="18"/>
      <c r="H20" s="16"/>
      <c r="I20" s="18"/>
      <c r="J20" s="16"/>
      <c r="K20" s="18"/>
      <c r="L20" s="16"/>
      <c r="M20" s="18"/>
      <c r="N20" s="16"/>
      <c r="O20" s="18"/>
      <c r="P20" s="16"/>
      <c r="Q20" s="18"/>
      <c r="R20" s="16"/>
      <c r="S20" s="18"/>
      <c r="T20" s="19"/>
    </row>
    <row r="21" spans="1:20" ht="15.95" customHeight="1" x14ac:dyDescent="0.25">
      <c r="A21" s="18"/>
      <c r="B21" s="16"/>
      <c r="C21" s="18"/>
      <c r="D21" s="16"/>
      <c r="E21" s="18"/>
      <c r="F21" s="16"/>
      <c r="G21" s="18"/>
      <c r="H21" s="16"/>
      <c r="I21" s="18"/>
      <c r="J21" s="16"/>
      <c r="K21" s="18"/>
      <c r="L21" s="16"/>
      <c r="M21" s="18"/>
      <c r="N21" s="16"/>
      <c r="O21" s="18"/>
      <c r="P21" s="16"/>
      <c r="Q21" s="18"/>
      <c r="R21" s="16"/>
      <c r="S21" s="18"/>
      <c r="T21" s="19"/>
    </row>
    <row r="22" spans="1:20" ht="15.95" customHeight="1" x14ac:dyDescent="0.25">
      <c r="A22" s="18"/>
      <c r="B22" s="16"/>
      <c r="C22" s="18"/>
      <c r="D22" s="16"/>
      <c r="E22" s="18"/>
      <c r="F22" s="16"/>
      <c r="G22" s="18"/>
      <c r="H22" s="16"/>
      <c r="I22" s="18"/>
      <c r="J22" s="16"/>
      <c r="K22" s="18"/>
      <c r="L22" s="16"/>
      <c r="M22" s="18"/>
      <c r="N22" s="16"/>
      <c r="O22" s="18"/>
      <c r="P22" s="16"/>
      <c r="Q22" s="18"/>
      <c r="R22" s="16"/>
      <c r="S22" s="18"/>
      <c r="T22" s="19"/>
    </row>
    <row r="23" spans="1:20" ht="15.95" customHeight="1" x14ac:dyDescent="0.25">
      <c r="A23" s="18"/>
      <c r="B23" s="16"/>
      <c r="C23" s="18"/>
      <c r="D23" s="16"/>
      <c r="E23" s="18"/>
      <c r="F23" s="16"/>
      <c r="G23" s="18"/>
      <c r="H23" s="16"/>
      <c r="I23" s="18"/>
      <c r="J23" s="16"/>
      <c r="K23" s="18"/>
      <c r="L23" s="16"/>
      <c r="M23" s="18"/>
      <c r="N23" s="16"/>
      <c r="O23" s="18"/>
      <c r="P23" s="16"/>
      <c r="Q23" s="18"/>
      <c r="R23" s="16"/>
      <c r="S23" s="18"/>
      <c r="T23" s="19"/>
    </row>
    <row r="24" spans="1:20" ht="15.95" customHeight="1" x14ac:dyDescent="0.25">
      <c r="A24" s="18"/>
      <c r="B24" s="16"/>
      <c r="C24" s="18"/>
      <c r="D24" s="16"/>
      <c r="E24" s="18"/>
      <c r="F24" s="16"/>
      <c r="G24" s="18"/>
      <c r="H24" s="16"/>
      <c r="I24" s="18"/>
      <c r="J24" s="16"/>
      <c r="K24" s="18"/>
      <c r="L24" s="16"/>
      <c r="M24" s="18"/>
      <c r="N24" s="16"/>
      <c r="O24" s="18"/>
      <c r="P24" s="16"/>
      <c r="Q24" s="18"/>
      <c r="R24" s="16"/>
      <c r="S24" s="18"/>
      <c r="T24" s="19"/>
    </row>
    <row r="25" spans="1:20" ht="15.95" customHeight="1" x14ac:dyDescent="0.25">
      <c r="A25" s="18"/>
      <c r="B25" s="16"/>
      <c r="C25" s="18"/>
      <c r="D25" s="16"/>
      <c r="E25" s="18"/>
      <c r="F25" s="16"/>
      <c r="G25" s="18"/>
      <c r="H25" s="16"/>
      <c r="I25" s="18"/>
      <c r="J25" s="16"/>
      <c r="K25" s="18"/>
      <c r="L25" s="16"/>
      <c r="M25" s="18"/>
      <c r="N25" s="16"/>
      <c r="O25" s="18"/>
      <c r="P25" s="16"/>
      <c r="Q25" s="18"/>
      <c r="R25" s="16"/>
      <c r="S25" s="18"/>
      <c r="T25" s="19"/>
    </row>
    <row r="26" spans="1:20" ht="15.95" customHeight="1" x14ac:dyDescent="0.25">
      <c r="A26" s="18"/>
      <c r="B26" s="16"/>
      <c r="C26" s="18"/>
      <c r="D26" s="16"/>
      <c r="E26" s="18"/>
      <c r="F26" s="16"/>
      <c r="G26" s="18"/>
      <c r="H26" s="16"/>
      <c r="I26" s="18"/>
      <c r="J26" s="16"/>
      <c r="K26" s="18"/>
      <c r="L26" s="16"/>
      <c r="M26" s="18"/>
      <c r="N26" s="16"/>
      <c r="O26" s="18"/>
      <c r="P26" s="16"/>
      <c r="Q26" s="18"/>
      <c r="R26" s="16"/>
      <c r="S26" s="18"/>
      <c r="T26" s="19"/>
    </row>
    <row r="27" spans="1:20" ht="15.95" customHeight="1" x14ac:dyDescent="0.25">
      <c r="A27" s="18"/>
      <c r="B27" s="16"/>
      <c r="C27" s="18"/>
      <c r="D27" s="16"/>
      <c r="E27" s="18"/>
      <c r="F27" s="16"/>
      <c r="G27" s="18"/>
      <c r="H27" s="16"/>
      <c r="I27" s="18"/>
      <c r="J27" s="16"/>
      <c r="K27" s="18"/>
      <c r="L27" s="16"/>
      <c r="M27" s="18"/>
      <c r="N27" s="16"/>
      <c r="O27" s="18"/>
      <c r="P27" s="16"/>
      <c r="Q27" s="18"/>
      <c r="R27" s="16"/>
      <c r="S27" s="18"/>
      <c r="T27" s="19"/>
    </row>
    <row r="28" spans="1:20" ht="15.95" customHeight="1" x14ac:dyDescent="0.25">
      <c r="A28" s="18"/>
      <c r="B28" s="16"/>
      <c r="C28" s="18"/>
      <c r="D28" s="16"/>
      <c r="E28" s="18"/>
      <c r="F28" s="16"/>
      <c r="G28" s="18"/>
      <c r="H28" s="16"/>
      <c r="I28" s="18"/>
      <c r="J28" s="16"/>
      <c r="K28" s="18"/>
      <c r="L28" s="16"/>
      <c r="M28" s="18"/>
      <c r="N28" s="16"/>
      <c r="O28" s="18"/>
      <c r="P28" s="16"/>
      <c r="Q28" s="18"/>
      <c r="R28" s="16"/>
      <c r="S28" s="18"/>
      <c r="T28" s="19"/>
    </row>
    <row r="29" spans="1:20" ht="15.95" customHeight="1" x14ac:dyDescent="0.25">
      <c r="A29" s="18"/>
      <c r="B29" s="16"/>
      <c r="C29" s="18"/>
      <c r="D29" s="16"/>
      <c r="E29" s="18"/>
      <c r="F29" s="16"/>
      <c r="G29" s="18"/>
      <c r="H29" s="16"/>
      <c r="I29" s="18"/>
      <c r="J29" s="16"/>
      <c r="K29" s="18"/>
      <c r="L29" s="16"/>
      <c r="M29" s="18"/>
      <c r="N29" s="16"/>
      <c r="O29" s="18"/>
      <c r="P29" s="16"/>
      <c r="Q29" s="18"/>
      <c r="R29" s="16"/>
      <c r="S29" s="18"/>
      <c r="T29" s="19"/>
    </row>
    <row r="30" spans="1:20" ht="15.95" customHeight="1" x14ac:dyDescent="0.25">
      <c r="A30" s="18"/>
      <c r="B30" s="16"/>
      <c r="C30" s="18"/>
      <c r="D30" s="16"/>
      <c r="E30" s="18"/>
      <c r="F30" s="16"/>
      <c r="G30" s="18"/>
      <c r="H30" s="16"/>
      <c r="I30" s="18"/>
      <c r="J30" s="16"/>
      <c r="K30" s="18"/>
      <c r="L30" s="16"/>
      <c r="M30" s="18"/>
      <c r="N30" s="16"/>
      <c r="O30" s="18"/>
      <c r="P30" s="16"/>
      <c r="Q30" s="18"/>
      <c r="R30" s="16"/>
      <c r="S30" s="18"/>
      <c r="T30" s="19"/>
    </row>
    <row r="31" spans="1:20" ht="15.95" customHeight="1" x14ac:dyDescent="0.25">
      <c r="A31" s="18"/>
      <c r="B31" s="16"/>
      <c r="C31" s="18"/>
      <c r="D31" s="16"/>
      <c r="E31" s="18"/>
      <c r="F31" s="16"/>
      <c r="G31" s="18"/>
      <c r="H31" s="16"/>
      <c r="I31" s="18"/>
      <c r="J31" s="16"/>
      <c r="K31" s="18"/>
      <c r="L31" s="16"/>
      <c r="M31" s="18"/>
      <c r="N31" s="16"/>
      <c r="O31" s="18"/>
      <c r="P31" s="16"/>
      <c r="Q31" s="18"/>
      <c r="R31" s="16"/>
      <c r="S31" s="18"/>
      <c r="T31" s="19"/>
    </row>
    <row r="32" spans="1:20" ht="15.95" customHeight="1" x14ac:dyDescent="0.25">
      <c r="A32" s="18"/>
      <c r="B32" s="16"/>
      <c r="C32" s="18"/>
      <c r="D32" s="16"/>
      <c r="E32" s="18"/>
      <c r="F32" s="16"/>
      <c r="G32" s="18"/>
      <c r="H32" s="16"/>
      <c r="I32" s="18"/>
      <c r="J32" s="16"/>
      <c r="K32" s="18"/>
      <c r="L32" s="16"/>
      <c r="M32" s="18"/>
      <c r="N32" s="16"/>
      <c r="O32" s="18"/>
      <c r="P32" s="16"/>
      <c r="Q32" s="18"/>
      <c r="R32" s="16"/>
      <c r="S32" s="18"/>
      <c r="T32" s="19"/>
    </row>
    <row r="33" spans="1:20" ht="15.95" customHeight="1" x14ac:dyDescent="0.25">
      <c r="A33" s="21"/>
      <c r="B33" s="16"/>
      <c r="C33" s="18"/>
      <c r="D33" s="16"/>
      <c r="E33" s="18"/>
      <c r="F33" s="16"/>
      <c r="G33" s="18"/>
      <c r="H33" s="16"/>
      <c r="I33" s="18"/>
      <c r="J33" s="16"/>
      <c r="K33" s="18"/>
      <c r="L33" s="16"/>
      <c r="M33" s="18"/>
      <c r="N33" s="16"/>
      <c r="O33" s="18"/>
      <c r="P33" s="16"/>
      <c r="Q33" s="18"/>
      <c r="R33" s="16"/>
      <c r="S33" s="18"/>
      <c r="T33" s="19"/>
    </row>
    <row r="34" spans="1:20" ht="15.95" customHeight="1" x14ac:dyDescent="0.25">
      <c r="A34" s="18"/>
      <c r="B34" s="16"/>
      <c r="C34" s="18"/>
      <c r="D34" s="16"/>
      <c r="E34" s="18"/>
      <c r="F34" s="16"/>
      <c r="G34" s="18"/>
      <c r="H34" s="16"/>
      <c r="I34" s="18"/>
      <c r="J34" s="16"/>
      <c r="K34" s="18"/>
      <c r="L34" s="16"/>
      <c r="M34" s="18"/>
      <c r="N34" s="16"/>
      <c r="O34" s="18"/>
      <c r="P34" s="16"/>
      <c r="Q34" s="18"/>
      <c r="R34" s="16"/>
      <c r="S34" s="18"/>
      <c r="T34" s="19"/>
    </row>
    <row r="35" spans="1:20" ht="15.95" customHeight="1" x14ac:dyDescent="0.25">
      <c r="A35" s="18"/>
      <c r="B35" s="16"/>
      <c r="C35" s="18"/>
      <c r="D35" s="16"/>
      <c r="E35" s="18"/>
      <c r="F35" s="16"/>
      <c r="G35" s="18"/>
      <c r="H35" s="16"/>
      <c r="I35" s="18"/>
      <c r="J35" s="16"/>
      <c r="K35" s="18"/>
      <c r="L35" s="16"/>
      <c r="M35" s="18"/>
      <c r="N35" s="16"/>
      <c r="O35" s="18"/>
      <c r="P35" s="16"/>
      <c r="Q35" s="18"/>
      <c r="R35" s="16"/>
      <c r="S35" s="18"/>
      <c r="T35" s="19"/>
    </row>
    <row r="36" spans="1:20" ht="15.95" customHeight="1" x14ac:dyDescent="0.25">
      <c r="A36" s="18"/>
      <c r="B36" s="16"/>
      <c r="C36" s="18"/>
      <c r="D36" s="16"/>
      <c r="E36" s="18"/>
      <c r="F36" s="16"/>
      <c r="G36" s="18"/>
      <c r="H36" s="16"/>
      <c r="I36" s="18"/>
      <c r="J36" s="16"/>
      <c r="K36" s="18"/>
      <c r="L36" s="16"/>
      <c r="M36" s="18"/>
      <c r="N36" s="16"/>
      <c r="O36" s="18"/>
      <c r="P36" s="16"/>
      <c r="Q36" s="18"/>
      <c r="R36" s="16"/>
      <c r="S36" s="18"/>
      <c r="T36" s="19"/>
    </row>
    <row r="37" spans="1:20" ht="15.95" customHeight="1" x14ac:dyDescent="0.25">
      <c r="A37" s="18"/>
      <c r="B37" s="16"/>
      <c r="C37" s="18"/>
      <c r="D37" s="16"/>
      <c r="E37" s="18"/>
      <c r="F37" s="16"/>
      <c r="G37" s="18"/>
      <c r="H37" s="16"/>
      <c r="I37" s="18"/>
      <c r="J37" s="16"/>
      <c r="K37" s="18"/>
      <c r="L37" s="16"/>
      <c r="M37" s="18"/>
      <c r="N37" s="16"/>
      <c r="O37" s="18"/>
      <c r="P37" s="16"/>
      <c r="Q37" s="18"/>
      <c r="R37" s="16"/>
      <c r="S37" s="18"/>
      <c r="T37" s="19"/>
    </row>
    <row r="38" spans="1:20" ht="15.95" customHeight="1" x14ac:dyDescent="0.25">
      <c r="A38" s="18"/>
      <c r="B38" s="16"/>
      <c r="C38" s="18"/>
      <c r="D38" s="16"/>
      <c r="E38" s="18"/>
      <c r="F38" s="16"/>
      <c r="G38" s="18"/>
      <c r="H38" s="16"/>
      <c r="I38" s="18"/>
      <c r="J38" s="16"/>
      <c r="K38" s="18"/>
      <c r="L38" s="16"/>
      <c r="M38" s="18"/>
      <c r="N38" s="16"/>
      <c r="O38" s="18"/>
      <c r="P38" s="16"/>
      <c r="Q38" s="18"/>
      <c r="R38" s="16"/>
      <c r="S38" s="18"/>
      <c r="T38" s="20"/>
    </row>
    <row r="39" spans="1:20" ht="15.95" customHeight="1" x14ac:dyDescent="0.25">
      <c r="A39" s="18"/>
      <c r="B39" s="16"/>
      <c r="C39" s="18"/>
      <c r="D39" s="16"/>
      <c r="E39" s="18"/>
      <c r="F39" s="16"/>
      <c r="G39" s="18"/>
      <c r="H39" s="16"/>
      <c r="I39" s="18"/>
      <c r="J39" s="16"/>
      <c r="K39" s="18"/>
      <c r="L39" s="16"/>
      <c r="M39" s="18"/>
      <c r="N39" s="16"/>
      <c r="O39" s="18"/>
      <c r="P39" s="16"/>
      <c r="Q39" s="18"/>
      <c r="R39" s="16"/>
      <c r="S39" s="18"/>
      <c r="T39" s="20"/>
    </row>
    <row r="40" spans="1:20" ht="15.95" customHeight="1" x14ac:dyDescent="0.25">
      <c r="A40" s="18"/>
      <c r="B40" s="16"/>
      <c r="C40" s="18"/>
      <c r="D40" s="16"/>
      <c r="E40" s="18"/>
      <c r="F40" s="16"/>
      <c r="G40" s="18"/>
      <c r="H40" s="16"/>
      <c r="I40" s="18"/>
      <c r="J40" s="16"/>
      <c r="K40" s="18"/>
      <c r="L40" s="16"/>
      <c r="M40" s="18"/>
      <c r="N40" s="16"/>
      <c r="O40" s="18"/>
      <c r="P40" s="16"/>
      <c r="Q40" s="18"/>
      <c r="R40" s="16"/>
      <c r="S40" s="18"/>
      <c r="T40" s="20"/>
    </row>
    <row r="41" spans="1:20" ht="15.95" customHeight="1" x14ac:dyDescent="0.25">
      <c r="A41" s="18"/>
      <c r="B41" s="16"/>
      <c r="C41" s="18"/>
      <c r="D41" s="16"/>
      <c r="E41" s="18"/>
      <c r="F41" s="16"/>
      <c r="G41" s="18"/>
      <c r="H41" s="16"/>
      <c r="I41" s="18"/>
      <c r="J41" s="16"/>
      <c r="K41" s="18"/>
      <c r="L41" s="16"/>
      <c r="M41" s="18"/>
      <c r="N41" s="16"/>
      <c r="O41" s="18"/>
      <c r="P41" s="16"/>
      <c r="Q41" s="18"/>
      <c r="R41" s="16"/>
      <c r="S41" s="18"/>
      <c r="T41" s="20"/>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4" priority="24" stopIfTrue="1">
      <formula>NOT(ISERROR(A3))</formula>
    </cfRule>
  </conditionalFormatting>
  <conditionalFormatting sqref="A3:T7 A8 C8 E8 G8 I8 K8 M8 O8 Q8 S8 A9:T51">
    <cfRule type="notContainsBlanks" dxfId="63" priority="25">
      <formula>LEN(TRIM(A3))&gt;0</formula>
    </cfRule>
  </conditionalFormatting>
  <conditionalFormatting sqref="A3:T51">
    <cfRule type="containsErrors" dxfId="62" priority="1" stopIfTrue="1">
      <formula>ISERROR(A3)</formula>
    </cfRule>
  </conditionalFormatting>
  <conditionalFormatting sqref="B8">
    <cfRule type="notContainsBlanks" dxfId="61" priority="22">
      <formula>LEN(TRIM(B8))&gt;0</formula>
    </cfRule>
  </conditionalFormatting>
  <conditionalFormatting sqref="D8">
    <cfRule type="notContainsBlanks" dxfId="60" priority="20">
      <formula>LEN(TRIM(D8))&gt;0</formula>
    </cfRule>
  </conditionalFormatting>
  <conditionalFormatting sqref="F8">
    <cfRule type="notContainsBlanks" dxfId="59" priority="18">
      <formula>LEN(TRIM(F8))&gt;0</formula>
    </cfRule>
  </conditionalFormatting>
  <conditionalFormatting sqref="H8">
    <cfRule type="notContainsBlanks" dxfId="58" priority="16">
      <formula>LEN(TRIM(H8))&gt;0</formula>
    </cfRule>
  </conditionalFormatting>
  <conditionalFormatting sqref="J8">
    <cfRule type="notContainsBlanks" dxfId="57" priority="12">
      <formula>LEN(TRIM(J8))&gt;0</formula>
    </cfRule>
  </conditionalFormatting>
  <conditionalFormatting sqref="L8">
    <cfRule type="notContainsBlanks" dxfId="56" priority="10">
      <formula>LEN(TRIM(L8))&gt;0</formula>
    </cfRule>
  </conditionalFormatting>
  <conditionalFormatting sqref="N8">
    <cfRule type="notContainsBlanks" dxfId="55" priority="8">
      <formula>LEN(TRIM(N8))&gt;0</formula>
    </cfRule>
  </conditionalFormatting>
  <conditionalFormatting sqref="P8">
    <cfRule type="notContainsBlanks" dxfId="54" priority="6">
      <formula>LEN(TRIM(P8))&gt;0</formula>
    </cfRule>
  </conditionalFormatting>
  <conditionalFormatting sqref="R8">
    <cfRule type="notContainsBlanks" dxfId="53" priority="4">
      <formula>LEN(TRIM(R8))&gt;0</formula>
    </cfRule>
  </conditionalFormatting>
  <conditionalFormatting sqref="T8">
    <cfRule type="notContainsBlanks" dxfId="52" priority="2">
      <formula>LEN(TRIM(T8))&gt;0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86483-0E1A-4ECB-86D0-E123BD9B5878}">
  <sheetPr codeName="Sheet98"/>
  <dimension ref="A1:T51"/>
  <sheetViews>
    <sheetView workbookViewId="0">
      <selection activeCell="I3" sqref="I3:I14"/>
    </sheetView>
  </sheetViews>
  <sheetFormatPr defaultColWidth="9.28515625" defaultRowHeight="15" x14ac:dyDescent="0.25"/>
  <cols>
    <col min="1" max="1" width="44.7109375" customWidth="1"/>
    <col min="2" max="2" width="13.85546875" customWidth="1"/>
  </cols>
  <sheetData>
    <row r="1" spans="1:20" x14ac:dyDescent="0.25">
      <c r="A1" s="23" t="str">
        <f>HYPERLINK("#Sheets!A1","Back to sheets")</f>
        <v>Back to sheets</v>
      </c>
    </row>
    <row r="2" spans="1:20" ht="15.95" customHeight="1" x14ac:dyDescent="0.25">
      <c r="A2" s="8" t="s">
        <v>3</v>
      </c>
      <c r="B2" s="9" t="s">
        <v>31</v>
      </c>
      <c r="C2" s="8" t="s">
        <v>7</v>
      </c>
      <c r="D2" s="9" t="s">
        <v>31</v>
      </c>
      <c r="E2" s="8" t="s">
        <v>9</v>
      </c>
      <c r="F2" s="9" t="s">
        <v>31</v>
      </c>
      <c r="G2" s="8" t="s">
        <v>10</v>
      </c>
      <c r="H2" s="9" t="s">
        <v>31</v>
      </c>
      <c r="I2" s="8" t="s">
        <v>11</v>
      </c>
      <c r="J2" s="9" t="s">
        <v>31</v>
      </c>
      <c r="K2" s="8" t="s">
        <v>12</v>
      </c>
      <c r="L2" s="9" t="s">
        <v>31</v>
      </c>
      <c r="M2" s="8" t="s">
        <v>13</v>
      </c>
      <c r="N2" s="9" t="s">
        <v>31</v>
      </c>
      <c r="O2" s="8" t="s">
        <v>14</v>
      </c>
      <c r="P2" s="9" t="s">
        <v>31</v>
      </c>
      <c r="Q2" s="8" t="s">
        <v>15</v>
      </c>
      <c r="R2" s="9" t="s">
        <v>31</v>
      </c>
      <c r="S2" s="8" t="s">
        <v>16</v>
      </c>
      <c r="T2" s="8" t="s">
        <v>31</v>
      </c>
    </row>
    <row r="3" spans="1:20" ht="15.95" customHeight="1" x14ac:dyDescent="0.25">
      <c r="A3" s="17" t="s">
        <v>34</v>
      </c>
      <c r="B3" s="16" t="str">
        <f>TRIM(_xlfn.TEXTBEFORE(A3, ":"))</f>
        <v>Item Class</v>
      </c>
      <c r="C3" s="17" t="s">
        <v>62</v>
      </c>
      <c r="D3" s="16" t="str">
        <f>TRIM(_xlfn.TEXTBEFORE(C3, ":"))</f>
        <v>Gegenstandsklasse</v>
      </c>
      <c r="E3" s="17" t="s">
        <v>73</v>
      </c>
      <c r="F3" s="16" t="str">
        <f>TRIM(_xlfn.TEXTBEFORE(E3, ":"))</f>
        <v>Clase de objeto</v>
      </c>
      <c r="G3" s="17" t="s">
        <v>49</v>
      </c>
      <c r="H3" s="16" t="str">
        <f>TRIM(_xlfn.TEXTBEFORE(G3, ":"))</f>
        <v>Classe d'objet</v>
      </c>
      <c r="I3" s="17" t="s">
        <v>84</v>
      </c>
      <c r="J3" s="16" t="str">
        <f>TRIM(_xlfn.TEXTBEFORE(I3, ":"))</f>
        <v>アイテムクラス</v>
      </c>
      <c r="K3" s="17" t="s">
        <v>95</v>
      </c>
      <c r="L3" s="16" t="str">
        <f>TRIM(_xlfn.TEXTBEFORE(K3, ":"))</f>
        <v>아이템 종류</v>
      </c>
      <c r="M3" s="17" t="s">
        <v>106</v>
      </c>
      <c r="N3" s="16" t="str">
        <f>TRIM(_xlfn.TEXTBEFORE(M3, ":"))</f>
        <v>Classe do Item</v>
      </c>
      <c r="O3" s="17" t="s">
        <v>115</v>
      </c>
      <c r="P3" s="16" t="str">
        <f>TRIM(_xlfn.TEXTBEFORE(O3, ":"))</f>
        <v>Класс предмета</v>
      </c>
      <c r="Q3" s="17" t="s">
        <v>127</v>
      </c>
      <c r="R3" s="16" t="str">
        <f>TRIM(_xlfn.TEXTBEFORE(Q3, ":"))</f>
        <v>ชนิดไอเทม</v>
      </c>
      <c r="S3" s="17"/>
      <c r="T3" s="19" t="e">
        <f>TRIM(_xlfn.TEXTBEFORE(S3, ":"))</f>
        <v>#N/A</v>
      </c>
    </row>
    <row r="4" spans="1:20" ht="15.95" customHeight="1" x14ac:dyDescent="0.25">
      <c r="A4" s="18" t="s">
        <v>35</v>
      </c>
      <c r="B4" s="16" t="str">
        <f>TRIM(_xlfn.TEXTAFTER(A3, ":"))</f>
        <v>Maps</v>
      </c>
      <c r="C4" s="18" t="s">
        <v>63</v>
      </c>
      <c r="D4" s="16" t="str">
        <f>TRIM(_xlfn.TEXTAFTER(C3, ":"))</f>
        <v>Karten</v>
      </c>
      <c r="E4" s="18" t="s">
        <v>74</v>
      </c>
      <c r="F4" s="16" t="str">
        <f>TRIM(_xlfn.TEXTAFTER(E3, ":"))</f>
        <v>Mapas</v>
      </c>
      <c r="G4" s="18" t="s">
        <v>50</v>
      </c>
      <c r="H4" s="16" t="str">
        <f>TRIM(_xlfn.TEXTAFTER(G3, ":"))</f>
        <v>Cartes</v>
      </c>
      <c r="I4" s="18" t="s">
        <v>85</v>
      </c>
      <c r="J4" s="16" t="str">
        <f>TRIM(_xlfn.TEXTAFTER(I3, ":"))</f>
        <v>マップ</v>
      </c>
      <c r="K4" s="18" t="s">
        <v>96</v>
      </c>
      <c r="L4" s="16" t="str">
        <f>TRIM(_xlfn.TEXTAFTER(K3, ":"))</f>
        <v>지도</v>
      </c>
      <c r="M4" s="18" t="s">
        <v>107</v>
      </c>
      <c r="N4" s="16" t="str">
        <f>TRIM(_xlfn.TEXTAFTER(M3, ":"))</f>
        <v>Mapas</v>
      </c>
      <c r="O4" s="18" t="s">
        <v>116</v>
      </c>
      <c r="P4" s="16" t="str">
        <f>TRIM(_xlfn.TEXTAFTER(O3, ":"))</f>
        <v>Карты</v>
      </c>
      <c r="Q4" s="18" t="s">
        <v>128</v>
      </c>
      <c r="R4" s="16" t="str">
        <f>TRIM(_xlfn.TEXTAFTER(Q3, ":"))</f>
        <v>แผนที่</v>
      </c>
      <c r="S4" s="18"/>
      <c r="T4" s="19" t="e">
        <f>TRIM(_xlfn.TEXTAFTER(S3, ":"))</f>
        <v>#N/A</v>
      </c>
    </row>
    <row r="5" spans="1:20" ht="15.95" customHeight="1" x14ac:dyDescent="0.25">
      <c r="A5" s="18" t="s">
        <v>163</v>
      </c>
      <c r="B5" s="16" t="str">
        <f>TRIM(_xlfn.TEXTBEFORE(A4, ":"))</f>
        <v>Rarity</v>
      </c>
      <c r="C5" s="18" t="s">
        <v>192</v>
      </c>
      <c r="D5" s="16" t="str">
        <f>TRIM(_xlfn.TEXTBEFORE(C4, ":"))</f>
        <v>Seltenheit</v>
      </c>
      <c r="E5" s="18" t="s">
        <v>240</v>
      </c>
      <c r="F5" s="16" t="str">
        <f>TRIM(_xlfn.TEXTBEFORE(E4, ":"))</f>
        <v>Rareza</v>
      </c>
      <c r="G5" s="18" t="s">
        <v>180</v>
      </c>
      <c r="H5" s="16" t="str">
        <f>TRIM(_xlfn.TEXTBEFORE(G4, ":"))</f>
        <v>Rareté</v>
      </c>
      <c r="I5" s="18" t="s">
        <v>264</v>
      </c>
      <c r="J5" s="16" t="str">
        <f>TRIM(_xlfn.TEXTBEFORE(I4, ":"))</f>
        <v>レアリティ</v>
      </c>
      <c r="K5" s="18" t="s">
        <v>252</v>
      </c>
      <c r="L5" s="16" t="str">
        <f>TRIM(_xlfn.TEXTBEFORE(K4, ":"))</f>
        <v>아이템 희귀도</v>
      </c>
      <c r="M5" s="18" t="s">
        <v>204</v>
      </c>
      <c r="N5" s="16" t="str">
        <f>TRIM(_xlfn.TEXTBEFORE(M4, ":"))</f>
        <v>Raridade</v>
      </c>
      <c r="O5" s="18" t="s">
        <v>216</v>
      </c>
      <c r="P5" s="16" t="str">
        <f>TRIM(_xlfn.TEXTBEFORE(O4, ":"))</f>
        <v>Редкость</v>
      </c>
      <c r="Q5" s="18" t="s">
        <v>228</v>
      </c>
      <c r="R5" s="16" t="str">
        <f>TRIM(_xlfn.TEXTBEFORE(Q4, ":"))</f>
        <v>ความหายาก</v>
      </c>
      <c r="S5" s="18"/>
      <c r="T5" s="19" t="e">
        <f>TRIM(_xlfn.TEXTBEFORE(S4, ":"))</f>
        <v>#N/A</v>
      </c>
    </row>
    <row r="6" spans="1:20" ht="15.95" customHeight="1" x14ac:dyDescent="0.25">
      <c r="A6" s="18" t="s">
        <v>0</v>
      </c>
      <c r="B6" s="16" t="str">
        <f>TRIM(_xlfn.TEXTAFTER(A4,":"))</f>
        <v>Normal</v>
      </c>
      <c r="C6" s="18" t="s">
        <v>0</v>
      </c>
      <c r="D6" s="16" t="str">
        <f>TRIM(_xlfn.TEXTAFTER(C4,":"))</f>
        <v>Normal</v>
      </c>
      <c r="E6" s="18" t="s">
        <v>0</v>
      </c>
      <c r="F6" s="16" t="str">
        <f>TRIM(_xlfn.TEXTAFTER(E4,":"))</f>
        <v>Normal</v>
      </c>
      <c r="G6" s="18" t="s">
        <v>0</v>
      </c>
      <c r="H6" s="16" t="str">
        <f>TRIM(_xlfn.TEXTAFTER(G4,":"))</f>
        <v>Normal</v>
      </c>
      <c r="I6" s="18" t="s">
        <v>0</v>
      </c>
      <c r="J6" s="16" t="str">
        <f>TRIM(_xlfn.TEXTAFTER(I4,":"))</f>
        <v>ノーマル</v>
      </c>
      <c r="K6" s="18" t="s">
        <v>0</v>
      </c>
      <c r="L6" s="16" t="str">
        <f>TRIM(_xlfn.TEXTAFTER(K4,":"))</f>
        <v>일반</v>
      </c>
      <c r="M6" s="18" t="s">
        <v>0</v>
      </c>
      <c r="N6" s="16" t="str">
        <f>TRIM(_xlfn.TEXTAFTER(M4,":"))</f>
        <v>Normal</v>
      </c>
      <c r="O6" s="18" t="s">
        <v>0</v>
      </c>
      <c r="P6" s="16" t="str">
        <f>TRIM(_xlfn.TEXTAFTER(O4,":"))</f>
        <v>Обычный</v>
      </c>
      <c r="Q6" s="18" t="s">
        <v>0</v>
      </c>
      <c r="R6" s="16" t="str">
        <f>TRIM(_xlfn.TEXTAFTER(Q4,":"))</f>
        <v>ปกติ</v>
      </c>
      <c r="S6" s="18"/>
      <c r="T6" s="19" t="e">
        <f>TRIM(_xlfn.TEXTAFTER(S4,":"))</f>
        <v>#N/A</v>
      </c>
    </row>
    <row r="7" spans="1:20" ht="15.95" customHeight="1" x14ac:dyDescent="0.25">
      <c r="A7" s="18" t="s">
        <v>168</v>
      </c>
      <c r="B7" s="16"/>
      <c r="C7" s="18" t="s">
        <v>197</v>
      </c>
      <c r="D7" s="16"/>
      <c r="E7" s="18" t="s">
        <v>245</v>
      </c>
      <c r="F7" s="16"/>
      <c r="G7" s="18" t="s">
        <v>185</v>
      </c>
      <c r="H7" s="16"/>
      <c r="I7" s="18" t="s">
        <v>269</v>
      </c>
      <c r="J7" s="16"/>
      <c r="K7" s="18" t="s">
        <v>257</v>
      </c>
      <c r="L7" s="16"/>
      <c r="M7" s="18" t="s">
        <v>209</v>
      </c>
      <c r="N7" s="16"/>
      <c r="O7" s="18" t="s">
        <v>221</v>
      </c>
      <c r="P7" s="16"/>
      <c r="Q7" s="18" t="s">
        <v>233</v>
      </c>
      <c r="R7" s="16"/>
      <c r="S7" s="18"/>
      <c r="T7" s="19"/>
    </row>
    <row r="8" spans="1:20" ht="15.95" customHeight="1" x14ac:dyDescent="0.25">
      <c r="A8" s="18" t="s">
        <v>169</v>
      </c>
      <c r="B8" s="16" t="str">
        <f>TRIM(_xlfn.TEXTBEFORE(A8,":"))</f>
        <v>Quality (Scarabs)</v>
      </c>
      <c r="C8" s="18" t="s">
        <v>198</v>
      </c>
      <c r="D8" s="16" t="str">
        <f>TRIM(_xlfn.TEXTBEFORE(C8,":"))</f>
        <v>Qualität (Skarabäen)</v>
      </c>
      <c r="E8" s="18" t="s">
        <v>246</v>
      </c>
      <c r="F8" s="16" t="str">
        <f>TRIM(_xlfn.TEXTBEFORE(E8,":"))</f>
        <v>Calidad (escarabajos)</v>
      </c>
      <c r="G8" s="18" t="s">
        <v>186</v>
      </c>
      <c r="H8" s="16" t="str">
        <f>TRIM(_xlfn.TEXTBEFORE(G8,":"))</f>
        <v>Qualité (Scarabées)</v>
      </c>
      <c r="I8" s="18" t="s">
        <v>270</v>
      </c>
      <c r="J8" s="16" t="str">
        <f>TRIM(_xlfn.TEXTBEFORE(I8,":"))</f>
        <v>品質 (スカラベ)</v>
      </c>
      <c r="K8" s="18" t="s">
        <v>258</v>
      </c>
      <c r="L8" s="16" t="str">
        <f>TRIM(_xlfn.TEXTBEFORE(K8,":"))</f>
        <v>퀄리티 (갑충석)</v>
      </c>
      <c r="M8" s="18" t="s">
        <v>210</v>
      </c>
      <c r="N8" s="16" t="str">
        <f>TRIM(_xlfn.TEXTBEFORE(M8,":"))</f>
        <v>Qualidade (Escaravelhos)</v>
      </c>
      <c r="O8" s="18" t="s">
        <v>222</v>
      </c>
      <c r="P8" s="16" t="str">
        <f>TRIM(_xlfn.TEXTBEFORE(O8,":"))</f>
        <v>Качество (скарабеи)</v>
      </c>
      <c r="Q8" s="18" t="s">
        <v>234</v>
      </c>
      <c r="R8" s="16" t="str">
        <f>TRIM(_xlfn.TEXTBEFORE(Q8,":"))</f>
        <v>ค่าคุณภาพ (สคารับ)</v>
      </c>
      <c r="S8" s="18"/>
      <c r="T8" s="16" t="e">
        <f>TRIM(_xlfn.TEXTBEFORE(S8,":"))</f>
        <v>#N/A</v>
      </c>
    </row>
    <row r="9" spans="1:20" ht="15.95" customHeight="1" x14ac:dyDescent="0.25">
      <c r="A9" s="18" t="s">
        <v>0</v>
      </c>
      <c r="B9" s="16"/>
      <c r="C9" s="18" t="s">
        <v>0</v>
      </c>
      <c r="D9" s="16"/>
      <c r="E9" s="18" t="s">
        <v>0</v>
      </c>
      <c r="F9" s="16"/>
      <c r="G9" s="18" t="s">
        <v>0</v>
      </c>
      <c r="H9" s="16"/>
      <c r="I9" s="18" t="s">
        <v>0</v>
      </c>
      <c r="J9" s="16"/>
      <c r="K9" s="18" t="s">
        <v>0</v>
      </c>
      <c r="L9" s="16"/>
      <c r="M9" s="18" t="s">
        <v>0</v>
      </c>
      <c r="N9" s="16"/>
      <c r="O9" s="18" t="s">
        <v>0</v>
      </c>
      <c r="P9" s="16"/>
      <c r="Q9" s="18" t="s">
        <v>0</v>
      </c>
      <c r="R9" s="16"/>
      <c r="S9" s="18"/>
      <c r="T9" s="19"/>
    </row>
    <row r="10" spans="1:20" ht="15.95" customHeight="1" x14ac:dyDescent="0.25">
      <c r="A10" s="18" t="s">
        <v>33</v>
      </c>
      <c r="B10" s="16"/>
      <c r="C10" s="18" t="s">
        <v>71</v>
      </c>
      <c r="D10" s="16"/>
      <c r="E10" s="18" t="s">
        <v>82</v>
      </c>
      <c r="F10" s="16"/>
      <c r="G10" s="18" t="s">
        <v>59</v>
      </c>
      <c r="H10" s="16"/>
      <c r="I10" s="18" t="s">
        <v>93</v>
      </c>
      <c r="J10" s="16"/>
      <c r="K10" s="18" t="s">
        <v>104</v>
      </c>
      <c r="L10" s="16"/>
      <c r="M10" s="18" t="s">
        <v>113</v>
      </c>
      <c r="N10" s="16"/>
      <c r="O10" s="18" t="s">
        <v>125</v>
      </c>
      <c r="P10" s="16"/>
      <c r="Q10" s="18" t="s">
        <v>136</v>
      </c>
      <c r="R10" s="16"/>
      <c r="S10" s="18"/>
      <c r="T10" s="19"/>
    </row>
    <row r="11" spans="1:20" ht="15.95" customHeight="1" x14ac:dyDescent="0.25">
      <c r="A11" s="18" t="s">
        <v>0</v>
      </c>
      <c r="B11" s="16"/>
      <c r="C11" s="18" t="s">
        <v>0</v>
      </c>
      <c r="D11" s="16"/>
      <c r="E11" s="18" t="s">
        <v>0</v>
      </c>
      <c r="F11" s="16"/>
      <c r="G11" s="18" t="s">
        <v>0</v>
      </c>
      <c r="H11" s="16"/>
      <c r="I11" s="18" t="s">
        <v>0</v>
      </c>
      <c r="J11" s="16"/>
      <c r="K11" s="18" t="s">
        <v>0</v>
      </c>
      <c r="L11" s="16"/>
      <c r="M11" s="18" t="s">
        <v>0</v>
      </c>
      <c r="N11" s="16"/>
      <c r="O11" s="18" t="s">
        <v>0</v>
      </c>
      <c r="P11" s="16"/>
      <c r="Q11" s="18" t="s">
        <v>0</v>
      </c>
      <c r="R11" s="16"/>
      <c r="S11" s="18"/>
      <c r="T11" s="19"/>
    </row>
    <row r="12" spans="1:20" ht="15.95" customHeight="1" x14ac:dyDescent="0.25">
      <c r="A12" s="18" t="s">
        <v>164</v>
      </c>
      <c r="B12" s="16"/>
      <c r="C12" s="18" t="s">
        <v>193</v>
      </c>
      <c r="D12" s="16"/>
      <c r="E12" s="18" t="s">
        <v>241</v>
      </c>
      <c r="F12" s="16"/>
      <c r="G12" s="18" t="s">
        <v>181</v>
      </c>
      <c r="H12" s="16"/>
      <c r="I12" s="18" t="s">
        <v>265</v>
      </c>
      <c r="J12" s="16"/>
      <c r="K12" s="18" t="s">
        <v>253</v>
      </c>
      <c r="L12" s="16"/>
      <c r="M12" s="18" t="s">
        <v>205</v>
      </c>
      <c r="N12" s="16"/>
      <c r="O12" s="18" t="s">
        <v>217</v>
      </c>
      <c r="P12" s="16"/>
      <c r="Q12" s="18" t="s">
        <v>229</v>
      </c>
      <c r="R12" s="16"/>
      <c r="S12" s="18"/>
      <c r="T12" s="19"/>
    </row>
    <row r="13" spans="1:20" ht="15.95" customHeight="1" x14ac:dyDescent="0.25">
      <c r="A13" s="18" t="s">
        <v>0</v>
      </c>
      <c r="B13" s="16"/>
      <c r="C13" s="18" t="s">
        <v>0</v>
      </c>
      <c r="D13" s="16"/>
      <c r="E13" s="18" t="s">
        <v>0</v>
      </c>
      <c r="F13" s="16"/>
      <c r="G13" s="18" t="s">
        <v>0</v>
      </c>
      <c r="H13" s="16"/>
      <c r="I13" s="18" t="s">
        <v>0</v>
      </c>
      <c r="J13" s="16"/>
      <c r="K13" s="18" t="s">
        <v>0</v>
      </c>
      <c r="L13" s="16"/>
      <c r="M13" s="18" t="s">
        <v>0</v>
      </c>
      <c r="N13" s="16"/>
      <c r="O13" s="18" t="s">
        <v>0</v>
      </c>
      <c r="P13" s="16"/>
      <c r="Q13" s="18" t="s">
        <v>0</v>
      </c>
      <c r="R13" s="16"/>
      <c r="S13" s="18"/>
      <c r="T13" s="19"/>
    </row>
    <row r="14" spans="1:20" ht="15.95" customHeight="1" x14ac:dyDescent="0.25">
      <c r="A14" s="18" t="s">
        <v>165</v>
      </c>
      <c r="B14" s="16"/>
      <c r="C14" s="18" t="s">
        <v>194</v>
      </c>
      <c r="D14" s="16"/>
      <c r="E14" s="18" t="s">
        <v>242</v>
      </c>
      <c r="F14" s="16"/>
      <c r="G14" s="18" t="s">
        <v>182</v>
      </c>
      <c r="H14" s="16"/>
      <c r="I14" s="18" t="s">
        <v>266</v>
      </c>
      <c r="J14" s="16"/>
      <c r="K14" s="18" t="s">
        <v>254</v>
      </c>
      <c r="L14" s="16"/>
      <c r="M14" s="18" t="s">
        <v>206</v>
      </c>
      <c r="N14" s="16"/>
      <c r="O14" s="18" t="s">
        <v>218</v>
      </c>
      <c r="P14" s="16"/>
      <c r="Q14" s="18" t="s">
        <v>230</v>
      </c>
      <c r="R14" s="16"/>
      <c r="S14" s="18"/>
      <c r="T14" s="19"/>
    </row>
    <row r="15" spans="1:20" ht="15.95" customHeight="1" x14ac:dyDescent="0.25">
      <c r="A15" s="18"/>
      <c r="B15" s="16"/>
      <c r="C15" s="18"/>
      <c r="D15" s="16"/>
      <c r="E15" s="18"/>
      <c r="F15" s="16"/>
      <c r="G15" s="18"/>
      <c r="H15" s="16"/>
      <c r="I15" s="18"/>
      <c r="J15" s="16"/>
      <c r="K15" s="18"/>
      <c r="L15" s="16"/>
      <c r="M15" s="18"/>
      <c r="N15" s="16"/>
      <c r="O15" s="18"/>
      <c r="P15" s="16"/>
      <c r="Q15" s="18"/>
      <c r="R15" s="16"/>
      <c r="S15" s="18"/>
      <c r="T15" s="19"/>
    </row>
    <row r="16" spans="1:20" ht="15.95" customHeight="1" x14ac:dyDescent="0.25">
      <c r="A16" s="18"/>
      <c r="B16" s="16"/>
      <c r="C16" s="18"/>
      <c r="D16" s="16"/>
      <c r="E16" s="18"/>
      <c r="F16" s="16"/>
      <c r="G16" s="18"/>
      <c r="H16" s="16"/>
      <c r="I16" s="18"/>
      <c r="J16" s="16"/>
      <c r="K16" s="18"/>
      <c r="L16" s="16"/>
      <c r="M16" s="18"/>
      <c r="N16" s="16"/>
      <c r="O16" s="18"/>
      <c r="P16" s="16"/>
      <c r="Q16" s="18"/>
      <c r="R16" s="16"/>
      <c r="S16" s="18"/>
      <c r="T16" s="19"/>
    </row>
    <row r="17" spans="1:20" ht="15.95" customHeight="1" x14ac:dyDescent="0.25">
      <c r="A17" s="18"/>
      <c r="B17" s="16"/>
      <c r="C17" s="18"/>
      <c r="D17" s="16"/>
      <c r="E17" s="18"/>
      <c r="F17" s="16"/>
      <c r="G17" s="18"/>
      <c r="H17" s="16"/>
      <c r="I17" s="18"/>
      <c r="J17" s="16"/>
      <c r="K17" s="18"/>
      <c r="L17" s="16"/>
      <c r="M17" s="18"/>
      <c r="N17" s="16"/>
      <c r="O17" s="18"/>
      <c r="P17" s="16"/>
      <c r="Q17" s="18"/>
      <c r="R17" s="16"/>
      <c r="S17" s="18"/>
      <c r="T17" s="19"/>
    </row>
    <row r="18" spans="1:20" ht="15.95" customHeight="1" x14ac:dyDescent="0.25">
      <c r="A18" s="18"/>
      <c r="B18" s="16"/>
      <c r="C18" s="18"/>
      <c r="D18" s="16"/>
      <c r="E18" s="18"/>
      <c r="F18" s="16"/>
      <c r="G18" s="18"/>
      <c r="H18" s="16"/>
      <c r="I18" s="18"/>
      <c r="J18" s="16"/>
      <c r="K18" s="18"/>
      <c r="L18" s="16"/>
      <c r="M18" s="18"/>
      <c r="N18" s="16"/>
      <c r="O18" s="18"/>
      <c r="P18" s="16"/>
      <c r="Q18" s="18"/>
      <c r="R18" s="16"/>
      <c r="S18" s="18"/>
      <c r="T18" s="19"/>
    </row>
    <row r="19" spans="1:20" ht="15.95" customHeight="1" x14ac:dyDescent="0.25">
      <c r="A19" s="18"/>
      <c r="B19" s="16"/>
      <c r="C19" s="18"/>
      <c r="D19" s="16"/>
      <c r="E19" s="18"/>
      <c r="F19" s="16"/>
      <c r="G19" s="18"/>
      <c r="H19" s="16"/>
      <c r="I19" s="18"/>
      <c r="J19" s="16"/>
      <c r="K19" s="18"/>
      <c r="L19" s="16"/>
      <c r="M19" s="18"/>
      <c r="N19" s="16"/>
      <c r="O19" s="18"/>
      <c r="P19" s="16"/>
      <c r="Q19" s="18"/>
      <c r="R19" s="16"/>
      <c r="S19" s="18"/>
      <c r="T19" s="19"/>
    </row>
    <row r="20" spans="1:20" ht="15.95" customHeight="1" x14ac:dyDescent="0.25">
      <c r="A20" s="18"/>
      <c r="B20" s="16"/>
      <c r="C20" s="18"/>
      <c r="D20" s="16"/>
      <c r="E20" s="18"/>
      <c r="F20" s="16"/>
      <c r="G20" s="18"/>
      <c r="H20" s="16"/>
      <c r="I20" s="18"/>
      <c r="J20" s="16"/>
      <c r="K20" s="18"/>
      <c r="L20" s="16"/>
      <c r="M20" s="18"/>
      <c r="N20" s="16"/>
      <c r="O20" s="18"/>
      <c r="P20" s="16"/>
      <c r="Q20" s="18"/>
      <c r="R20" s="16"/>
      <c r="S20" s="18"/>
      <c r="T20" s="19"/>
    </row>
    <row r="21" spans="1:20" ht="15.95" customHeight="1" x14ac:dyDescent="0.25">
      <c r="A21" s="18"/>
      <c r="B21" s="16"/>
      <c r="C21" s="18"/>
      <c r="D21" s="16"/>
      <c r="E21" s="18"/>
      <c r="F21" s="16"/>
      <c r="G21" s="18"/>
      <c r="H21" s="16"/>
      <c r="I21" s="18"/>
      <c r="J21" s="16"/>
      <c r="K21" s="18"/>
      <c r="L21" s="16"/>
      <c r="M21" s="18"/>
      <c r="N21" s="16"/>
      <c r="O21" s="18"/>
      <c r="P21" s="16"/>
      <c r="Q21" s="18"/>
      <c r="R21" s="16"/>
      <c r="S21" s="18"/>
      <c r="T21" s="19"/>
    </row>
    <row r="22" spans="1:20" ht="15.95" customHeight="1" x14ac:dyDescent="0.25">
      <c r="A22" s="18"/>
      <c r="B22" s="16"/>
      <c r="C22" s="18"/>
      <c r="D22" s="16"/>
      <c r="E22" s="18"/>
      <c r="F22" s="16"/>
      <c r="G22" s="18"/>
      <c r="H22" s="16"/>
      <c r="I22" s="18"/>
      <c r="J22" s="16"/>
      <c r="K22" s="18"/>
      <c r="L22" s="16"/>
      <c r="M22" s="18"/>
      <c r="N22" s="16"/>
      <c r="O22" s="18"/>
      <c r="P22" s="16"/>
      <c r="Q22" s="18"/>
      <c r="R22" s="16"/>
      <c r="S22" s="18"/>
      <c r="T22" s="19"/>
    </row>
    <row r="23" spans="1:20" ht="15.95" customHeight="1" x14ac:dyDescent="0.25">
      <c r="A23" s="18"/>
      <c r="B23" s="16"/>
      <c r="C23" s="18"/>
      <c r="D23" s="16"/>
      <c r="E23" s="18"/>
      <c r="F23" s="16"/>
      <c r="G23" s="18"/>
      <c r="H23" s="16"/>
      <c r="I23" s="18"/>
      <c r="J23" s="16"/>
      <c r="K23" s="18"/>
      <c r="L23" s="16"/>
      <c r="M23" s="18"/>
      <c r="N23" s="16"/>
      <c r="O23" s="18"/>
      <c r="P23" s="16"/>
      <c r="Q23" s="18"/>
      <c r="R23" s="16"/>
      <c r="S23" s="18"/>
      <c r="T23" s="19"/>
    </row>
    <row r="24" spans="1:20" ht="15.95" customHeight="1" x14ac:dyDescent="0.25">
      <c r="A24" s="18"/>
      <c r="B24" s="16"/>
      <c r="C24" s="18"/>
      <c r="D24" s="16"/>
      <c r="E24" s="18"/>
      <c r="F24" s="16"/>
      <c r="G24" s="18"/>
      <c r="H24" s="16"/>
      <c r="I24" s="18"/>
      <c r="J24" s="16"/>
      <c r="K24" s="18"/>
      <c r="L24" s="16"/>
      <c r="M24" s="18"/>
      <c r="N24" s="16"/>
      <c r="O24" s="18"/>
      <c r="P24" s="16"/>
      <c r="Q24" s="18"/>
      <c r="R24" s="16"/>
      <c r="S24" s="18"/>
      <c r="T24" s="19"/>
    </row>
    <row r="25" spans="1:20" ht="15.95" customHeight="1" x14ac:dyDescent="0.25">
      <c r="A25" s="18"/>
      <c r="B25" s="16"/>
      <c r="C25" s="18"/>
      <c r="D25" s="16"/>
      <c r="E25" s="18"/>
      <c r="F25" s="16"/>
      <c r="G25" s="18"/>
      <c r="H25" s="16"/>
      <c r="I25" s="18"/>
      <c r="J25" s="16"/>
      <c r="K25" s="18"/>
      <c r="L25" s="16"/>
      <c r="M25" s="18"/>
      <c r="N25" s="16"/>
      <c r="O25" s="18"/>
      <c r="P25" s="16"/>
      <c r="Q25" s="18"/>
      <c r="R25" s="16"/>
      <c r="S25" s="18"/>
      <c r="T25" s="19"/>
    </row>
    <row r="26" spans="1:20" ht="15.95" customHeight="1" x14ac:dyDescent="0.25">
      <c r="A26" s="18"/>
      <c r="B26" s="16"/>
      <c r="C26" s="18"/>
      <c r="D26" s="16"/>
      <c r="E26" s="18"/>
      <c r="F26" s="16"/>
      <c r="G26" s="18"/>
      <c r="H26" s="16"/>
      <c r="I26" s="18"/>
      <c r="J26" s="16"/>
      <c r="K26" s="18"/>
      <c r="L26" s="16"/>
      <c r="M26" s="18"/>
      <c r="N26" s="16"/>
      <c r="O26" s="18"/>
      <c r="P26" s="16"/>
      <c r="Q26" s="18"/>
      <c r="R26" s="16"/>
      <c r="S26" s="18"/>
      <c r="T26" s="19"/>
    </row>
    <row r="27" spans="1:20" ht="15.95" customHeight="1" x14ac:dyDescent="0.25">
      <c r="A27" s="18"/>
      <c r="B27" s="16"/>
      <c r="C27" s="18"/>
      <c r="D27" s="16"/>
      <c r="E27" s="18"/>
      <c r="F27" s="16"/>
      <c r="G27" s="18"/>
      <c r="H27" s="16"/>
      <c r="I27" s="18"/>
      <c r="J27" s="16"/>
      <c r="K27" s="18"/>
      <c r="L27" s="16"/>
      <c r="M27" s="18"/>
      <c r="N27" s="16"/>
      <c r="O27" s="18"/>
      <c r="P27" s="16"/>
      <c r="Q27" s="18"/>
      <c r="R27" s="16"/>
      <c r="S27" s="18"/>
      <c r="T27" s="19"/>
    </row>
    <row r="28" spans="1:20" ht="15.95" customHeight="1" x14ac:dyDescent="0.25">
      <c r="A28" s="18"/>
      <c r="B28" s="16"/>
      <c r="C28" s="18"/>
      <c r="D28" s="16"/>
      <c r="E28" s="18"/>
      <c r="F28" s="16"/>
      <c r="G28" s="18"/>
      <c r="H28" s="16"/>
      <c r="I28" s="18"/>
      <c r="J28" s="16"/>
      <c r="K28" s="18"/>
      <c r="L28" s="16"/>
      <c r="M28" s="18"/>
      <c r="N28" s="16"/>
      <c r="O28" s="18"/>
      <c r="P28" s="16"/>
      <c r="Q28" s="18"/>
      <c r="R28" s="16"/>
      <c r="S28" s="18"/>
      <c r="T28" s="19"/>
    </row>
    <row r="29" spans="1:20" ht="15.95" customHeight="1" x14ac:dyDescent="0.25">
      <c r="A29" s="18"/>
      <c r="B29" s="16"/>
      <c r="C29" s="18"/>
      <c r="D29" s="16"/>
      <c r="E29" s="18"/>
      <c r="F29" s="16"/>
      <c r="G29" s="18"/>
      <c r="H29" s="16"/>
      <c r="I29" s="18"/>
      <c r="J29" s="16"/>
      <c r="K29" s="18"/>
      <c r="L29" s="16"/>
      <c r="M29" s="18"/>
      <c r="N29" s="16"/>
      <c r="O29" s="18"/>
      <c r="P29" s="16"/>
      <c r="Q29" s="18"/>
      <c r="R29" s="16"/>
      <c r="S29" s="18"/>
      <c r="T29" s="19"/>
    </row>
    <row r="30" spans="1:20" ht="15.95" customHeight="1" x14ac:dyDescent="0.25">
      <c r="A30" s="18"/>
      <c r="B30" s="16"/>
      <c r="C30" s="18"/>
      <c r="D30" s="16"/>
      <c r="E30" s="18"/>
      <c r="F30" s="16"/>
      <c r="G30" s="18"/>
      <c r="H30" s="16"/>
      <c r="I30" s="18"/>
      <c r="J30" s="16"/>
      <c r="K30" s="18"/>
      <c r="L30" s="16"/>
      <c r="M30" s="18"/>
      <c r="N30" s="16"/>
      <c r="O30" s="18"/>
      <c r="P30" s="16"/>
      <c r="Q30" s="18"/>
      <c r="R30" s="16"/>
      <c r="S30" s="18"/>
      <c r="T30" s="19"/>
    </row>
    <row r="31" spans="1:20" ht="15.95" customHeight="1" x14ac:dyDescent="0.25">
      <c r="A31" s="18"/>
      <c r="B31" s="16"/>
      <c r="C31" s="18"/>
      <c r="D31" s="16"/>
      <c r="E31" s="18"/>
      <c r="F31" s="16"/>
      <c r="G31" s="18"/>
      <c r="H31" s="16"/>
      <c r="I31" s="18"/>
      <c r="J31" s="16"/>
      <c r="K31" s="18"/>
      <c r="L31" s="16"/>
      <c r="M31" s="18"/>
      <c r="N31" s="16"/>
      <c r="O31" s="18"/>
      <c r="P31" s="16"/>
      <c r="Q31" s="18"/>
      <c r="R31" s="16"/>
      <c r="S31" s="18"/>
      <c r="T31" s="19"/>
    </row>
    <row r="32" spans="1:20" ht="15.95" customHeight="1" x14ac:dyDescent="0.25">
      <c r="A32" s="18"/>
      <c r="B32" s="16"/>
      <c r="C32" s="18"/>
      <c r="D32" s="16"/>
      <c r="E32" s="18"/>
      <c r="F32" s="16"/>
      <c r="G32" s="18"/>
      <c r="H32" s="16"/>
      <c r="I32" s="18"/>
      <c r="J32" s="16"/>
      <c r="K32" s="18"/>
      <c r="L32" s="16"/>
      <c r="M32" s="18"/>
      <c r="N32" s="16"/>
      <c r="O32" s="18"/>
      <c r="P32" s="16"/>
      <c r="Q32" s="18"/>
      <c r="R32" s="16"/>
      <c r="S32" s="18"/>
      <c r="T32" s="19"/>
    </row>
    <row r="33" spans="1:20" ht="15.95" customHeight="1" x14ac:dyDescent="0.25">
      <c r="A33" s="21"/>
      <c r="B33" s="16"/>
      <c r="C33" s="18"/>
      <c r="D33" s="16"/>
      <c r="E33" s="18"/>
      <c r="F33" s="16"/>
      <c r="G33" s="18"/>
      <c r="H33" s="16"/>
      <c r="I33" s="18"/>
      <c r="J33" s="16"/>
      <c r="K33" s="18"/>
      <c r="L33" s="16"/>
      <c r="M33" s="18"/>
      <c r="N33" s="16"/>
      <c r="O33" s="18"/>
      <c r="P33" s="16"/>
      <c r="Q33" s="18"/>
      <c r="R33" s="16"/>
      <c r="S33" s="18"/>
      <c r="T33" s="19"/>
    </row>
    <row r="34" spans="1:20" ht="15.95" customHeight="1" x14ac:dyDescent="0.25">
      <c r="A34" s="18"/>
      <c r="B34" s="16"/>
      <c r="C34" s="18"/>
      <c r="D34" s="16"/>
      <c r="E34" s="18"/>
      <c r="F34" s="16"/>
      <c r="G34" s="18"/>
      <c r="H34" s="16"/>
      <c r="I34" s="18"/>
      <c r="J34" s="16"/>
      <c r="K34" s="18"/>
      <c r="L34" s="16"/>
      <c r="M34" s="18"/>
      <c r="N34" s="16"/>
      <c r="O34" s="18"/>
      <c r="P34" s="16"/>
      <c r="Q34" s="18"/>
      <c r="R34" s="16"/>
      <c r="S34" s="18"/>
      <c r="T34" s="19"/>
    </row>
    <row r="35" spans="1:20" ht="15.95" customHeight="1" x14ac:dyDescent="0.25">
      <c r="A35" s="18"/>
      <c r="B35" s="16"/>
      <c r="C35" s="18"/>
      <c r="D35" s="16"/>
      <c r="E35" s="18"/>
      <c r="F35" s="16"/>
      <c r="G35" s="18"/>
      <c r="H35" s="16"/>
      <c r="I35" s="18"/>
      <c r="J35" s="16"/>
      <c r="K35" s="18"/>
      <c r="L35" s="16"/>
      <c r="M35" s="18"/>
      <c r="N35" s="16"/>
      <c r="O35" s="18"/>
      <c r="P35" s="16"/>
      <c r="Q35" s="18"/>
      <c r="R35" s="16"/>
      <c r="S35" s="18"/>
      <c r="T35" s="19"/>
    </row>
    <row r="36" spans="1:20" ht="15.95" customHeight="1" x14ac:dyDescent="0.25">
      <c r="A36" s="18"/>
      <c r="B36" s="16"/>
      <c r="C36" s="18"/>
      <c r="D36" s="16"/>
      <c r="E36" s="18"/>
      <c r="F36" s="16"/>
      <c r="G36" s="18"/>
      <c r="H36" s="16"/>
      <c r="I36" s="18"/>
      <c r="J36" s="16"/>
      <c r="K36" s="18"/>
      <c r="L36" s="16"/>
      <c r="M36" s="18"/>
      <c r="N36" s="16"/>
      <c r="O36" s="18"/>
      <c r="P36" s="16"/>
      <c r="Q36" s="18"/>
      <c r="R36" s="16"/>
      <c r="S36" s="18"/>
      <c r="T36" s="19"/>
    </row>
    <row r="37" spans="1:20" ht="15.95" customHeight="1" x14ac:dyDescent="0.25">
      <c r="A37" s="18"/>
      <c r="B37" s="16"/>
      <c r="C37" s="18"/>
      <c r="D37" s="16"/>
      <c r="E37" s="18"/>
      <c r="F37" s="16"/>
      <c r="G37" s="18"/>
      <c r="H37" s="16"/>
      <c r="I37" s="18"/>
      <c r="J37" s="16"/>
      <c r="K37" s="18"/>
      <c r="L37" s="16"/>
      <c r="M37" s="18"/>
      <c r="N37" s="16"/>
      <c r="O37" s="18"/>
      <c r="P37" s="16"/>
      <c r="Q37" s="18"/>
      <c r="R37" s="16"/>
      <c r="S37" s="18"/>
      <c r="T37" s="19"/>
    </row>
    <row r="38" spans="1:20" ht="15.95" customHeight="1" x14ac:dyDescent="0.25">
      <c r="A38" s="18"/>
      <c r="B38" s="16"/>
      <c r="C38" s="18"/>
      <c r="D38" s="16"/>
      <c r="E38" s="18"/>
      <c r="F38" s="16"/>
      <c r="G38" s="18"/>
      <c r="H38" s="16"/>
      <c r="I38" s="18"/>
      <c r="J38" s="16"/>
      <c r="K38" s="18"/>
      <c r="L38" s="16"/>
      <c r="M38" s="18"/>
      <c r="N38" s="16"/>
      <c r="O38" s="18"/>
      <c r="P38" s="16"/>
      <c r="Q38" s="18"/>
      <c r="R38" s="16"/>
      <c r="S38" s="18"/>
      <c r="T38" s="20"/>
    </row>
    <row r="39" spans="1:20" ht="15.95" customHeight="1" x14ac:dyDescent="0.25">
      <c r="A39" s="18"/>
      <c r="B39" s="16"/>
      <c r="C39" s="18"/>
      <c r="D39" s="16"/>
      <c r="E39" s="18"/>
      <c r="F39" s="16"/>
      <c r="G39" s="18"/>
      <c r="H39" s="16"/>
      <c r="I39" s="18"/>
      <c r="J39" s="16"/>
      <c r="K39" s="18"/>
      <c r="L39" s="16"/>
      <c r="M39" s="18"/>
      <c r="N39" s="16"/>
      <c r="O39" s="18"/>
      <c r="P39" s="16"/>
      <c r="Q39" s="18"/>
      <c r="R39" s="16"/>
      <c r="S39" s="18"/>
      <c r="T39" s="20"/>
    </row>
    <row r="40" spans="1:20" ht="15.95" customHeight="1" x14ac:dyDescent="0.25">
      <c r="A40" s="18"/>
      <c r="B40" s="16"/>
      <c r="C40" s="18"/>
      <c r="D40" s="16"/>
      <c r="E40" s="18"/>
      <c r="F40" s="16"/>
      <c r="G40" s="18"/>
      <c r="H40" s="16"/>
      <c r="I40" s="18"/>
      <c r="J40" s="16"/>
      <c r="K40" s="18"/>
      <c r="L40" s="16"/>
      <c r="M40" s="18"/>
      <c r="N40" s="16"/>
      <c r="O40" s="18"/>
      <c r="P40" s="16"/>
      <c r="Q40" s="18"/>
      <c r="R40" s="16"/>
      <c r="S40" s="18"/>
      <c r="T40" s="20"/>
    </row>
    <row r="41" spans="1:20" ht="15.95" customHeight="1" x14ac:dyDescent="0.25">
      <c r="A41" s="18"/>
      <c r="B41" s="16"/>
      <c r="C41" s="18"/>
      <c r="D41" s="16"/>
      <c r="E41" s="18"/>
      <c r="F41" s="16"/>
      <c r="G41" s="18"/>
      <c r="H41" s="16"/>
      <c r="I41" s="18"/>
      <c r="J41" s="16"/>
      <c r="K41" s="18"/>
      <c r="L41" s="16"/>
      <c r="M41" s="18"/>
      <c r="N41" s="16"/>
      <c r="O41" s="18"/>
      <c r="P41" s="16"/>
      <c r="Q41" s="18"/>
      <c r="R41" s="16"/>
      <c r="S41" s="18"/>
      <c r="T41" s="20"/>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 priority="22" stopIfTrue="1">
      <formula>NOT(ISERROR(A3))</formula>
    </cfRule>
  </conditionalFormatting>
  <conditionalFormatting sqref="A3:T7 A8 C8 E8 G8 I8 K8 M8 O8 Q8 S8 A9:T51">
    <cfRule type="notContainsBlanks" dxfId="50" priority="23">
      <formula>LEN(TRIM(A3))&gt;0</formula>
    </cfRule>
  </conditionalFormatting>
  <conditionalFormatting sqref="A3:T51">
    <cfRule type="containsErrors" dxfId="49" priority="1" stopIfTrue="1">
      <formula>ISERROR(A3)</formula>
    </cfRule>
  </conditionalFormatting>
  <conditionalFormatting sqref="B8">
    <cfRule type="notContainsBlanks" dxfId="48" priority="20">
      <formula>LEN(TRIM(B8))&gt;0</formula>
    </cfRule>
  </conditionalFormatting>
  <conditionalFormatting sqref="D8">
    <cfRule type="notContainsBlanks" dxfId="47" priority="18">
      <formula>LEN(TRIM(D8))&gt;0</formula>
    </cfRule>
  </conditionalFormatting>
  <conditionalFormatting sqref="F8">
    <cfRule type="notContainsBlanks" dxfId="46" priority="16">
      <formula>LEN(TRIM(F8))&gt;0</formula>
    </cfRule>
  </conditionalFormatting>
  <conditionalFormatting sqref="H8">
    <cfRule type="notContainsBlanks" dxfId="45" priority="14">
      <formula>LEN(TRIM(H8))&gt;0</formula>
    </cfRule>
  </conditionalFormatting>
  <conditionalFormatting sqref="J8">
    <cfRule type="notContainsBlanks" dxfId="44" priority="12">
      <formula>LEN(TRIM(J8))&gt;0</formula>
    </cfRule>
  </conditionalFormatting>
  <conditionalFormatting sqref="L8">
    <cfRule type="notContainsBlanks" dxfId="43" priority="10">
      <formula>LEN(TRIM(L8))&gt;0</formula>
    </cfRule>
  </conditionalFormatting>
  <conditionalFormatting sqref="N8">
    <cfRule type="notContainsBlanks" dxfId="42" priority="8">
      <formula>LEN(TRIM(N8))&gt;0</formula>
    </cfRule>
  </conditionalFormatting>
  <conditionalFormatting sqref="P8">
    <cfRule type="notContainsBlanks" dxfId="41" priority="6">
      <formula>LEN(TRIM(P8))&gt;0</formula>
    </cfRule>
  </conditionalFormatting>
  <conditionalFormatting sqref="R8">
    <cfRule type="notContainsBlanks" dxfId="40" priority="4">
      <formula>LEN(TRIM(R8))&gt;0</formula>
    </cfRule>
  </conditionalFormatting>
  <conditionalFormatting sqref="T8">
    <cfRule type="notContainsBlanks" dxfId="39" priority="2">
      <formula>LEN(TRIM(T8))&gt;0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B66C8-F96B-4C75-A002-34FBC305F4D1}">
  <sheetPr codeName="Sheet99"/>
  <dimension ref="A1:T51"/>
  <sheetViews>
    <sheetView workbookViewId="0">
      <selection activeCell="I3" sqref="I3:I14"/>
    </sheetView>
  </sheetViews>
  <sheetFormatPr defaultColWidth="9.28515625" defaultRowHeight="15" x14ac:dyDescent="0.25"/>
  <cols>
    <col min="1" max="1" width="44.7109375" customWidth="1"/>
    <col min="2" max="2" width="13.85546875" customWidth="1"/>
  </cols>
  <sheetData>
    <row r="1" spans="1:20" x14ac:dyDescent="0.25">
      <c r="A1" s="23" t="str">
        <f>HYPERLINK("#Sheets!A1","Back to sheets")</f>
        <v>Back to sheets</v>
      </c>
    </row>
    <row r="2" spans="1:20" ht="15.95" customHeight="1" x14ac:dyDescent="0.25">
      <c r="A2" s="8" t="s">
        <v>3</v>
      </c>
      <c r="B2" s="9" t="s">
        <v>31</v>
      </c>
      <c r="C2" s="8" t="s">
        <v>7</v>
      </c>
      <c r="D2" s="9" t="s">
        <v>31</v>
      </c>
      <c r="E2" s="8" t="s">
        <v>9</v>
      </c>
      <c r="F2" s="9" t="s">
        <v>31</v>
      </c>
      <c r="G2" s="8" t="s">
        <v>10</v>
      </c>
      <c r="H2" s="9" t="s">
        <v>31</v>
      </c>
      <c r="I2" s="8" t="s">
        <v>11</v>
      </c>
      <c r="J2" s="9" t="s">
        <v>31</v>
      </c>
      <c r="K2" s="8" t="s">
        <v>12</v>
      </c>
      <c r="L2" s="9" t="s">
        <v>31</v>
      </c>
      <c r="M2" s="8" t="s">
        <v>13</v>
      </c>
      <c r="N2" s="9" t="s">
        <v>31</v>
      </c>
      <c r="O2" s="8" t="s">
        <v>14</v>
      </c>
      <c r="P2" s="9" t="s">
        <v>31</v>
      </c>
      <c r="Q2" s="8" t="s">
        <v>15</v>
      </c>
      <c r="R2" s="9" t="s">
        <v>31</v>
      </c>
      <c r="S2" s="8" t="s">
        <v>16</v>
      </c>
      <c r="T2" s="8" t="s">
        <v>31</v>
      </c>
    </row>
    <row r="3" spans="1:20" ht="15.95" customHeight="1" x14ac:dyDescent="0.25">
      <c r="A3" s="17" t="s">
        <v>34</v>
      </c>
      <c r="B3" s="16" t="str">
        <f>TRIM(_xlfn.TEXTBEFORE(A3, ":"))</f>
        <v>Item Class</v>
      </c>
      <c r="C3" s="17" t="s">
        <v>62</v>
      </c>
      <c r="D3" s="16" t="str">
        <f>TRIM(_xlfn.TEXTBEFORE(C3, ":"))</f>
        <v>Gegenstandsklasse</v>
      </c>
      <c r="E3" s="17" t="s">
        <v>73</v>
      </c>
      <c r="F3" s="16" t="str">
        <f>TRIM(_xlfn.TEXTBEFORE(E3, ":"))</f>
        <v>Clase de objeto</v>
      </c>
      <c r="G3" s="17" t="s">
        <v>49</v>
      </c>
      <c r="H3" s="16" t="str">
        <f>TRIM(_xlfn.TEXTBEFORE(G3, ":"))</f>
        <v>Classe d'objet</v>
      </c>
      <c r="I3" s="17" t="s">
        <v>84</v>
      </c>
      <c r="J3" s="16" t="str">
        <f>TRIM(_xlfn.TEXTBEFORE(I3, ":"))</f>
        <v>アイテムクラス</v>
      </c>
      <c r="K3" s="17" t="s">
        <v>95</v>
      </c>
      <c r="L3" s="16" t="str">
        <f>TRIM(_xlfn.TEXTBEFORE(K3, ":"))</f>
        <v>아이템 종류</v>
      </c>
      <c r="M3" s="17" t="s">
        <v>106</v>
      </c>
      <c r="N3" s="16" t="str">
        <f>TRIM(_xlfn.TEXTBEFORE(M3, ":"))</f>
        <v>Classe do Item</v>
      </c>
      <c r="O3" s="17" t="s">
        <v>115</v>
      </c>
      <c r="P3" s="16" t="str">
        <f>TRIM(_xlfn.TEXTBEFORE(O3, ":"))</f>
        <v>Класс предмета</v>
      </c>
      <c r="Q3" s="17" t="s">
        <v>127</v>
      </c>
      <c r="R3" s="16" t="str">
        <f>TRIM(_xlfn.TEXTBEFORE(Q3, ":"))</f>
        <v>ชนิดไอเทม</v>
      </c>
      <c r="S3" s="17"/>
      <c r="T3" s="19" t="e">
        <f>TRIM(_xlfn.TEXTBEFORE(S3, ":"))</f>
        <v>#N/A</v>
      </c>
    </row>
    <row r="4" spans="1:20" ht="15.95" customHeight="1" x14ac:dyDescent="0.25">
      <c r="A4" s="18" t="s">
        <v>35</v>
      </c>
      <c r="B4" s="16" t="str">
        <f>TRIM(_xlfn.TEXTAFTER(A3, ":"))</f>
        <v>Maps</v>
      </c>
      <c r="C4" s="18" t="s">
        <v>63</v>
      </c>
      <c r="D4" s="16" t="str">
        <f>TRIM(_xlfn.TEXTAFTER(C3, ":"))</f>
        <v>Karten</v>
      </c>
      <c r="E4" s="18" t="s">
        <v>74</v>
      </c>
      <c r="F4" s="16" t="str">
        <f>TRIM(_xlfn.TEXTAFTER(E3, ":"))</f>
        <v>Mapas</v>
      </c>
      <c r="G4" s="18" t="s">
        <v>50</v>
      </c>
      <c r="H4" s="16" t="str">
        <f>TRIM(_xlfn.TEXTAFTER(G3, ":"))</f>
        <v>Cartes</v>
      </c>
      <c r="I4" s="18" t="s">
        <v>85</v>
      </c>
      <c r="J4" s="16" t="str">
        <f>TRIM(_xlfn.TEXTAFTER(I3, ":"))</f>
        <v>マップ</v>
      </c>
      <c r="K4" s="18" t="s">
        <v>96</v>
      </c>
      <c r="L4" s="16" t="str">
        <f>TRIM(_xlfn.TEXTAFTER(K3, ":"))</f>
        <v>지도</v>
      </c>
      <c r="M4" s="18" t="s">
        <v>107</v>
      </c>
      <c r="N4" s="16" t="str">
        <f>TRIM(_xlfn.TEXTAFTER(M3, ":"))</f>
        <v>Mapas</v>
      </c>
      <c r="O4" s="18" t="s">
        <v>116</v>
      </c>
      <c r="P4" s="16" t="str">
        <f>TRIM(_xlfn.TEXTAFTER(O3, ":"))</f>
        <v>Карты</v>
      </c>
      <c r="Q4" s="18" t="s">
        <v>128</v>
      </c>
      <c r="R4" s="16" t="str">
        <f>TRIM(_xlfn.TEXTAFTER(Q3, ":"))</f>
        <v>แผนที่</v>
      </c>
      <c r="S4" s="18"/>
      <c r="T4" s="19" t="e">
        <f>TRIM(_xlfn.TEXTAFTER(S3, ":"))</f>
        <v>#N/A</v>
      </c>
    </row>
    <row r="5" spans="1:20" ht="15.95" customHeight="1" x14ac:dyDescent="0.25">
      <c r="A5" s="18" t="s">
        <v>163</v>
      </c>
      <c r="B5" s="16" t="str">
        <f>TRIM(_xlfn.TEXTBEFORE(A4, ":"))</f>
        <v>Rarity</v>
      </c>
      <c r="C5" s="18" t="s">
        <v>192</v>
      </c>
      <c r="D5" s="16" t="str">
        <f>TRIM(_xlfn.TEXTBEFORE(C4, ":"))</f>
        <v>Seltenheit</v>
      </c>
      <c r="E5" s="18" t="s">
        <v>240</v>
      </c>
      <c r="F5" s="16" t="str">
        <f>TRIM(_xlfn.TEXTBEFORE(E4, ":"))</f>
        <v>Rareza</v>
      </c>
      <c r="G5" s="18" t="s">
        <v>180</v>
      </c>
      <c r="H5" s="16" t="str">
        <f>TRIM(_xlfn.TEXTBEFORE(G4, ":"))</f>
        <v>Rareté</v>
      </c>
      <c r="I5" s="18" t="s">
        <v>264</v>
      </c>
      <c r="J5" s="16" t="str">
        <f>TRIM(_xlfn.TEXTBEFORE(I4, ":"))</f>
        <v>レアリティ</v>
      </c>
      <c r="K5" s="18" t="s">
        <v>252</v>
      </c>
      <c r="L5" s="16" t="str">
        <f>TRIM(_xlfn.TEXTBEFORE(K4, ":"))</f>
        <v>아이템 희귀도</v>
      </c>
      <c r="M5" s="18" t="s">
        <v>204</v>
      </c>
      <c r="N5" s="16" t="str">
        <f>TRIM(_xlfn.TEXTBEFORE(M4, ":"))</f>
        <v>Raridade</v>
      </c>
      <c r="O5" s="18" t="s">
        <v>216</v>
      </c>
      <c r="P5" s="16" t="str">
        <f>TRIM(_xlfn.TEXTBEFORE(O4, ":"))</f>
        <v>Редкость</v>
      </c>
      <c r="Q5" s="18" t="s">
        <v>228</v>
      </c>
      <c r="R5" s="16" t="str">
        <f>TRIM(_xlfn.TEXTBEFORE(Q4, ":"))</f>
        <v>ความหายาก</v>
      </c>
      <c r="S5" s="18"/>
      <c r="T5" s="19" t="e">
        <f>TRIM(_xlfn.TEXTBEFORE(S4, ":"))</f>
        <v>#N/A</v>
      </c>
    </row>
    <row r="6" spans="1:20" ht="15.95" customHeight="1" x14ac:dyDescent="0.25">
      <c r="A6" s="18" t="s">
        <v>0</v>
      </c>
      <c r="B6" s="16" t="str">
        <f>TRIM(_xlfn.TEXTAFTER(A4,":"))</f>
        <v>Normal</v>
      </c>
      <c r="C6" s="18" t="s">
        <v>0</v>
      </c>
      <c r="D6" s="16" t="str">
        <f>TRIM(_xlfn.TEXTAFTER(C4,":"))</f>
        <v>Normal</v>
      </c>
      <c r="E6" s="18" t="s">
        <v>0</v>
      </c>
      <c r="F6" s="16" t="str">
        <f>TRIM(_xlfn.TEXTAFTER(E4,":"))</f>
        <v>Normal</v>
      </c>
      <c r="G6" s="18" t="s">
        <v>0</v>
      </c>
      <c r="H6" s="16" t="str">
        <f>TRIM(_xlfn.TEXTAFTER(G4,":"))</f>
        <v>Normal</v>
      </c>
      <c r="I6" s="18" t="s">
        <v>0</v>
      </c>
      <c r="J6" s="16" t="str">
        <f>TRIM(_xlfn.TEXTAFTER(I4,":"))</f>
        <v>ノーマル</v>
      </c>
      <c r="K6" s="18" t="s">
        <v>0</v>
      </c>
      <c r="L6" s="16" t="str">
        <f>TRIM(_xlfn.TEXTAFTER(K4,":"))</f>
        <v>일반</v>
      </c>
      <c r="M6" s="18" t="s">
        <v>0</v>
      </c>
      <c r="N6" s="16" t="str">
        <f>TRIM(_xlfn.TEXTAFTER(M4,":"))</f>
        <v>Normal</v>
      </c>
      <c r="O6" s="18" t="s">
        <v>0</v>
      </c>
      <c r="P6" s="16" t="str">
        <f>TRIM(_xlfn.TEXTAFTER(O4,":"))</f>
        <v>Обычный</v>
      </c>
      <c r="Q6" s="18" t="s">
        <v>0</v>
      </c>
      <c r="R6" s="16" t="str">
        <f>TRIM(_xlfn.TEXTAFTER(Q4,":"))</f>
        <v>ปกติ</v>
      </c>
      <c r="S6" s="18"/>
      <c r="T6" s="19" t="e">
        <f>TRIM(_xlfn.TEXTAFTER(S4,":"))</f>
        <v>#N/A</v>
      </c>
    </row>
    <row r="7" spans="1:20" ht="15.95" customHeight="1" x14ac:dyDescent="0.25">
      <c r="A7" s="18" t="s">
        <v>170</v>
      </c>
      <c r="B7" s="16" t="str">
        <f>TRIM(_xlfn.TEXTBEFORE(A7,":"))</f>
        <v>More Divination Cards</v>
      </c>
      <c r="C7" s="18" t="s">
        <v>199</v>
      </c>
      <c r="D7" s="16" t="str">
        <f>TRIM(_xlfn.TEXTBEFORE(C7,":"))</f>
        <v>Mehr Weissagungskarten</v>
      </c>
      <c r="E7" s="18" t="s">
        <v>247</v>
      </c>
      <c r="F7" s="16" t="str">
        <f>TRIM(_xlfn.TEXTBEFORE(E7,":"))</f>
        <v>Más cartas de adivinación</v>
      </c>
      <c r="G7" s="18" t="s">
        <v>187</v>
      </c>
      <c r="H7" s="16" t="str">
        <f>TRIM(_xlfn.TEXTBEFORE(G7,":"))</f>
        <v>Davantage de Cartes divinatoires</v>
      </c>
      <c r="I7" s="18" t="s">
        <v>271</v>
      </c>
      <c r="J7" s="16" t="str">
        <f>TRIM(_xlfn.TEXTBEFORE(I7,":"))</f>
        <v>占いカード増加</v>
      </c>
      <c r="K7" s="18" t="s">
        <v>259</v>
      </c>
      <c r="L7" s="16" t="str">
        <f>TRIM(_xlfn.TEXTBEFORE(K7,":"))</f>
        <v>점술 카드 증폭</v>
      </c>
      <c r="M7" s="18" t="s">
        <v>211</v>
      </c>
      <c r="N7" s="16" t="str">
        <f>TRIM(_xlfn.TEXTBEFORE(M7,":"))</f>
        <v>Mais Cartas de Adivinhação</v>
      </c>
      <c r="O7" s="18" t="s">
        <v>223</v>
      </c>
      <c r="P7" s="16" t="str">
        <f>TRIM(_xlfn.TEXTBEFORE(O7,":"))</f>
        <v>Больше гадальных карт</v>
      </c>
      <c r="Q7" s="18" t="s">
        <v>235</v>
      </c>
      <c r="R7" s="16" t="str">
        <f>TRIM(_xlfn.TEXTBEFORE(Q7,":"))</f>
        <v>เพิ่มไพ่พยากรณ์</v>
      </c>
      <c r="S7" s="18"/>
      <c r="T7" s="16" t="e">
        <f>TRIM(_xlfn.TEXTBEFORE(S7,":"))</f>
        <v>#N/A</v>
      </c>
    </row>
    <row r="8" spans="1:20" ht="15.95" customHeight="1" x14ac:dyDescent="0.25">
      <c r="A8" s="18" t="s">
        <v>171</v>
      </c>
      <c r="B8" s="16" t="str">
        <f>TRIM(_xlfn.TEXTBEFORE(A8,":"))</f>
        <v>Quality (Divination Cards)</v>
      </c>
      <c r="C8" s="18" t="s">
        <v>200</v>
      </c>
      <c r="D8" s="16" t="str">
        <f>TRIM(_xlfn.TEXTBEFORE(C8,":"))</f>
        <v>Qualität (Weissagungskarten)</v>
      </c>
      <c r="E8" s="18" t="s">
        <v>248</v>
      </c>
      <c r="F8" s="16" t="str">
        <f>TRIM(_xlfn.TEXTBEFORE(E8,":"))</f>
        <v>Calidad (cartas de adivinación)</v>
      </c>
      <c r="G8" s="18" t="s">
        <v>188</v>
      </c>
      <c r="H8" s="16" t="str">
        <f>TRIM(_xlfn.TEXTBEFORE(G8,":"))</f>
        <v>Qualité (Cartes divinatoires)</v>
      </c>
      <c r="I8" s="18" t="s">
        <v>272</v>
      </c>
      <c r="J8" s="16" t="str">
        <f>TRIM(_xlfn.TEXTBEFORE(I8,":"))</f>
        <v>品質 (占いカード)</v>
      </c>
      <c r="K8" s="18" t="s">
        <v>260</v>
      </c>
      <c r="L8" s="16" t="str">
        <f>TRIM(_xlfn.TEXTBEFORE(K8,":"))</f>
        <v>퀄리티 (점술 카드)</v>
      </c>
      <c r="M8" s="18" t="s">
        <v>212</v>
      </c>
      <c r="N8" s="16" t="str">
        <f>TRIM(_xlfn.TEXTBEFORE(M8,":"))</f>
        <v>Qualidade (Cartas de Adivinhação)</v>
      </c>
      <c r="O8" s="18" t="s">
        <v>224</v>
      </c>
      <c r="P8" s="16" t="str">
        <f>TRIM(_xlfn.TEXTBEFORE(O8,":"))</f>
        <v>Качество (гадальные карты)</v>
      </c>
      <c r="Q8" s="18" t="s">
        <v>236</v>
      </c>
      <c r="R8" s="16" t="str">
        <f>TRIM(_xlfn.TEXTBEFORE(Q8,":"))</f>
        <v>ค่าคุณภาพ (ไพ่พยากรณ์)</v>
      </c>
      <c r="S8" s="18"/>
      <c r="T8" s="16" t="e">
        <f>TRIM(_xlfn.TEXTBEFORE(S8,":"))</f>
        <v>#N/A</v>
      </c>
    </row>
    <row r="9" spans="1:20" ht="15.95" customHeight="1" x14ac:dyDescent="0.25">
      <c r="A9" s="18" t="s">
        <v>0</v>
      </c>
      <c r="B9" s="16"/>
      <c r="C9" s="18" t="s">
        <v>0</v>
      </c>
      <c r="D9" s="16"/>
      <c r="E9" s="18" t="s">
        <v>0</v>
      </c>
      <c r="F9" s="16"/>
      <c r="G9" s="18" t="s">
        <v>0</v>
      </c>
      <c r="H9" s="16"/>
      <c r="I9" s="18" t="s">
        <v>0</v>
      </c>
      <c r="J9" s="16"/>
      <c r="K9" s="18" t="s">
        <v>0</v>
      </c>
      <c r="L9" s="16"/>
      <c r="M9" s="18" t="s">
        <v>0</v>
      </c>
      <c r="N9" s="16"/>
      <c r="O9" s="18" t="s">
        <v>0</v>
      </c>
      <c r="P9" s="16"/>
      <c r="Q9" s="18" t="s">
        <v>0</v>
      </c>
      <c r="R9" s="16"/>
      <c r="S9" s="18"/>
      <c r="T9" s="19"/>
    </row>
    <row r="10" spans="1:20" ht="15.95" customHeight="1" x14ac:dyDescent="0.25">
      <c r="A10" s="18" t="s">
        <v>33</v>
      </c>
      <c r="B10" s="16"/>
      <c r="C10" s="18" t="s">
        <v>71</v>
      </c>
      <c r="D10" s="16"/>
      <c r="E10" s="18" t="s">
        <v>82</v>
      </c>
      <c r="F10" s="16"/>
      <c r="G10" s="18" t="s">
        <v>59</v>
      </c>
      <c r="H10" s="16"/>
      <c r="I10" s="18" t="s">
        <v>93</v>
      </c>
      <c r="J10" s="16"/>
      <c r="K10" s="18" t="s">
        <v>104</v>
      </c>
      <c r="L10" s="16"/>
      <c r="M10" s="18" t="s">
        <v>113</v>
      </c>
      <c r="N10" s="16"/>
      <c r="O10" s="18" t="s">
        <v>125</v>
      </c>
      <c r="P10" s="16"/>
      <c r="Q10" s="18" t="s">
        <v>136</v>
      </c>
      <c r="R10" s="16"/>
      <c r="S10" s="18"/>
      <c r="T10" s="19"/>
    </row>
    <row r="11" spans="1:20" ht="15.95" customHeight="1" x14ac:dyDescent="0.25">
      <c r="A11" s="18" t="s">
        <v>0</v>
      </c>
      <c r="B11" s="16"/>
      <c r="C11" s="18" t="s">
        <v>0</v>
      </c>
      <c r="D11" s="16"/>
      <c r="E11" s="18" t="s">
        <v>0</v>
      </c>
      <c r="F11" s="16"/>
      <c r="G11" s="18" t="s">
        <v>0</v>
      </c>
      <c r="H11" s="16"/>
      <c r="I11" s="18" t="s">
        <v>0</v>
      </c>
      <c r="J11" s="16"/>
      <c r="K11" s="18" t="s">
        <v>0</v>
      </c>
      <c r="L11" s="16"/>
      <c r="M11" s="18" t="s">
        <v>0</v>
      </c>
      <c r="N11" s="16"/>
      <c r="O11" s="18" t="s">
        <v>0</v>
      </c>
      <c r="P11" s="16"/>
      <c r="Q11" s="18" t="s">
        <v>0</v>
      </c>
      <c r="R11" s="16"/>
      <c r="S11" s="18"/>
      <c r="T11" s="19"/>
    </row>
    <row r="12" spans="1:20" ht="15.95" customHeight="1" x14ac:dyDescent="0.25">
      <c r="A12" s="18" t="s">
        <v>164</v>
      </c>
      <c r="B12" s="16"/>
      <c r="C12" s="18" t="s">
        <v>193</v>
      </c>
      <c r="D12" s="16"/>
      <c r="E12" s="18" t="s">
        <v>241</v>
      </c>
      <c r="F12" s="16"/>
      <c r="G12" s="18" t="s">
        <v>181</v>
      </c>
      <c r="H12" s="16"/>
      <c r="I12" s="18" t="s">
        <v>265</v>
      </c>
      <c r="J12" s="16"/>
      <c r="K12" s="18" t="s">
        <v>253</v>
      </c>
      <c r="L12" s="16"/>
      <c r="M12" s="18" t="s">
        <v>205</v>
      </c>
      <c r="N12" s="16"/>
      <c r="O12" s="18" t="s">
        <v>217</v>
      </c>
      <c r="P12" s="16"/>
      <c r="Q12" s="18" t="s">
        <v>229</v>
      </c>
      <c r="R12" s="16"/>
      <c r="S12" s="18"/>
      <c r="T12" s="19"/>
    </row>
    <row r="13" spans="1:20" ht="15.95" customHeight="1" x14ac:dyDescent="0.25">
      <c r="A13" s="18" t="s">
        <v>0</v>
      </c>
      <c r="B13" s="16"/>
      <c r="C13" s="18" t="s">
        <v>0</v>
      </c>
      <c r="D13" s="16"/>
      <c r="E13" s="18" t="s">
        <v>0</v>
      </c>
      <c r="F13" s="16"/>
      <c r="G13" s="18" t="s">
        <v>0</v>
      </c>
      <c r="H13" s="16"/>
      <c r="I13" s="18" t="s">
        <v>0</v>
      </c>
      <c r="J13" s="16"/>
      <c r="K13" s="18" t="s">
        <v>0</v>
      </c>
      <c r="L13" s="16"/>
      <c r="M13" s="18" t="s">
        <v>0</v>
      </c>
      <c r="N13" s="16"/>
      <c r="O13" s="18" t="s">
        <v>0</v>
      </c>
      <c r="P13" s="16"/>
      <c r="Q13" s="18" t="s">
        <v>0</v>
      </c>
      <c r="R13" s="16"/>
      <c r="S13" s="18"/>
      <c r="T13" s="19"/>
    </row>
    <row r="14" spans="1:20" ht="15.95" customHeight="1" x14ac:dyDescent="0.25">
      <c r="A14" s="18" t="s">
        <v>165</v>
      </c>
      <c r="B14" s="16"/>
      <c r="C14" s="18" t="s">
        <v>194</v>
      </c>
      <c r="D14" s="16"/>
      <c r="E14" s="18" t="s">
        <v>242</v>
      </c>
      <c r="F14" s="16"/>
      <c r="G14" s="18" t="s">
        <v>182</v>
      </c>
      <c r="H14" s="16"/>
      <c r="I14" s="18" t="s">
        <v>266</v>
      </c>
      <c r="J14" s="16"/>
      <c r="K14" s="18" t="s">
        <v>254</v>
      </c>
      <c r="L14" s="16"/>
      <c r="M14" s="18" t="s">
        <v>206</v>
      </c>
      <c r="N14" s="16"/>
      <c r="O14" s="18" t="s">
        <v>218</v>
      </c>
      <c r="P14" s="16"/>
      <c r="Q14" s="18" t="s">
        <v>230</v>
      </c>
      <c r="R14" s="16"/>
      <c r="S14" s="18"/>
      <c r="T14" s="19"/>
    </row>
    <row r="15" spans="1:20" ht="15.95" customHeight="1" x14ac:dyDescent="0.25">
      <c r="A15" s="18"/>
      <c r="B15" s="16"/>
      <c r="C15" s="18"/>
      <c r="D15" s="16"/>
      <c r="E15" s="18"/>
      <c r="F15" s="16"/>
      <c r="G15" s="18"/>
      <c r="H15" s="16"/>
      <c r="I15" s="18"/>
      <c r="J15" s="16"/>
      <c r="K15" s="18"/>
      <c r="L15" s="16"/>
      <c r="M15" s="18"/>
      <c r="N15" s="16"/>
      <c r="O15" s="18"/>
      <c r="P15" s="16"/>
      <c r="Q15" s="18"/>
      <c r="R15" s="16"/>
      <c r="S15" s="18"/>
      <c r="T15" s="19"/>
    </row>
    <row r="16" spans="1:20" ht="15.95" customHeight="1" x14ac:dyDescent="0.25">
      <c r="A16" s="18"/>
      <c r="B16" s="16"/>
      <c r="C16" s="18"/>
      <c r="D16" s="16"/>
      <c r="E16" s="18"/>
      <c r="F16" s="16"/>
      <c r="G16" s="18"/>
      <c r="H16" s="16"/>
      <c r="I16" s="18"/>
      <c r="J16" s="16"/>
      <c r="K16" s="18"/>
      <c r="L16" s="16"/>
      <c r="M16" s="18"/>
      <c r="N16" s="16"/>
      <c r="O16" s="18"/>
      <c r="P16" s="16"/>
      <c r="Q16" s="18"/>
      <c r="R16" s="16"/>
      <c r="S16" s="18"/>
      <c r="T16" s="19"/>
    </row>
    <row r="17" spans="1:20" ht="15.95" customHeight="1" x14ac:dyDescent="0.25">
      <c r="A17" s="18"/>
      <c r="B17" s="16"/>
      <c r="C17" s="18"/>
      <c r="D17" s="16"/>
      <c r="E17" s="18"/>
      <c r="F17" s="16"/>
      <c r="G17" s="18"/>
      <c r="H17" s="16"/>
      <c r="I17" s="18"/>
      <c r="J17" s="16"/>
      <c r="K17" s="18"/>
      <c r="L17" s="16"/>
      <c r="M17" s="18"/>
      <c r="N17" s="16"/>
      <c r="O17" s="18"/>
      <c r="P17" s="16"/>
      <c r="Q17" s="18"/>
      <c r="R17" s="16"/>
      <c r="S17" s="18"/>
      <c r="T17" s="19"/>
    </row>
    <row r="18" spans="1:20" ht="15.95" customHeight="1" x14ac:dyDescent="0.25">
      <c r="A18" s="18"/>
      <c r="B18" s="16"/>
      <c r="C18" s="18"/>
      <c r="D18" s="16"/>
      <c r="E18" s="18"/>
      <c r="F18" s="16"/>
      <c r="G18" s="18"/>
      <c r="H18" s="16"/>
      <c r="I18" s="18"/>
      <c r="J18" s="16"/>
      <c r="K18" s="18"/>
      <c r="L18" s="16"/>
      <c r="M18" s="18"/>
      <c r="N18" s="16"/>
      <c r="O18" s="18"/>
      <c r="P18" s="16"/>
      <c r="Q18" s="18"/>
      <c r="R18" s="16"/>
      <c r="S18" s="18"/>
      <c r="T18" s="19"/>
    </row>
    <row r="19" spans="1:20" ht="15.95" customHeight="1" x14ac:dyDescent="0.25">
      <c r="A19" s="18"/>
      <c r="B19" s="16"/>
      <c r="C19" s="18"/>
      <c r="D19" s="16"/>
      <c r="E19" s="18"/>
      <c r="F19" s="16"/>
      <c r="G19" s="18"/>
      <c r="H19" s="16"/>
      <c r="I19" s="18"/>
      <c r="J19" s="16"/>
      <c r="K19" s="18"/>
      <c r="L19" s="16"/>
      <c r="M19" s="18"/>
      <c r="N19" s="16"/>
      <c r="O19" s="18"/>
      <c r="P19" s="16"/>
      <c r="Q19" s="18"/>
      <c r="R19" s="16"/>
      <c r="S19" s="18"/>
      <c r="T19" s="19"/>
    </row>
    <row r="20" spans="1:20" ht="15.95" customHeight="1" x14ac:dyDescent="0.25">
      <c r="A20" s="18"/>
      <c r="B20" s="16"/>
      <c r="C20" s="18"/>
      <c r="D20" s="16"/>
      <c r="E20" s="18"/>
      <c r="F20" s="16"/>
      <c r="G20" s="18"/>
      <c r="H20" s="16"/>
      <c r="I20" s="18"/>
      <c r="J20" s="16"/>
      <c r="K20" s="18"/>
      <c r="L20" s="16"/>
      <c r="M20" s="18"/>
      <c r="N20" s="16"/>
      <c r="O20" s="18"/>
      <c r="P20" s="16"/>
      <c r="Q20" s="18"/>
      <c r="R20" s="16"/>
      <c r="S20" s="18"/>
      <c r="T20" s="19"/>
    </row>
    <row r="21" spans="1:20" ht="15.95" customHeight="1" x14ac:dyDescent="0.25">
      <c r="A21" s="18"/>
      <c r="B21" s="16"/>
      <c r="C21" s="18"/>
      <c r="D21" s="16"/>
      <c r="E21" s="18"/>
      <c r="F21" s="16"/>
      <c r="G21" s="18"/>
      <c r="H21" s="16"/>
      <c r="I21" s="18"/>
      <c r="J21" s="16"/>
      <c r="K21" s="18"/>
      <c r="L21" s="16"/>
      <c r="M21" s="18"/>
      <c r="N21" s="16"/>
      <c r="O21" s="18"/>
      <c r="P21" s="16"/>
      <c r="Q21" s="18"/>
      <c r="R21" s="16"/>
      <c r="S21" s="18"/>
      <c r="T21" s="19"/>
    </row>
    <row r="22" spans="1:20" ht="15.95" customHeight="1" x14ac:dyDescent="0.25">
      <c r="A22" s="18"/>
      <c r="B22" s="16"/>
      <c r="C22" s="18"/>
      <c r="D22" s="16"/>
      <c r="E22" s="18"/>
      <c r="F22" s="16"/>
      <c r="G22" s="18"/>
      <c r="H22" s="16"/>
      <c r="I22" s="18"/>
      <c r="J22" s="16"/>
      <c r="K22" s="18"/>
      <c r="L22" s="16"/>
      <c r="M22" s="18"/>
      <c r="N22" s="16"/>
      <c r="O22" s="18"/>
      <c r="P22" s="16"/>
      <c r="Q22" s="18"/>
      <c r="R22" s="16"/>
      <c r="S22" s="18"/>
      <c r="T22" s="19"/>
    </row>
    <row r="23" spans="1:20" ht="15.95" customHeight="1" x14ac:dyDescent="0.25">
      <c r="A23" s="18"/>
      <c r="B23" s="16"/>
      <c r="C23" s="18"/>
      <c r="D23" s="16"/>
      <c r="E23" s="18"/>
      <c r="F23" s="16"/>
      <c r="G23" s="18"/>
      <c r="H23" s="16"/>
      <c r="I23" s="18"/>
      <c r="J23" s="16"/>
      <c r="K23" s="18"/>
      <c r="L23" s="16"/>
      <c r="M23" s="18"/>
      <c r="N23" s="16"/>
      <c r="O23" s="18"/>
      <c r="P23" s="16"/>
      <c r="Q23" s="18"/>
      <c r="R23" s="16"/>
      <c r="S23" s="18"/>
      <c r="T23" s="19"/>
    </row>
    <row r="24" spans="1:20" ht="15.95" customHeight="1" x14ac:dyDescent="0.25">
      <c r="A24" s="18"/>
      <c r="B24" s="16"/>
      <c r="C24" s="18"/>
      <c r="D24" s="16"/>
      <c r="E24" s="18"/>
      <c r="F24" s="16"/>
      <c r="G24" s="18"/>
      <c r="H24" s="16"/>
      <c r="I24" s="18"/>
      <c r="J24" s="16"/>
      <c r="K24" s="18"/>
      <c r="L24" s="16"/>
      <c r="M24" s="18"/>
      <c r="N24" s="16"/>
      <c r="O24" s="18"/>
      <c r="P24" s="16"/>
      <c r="Q24" s="18"/>
      <c r="R24" s="16"/>
      <c r="S24" s="18"/>
      <c r="T24" s="19"/>
    </row>
    <row r="25" spans="1:20" ht="15.95" customHeight="1" x14ac:dyDescent="0.25">
      <c r="A25" s="18"/>
      <c r="B25" s="16"/>
      <c r="C25" s="18"/>
      <c r="D25" s="16"/>
      <c r="E25" s="18"/>
      <c r="F25" s="16"/>
      <c r="G25" s="18"/>
      <c r="H25" s="16"/>
      <c r="I25" s="18"/>
      <c r="J25" s="16"/>
      <c r="K25" s="18"/>
      <c r="L25" s="16"/>
      <c r="M25" s="18"/>
      <c r="N25" s="16"/>
      <c r="O25" s="18"/>
      <c r="P25" s="16"/>
      <c r="Q25" s="18"/>
      <c r="R25" s="16"/>
      <c r="S25" s="18"/>
      <c r="T25" s="19"/>
    </row>
    <row r="26" spans="1:20" ht="15.95" customHeight="1" x14ac:dyDescent="0.25">
      <c r="A26" s="18"/>
      <c r="B26" s="16"/>
      <c r="C26" s="18"/>
      <c r="D26" s="16"/>
      <c r="E26" s="18"/>
      <c r="F26" s="16"/>
      <c r="G26" s="18"/>
      <c r="H26" s="16"/>
      <c r="I26" s="18"/>
      <c r="J26" s="16"/>
      <c r="K26" s="18"/>
      <c r="L26" s="16"/>
      <c r="M26" s="18"/>
      <c r="N26" s="16"/>
      <c r="O26" s="18"/>
      <c r="P26" s="16"/>
      <c r="Q26" s="18"/>
      <c r="R26" s="16"/>
      <c r="S26" s="18"/>
      <c r="T26" s="19"/>
    </row>
    <row r="27" spans="1:20" ht="15.95" customHeight="1" x14ac:dyDescent="0.25">
      <c r="A27" s="18"/>
      <c r="B27" s="16"/>
      <c r="C27" s="18"/>
      <c r="D27" s="16"/>
      <c r="E27" s="18"/>
      <c r="F27" s="16"/>
      <c r="G27" s="18"/>
      <c r="H27" s="16"/>
      <c r="I27" s="18"/>
      <c r="J27" s="16"/>
      <c r="K27" s="18"/>
      <c r="L27" s="16"/>
      <c r="M27" s="18"/>
      <c r="N27" s="16"/>
      <c r="O27" s="18"/>
      <c r="P27" s="16"/>
      <c r="Q27" s="18"/>
      <c r="R27" s="16"/>
      <c r="S27" s="18"/>
      <c r="T27" s="19"/>
    </row>
    <row r="28" spans="1:20" ht="15.95" customHeight="1" x14ac:dyDescent="0.25">
      <c r="A28" s="18"/>
      <c r="B28" s="16"/>
      <c r="C28" s="18"/>
      <c r="D28" s="16"/>
      <c r="E28" s="18"/>
      <c r="F28" s="16"/>
      <c r="G28" s="18"/>
      <c r="H28" s="16"/>
      <c r="I28" s="18"/>
      <c r="J28" s="16"/>
      <c r="K28" s="18"/>
      <c r="L28" s="16"/>
      <c r="M28" s="18"/>
      <c r="N28" s="16"/>
      <c r="O28" s="18"/>
      <c r="P28" s="16"/>
      <c r="Q28" s="18"/>
      <c r="R28" s="16"/>
      <c r="S28" s="18"/>
      <c r="T28" s="19"/>
    </row>
    <row r="29" spans="1:20" ht="15.95" customHeight="1" x14ac:dyDescent="0.25">
      <c r="A29" s="18"/>
      <c r="B29" s="16"/>
      <c r="C29" s="18"/>
      <c r="D29" s="16"/>
      <c r="E29" s="18"/>
      <c r="F29" s="16"/>
      <c r="G29" s="18"/>
      <c r="H29" s="16"/>
      <c r="I29" s="18"/>
      <c r="J29" s="16"/>
      <c r="K29" s="18"/>
      <c r="L29" s="16"/>
      <c r="M29" s="18"/>
      <c r="N29" s="16"/>
      <c r="O29" s="18"/>
      <c r="P29" s="16"/>
      <c r="Q29" s="18"/>
      <c r="R29" s="16"/>
      <c r="S29" s="18"/>
      <c r="T29" s="19"/>
    </row>
    <row r="30" spans="1:20" ht="15.95" customHeight="1" x14ac:dyDescent="0.25">
      <c r="A30" s="18"/>
      <c r="B30" s="16"/>
      <c r="C30" s="18"/>
      <c r="D30" s="16"/>
      <c r="E30" s="18"/>
      <c r="F30" s="16"/>
      <c r="G30" s="18"/>
      <c r="H30" s="16"/>
      <c r="I30" s="18"/>
      <c r="J30" s="16"/>
      <c r="K30" s="18"/>
      <c r="L30" s="16"/>
      <c r="M30" s="18"/>
      <c r="N30" s="16"/>
      <c r="O30" s="18"/>
      <c r="P30" s="16"/>
      <c r="Q30" s="18"/>
      <c r="R30" s="16"/>
      <c r="S30" s="18"/>
      <c r="T30" s="19"/>
    </row>
    <row r="31" spans="1:20" ht="15.95" customHeight="1" x14ac:dyDescent="0.25">
      <c r="A31" s="18"/>
      <c r="B31" s="16"/>
      <c r="C31" s="18"/>
      <c r="D31" s="16"/>
      <c r="E31" s="18"/>
      <c r="F31" s="16"/>
      <c r="G31" s="18"/>
      <c r="H31" s="16"/>
      <c r="I31" s="18"/>
      <c r="J31" s="16"/>
      <c r="K31" s="18"/>
      <c r="L31" s="16"/>
      <c r="M31" s="18"/>
      <c r="N31" s="16"/>
      <c r="O31" s="18"/>
      <c r="P31" s="16"/>
      <c r="Q31" s="18"/>
      <c r="R31" s="16"/>
      <c r="S31" s="18"/>
      <c r="T31" s="19"/>
    </row>
    <row r="32" spans="1:20" ht="15.95" customHeight="1" x14ac:dyDescent="0.25">
      <c r="A32" s="18"/>
      <c r="B32" s="16"/>
      <c r="C32" s="18"/>
      <c r="D32" s="16"/>
      <c r="E32" s="18"/>
      <c r="F32" s="16"/>
      <c r="G32" s="18"/>
      <c r="H32" s="16"/>
      <c r="I32" s="18"/>
      <c r="J32" s="16"/>
      <c r="K32" s="18"/>
      <c r="L32" s="16"/>
      <c r="M32" s="18"/>
      <c r="N32" s="16"/>
      <c r="O32" s="18"/>
      <c r="P32" s="16"/>
      <c r="Q32" s="18"/>
      <c r="R32" s="16"/>
      <c r="S32" s="18"/>
      <c r="T32" s="19"/>
    </row>
    <row r="33" spans="1:20" ht="15.95" customHeight="1" x14ac:dyDescent="0.25">
      <c r="A33" s="21"/>
      <c r="B33" s="16"/>
      <c r="C33" s="18"/>
      <c r="D33" s="16"/>
      <c r="E33" s="18"/>
      <c r="F33" s="16"/>
      <c r="G33" s="18"/>
      <c r="H33" s="16"/>
      <c r="I33" s="18"/>
      <c r="J33" s="16"/>
      <c r="K33" s="18"/>
      <c r="L33" s="16"/>
      <c r="M33" s="18"/>
      <c r="N33" s="16"/>
      <c r="O33" s="18"/>
      <c r="P33" s="16"/>
      <c r="Q33" s="18"/>
      <c r="R33" s="16"/>
      <c r="S33" s="18"/>
      <c r="T33" s="19"/>
    </row>
    <row r="34" spans="1:20" ht="15.95" customHeight="1" x14ac:dyDescent="0.25">
      <c r="A34" s="18"/>
      <c r="B34" s="16"/>
      <c r="C34" s="18"/>
      <c r="D34" s="16"/>
      <c r="E34" s="18"/>
      <c r="F34" s="16"/>
      <c r="G34" s="18"/>
      <c r="H34" s="16"/>
      <c r="I34" s="18"/>
      <c r="J34" s="16"/>
      <c r="K34" s="18"/>
      <c r="L34" s="16"/>
      <c r="M34" s="18"/>
      <c r="N34" s="16"/>
      <c r="O34" s="18"/>
      <c r="P34" s="16"/>
      <c r="Q34" s="18"/>
      <c r="R34" s="16"/>
      <c r="S34" s="18"/>
      <c r="T34" s="19"/>
    </row>
    <row r="35" spans="1:20" ht="15.95" customHeight="1" x14ac:dyDescent="0.25">
      <c r="A35" s="18"/>
      <c r="B35" s="16"/>
      <c r="C35" s="18"/>
      <c r="D35" s="16"/>
      <c r="E35" s="18"/>
      <c r="F35" s="16"/>
      <c r="G35" s="18"/>
      <c r="H35" s="16"/>
      <c r="I35" s="18"/>
      <c r="J35" s="16"/>
      <c r="K35" s="18"/>
      <c r="L35" s="16"/>
      <c r="M35" s="18"/>
      <c r="N35" s="16"/>
      <c r="O35" s="18"/>
      <c r="P35" s="16"/>
      <c r="Q35" s="18"/>
      <c r="R35" s="16"/>
      <c r="S35" s="18"/>
      <c r="T35" s="19"/>
    </row>
    <row r="36" spans="1:20" ht="15.95" customHeight="1" x14ac:dyDescent="0.25">
      <c r="A36" s="18"/>
      <c r="B36" s="16"/>
      <c r="C36" s="18"/>
      <c r="D36" s="16"/>
      <c r="E36" s="18"/>
      <c r="F36" s="16"/>
      <c r="G36" s="18"/>
      <c r="H36" s="16"/>
      <c r="I36" s="18"/>
      <c r="J36" s="16"/>
      <c r="K36" s="18"/>
      <c r="L36" s="16"/>
      <c r="M36" s="18"/>
      <c r="N36" s="16"/>
      <c r="O36" s="18"/>
      <c r="P36" s="16"/>
      <c r="Q36" s="18"/>
      <c r="R36" s="16"/>
      <c r="S36" s="18"/>
      <c r="T36" s="19"/>
    </row>
    <row r="37" spans="1:20" ht="15.95" customHeight="1" x14ac:dyDescent="0.25">
      <c r="A37" s="18"/>
      <c r="B37" s="16"/>
      <c r="C37" s="18"/>
      <c r="D37" s="16"/>
      <c r="E37" s="18"/>
      <c r="F37" s="16"/>
      <c r="G37" s="18"/>
      <c r="H37" s="16"/>
      <c r="I37" s="18"/>
      <c r="J37" s="16"/>
      <c r="K37" s="18"/>
      <c r="L37" s="16"/>
      <c r="M37" s="18"/>
      <c r="N37" s="16"/>
      <c r="O37" s="18"/>
      <c r="P37" s="16"/>
      <c r="Q37" s="18"/>
      <c r="R37" s="16"/>
      <c r="S37" s="18"/>
      <c r="T37" s="19"/>
    </row>
    <row r="38" spans="1:20" ht="15.95" customHeight="1" x14ac:dyDescent="0.25">
      <c r="A38" s="18"/>
      <c r="B38" s="16"/>
      <c r="C38" s="18"/>
      <c r="D38" s="16"/>
      <c r="E38" s="18"/>
      <c r="F38" s="16"/>
      <c r="G38" s="18"/>
      <c r="H38" s="16"/>
      <c r="I38" s="18"/>
      <c r="J38" s="16"/>
      <c r="K38" s="18"/>
      <c r="L38" s="16"/>
      <c r="M38" s="18"/>
      <c r="N38" s="16"/>
      <c r="O38" s="18"/>
      <c r="P38" s="16"/>
      <c r="Q38" s="18"/>
      <c r="R38" s="16"/>
      <c r="S38" s="18"/>
      <c r="T38" s="20"/>
    </row>
    <row r="39" spans="1:20" ht="15.95" customHeight="1" x14ac:dyDescent="0.25">
      <c r="A39" s="18"/>
      <c r="B39" s="16"/>
      <c r="C39" s="18"/>
      <c r="D39" s="16"/>
      <c r="E39" s="18"/>
      <c r="F39" s="16"/>
      <c r="G39" s="18"/>
      <c r="H39" s="16"/>
      <c r="I39" s="18"/>
      <c r="J39" s="16"/>
      <c r="K39" s="18"/>
      <c r="L39" s="16"/>
      <c r="M39" s="18"/>
      <c r="N39" s="16"/>
      <c r="O39" s="18"/>
      <c r="P39" s="16"/>
      <c r="Q39" s="18"/>
      <c r="R39" s="16"/>
      <c r="S39" s="18"/>
      <c r="T39" s="20"/>
    </row>
    <row r="40" spans="1:20" ht="15.95" customHeight="1" x14ac:dyDescent="0.25">
      <c r="A40" s="18"/>
      <c r="B40" s="16"/>
      <c r="C40" s="18"/>
      <c r="D40" s="16"/>
      <c r="E40" s="18"/>
      <c r="F40" s="16"/>
      <c r="G40" s="18"/>
      <c r="H40" s="16"/>
      <c r="I40" s="18"/>
      <c r="J40" s="16"/>
      <c r="K40" s="18"/>
      <c r="L40" s="16"/>
      <c r="M40" s="18"/>
      <c r="N40" s="16"/>
      <c r="O40" s="18"/>
      <c r="P40" s="16"/>
      <c r="Q40" s="18"/>
      <c r="R40" s="16"/>
      <c r="S40" s="18"/>
      <c r="T40" s="20"/>
    </row>
    <row r="41" spans="1:20" ht="15.95" customHeight="1" x14ac:dyDescent="0.25">
      <c r="A41" s="18"/>
      <c r="B41" s="16"/>
      <c r="C41" s="18"/>
      <c r="D41" s="16"/>
      <c r="E41" s="18"/>
      <c r="F41" s="16"/>
      <c r="G41" s="18"/>
      <c r="H41" s="16"/>
      <c r="I41" s="18"/>
      <c r="J41" s="16"/>
      <c r="K41" s="18"/>
      <c r="L41" s="16"/>
      <c r="M41" s="18"/>
      <c r="N41" s="16"/>
      <c r="O41" s="18"/>
      <c r="P41" s="16"/>
      <c r="Q41" s="18"/>
      <c r="R41" s="16"/>
      <c r="S41" s="18"/>
      <c r="T41" s="20"/>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 priority="42" stopIfTrue="1">
      <formula>NOT(ISERROR(A3))</formula>
    </cfRule>
  </conditionalFormatting>
  <conditionalFormatting sqref="A3:T6 A7:A8 C7:C8 E7:E8 G7:G8 I7:I8 K7:K8 M7:M8 O7:O8 Q7:Q8 S7:S8 A9:T51">
    <cfRule type="notContainsBlanks" dxfId="37" priority="43">
      <formula>LEN(TRIM(A3))&gt;0</formula>
    </cfRule>
  </conditionalFormatting>
  <conditionalFormatting sqref="A3:T51">
    <cfRule type="containsErrors" dxfId="36" priority="1" stopIfTrue="1">
      <formula>ISERROR(A3)</formula>
    </cfRule>
  </conditionalFormatting>
  <conditionalFormatting sqref="B7:B8">
    <cfRule type="notContainsBlanks" dxfId="35" priority="38">
      <formula>LEN(TRIM(B7))&gt;0</formula>
    </cfRule>
  </conditionalFormatting>
  <conditionalFormatting sqref="D7:D8">
    <cfRule type="notContainsBlanks" dxfId="34" priority="34">
      <formula>LEN(TRIM(D7))&gt;0</formula>
    </cfRule>
  </conditionalFormatting>
  <conditionalFormatting sqref="F7:F8">
    <cfRule type="notContainsBlanks" dxfId="33" priority="30">
      <formula>LEN(TRIM(F7))&gt;0</formula>
    </cfRule>
  </conditionalFormatting>
  <conditionalFormatting sqref="H7:H8">
    <cfRule type="notContainsBlanks" dxfId="32" priority="26">
      <formula>LEN(TRIM(H7))&gt;0</formula>
    </cfRule>
  </conditionalFormatting>
  <conditionalFormatting sqref="J7:J8">
    <cfRule type="notContainsBlanks" dxfId="31" priority="22">
      <formula>LEN(TRIM(J7))&gt;0</formula>
    </cfRule>
  </conditionalFormatting>
  <conditionalFormatting sqref="L7:L8">
    <cfRule type="notContainsBlanks" dxfId="30" priority="18">
      <formula>LEN(TRIM(L7))&gt;0</formula>
    </cfRule>
  </conditionalFormatting>
  <conditionalFormatting sqref="N7:N8">
    <cfRule type="notContainsBlanks" dxfId="29" priority="14">
      <formula>LEN(TRIM(N7))&gt;0</formula>
    </cfRule>
  </conditionalFormatting>
  <conditionalFormatting sqref="P7:P8">
    <cfRule type="notContainsBlanks" dxfId="28" priority="10">
      <formula>LEN(TRIM(P7))&gt;0</formula>
    </cfRule>
  </conditionalFormatting>
  <conditionalFormatting sqref="R7:R8">
    <cfRule type="notContainsBlanks" dxfId="27" priority="6">
      <formula>LEN(TRIM(R7))&gt;0</formula>
    </cfRule>
  </conditionalFormatting>
  <conditionalFormatting sqref="T7:T8">
    <cfRule type="notContainsBlanks" dxfId="26" priority="2">
      <formula>LEN(TRIM(T7))&gt;0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198E7-C936-4BBB-8F0E-A66397B268F9}">
  <sheetPr codeName="Sheet100"/>
  <dimension ref="A1:T51"/>
  <sheetViews>
    <sheetView workbookViewId="0">
      <selection activeCell="I3" sqref="I3:I14"/>
    </sheetView>
  </sheetViews>
  <sheetFormatPr defaultColWidth="9.28515625" defaultRowHeight="15" x14ac:dyDescent="0.25"/>
  <cols>
    <col min="1" max="1" width="44.7109375" customWidth="1"/>
    <col min="2" max="2" width="13.85546875" customWidth="1"/>
  </cols>
  <sheetData>
    <row r="1" spans="1:20" x14ac:dyDescent="0.25">
      <c r="A1" s="23" t="str">
        <f>HYPERLINK("#Sheets!A1","Back to sheets")</f>
        <v>Back to sheets</v>
      </c>
    </row>
    <row r="2" spans="1:20" ht="15.95" customHeight="1" x14ac:dyDescent="0.25">
      <c r="A2" s="8" t="s">
        <v>3</v>
      </c>
      <c r="B2" s="9" t="s">
        <v>31</v>
      </c>
      <c r="C2" s="8" t="s">
        <v>7</v>
      </c>
      <c r="D2" s="9" t="s">
        <v>31</v>
      </c>
      <c r="E2" s="8" t="s">
        <v>9</v>
      </c>
      <c r="F2" s="9" t="s">
        <v>31</v>
      </c>
      <c r="G2" s="8" t="s">
        <v>10</v>
      </c>
      <c r="H2" s="9" t="s">
        <v>31</v>
      </c>
      <c r="I2" s="8" t="s">
        <v>11</v>
      </c>
      <c r="J2" s="9" t="s">
        <v>31</v>
      </c>
      <c r="K2" s="8" t="s">
        <v>12</v>
      </c>
      <c r="L2" s="9" t="s">
        <v>31</v>
      </c>
      <c r="M2" s="8" t="s">
        <v>13</v>
      </c>
      <c r="N2" s="9" t="s">
        <v>31</v>
      </c>
      <c r="O2" s="8" t="s">
        <v>14</v>
      </c>
      <c r="P2" s="9" t="s">
        <v>31</v>
      </c>
      <c r="Q2" s="8" t="s">
        <v>15</v>
      </c>
      <c r="R2" s="9" t="s">
        <v>31</v>
      </c>
      <c r="S2" s="8" t="s">
        <v>16</v>
      </c>
      <c r="T2" s="8" t="s">
        <v>31</v>
      </c>
    </row>
    <row r="3" spans="1:20" ht="15.95" customHeight="1" x14ac:dyDescent="0.25">
      <c r="A3" s="17" t="s">
        <v>34</v>
      </c>
      <c r="B3" s="16" t="str">
        <f>TRIM(_xlfn.TEXTBEFORE(A3, ":"))</f>
        <v>Item Class</v>
      </c>
      <c r="C3" s="17" t="s">
        <v>62</v>
      </c>
      <c r="D3" s="16" t="str">
        <f>TRIM(_xlfn.TEXTBEFORE(C3, ":"))</f>
        <v>Gegenstandsklasse</v>
      </c>
      <c r="E3" s="17" t="s">
        <v>73</v>
      </c>
      <c r="F3" s="16" t="str">
        <f>TRIM(_xlfn.TEXTBEFORE(E3, ":"))</f>
        <v>Clase de objeto</v>
      </c>
      <c r="G3" s="17" t="s">
        <v>49</v>
      </c>
      <c r="H3" s="16" t="str">
        <f>TRIM(_xlfn.TEXTBEFORE(G3, ":"))</f>
        <v>Classe d'objet</v>
      </c>
      <c r="I3" s="17" t="s">
        <v>84</v>
      </c>
      <c r="J3" s="16" t="str">
        <f>TRIM(_xlfn.TEXTBEFORE(I3, ":"))</f>
        <v>アイテムクラス</v>
      </c>
      <c r="K3" s="17" t="s">
        <v>95</v>
      </c>
      <c r="L3" s="16" t="str">
        <f>TRIM(_xlfn.TEXTBEFORE(K3, ":"))</f>
        <v>아이템 종류</v>
      </c>
      <c r="M3" s="17" t="s">
        <v>106</v>
      </c>
      <c r="N3" s="16" t="str">
        <f>TRIM(_xlfn.TEXTBEFORE(M3, ":"))</f>
        <v>Classe do Item</v>
      </c>
      <c r="O3" s="17" t="s">
        <v>115</v>
      </c>
      <c r="P3" s="16" t="str">
        <f>TRIM(_xlfn.TEXTBEFORE(O3, ":"))</f>
        <v>Класс предмета</v>
      </c>
      <c r="Q3" s="17" t="s">
        <v>127</v>
      </c>
      <c r="R3" s="16" t="str">
        <f>TRIM(_xlfn.TEXTBEFORE(Q3, ":"))</f>
        <v>ชนิดไอเทม</v>
      </c>
      <c r="S3" s="17"/>
      <c r="T3" s="19" t="e">
        <f>TRIM(_xlfn.TEXTBEFORE(S3, ":"))</f>
        <v>#N/A</v>
      </c>
    </row>
    <row r="4" spans="1:20" ht="15.95" customHeight="1" x14ac:dyDescent="0.25">
      <c r="A4" s="18" t="s">
        <v>35</v>
      </c>
      <c r="B4" s="16" t="str">
        <f>TRIM(_xlfn.TEXTAFTER(A3, ":"))</f>
        <v>Maps</v>
      </c>
      <c r="C4" s="18" t="s">
        <v>63</v>
      </c>
      <c r="D4" s="16" t="str">
        <f>TRIM(_xlfn.TEXTAFTER(C3, ":"))</f>
        <v>Karten</v>
      </c>
      <c r="E4" s="18" t="s">
        <v>74</v>
      </c>
      <c r="F4" s="16" t="str">
        <f>TRIM(_xlfn.TEXTAFTER(E3, ":"))</f>
        <v>Mapas</v>
      </c>
      <c r="G4" s="18" t="s">
        <v>50</v>
      </c>
      <c r="H4" s="16" t="str">
        <f>TRIM(_xlfn.TEXTAFTER(G3, ":"))</f>
        <v>Cartes</v>
      </c>
      <c r="I4" s="18" t="s">
        <v>85</v>
      </c>
      <c r="J4" s="16" t="str">
        <f>TRIM(_xlfn.TEXTAFTER(I3, ":"))</f>
        <v>マップ</v>
      </c>
      <c r="K4" s="18" t="s">
        <v>96</v>
      </c>
      <c r="L4" s="16" t="str">
        <f>TRIM(_xlfn.TEXTAFTER(K3, ":"))</f>
        <v>지도</v>
      </c>
      <c r="M4" s="18" t="s">
        <v>107</v>
      </c>
      <c r="N4" s="16" t="str">
        <f>TRIM(_xlfn.TEXTAFTER(M3, ":"))</f>
        <v>Mapas</v>
      </c>
      <c r="O4" s="18" t="s">
        <v>116</v>
      </c>
      <c r="P4" s="16" t="str">
        <f>TRIM(_xlfn.TEXTAFTER(O3, ":"))</f>
        <v>Карты</v>
      </c>
      <c r="Q4" s="18" t="s">
        <v>128</v>
      </c>
      <c r="R4" s="16" t="str">
        <f>TRIM(_xlfn.TEXTAFTER(Q3, ":"))</f>
        <v>แผนที่</v>
      </c>
      <c r="S4" s="18"/>
      <c r="T4" s="19" t="e">
        <f>TRIM(_xlfn.TEXTAFTER(S3, ":"))</f>
        <v>#N/A</v>
      </c>
    </row>
    <row r="5" spans="1:20" ht="15.95" customHeight="1" x14ac:dyDescent="0.25">
      <c r="A5" s="18" t="s">
        <v>163</v>
      </c>
      <c r="B5" s="16" t="str">
        <f>TRIM(_xlfn.TEXTBEFORE(A4, ":"))</f>
        <v>Rarity</v>
      </c>
      <c r="C5" s="18" t="s">
        <v>192</v>
      </c>
      <c r="D5" s="16" t="str">
        <f>TRIM(_xlfn.TEXTBEFORE(C4, ":"))</f>
        <v>Seltenheit</v>
      </c>
      <c r="E5" s="18" t="s">
        <v>240</v>
      </c>
      <c r="F5" s="16" t="str">
        <f>TRIM(_xlfn.TEXTBEFORE(E4, ":"))</f>
        <v>Rareza</v>
      </c>
      <c r="G5" s="18" t="s">
        <v>180</v>
      </c>
      <c r="H5" s="16" t="str">
        <f>TRIM(_xlfn.TEXTBEFORE(G4, ":"))</f>
        <v>Rareté</v>
      </c>
      <c r="I5" s="18" t="s">
        <v>264</v>
      </c>
      <c r="J5" s="16" t="str">
        <f>TRIM(_xlfn.TEXTBEFORE(I4, ":"))</f>
        <v>レアリティ</v>
      </c>
      <c r="K5" s="18" t="s">
        <v>252</v>
      </c>
      <c r="L5" s="16" t="str">
        <f>TRIM(_xlfn.TEXTBEFORE(K4, ":"))</f>
        <v>아이템 희귀도</v>
      </c>
      <c r="M5" s="18" t="s">
        <v>204</v>
      </c>
      <c r="N5" s="16" t="str">
        <f>TRIM(_xlfn.TEXTBEFORE(M4, ":"))</f>
        <v>Raridade</v>
      </c>
      <c r="O5" s="18" t="s">
        <v>216</v>
      </c>
      <c r="P5" s="16" t="str">
        <f>TRIM(_xlfn.TEXTBEFORE(O4, ":"))</f>
        <v>Редкость</v>
      </c>
      <c r="Q5" s="18" t="s">
        <v>228</v>
      </c>
      <c r="R5" s="16" t="str">
        <f>TRIM(_xlfn.TEXTBEFORE(Q4, ":"))</f>
        <v>ความหายาก</v>
      </c>
      <c r="S5" s="18"/>
      <c r="T5" s="19" t="e">
        <f>TRIM(_xlfn.TEXTBEFORE(S4, ":"))</f>
        <v>#N/A</v>
      </c>
    </row>
    <row r="6" spans="1:20" ht="15.95" customHeight="1" x14ac:dyDescent="0.25">
      <c r="A6" s="18" t="s">
        <v>0</v>
      </c>
      <c r="B6" s="16" t="str">
        <f>TRIM(_xlfn.TEXTAFTER(A4,":"))</f>
        <v>Normal</v>
      </c>
      <c r="C6" s="18" t="s">
        <v>0</v>
      </c>
      <c r="D6" s="16" t="str">
        <f>TRIM(_xlfn.TEXTAFTER(C4,":"))</f>
        <v>Normal</v>
      </c>
      <c r="E6" s="18" t="s">
        <v>0</v>
      </c>
      <c r="F6" s="16" t="str">
        <f>TRIM(_xlfn.TEXTAFTER(E4,":"))</f>
        <v>Normal</v>
      </c>
      <c r="G6" s="18" t="s">
        <v>0</v>
      </c>
      <c r="H6" s="16" t="str">
        <f>TRIM(_xlfn.TEXTAFTER(G4,":"))</f>
        <v>Normal</v>
      </c>
      <c r="I6" s="18" t="s">
        <v>0</v>
      </c>
      <c r="J6" s="16" t="str">
        <f>TRIM(_xlfn.TEXTAFTER(I4,":"))</f>
        <v>ノーマル</v>
      </c>
      <c r="K6" s="18" t="s">
        <v>0</v>
      </c>
      <c r="L6" s="16" t="str">
        <f>TRIM(_xlfn.TEXTAFTER(K4,":"))</f>
        <v>일반</v>
      </c>
      <c r="M6" s="18" t="s">
        <v>0</v>
      </c>
      <c r="N6" s="16" t="str">
        <f>TRIM(_xlfn.TEXTAFTER(M4,":"))</f>
        <v>Normal</v>
      </c>
      <c r="O6" s="18" t="s">
        <v>0</v>
      </c>
      <c r="P6" s="16" t="str">
        <f>TRIM(_xlfn.TEXTAFTER(O4,":"))</f>
        <v>Обычный</v>
      </c>
      <c r="Q6" s="18" t="s">
        <v>0</v>
      </c>
      <c r="R6" s="16" t="str">
        <f>TRIM(_xlfn.TEXTAFTER(Q4,":"))</f>
        <v>ปกติ</v>
      </c>
      <c r="S6" s="18"/>
      <c r="T6" s="19" t="e">
        <f>TRIM(_xlfn.TEXTAFTER(S4,":"))</f>
        <v>#N/A</v>
      </c>
    </row>
    <row r="7" spans="1:20" ht="15.95" customHeight="1" x14ac:dyDescent="0.25">
      <c r="A7" s="18" t="s">
        <v>172</v>
      </c>
      <c r="B7" s="16"/>
      <c r="C7" s="18" t="s">
        <v>201</v>
      </c>
      <c r="D7" s="16"/>
      <c r="E7" s="18" t="s">
        <v>249</v>
      </c>
      <c r="F7" s="16"/>
      <c r="G7" s="18" t="s">
        <v>189</v>
      </c>
      <c r="H7" s="16"/>
      <c r="I7" s="18" t="s">
        <v>273</v>
      </c>
      <c r="J7" s="16"/>
      <c r="K7" s="18" t="s">
        <v>261</v>
      </c>
      <c r="L7" s="16"/>
      <c r="M7" s="18" t="s">
        <v>213</v>
      </c>
      <c r="N7" s="16"/>
      <c r="O7" s="18" t="s">
        <v>225</v>
      </c>
      <c r="P7" s="16"/>
      <c r="Q7" s="18" t="s">
        <v>237</v>
      </c>
      <c r="R7" s="16"/>
      <c r="S7" s="18"/>
      <c r="T7" s="19"/>
    </row>
    <row r="8" spans="1:20" ht="15.95" customHeight="1" x14ac:dyDescent="0.25">
      <c r="A8" s="18" t="s">
        <v>173</v>
      </c>
      <c r="B8" s="16" t="str">
        <f>TRIM(_xlfn.TEXTBEFORE(A8,":"))</f>
        <v>Quality (Pack Size)</v>
      </c>
      <c r="C8" s="18" t="s">
        <v>202</v>
      </c>
      <c r="D8" s="16" t="str">
        <f>TRIM(_xlfn.TEXTBEFORE(C8,":"))</f>
        <v>Qualität (Gruppengröße)</v>
      </c>
      <c r="E8" s="18" t="s">
        <v>250</v>
      </c>
      <c r="F8" s="16" t="str">
        <f>TRIM(_xlfn.TEXTBEFORE(E8,":"))</f>
        <v>Calidad (tamaño de grupos de monstruos)</v>
      </c>
      <c r="G8" s="18" t="s">
        <v>190</v>
      </c>
      <c r="H8" s="16" t="str">
        <f>TRIM(_xlfn.TEXTBEFORE(G8,":"))</f>
        <v>Qualité (Taille des Groupes)</v>
      </c>
      <c r="I8" s="18" t="s">
        <v>274</v>
      </c>
      <c r="J8" s="16" t="str">
        <f>TRIM(_xlfn.TEXTBEFORE(I8,":"))</f>
        <v>品質 (パックサイズ)</v>
      </c>
      <c r="K8" s="18" t="s">
        <v>262</v>
      </c>
      <c r="L8" s="16" t="str">
        <f>TRIM(_xlfn.TEXTBEFORE(K8,":"))</f>
        <v>퀄리티 (무리 규모)</v>
      </c>
      <c r="M8" s="18" t="s">
        <v>214</v>
      </c>
      <c r="N8" s="16" t="str">
        <f>TRIM(_xlfn.TEXTBEFORE(M8,":"))</f>
        <v>Qualidade (Tamanho de Grupos)</v>
      </c>
      <c r="O8" s="18" t="s">
        <v>226</v>
      </c>
      <c r="P8" s="16" t="str">
        <f>TRIM(_xlfn.TEXTBEFORE(O8,":"))</f>
        <v>Качество (размер группы)</v>
      </c>
      <c r="Q8" s="18" t="s">
        <v>238</v>
      </c>
      <c r="R8" s="16" t="str">
        <f>TRIM(_xlfn.TEXTBEFORE(Q8,":"))</f>
        <v>ค่าคุณภาพ (ขนาดกองมอนสเตอร์)</v>
      </c>
      <c r="S8" s="18"/>
      <c r="T8" s="16" t="e">
        <f>TRIM(_xlfn.TEXTBEFORE(S8,":"))</f>
        <v>#N/A</v>
      </c>
    </row>
    <row r="9" spans="1:20" ht="15.95" customHeight="1" x14ac:dyDescent="0.25">
      <c r="A9" s="18" t="s">
        <v>0</v>
      </c>
      <c r="B9" s="16"/>
      <c r="C9" s="18" t="s">
        <v>0</v>
      </c>
      <c r="D9" s="16"/>
      <c r="E9" s="18" t="s">
        <v>0</v>
      </c>
      <c r="F9" s="16"/>
      <c r="G9" s="18" t="s">
        <v>0</v>
      </c>
      <c r="H9" s="16"/>
      <c r="I9" s="18" t="s">
        <v>0</v>
      </c>
      <c r="J9" s="16"/>
      <c r="K9" s="18" t="s">
        <v>0</v>
      </c>
      <c r="L9" s="16"/>
      <c r="M9" s="18" t="s">
        <v>0</v>
      </c>
      <c r="N9" s="16"/>
      <c r="O9" s="18" t="s">
        <v>0</v>
      </c>
      <c r="P9" s="16"/>
      <c r="Q9" s="18" t="s">
        <v>0</v>
      </c>
      <c r="R9" s="16"/>
      <c r="S9" s="18"/>
      <c r="T9" s="19"/>
    </row>
    <row r="10" spans="1:20" ht="15.95" customHeight="1" x14ac:dyDescent="0.25">
      <c r="A10" s="18" t="s">
        <v>33</v>
      </c>
      <c r="B10" s="16"/>
      <c r="C10" s="18" t="s">
        <v>71</v>
      </c>
      <c r="D10" s="16"/>
      <c r="E10" s="18" t="s">
        <v>82</v>
      </c>
      <c r="F10" s="16"/>
      <c r="G10" s="18" t="s">
        <v>59</v>
      </c>
      <c r="H10" s="16"/>
      <c r="I10" s="18" t="s">
        <v>93</v>
      </c>
      <c r="J10" s="16"/>
      <c r="K10" s="18" t="s">
        <v>104</v>
      </c>
      <c r="L10" s="16"/>
      <c r="M10" s="18" t="s">
        <v>113</v>
      </c>
      <c r="N10" s="16"/>
      <c r="O10" s="18" t="s">
        <v>125</v>
      </c>
      <c r="P10" s="16"/>
      <c r="Q10" s="18" t="s">
        <v>136</v>
      </c>
      <c r="R10" s="16"/>
      <c r="S10" s="18"/>
      <c r="T10" s="19"/>
    </row>
    <row r="11" spans="1:20" ht="15.95" customHeight="1" x14ac:dyDescent="0.25">
      <c r="A11" s="18" t="s">
        <v>0</v>
      </c>
      <c r="B11" s="16"/>
      <c r="C11" s="18" t="s">
        <v>0</v>
      </c>
      <c r="D11" s="16"/>
      <c r="E11" s="18" t="s">
        <v>0</v>
      </c>
      <c r="F11" s="16"/>
      <c r="G11" s="18" t="s">
        <v>0</v>
      </c>
      <c r="H11" s="16"/>
      <c r="I11" s="18" t="s">
        <v>0</v>
      </c>
      <c r="J11" s="16"/>
      <c r="K11" s="18" t="s">
        <v>0</v>
      </c>
      <c r="L11" s="16"/>
      <c r="M11" s="18" t="s">
        <v>0</v>
      </c>
      <c r="N11" s="16"/>
      <c r="O11" s="18" t="s">
        <v>0</v>
      </c>
      <c r="P11" s="16"/>
      <c r="Q11" s="18" t="s">
        <v>0</v>
      </c>
      <c r="R11" s="16"/>
      <c r="S11" s="18"/>
      <c r="T11" s="19"/>
    </row>
    <row r="12" spans="1:20" ht="15.95" customHeight="1" x14ac:dyDescent="0.25">
      <c r="A12" s="18" t="s">
        <v>164</v>
      </c>
      <c r="B12" s="16"/>
      <c r="C12" s="18" t="s">
        <v>193</v>
      </c>
      <c r="D12" s="16"/>
      <c r="E12" s="18" t="s">
        <v>241</v>
      </c>
      <c r="F12" s="16"/>
      <c r="G12" s="18" t="s">
        <v>181</v>
      </c>
      <c r="H12" s="16"/>
      <c r="I12" s="18" t="s">
        <v>265</v>
      </c>
      <c r="J12" s="16"/>
      <c r="K12" s="18" t="s">
        <v>253</v>
      </c>
      <c r="L12" s="16"/>
      <c r="M12" s="18" t="s">
        <v>205</v>
      </c>
      <c r="N12" s="16"/>
      <c r="O12" s="18" t="s">
        <v>217</v>
      </c>
      <c r="P12" s="16"/>
      <c r="Q12" s="18" t="s">
        <v>229</v>
      </c>
      <c r="R12" s="16"/>
      <c r="S12" s="18"/>
      <c r="T12" s="19"/>
    </row>
    <row r="13" spans="1:20" ht="15.95" customHeight="1" x14ac:dyDescent="0.25">
      <c r="A13" s="18" t="s">
        <v>0</v>
      </c>
      <c r="B13" s="16"/>
      <c r="C13" s="18" t="s">
        <v>0</v>
      </c>
      <c r="D13" s="16"/>
      <c r="E13" s="18" t="s">
        <v>0</v>
      </c>
      <c r="F13" s="16"/>
      <c r="G13" s="18" t="s">
        <v>0</v>
      </c>
      <c r="H13" s="16"/>
      <c r="I13" s="18" t="s">
        <v>0</v>
      </c>
      <c r="J13" s="16"/>
      <c r="K13" s="18" t="s">
        <v>0</v>
      </c>
      <c r="L13" s="16"/>
      <c r="M13" s="18" t="s">
        <v>0</v>
      </c>
      <c r="N13" s="16"/>
      <c r="O13" s="18" t="s">
        <v>0</v>
      </c>
      <c r="P13" s="16"/>
      <c r="Q13" s="18" t="s">
        <v>0</v>
      </c>
      <c r="R13" s="16"/>
      <c r="S13" s="18"/>
      <c r="T13" s="19"/>
    </row>
    <row r="14" spans="1:20" ht="15.95" customHeight="1" x14ac:dyDescent="0.25">
      <c r="A14" s="18" t="s">
        <v>165</v>
      </c>
      <c r="B14" s="16"/>
      <c r="C14" s="18" t="s">
        <v>194</v>
      </c>
      <c r="D14" s="16"/>
      <c r="E14" s="18" t="s">
        <v>242</v>
      </c>
      <c r="F14" s="16"/>
      <c r="G14" s="18" t="s">
        <v>182</v>
      </c>
      <c r="H14" s="16"/>
      <c r="I14" s="18" t="s">
        <v>266</v>
      </c>
      <c r="J14" s="16"/>
      <c r="K14" s="18" t="s">
        <v>254</v>
      </c>
      <c r="L14" s="16"/>
      <c r="M14" s="18" t="s">
        <v>206</v>
      </c>
      <c r="N14" s="16"/>
      <c r="O14" s="18" t="s">
        <v>218</v>
      </c>
      <c r="P14" s="16"/>
      <c r="Q14" s="18" t="s">
        <v>230</v>
      </c>
      <c r="R14" s="16"/>
      <c r="S14" s="18"/>
      <c r="T14" s="19"/>
    </row>
    <row r="15" spans="1:20" ht="15.95" customHeight="1" x14ac:dyDescent="0.25">
      <c r="A15" s="18"/>
      <c r="B15" s="16"/>
      <c r="C15" s="18"/>
      <c r="D15" s="16"/>
      <c r="E15" s="18"/>
      <c r="F15" s="16"/>
      <c r="G15" s="18"/>
      <c r="H15" s="16"/>
      <c r="I15" s="18"/>
      <c r="J15" s="16"/>
      <c r="K15" s="18"/>
      <c r="L15" s="16"/>
      <c r="M15" s="18"/>
      <c r="N15" s="16"/>
      <c r="O15" s="18"/>
      <c r="P15" s="16"/>
      <c r="Q15" s="18"/>
      <c r="R15" s="16"/>
      <c r="S15" s="18"/>
      <c r="T15" s="19"/>
    </row>
    <row r="16" spans="1:20" ht="15.95" customHeight="1" x14ac:dyDescent="0.25">
      <c r="A16" s="18"/>
      <c r="B16" s="16"/>
      <c r="C16" s="18"/>
      <c r="D16" s="16"/>
      <c r="E16" s="18"/>
      <c r="F16" s="16"/>
      <c r="G16" s="18"/>
      <c r="H16" s="16"/>
      <c r="I16" s="18"/>
      <c r="J16" s="16"/>
      <c r="K16" s="18"/>
      <c r="L16" s="16"/>
      <c r="M16" s="18"/>
      <c r="N16" s="16"/>
      <c r="O16" s="18"/>
      <c r="P16" s="16"/>
      <c r="Q16" s="18"/>
      <c r="R16" s="16"/>
      <c r="S16" s="18"/>
      <c r="T16" s="19"/>
    </row>
    <row r="17" spans="1:20" ht="15.95" customHeight="1" x14ac:dyDescent="0.25">
      <c r="A17" s="18"/>
      <c r="B17" s="16"/>
      <c r="C17" s="18"/>
      <c r="D17" s="16"/>
      <c r="E17" s="18"/>
      <c r="F17" s="16"/>
      <c r="G17" s="18"/>
      <c r="H17" s="16"/>
      <c r="I17" s="18"/>
      <c r="J17" s="16"/>
      <c r="K17" s="18"/>
      <c r="L17" s="16"/>
      <c r="M17" s="18"/>
      <c r="N17" s="16"/>
      <c r="O17" s="18"/>
      <c r="P17" s="16"/>
      <c r="Q17" s="18"/>
      <c r="R17" s="16"/>
      <c r="S17" s="18"/>
      <c r="T17" s="19"/>
    </row>
    <row r="18" spans="1:20" ht="15.95" customHeight="1" x14ac:dyDescent="0.25">
      <c r="A18" s="18"/>
      <c r="B18" s="16"/>
      <c r="C18" s="18"/>
      <c r="D18" s="16"/>
      <c r="E18" s="18"/>
      <c r="F18" s="16"/>
      <c r="G18" s="18"/>
      <c r="H18" s="16"/>
      <c r="I18" s="18"/>
      <c r="J18" s="16"/>
      <c r="K18" s="18"/>
      <c r="L18" s="16"/>
      <c r="M18" s="18"/>
      <c r="N18" s="16"/>
      <c r="O18" s="18"/>
      <c r="P18" s="16"/>
      <c r="Q18" s="18"/>
      <c r="R18" s="16"/>
      <c r="S18" s="18"/>
      <c r="T18" s="19"/>
    </row>
    <row r="19" spans="1:20" ht="15.95" customHeight="1" x14ac:dyDescent="0.25">
      <c r="A19" s="18"/>
      <c r="B19" s="16"/>
      <c r="C19" s="18"/>
      <c r="D19" s="16"/>
      <c r="E19" s="18"/>
      <c r="F19" s="16"/>
      <c r="G19" s="18"/>
      <c r="H19" s="16"/>
      <c r="I19" s="18"/>
      <c r="J19" s="16"/>
      <c r="K19" s="18"/>
      <c r="L19" s="16"/>
      <c r="M19" s="18"/>
      <c r="N19" s="16"/>
      <c r="O19" s="18"/>
      <c r="P19" s="16"/>
      <c r="Q19" s="18"/>
      <c r="R19" s="16"/>
      <c r="S19" s="18"/>
      <c r="T19" s="19"/>
    </row>
    <row r="20" spans="1:20" ht="15.95" customHeight="1" x14ac:dyDescent="0.25">
      <c r="A20" s="18"/>
      <c r="B20" s="16"/>
      <c r="C20" s="18"/>
      <c r="D20" s="16"/>
      <c r="E20" s="18"/>
      <c r="F20" s="16"/>
      <c r="G20" s="18"/>
      <c r="H20" s="16"/>
      <c r="I20" s="18"/>
      <c r="J20" s="16"/>
      <c r="K20" s="18"/>
      <c r="L20" s="16"/>
      <c r="M20" s="18"/>
      <c r="N20" s="16"/>
      <c r="O20" s="18"/>
      <c r="P20" s="16"/>
      <c r="Q20" s="18"/>
      <c r="R20" s="16"/>
      <c r="S20" s="18"/>
      <c r="T20" s="19"/>
    </row>
    <row r="21" spans="1:20" ht="15.95" customHeight="1" x14ac:dyDescent="0.25">
      <c r="A21" s="18"/>
      <c r="B21" s="16"/>
      <c r="C21" s="18"/>
      <c r="D21" s="16"/>
      <c r="E21" s="18"/>
      <c r="F21" s="16"/>
      <c r="G21" s="18"/>
      <c r="H21" s="16"/>
      <c r="I21" s="18"/>
      <c r="J21" s="16"/>
      <c r="K21" s="18"/>
      <c r="L21" s="16"/>
      <c r="M21" s="18"/>
      <c r="N21" s="16"/>
      <c r="O21" s="18"/>
      <c r="P21" s="16"/>
      <c r="Q21" s="18"/>
      <c r="R21" s="16"/>
      <c r="S21" s="18"/>
      <c r="T21" s="19"/>
    </row>
    <row r="22" spans="1:20" ht="15.95" customHeight="1" x14ac:dyDescent="0.25">
      <c r="A22" s="18"/>
      <c r="B22" s="16"/>
      <c r="C22" s="18"/>
      <c r="D22" s="16"/>
      <c r="E22" s="18"/>
      <c r="F22" s="16"/>
      <c r="G22" s="18"/>
      <c r="H22" s="16"/>
      <c r="I22" s="18"/>
      <c r="J22" s="16"/>
      <c r="K22" s="18"/>
      <c r="L22" s="16"/>
      <c r="M22" s="18"/>
      <c r="N22" s="16"/>
      <c r="O22" s="18"/>
      <c r="P22" s="16"/>
      <c r="Q22" s="18"/>
      <c r="R22" s="16"/>
      <c r="S22" s="18"/>
      <c r="T22" s="19"/>
    </row>
    <row r="23" spans="1:20" ht="15.95" customHeight="1" x14ac:dyDescent="0.25">
      <c r="A23" s="18"/>
      <c r="B23" s="16"/>
      <c r="C23" s="18"/>
      <c r="D23" s="16"/>
      <c r="E23" s="18"/>
      <c r="F23" s="16"/>
      <c r="G23" s="18"/>
      <c r="H23" s="16"/>
      <c r="I23" s="18"/>
      <c r="J23" s="16"/>
      <c r="K23" s="18"/>
      <c r="L23" s="16"/>
      <c r="M23" s="18"/>
      <c r="N23" s="16"/>
      <c r="O23" s="18"/>
      <c r="P23" s="16"/>
      <c r="Q23" s="18"/>
      <c r="R23" s="16"/>
      <c r="S23" s="18"/>
      <c r="T23" s="19"/>
    </row>
    <row r="24" spans="1:20" ht="15.95" customHeight="1" x14ac:dyDescent="0.25">
      <c r="A24" s="18"/>
      <c r="B24" s="16"/>
      <c r="C24" s="18"/>
      <c r="D24" s="16"/>
      <c r="E24" s="18"/>
      <c r="F24" s="16"/>
      <c r="G24" s="18"/>
      <c r="H24" s="16"/>
      <c r="I24" s="18"/>
      <c r="J24" s="16"/>
      <c r="K24" s="18"/>
      <c r="L24" s="16"/>
      <c r="M24" s="18"/>
      <c r="N24" s="16"/>
      <c r="O24" s="18"/>
      <c r="P24" s="16"/>
      <c r="Q24" s="18"/>
      <c r="R24" s="16"/>
      <c r="S24" s="18"/>
      <c r="T24" s="19"/>
    </row>
    <row r="25" spans="1:20" ht="15.95" customHeight="1" x14ac:dyDescent="0.25">
      <c r="A25" s="18"/>
      <c r="B25" s="16"/>
      <c r="C25" s="18"/>
      <c r="D25" s="16"/>
      <c r="E25" s="18"/>
      <c r="F25" s="16"/>
      <c r="G25" s="18"/>
      <c r="H25" s="16"/>
      <c r="I25" s="18"/>
      <c r="J25" s="16"/>
      <c r="K25" s="18"/>
      <c r="L25" s="16"/>
      <c r="M25" s="18"/>
      <c r="N25" s="16"/>
      <c r="O25" s="18"/>
      <c r="P25" s="16"/>
      <c r="Q25" s="18"/>
      <c r="R25" s="16"/>
      <c r="S25" s="18"/>
      <c r="T25" s="19"/>
    </row>
    <row r="26" spans="1:20" ht="15.95" customHeight="1" x14ac:dyDescent="0.25">
      <c r="A26" s="18"/>
      <c r="B26" s="16"/>
      <c r="C26" s="18"/>
      <c r="D26" s="16"/>
      <c r="E26" s="18"/>
      <c r="F26" s="16"/>
      <c r="G26" s="18"/>
      <c r="H26" s="16"/>
      <c r="I26" s="18"/>
      <c r="J26" s="16"/>
      <c r="K26" s="18"/>
      <c r="L26" s="16"/>
      <c r="M26" s="18"/>
      <c r="N26" s="16"/>
      <c r="O26" s="18"/>
      <c r="P26" s="16"/>
      <c r="Q26" s="18"/>
      <c r="R26" s="16"/>
      <c r="S26" s="18"/>
      <c r="T26" s="19"/>
    </row>
    <row r="27" spans="1:20" ht="15.95" customHeight="1" x14ac:dyDescent="0.25">
      <c r="A27" s="18"/>
      <c r="B27" s="16"/>
      <c r="C27" s="18"/>
      <c r="D27" s="16"/>
      <c r="E27" s="18"/>
      <c r="F27" s="16"/>
      <c r="G27" s="18"/>
      <c r="H27" s="16"/>
      <c r="I27" s="18"/>
      <c r="J27" s="16"/>
      <c r="K27" s="18"/>
      <c r="L27" s="16"/>
      <c r="M27" s="18"/>
      <c r="N27" s="16"/>
      <c r="O27" s="18"/>
      <c r="P27" s="16"/>
      <c r="Q27" s="18"/>
      <c r="R27" s="16"/>
      <c r="S27" s="18"/>
      <c r="T27" s="19"/>
    </row>
    <row r="28" spans="1:20" ht="15.95" customHeight="1" x14ac:dyDescent="0.25">
      <c r="A28" s="18"/>
      <c r="B28" s="16"/>
      <c r="C28" s="18"/>
      <c r="D28" s="16"/>
      <c r="E28" s="18"/>
      <c r="F28" s="16"/>
      <c r="G28" s="18"/>
      <c r="H28" s="16"/>
      <c r="I28" s="18"/>
      <c r="J28" s="16"/>
      <c r="K28" s="18"/>
      <c r="L28" s="16"/>
      <c r="M28" s="18"/>
      <c r="N28" s="16"/>
      <c r="O28" s="18"/>
      <c r="P28" s="16"/>
      <c r="Q28" s="18"/>
      <c r="R28" s="16"/>
      <c r="S28" s="18"/>
      <c r="T28" s="19"/>
    </row>
    <row r="29" spans="1:20" ht="15.95" customHeight="1" x14ac:dyDescent="0.25">
      <c r="A29" s="18"/>
      <c r="B29" s="16"/>
      <c r="C29" s="18"/>
      <c r="D29" s="16"/>
      <c r="E29" s="18"/>
      <c r="F29" s="16"/>
      <c r="G29" s="18"/>
      <c r="H29" s="16"/>
      <c r="I29" s="18"/>
      <c r="J29" s="16"/>
      <c r="K29" s="18"/>
      <c r="L29" s="16"/>
      <c r="M29" s="18"/>
      <c r="N29" s="16"/>
      <c r="O29" s="18"/>
      <c r="P29" s="16"/>
      <c r="Q29" s="18"/>
      <c r="R29" s="16"/>
      <c r="S29" s="18"/>
      <c r="T29" s="19"/>
    </row>
    <row r="30" spans="1:20" ht="15.95" customHeight="1" x14ac:dyDescent="0.25">
      <c r="A30" s="18"/>
      <c r="B30" s="16"/>
      <c r="C30" s="18"/>
      <c r="D30" s="16"/>
      <c r="E30" s="18"/>
      <c r="F30" s="16"/>
      <c r="G30" s="18"/>
      <c r="H30" s="16"/>
      <c r="I30" s="18"/>
      <c r="J30" s="16"/>
      <c r="K30" s="18"/>
      <c r="L30" s="16"/>
      <c r="M30" s="18"/>
      <c r="N30" s="16"/>
      <c r="O30" s="18"/>
      <c r="P30" s="16"/>
      <c r="Q30" s="18"/>
      <c r="R30" s="16"/>
      <c r="S30" s="18"/>
      <c r="T30" s="19"/>
    </row>
    <row r="31" spans="1:20" ht="15.95" customHeight="1" x14ac:dyDescent="0.25">
      <c r="A31" s="18"/>
      <c r="B31" s="16"/>
      <c r="C31" s="18"/>
      <c r="D31" s="16"/>
      <c r="E31" s="18"/>
      <c r="F31" s="16"/>
      <c r="G31" s="18"/>
      <c r="H31" s="16"/>
      <c r="I31" s="18"/>
      <c r="J31" s="16"/>
      <c r="K31" s="18"/>
      <c r="L31" s="16"/>
      <c r="M31" s="18"/>
      <c r="N31" s="16"/>
      <c r="O31" s="18"/>
      <c r="P31" s="16"/>
      <c r="Q31" s="18"/>
      <c r="R31" s="16"/>
      <c r="S31" s="18"/>
      <c r="T31" s="19"/>
    </row>
    <row r="32" spans="1:20" ht="15.95" customHeight="1" x14ac:dyDescent="0.25">
      <c r="A32" s="18"/>
      <c r="B32" s="16"/>
      <c r="C32" s="18"/>
      <c r="D32" s="16"/>
      <c r="E32" s="18"/>
      <c r="F32" s="16"/>
      <c r="G32" s="18"/>
      <c r="H32" s="16"/>
      <c r="I32" s="18"/>
      <c r="J32" s="16"/>
      <c r="K32" s="18"/>
      <c r="L32" s="16"/>
      <c r="M32" s="18"/>
      <c r="N32" s="16"/>
      <c r="O32" s="18"/>
      <c r="P32" s="16"/>
      <c r="Q32" s="18"/>
      <c r="R32" s="16"/>
      <c r="S32" s="18"/>
      <c r="T32" s="19"/>
    </row>
    <row r="33" spans="1:20" ht="15.95" customHeight="1" x14ac:dyDescent="0.25">
      <c r="A33" s="21"/>
      <c r="B33" s="16"/>
      <c r="C33" s="18"/>
      <c r="D33" s="16"/>
      <c r="E33" s="18"/>
      <c r="F33" s="16"/>
      <c r="G33" s="18"/>
      <c r="H33" s="16"/>
      <c r="I33" s="18"/>
      <c r="J33" s="16"/>
      <c r="K33" s="18"/>
      <c r="L33" s="16"/>
      <c r="M33" s="18"/>
      <c r="N33" s="16"/>
      <c r="O33" s="18"/>
      <c r="P33" s="16"/>
      <c r="Q33" s="18"/>
      <c r="R33" s="16"/>
      <c r="S33" s="18"/>
      <c r="T33" s="19"/>
    </row>
    <row r="34" spans="1:20" ht="15.95" customHeight="1" x14ac:dyDescent="0.25">
      <c r="A34" s="18"/>
      <c r="B34" s="16"/>
      <c r="C34" s="18"/>
      <c r="D34" s="16"/>
      <c r="E34" s="18"/>
      <c r="F34" s="16"/>
      <c r="G34" s="18"/>
      <c r="H34" s="16"/>
      <c r="I34" s="18"/>
      <c r="J34" s="16"/>
      <c r="K34" s="18"/>
      <c r="L34" s="16"/>
      <c r="M34" s="18"/>
      <c r="N34" s="16"/>
      <c r="O34" s="18"/>
      <c r="P34" s="16"/>
      <c r="Q34" s="18"/>
      <c r="R34" s="16"/>
      <c r="S34" s="18"/>
      <c r="T34" s="19"/>
    </row>
    <row r="35" spans="1:20" ht="15.95" customHeight="1" x14ac:dyDescent="0.25">
      <c r="A35" s="18"/>
      <c r="B35" s="16"/>
      <c r="C35" s="18"/>
      <c r="D35" s="16"/>
      <c r="E35" s="18"/>
      <c r="F35" s="16"/>
      <c r="G35" s="18"/>
      <c r="H35" s="16"/>
      <c r="I35" s="18"/>
      <c r="J35" s="16"/>
      <c r="K35" s="18"/>
      <c r="L35" s="16"/>
      <c r="M35" s="18"/>
      <c r="N35" s="16"/>
      <c r="O35" s="18"/>
      <c r="P35" s="16"/>
      <c r="Q35" s="18"/>
      <c r="R35" s="16"/>
      <c r="S35" s="18"/>
      <c r="T35" s="19"/>
    </row>
    <row r="36" spans="1:20" ht="15.95" customHeight="1" x14ac:dyDescent="0.25">
      <c r="A36" s="18"/>
      <c r="B36" s="16"/>
      <c r="C36" s="18"/>
      <c r="D36" s="16"/>
      <c r="E36" s="18"/>
      <c r="F36" s="16"/>
      <c r="G36" s="18"/>
      <c r="H36" s="16"/>
      <c r="I36" s="18"/>
      <c r="J36" s="16"/>
      <c r="K36" s="18"/>
      <c r="L36" s="16"/>
      <c r="M36" s="18"/>
      <c r="N36" s="16"/>
      <c r="O36" s="18"/>
      <c r="P36" s="16"/>
      <c r="Q36" s="18"/>
      <c r="R36" s="16"/>
      <c r="S36" s="18"/>
      <c r="T36" s="19"/>
    </row>
    <row r="37" spans="1:20" ht="15.95" customHeight="1" x14ac:dyDescent="0.25">
      <c r="A37" s="18"/>
      <c r="B37" s="16"/>
      <c r="C37" s="18"/>
      <c r="D37" s="16"/>
      <c r="E37" s="18"/>
      <c r="F37" s="16"/>
      <c r="G37" s="18"/>
      <c r="H37" s="16"/>
      <c r="I37" s="18"/>
      <c r="J37" s="16"/>
      <c r="K37" s="18"/>
      <c r="L37" s="16"/>
      <c r="M37" s="18"/>
      <c r="N37" s="16"/>
      <c r="O37" s="18"/>
      <c r="P37" s="16"/>
      <c r="Q37" s="18"/>
      <c r="R37" s="16"/>
      <c r="S37" s="18"/>
      <c r="T37" s="19"/>
    </row>
    <row r="38" spans="1:20" ht="15.95" customHeight="1" x14ac:dyDescent="0.25">
      <c r="A38" s="18"/>
      <c r="B38" s="16"/>
      <c r="C38" s="18"/>
      <c r="D38" s="16"/>
      <c r="E38" s="18"/>
      <c r="F38" s="16"/>
      <c r="G38" s="18"/>
      <c r="H38" s="16"/>
      <c r="I38" s="18"/>
      <c r="J38" s="16"/>
      <c r="K38" s="18"/>
      <c r="L38" s="16"/>
      <c r="M38" s="18"/>
      <c r="N38" s="16"/>
      <c r="O38" s="18"/>
      <c r="P38" s="16"/>
      <c r="Q38" s="18"/>
      <c r="R38" s="16"/>
      <c r="S38" s="18"/>
      <c r="T38" s="20"/>
    </row>
    <row r="39" spans="1:20" ht="15.95" customHeight="1" x14ac:dyDescent="0.25">
      <c r="A39" s="18"/>
      <c r="B39" s="16"/>
      <c r="C39" s="18"/>
      <c r="D39" s="16"/>
      <c r="E39" s="18"/>
      <c r="F39" s="16"/>
      <c r="G39" s="18"/>
      <c r="H39" s="16"/>
      <c r="I39" s="18"/>
      <c r="J39" s="16"/>
      <c r="K39" s="18"/>
      <c r="L39" s="16"/>
      <c r="M39" s="18"/>
      <c r="N39" s="16"/>
      <c r="O39" s="18"/>
      <c r="P39" s="16"/>
      <c r="Q39" s="18"/>
      <c r="R39" s="16"/>
      <c r="S39" s="18"/>
      <c r="T39" s="20"/>
    </row>
    <row r="40" spans="1:20" ht="15.95" customHeight="1" x14ac:dyDescent="0.25">
      <c r="A40" s="18"/>
      <c r="B40" s="16"/>
      <c r="C40" s="18"/>
      <c r="D40" s="16"/>
      <c r="E40" s="18"/>
      <c r="F40" s="16"/>
      <c r="G40" s="18"/>
      <c r="H40" s="16"/>
      <c r="I40" s="18"/>
      <c r="J40" s="16"/>
      <c r="K40" s="18"/>
      <c r="L40" s="16"/>
      <c r="M40" s="18"/>
      <c r="N40" s="16"/>
      <c r="O40" s="18"/>
      <c r="P40" s="16"/>
      <c r="Q40" s="18"/>
      <c r="R40" s="16"/>
      <c r="S40" s="18"/>
      <c r="T40" s="20"/>
    </row>
    <row r="41" spans="1:20" ht="15.95" customHeight="1" x14ac:dyDescent="0.25">
      <c r="A41" s="18"/>
      <c r="B41" s="16"/>
      <c r="C41" s="18"/>
      <c r="D41" s="16"/>
      <c r="E41" s="18"/>
      <c r="F41" s="16"/>
      <c r="G41" s="18"/>
      <c r="H41" s="16"/>
      <c r="I41" s="18"/>
      <c r="J41" s="16"/>
      <c r="K41" s="18"/>
      <c r="L41" s="16"/>
      <c r="M41" s="18"/>
      <c r="N41" s="16"/>
      <c r="O41" s="18"/>
      <c r="P41" s="16"/>
      <c r="Q41" s="18"/>
      <c r="R41" s="16"/>
      <c r="S41" s="18"/>
      <c r="T41" s="20"/>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 priority="22" stopIfTrue="1">
      <formula>NOT(ISERROR(A3))</formula>
    </cfRule>
  </conditionalFormatting>
  <conditionalFormatting sqref="A3:T7 A8 C8 E8 G8 I8 K8 M8 O8 Q8 S8 A9:T51">
    <cfRule type="notContainsBlanks" dxfId="24" priority="23">
      <formula>LEN(TRIM(A3))&gt;0</formula>
    </cfRule>
  </conditionalFormatting>
  <conditionalFormatting sqref="A3:T51">
    <cfRule type="containsErrors" dxfId="23" priority="1" stopIfTrue="1">
      <formula>ISERROR(A3)</formula>
    </cfRule>
  </conditionalFormatting>
  <conditionalFormatting sqref="B8">
    <cfRule type="notContainsBlanks" dxfId="22" priority="20">
      <formula>LEN(TRIM(B8))&gt;0</formula>
    </cfRule>
  </conditionalFormatting>
  <conditionalFormatting sqref="D8">
    <cfRule type="notContainsBlanks" dxfId="21" priority="18">
      <formula>LEN(TRIM(D8))&gt;0</formula>
    </cfRule>
  </conditionalFormatting>
  <conditionalFormatting sqref="F8">
    <cfRule type="notContainsBlanks" dxfId="20" priority="16">
      <formula>LEN(TRIM(F8))&gt;0</formula>
    </cfRule>
  </conditionalFormatting>
  <conditionalFormatting sqref="H8">
    <cfRule type="notContainsBlanks" dxfId="19" priority="14">
      <formula>LEN(TRIM(H8))&gt;0</formula>
    </cfRule>
  </conditionalFormatting>
  <conditionalFormatting sqref="J8">
    <cfRule type="notContainsBlanks" dxfId="18" priority="12">
      <formula>LEN(TRIM(J8))&gt;0</formula>
    </cfRule>
  </conditionalFormatting>
  <conditionalFormatting sqref="L8">
    <cfRule type="notContainsBlanks" dxfId="17" priority="10">
      <formula>LEN(TRIM(L8))&gt;0</formula>
    </cfRule>
  </conditionalFormatting>
  <conditionalFormatting sqref="N8">
    <cfRule type="notContainsBlanks" dxfId="16" priority="8">
      <formula>LEN(TRIM(N8))&gt;0</formula>
    </cfRule>
  </conditionalFormatting>
  <conditionalFormatting sqref="P8">
    <cfRule type="notContainsBlanks" dxfId="15" priority="6">
      <formula>LEN(TRIM(P8))&gt;0</formula>
    </cfRule>
  </conditionalFormatting>
  <conditionalFormatting sqref="R8">
    <cfRule type="notContainsBlanks" dxfId="14" priority="4">
      <formula>LEN(TRIM(R8))&gt;0</formula>
    </cfRule>
  </conditionalFormatting>
  <conditionalFormatting sqref="T8">
    <cfRule type="notContainsBlanks" dxfId="13" priority="2">
      <formula>LEN(TRIM(T8))&gt;0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47F6E-EC47-4EAB-BDCB-EA23B52D9314}">
  <sheetPr codeName="Sheet101"/>
  <dimension ref="A1:T51"/>
  <sheetViews>
    <sheetView workbookViewId="0"/>
  </sheetViews>
  <sheetFormatPr defaultColWidth="9.28515625" defaultRowHeight="15" x14ac:dyDescent="0.25"/>
  <cols>
    <col min="1" max="1" width="44.7109375" customWidth="1"/>
    <col min="2" max="2" width="13.85546875" customWidth="1"/>
    <col min="8" max="8" width="9.28515625" customWidth="1"/>
  </cols>
  <sheetData>
    <row r="1" spans="1:20" x14ac:dyDescent="0.25">
      <c r="A1" s="23" t="str">
        <f>HYPERLINK("#Sheets!A1","Back to sheets")</f>
        <v>Back to sheets</v>
      </c>
    </row>
    <row r="2" spans="1:20" ht="15.95" customHeight="1" x14ac:dyDescent="0.25">
      <c r="A2" s="8" t="s">
        <v>3</v>
      </c>
      <c r="B2" s="9" t="s">
        <v>31</v>
      </c>
      <c r="C2" s="8" t="s">
        <v>7</v>
      </c>
      <c r="D2" s="9" t="s">
        <v>31</v>
      </c>
      <c r="E2" s="8" t="s">
        <v>9</v>
      </c>
      <c r="F2" s="9" t="s">
        <v>31</v>
      </c>
      <c r="G2" s="8" t="s">
        <v>10</v>
      </c>
      <c r="H2" s="9" t="s">
        <v>31</v>
      </c>
      <c r="I2" s="8" t="s">
        <v>11</v>
      </c>
      <c r="J2" s="9" t="s">
        <v>31</v>
      </c>
      <c r="K2" s="8" t="s">
        <v>12</v>
      </c>
      <c r="L2" s="9" t="s">
        <v>31</v>
      </c>
      <c r="M2" s="8" t="s">
        <v>13</v>
      </c>
      <c r="N2" s="9" t="s">
        <v>31</v>
      </c>
      <c r="O2" s="8" t="s">
        <v>14</v>
      </c>
      <c r="P2" s="9" t="s">
        <v>31</v>
      </c>
      <c r="Q2" s="8" t="s">
        <v>15</v>
      </c>
      <c r="R2" s="9" t="s">
        <v>31</v>
      </c>
      <c r="S2" s="8" t="s">
        <v>16</v>
      </c>
      <c r="T2" s="8" t="s">
        <v>31</v>
      </c>
    </row>
    <row r="3" spans="1:20" ht="15.95" customHeight="1" x14ac:dyDescent="0.25">
      <c r="A3" s="17" t="s">
        <v>34</v>
      </c>
      <c r="B3" s="16" t="str">
        <f>TRIM(_xlfn.TEXTBEFORE(A3, ":"))</f>
        <v>Item Class</v>
      </c>
      <c r="C3" s="17" t="s">
        <v>62</v>
      </c>
      <c r="D3" s="16" t="str">
        <f>TRIM(_xlfn.TEXTBEFORE(C3, ":"))</f>
        <v>Gegenstandsklasse</v>
      </c>
      <c r="E3" s="17" t="s">
        <v>73</v>
      </c>
      <c r="F3" s="16" t="str">
        <f>TRIM(_xlfn.TEXTBEFORE(E3, ":"))</f>
        <v>Clase de objeto</v>
      </c>
      <c r="G3" s="17" t="s">
        <v>49</v>
      </c>
      <c r="H3" s="16" t="str">
        <f>TRIM(_xlfn.TEXTBEFORE(G3, ":"))</f>
        <v>Classe d'objet</v>
      </c>
      <c r="I3" s="17" t="s">
        <v>84</v>
      </c>
      <c r="J3" s="16" t="str">
        <f>TRIM(_xlfn.TEXTBEFORE(I3, ":"))</f>
        <v>アイテムクラス</v>
      </c>
      <c r="K3" s="17" t="s">
        <v>95</v>
      </c>
      <c r="L3" s="16" t="str">
        <f>TRIM(_xlfn.TEXTBEFORE(K3, ":"))</f>
        <v>아이템 종류</v>
      </c>
      <c r="M3" s="17" t="s">
        <v>106</v>
      </c>
      <c r="N3" s="16" t="str">
        <f>TRIM(_xlfn.TEXTBEFORE(M3, ":"))</f>
        <v>Classe do Item</v>
      </c>
      <c r="O3" s="17" t="s">
        <v>115</v>
      </c>
      <c r="P3" s="16" t="str">
        <f>TRIM(_xlfn.TEXTBEFORE(O3, ":"))</f>
        <v>Класс предмета</v>
      </c>
      <c r="Q3" s="17" t="s">
        <v>127</v>
      </c>
      <c r="R3" s="16" t="str">
        <f>TRIM(_xlfn.TEXTBEFORE(Q3, ":"))</f>
        <v>ชนิดไอเทม</v>
      </c>
      <c r="S3" s="17"/>
      <c r="T3" s="19" t="e">
        <f>TRIM(_xlfn.TEXTBEFORE(S3, ":"))</f>
        <v>#N/A</v>
      </c>
    </row>
    <row r="4" spans="1:20" ht="15.95" customHeight="1" x14ac:dyDescent="0.25">
      <c r="A4" s="18" t="s">
        <v>35</v>
      </c>
      <c r="B4" s="16" t="str">
        <f>TRIM(_xlfn.TEXTAFTER(A3, ":"))</f>
        <v>Maps</v>
      </c>
      <c r="C4" s="18" t="s">
        <v>63</v>
      </c>
      <c r="D4" s="16" t="str">
        <f>TRIM(_xlfn.TEXTAFTER(C3, ":"))</f>
        <v>Karten</v>
      </c>
      <c r="E4" s="18" t="s">
        <v>74</v>
      </c>
      <c r="F4" s="16" t="str">
        <f>TRIM(_xlfn.TEXTAFTER(E3, ":"))</f>
        <v>Mapas</v>
      </c>
      <c r="G4" s="18" t="s">
        <v>50</v>
      </c>
      <c r="H4" s="16" t="str">
        <f>TRIM(_xlfn.TEXTAFTER(G3, ":"))</f>
        <v>Cartes</v>
      </c>
      <c r="I4" s="18" t="s">
        <v>85</v>
      </c>
      <c r="J4" s="16" t="str">
        <f>TRIM(_xlfn.TEXTAFTER(I3, ":"))</f>
        <v>マップ</v>
      </c>
      <c r="K4" s="18" t="s">
        <v>96</v>
      </c>
      <c r="L4" s="16" t="str">
        <f>TRIM(_xlfn.TEXTAFTER(K3, ":"))</f>
        <v>지도</v>
      </c>
      <c r="M4" s="18" t="s">
        <v>107</v>
      </c>
      <c r="N4" s="16" t="str">
        <f>TRIM(_xlfn.TEXTAFTER(M3, ":"))</f>
        <v>Mapas</v>
      </c>
      <c r="O4" s="18" t="s">
        <v>116</v>
      </c>
      <c r="P4" s="16" t="str">
        <f>TRIM(_xlfn.TEXTAFTER(O3, ":"))</f>
        <v>Карты</v>
      </c>
      <c r="Q4" s="18" t="s">
        <v>128</v>
      </c>
      <c r="R4" s="16" t="str">
        <f>TRIM(_xlfn.TEXTAFTER(Q3, ":"))</f>
        <v>แผนที่</v>
      </c>
      <c r="S4" s="18"/>
      <c r="T4" s="19" t="e">
        <f>TRIM(_xlfn.TEXTAFTER(S3, ":"))</f>
        <v>#N/A</v>
      </c>
    </row>
    <row r="5" spans="1:20" ht="15.95" customHeight="1" x14ac:dyDescent="0.25">
      <c r="A5" s="18" t="s">
        <v>163</v>
      </c>
      <c r="B5" s="16" t="str">
        <f>TRIM(_xlfn.TEXTBEFORE(A4, ":"))</f>
        <v>Rarity</v>
      </c>
      <c r="C5" s="18" t="s">
        <v>192</v>
      </c>
      <c r="D5" s="16" t="str">
        <f>TRIM(_xlfn.TEXTBEFORE(C4, ":"))</f>
        <v>Seltenheit</v>
      </c>
      <c r="E5" s="18" t="s">
        <v>240</v>
      </c>
      <c r="F5" s="16" t="str">
        <f>TRIM(_xlfn.TEXTBEFORE(E4, ":"))</f>
        <v>Rareza</v>
      </c>
      <c r="G5" s="18" t="s">
        <v>180</v>
      </c>
      <c r="H5" s="16" t="str">
        <f>TRIM(_xlfn.TEXTBEFORE(G4, ":"))</f>
        <v>Rareté</v>
      </c>
      <c r="I5" s="18" t="s">
        <v>264</v>
      </c>
      <c r="J5" s="16" t="str">
        <f>TRIM(_xlfn.TEXTBEFORE(I4, ":"))</f>
        <v>レアリティ</v>
      </c>
      <c r="K5" s="18" t="s">
        <v>252</v>
      </c>
      <c r="L5" s="16" t="str">
        <f>TRIM(_xlfn.TEXTBEFORE(K4, ":"))</f>
        <v>아이템 희귀도</v>
      </c>
      <c r="M5" s="18" t="s">
        <v>204</v>
      </c>
      <c r="N5" s="16" t="str">
        <f>TRIM(_xlfn.TEXTBEFORE(M4, ":"))</f>
        <v>Raridade</v>
      </c>
      <c r="O5" s="18" t="s">
        <v>216</v>
      </c>
      <c r="P5" s="16" t="str">
        <f>TRIM(_xlfn.TEXTBEFORE(O4, ":"))</f>
        <v>Редкость</v>
      </c>
      <c r="Q5" s="18" t="s">
        <v>228</v>
      </c>
      <c r="R5" s="16" t="str">
        <f>TRIM(_xlfn.TEXTBEFORE(Q4, ":"))</f>
        <v>ความหายาก</v>
      </c>
      <c r="S5" s="18"/>
      <c r="T5" s="19" t="e">
        <f>TRIM(_xlfn.TEXTBEFORE(S4, ":"))</f>
        <v>#N/A</v>
      </c>
    </row>
    <row r="6" spans="1:20" ht="15.95" customHeight="1" x14ac:dyDescent="0.25">
      <c r="A6" s="18" t="s">
        <v>0</v>
      </c>
      <c r="B6" s="16" t="str">
        <f>TRIM(_xlfn.TEXTAFTER(A4,":"))</f>
        <v>Normal</v>
      </c>
      <c r="C6" s="18" t="s">
        <v>0</v>
      </c>
      <c r="D6" s="16" t="str">
        <f>TRIM(_xlfn.TEXTAFTER(C4,":"))</f>
        <v>Normal</v>
      </c>
      <c r="E6" s="18" t="s">
        <v>0</v>
      </c>
      <c r="F6" s="16" t="str">
        <f>TRIM(_xlfn.TEXTAFTER(E4,":"))</f>
        <v>Normal</v>
      </c>
      <c r="G6" s="18" t="s">
        <v>0</v>
      </c>
      <c r="H6" s="16" t="str">
        <f>TRIM(_xlfn.TEXTAFTER(G4,":"))</f>
        <v>Normal</v>
      </c>
      <c r="I6" s="18" t="s">
        <v>0</v>
      </c>
      <c r="J6" s="16" t="str">
        <f>TRIM(_xlfn.TEXTAFTER(I4,":"))</f>
        <v>ノーマル</v>
      </c>
      <c r="K6" s="18" t="s">
        <v>0</v>
      </c>
      <c r="L6" s="16" t="str">
        <f>TRIM(_xlfn.TEXTAFTER(K4,":"))</f>
        <v>일반</v>
      </c>
      <c r="M6" s="18" t="s">
        <v>0</v>
      </c>
      <c r="N6" s="16" t="str">
        <f>TRIM(_xlfn.TEXTAFTER(M4,":"))</f>
        <v>Normal</v>
      </c>
      <c r="O6" s="18" t="s">
        <v>0</v>
      </c>
      <c r="P6" s="16" t="str">
        <f>TRIM(_xlfn.TEXTAFTER(O4,":"))</f>
        <v>Обычный</v>
      </c>
      <c r="Q6" s="18" t="s">
        <v>0</v>
      </c>
      <c r="R6" s="16" t="str">
        <f>TRIM(_xlfn.TEXTAFTER(Q4,":"))</f>
        <v>ปกติ</v>
      </c>
      <c r="S6" s="18"/>
      <c r="T6" s="19" t="e">
        <f>TRIM(_xlfn.TEXTAFTER(S4,":"))</f>
        <v>#N/A</v>
      </c>
    </row>
    <row r="7" spans="1:20" ht="15.95" customHeight="1" x14ac:dyDescent="0.25">
      <c r="A7" s="18" t="s">
        <v>151</v>
      </c>
      <c r="B7" s="16"/>
      <c r="C7" s="18" t="s">
        <v>153</v>
      </c>
      <c r="D7" s="16"/>
      <c r="E7" s="18" t="s">
        <v>157</v>
      </c>
      <c r="F7" s="16"/>
      <c r="G7" s="18" t="s">
        <v>152</v>
      </c>
      <c r="H7" s="16"/>
      <c r="I7" s="18" t="s">
        <v>159</v>
      </c>
      <c r="J7" s="16"/>
      <c r="K7" s="18" t="s">
        <v>158</v>
      </c>
      <c r="L7" s="16"/>
      <c r="M7" s="18" t="s">
        <v>154</v>
      </c>
      <c r="N7" s="16"/>
      <c r="O7" s="18" t="s">
        <v>155</v>
      </c>
      <c r="P7" s="16"/>
      <c r="Q7" s="18" t="s">
        <v>156</v>
      </c>
      <c r="R7" s="16"/>
      <c r="S7" s="18"/>
      <c r="T7" s="19"/>
    </row>
    <row r="8" spans="1:20" ht="15.95" customHeight="1" x14ac:dyDescent="0.25">
      <c r="A8" s="18" t="s">
        <v>174</v>
      </c>
      <c r="B8" s="16" t="str">
        <f>TRIM(_xlfn.TEXTBEFORE(A8,":"))</f>
        <v>Quality (Rarity)</v>
      </c>
      <c r="C8" s="18" t="s">
        <v>203</v>
      </c>
      <c r="D8" s="16" t="str">
        <f>TRIM(_xlfn.TEXTBEFORE(C8,":"))</f>
        <v>Qualität (Seltenheit)</v>
      </c>
      <c r="E8" s="18" t="s">
        <v>251</v>
      </c>
      <c r="F8" s="16" t="str">
        <f>TRIM(_xlfn.TEXTBEFORE(E8,":"))</f>
        <v>Calidad (rareza)</v>
      </c>
      <c r="G8" s="18" t="s">
        <v>191</v>
      </c>
      <c r="H8" s="16" t="str">
        <f>TRIM(_xlfn.TEXTBEFORE(G8,":"))</f>
        <v>Qualité (Rareté)</v>
      </c>
      <c r="I8" s="18" t="s">
        <v>275</v>
      </c>
      <c r="J8" s="16" t="str">
        <f>TRIM(_xlfn.TEXTBEFORE(I8,":"))</f>
        <v>品質 (レアリティ)</v>
      </c>
      <c r="K8" s="18" t="s">
        <v>263</v>
      </c>
      <c r="L8" s="16" t="str">
        <f>TRIM(_xlfn.TEXTBEFORE(K8,":"))</f>
        <v>퀄리티 (희귀도)</v>
      </c>
      <c r="M8" s="18" t="s">
        <v>215</v>
      </c>
      <c r="N8" s="16" t="str">
        <f>TRIM(_xlfn.TEXTBEFORE(M8,":"))</f>
        <v>Qualidade (Raridade)</v>
      </c>
      <c r="O8" s="18" t="s">
        <v>227</v>
      </c>
      <c r="P8" s="16" t="str">
        <f>TRIM(_xlfn.TEXTBEFORE(O8,":"))</f>
        <v>Качество (редкость)</v>
      </c>
      <c r="Q8" s="18" t="s">
        <v>239</v>
      </c>
      <c r="R8" s="16" t="str">
        <f>TRIM(_xlfn.TEXTBEFORE(Q8,":"))</f>
        <v>ค่าคุณภาพ (ระดับความหายาก)</v>
      </c>
      <c r="S8" s="18"/>
      <c r="T8" s="16" t="e">
        <f>TRIM(_xlfn.TEXTBEFORE(S8,":"))</f>
        <v>#N/A</v>
      </c>
    </row>
    <row r="9" spans="1:20" ht="15.95" customHeight="1" x14ac:dyDescent="0.25">
      <c r="A9" s="18" t="s">
        <v>0</v>
      </c>
      <c r="B9" s="16"/>
      <c r="C9" s="18" t="s">
        <v>0</v>
      </c>
      <c r="D9" s="16"/>
      <c r="E9" s="18" t="s">
        <v>0</v>
      </c>
      <c r="F9" s="16"/>
      <c r="G9" s="18" t="s">
        <v>0</v>
      </c>
      <c r="H9" s="16"/>
      <c r="I9" s="18" t="s">
        <v>0</v>
      </c>
      <c r="J9" s="16"/>
      <c r="K9" s="18" t="s">
        <v>0</v>
      </c>
      <c r="L9" s="16"/>
      <c r="M9" s="18" t="s">
        <v>0</v>
      </c>
      <c r="N9" s="16"/>
      <c r="O9" s="18" t="s">
        <v>0</v>
      </c>
      <c r="P9" s="16"/>
      <c r="Q9" s="18" t="s">
        <v>0</v>
      </c>
      <c r="R9" s="16"/>
      <c r="S9" s="18"/>
      <c r="T9" s="19"/>
    </row>
    <row r="10" spans="1:20" ht="15.95" customHeight="1" x14ac:dyDescent="0.25">
      <c r="A10" s="18" t="s">
        <v>33</v>
      </c>
      <c r="B10" s="16"/>
      <c r="C10" s="18" t="s">
        <v>71</v>
      </c>
      <c r="D10" s="16"/>
      <c r="E10" s="18" t="s">
        <v>82</v>
      </c>
      <c r="F10" s="16"/>
      <c r="G10" s="18" t="s">
        <v>59</v>
      </c>
      <c r="H10" s="16"/>
      <c r="I10" s="18" t="s">
        <v>93</v>
      </c>
      <c r="J10" s="16"/>
      <c r="K10" s="18" t="s">
        <v>104</v>
      </c>
      <c r="L10" s="16"/>
      <c r="M10" s="18" t="s">
        <v>113</v>
      </c>
      <c r="N10" s="16"/>
      <c r="O10" s="18" t="s">
        <v>125</v>
      </c>
      <c r="P10" s="16"/>
      <c r="Q10" s="18" t="s">
        <v>136</v>
      </c>
      <c r="R10" s="16"/>
      <c r="S10" s="18"/>
      <c r="T10" s="19"/>
    </row>
    <row r="11" spans="1:20" ht="15.95" customHeight="1" x14ac:dyDescent="0.25">
      <c r="A11" s="18" t="s">
        <v>0</v>
      </c>
      <c r="B11" s="16"/>
      <c r="C11" s="18" t="s">
        <v>0</v>
      </c>
      <c r="D11" s="16"/>
      <c r="E11" s="18" t="s">
        <v>0</v>
      </c>
      <c r="F11" s="16"/>
      <c r="G11" s="18" t="s">
        <v>0</v>
      </c>
      <c r="H11" s="16"/>
      <c r="I11" s="18" t="s">
        <v>0</v>
      </c>
      <c r="J11" s="16"/>
      <c r="K11" s="18" t="s">
        <v>0</v>
      </c>
      <c r="L11" s="16"/>
      <c r="M11" s="18" t="s">
        <v>0</v>
      </c>
      <c r="N11" s="16"/>
      <c r="O11" s="18" t="s">
        <v>0</v>
      </c>
      <c r="P11" s="16"/>
      <c r="Q11" s="18" t="s">
        <v>0</v>
      </c>
      <c r="R11" s="16"/>
      <c r="S11" s="18"/>
      <c r="T11" s="19"/>
    </row>
    <row r="12" spans="1:20" ht="15.95" customHeight="1" x14ac:dyDescent="0.25">
      <c r="A12" s="18" t="s">
        <v>164</v>
      </c>
      <c r="B12" s="16"/>
      <c r="C12" s="18" t="s">
        <v>193</v>
      </c>
      <c r="D12" s="16"/>
      <c r="E12" s="18" t="s">
        <v>241</v>
      </c>
      <c r="F12" s="16"/>
      <c r="G12" s="18" t="s">
        <v>181</v>
      </c>
      <c r="H12" s="16"/>
      <c r="I12" s="18" t="s">
        <v>265</v>
      </c>
      <c r="J12" s="16"/>
      <c r="K12" s="18" t="s">
        <v>253</v>
      </c>
      <c r="L12" s="16"/>
      <c r="M12" s="18" t="s">
        <v>205</v>
      </c>
      <c r="N12" s="16"/>
      <c r="O12" s="18" t="s">
        <v>217</v>
      </c>
      <c r="P12" s="16"/>
      <c r="Q12" s="18" t="s">
        <v>229</v>
      </c>
      <c r="R12" s="16"/>
      <c r="S12" s="18"/>
      <c r="T12" s="19"/>
    </row>
    <row r="13" spans="1:20" ht="15.95" customHeight="1" x14ac:dyDescent="0.25">
      <c r="A13" s="18" t="s">
        <v>0</v>
      </c>
      <c r="B13" s="16"/>
      <c r="C13" s="18" t="s">
        <v>0</v>
      </c>
      <c r="D13" s="16"/>
      <c r="E13" s="18" t="s">
        <v>0</v>
      </c>
      <c r="F13" s="16"/>
      <c r="G13" s="18" t="s">
        <v>0</v>
      </c>
      <c r="H13" s="16"/>
      <c r="I13" s="18" t="s">
        <v>0</v>
      </c>
      <c r="J13" s="16"/>
      <c r="K13" s="18" t="s">
        <v>0</v>
      </c>
      <c r="L13" s="16"/>
      <c r="M13" s="18" t="s">
        <v>0</v>
      </c>
      <c r="N13" s="16"/>
      <c r="O13" s="18" t="s">
        <v>0</v>
      </c>
      <c r="P13" s="16"/>
      <c r="Q13" s="18" t="s">
        <v>0</v>
      </c>
      <c r="R13" s="16"/>
      <c r="S13" s="18"/>
      <c r="T13" s="19"/>
    </row>
    <row r="14" spans="1:20" ht="15.95" customHeight="1" x14ac:dyDescent="0.25">
      <c r="A14" s="18" t="s">
        <v>165</v>
      </c>
      <c r="B14" s="16"/>
      <c r="C14" s="18" t="s">
        <v>194</v>
      </c>
      <c r="D14" s="16"/>
      <c r="E14" s="18" t="s">
        <v>242</v>
      </c>
      <c r="F14" s="16"/>
      <c r="G14" s="18" t="s">
        <v>182</v>
      </c>
      <c r="H14" s="16"/>
      <c r="I14" s="18" t="s">
        <v>266</v>
      </c>
      <c r="J14" s="16"/>
      <c r="K14" s="18" t="s">
        <v>254</v>
      </c>
      <c r="L14" s="16"/>
      <c r="M14" s="18" t="s">
        <v>206</v>
      </c>
      <c r="N14" s="16"/>
      <c r="O14" s="18" t="s">
        <v>218</v>
      </c>
      <c r="P14" s="16"/>
      <c r="Q14" s="18" t="s">
        <v>230</v>
      </c>
      <c r="R14" s="16"/>
      <c r="S14" s="18"/>
      <c r="T14" s="19"/>
    </row>
    <row r="15" spans="1:20" ht="15.95" customHeight="1" x14ac:dyDescent="0.25">
      <c r="A15" s="18"/>
      <c r="B15" s="16"/>
      <c r="C15" s="18"/>
      <c r="D15" s="16"/>
      <c r="E15" s="18"/>
      <c r="F15" s="16"/>
      <c r="G15" s="18"/>
      <c r="H15" s="16"/>
      <c r="I15" s="18"/>
      <c r="J15" s="16"/>
      <c r="K15" s="18"/>
      <c r="L15" s="16"/>
      <c r="M15" s="18"/>
      <c r="N15" s="16"/>
      <c r="O15" s="18"/>
      <c r="P15" s="16"/>
      <c r="Q15" s="18"/>
      <c r="R15" s="16"/>
      <c r="S15" s="18"/>
      <c r="T15" s="19"/>
    </row>
    <row r="16" spans="1:20" ht="15.95" customHeight="1" x14ac:dyDescent="0.25">
      <c r="A16" s="18"/>
      <c r="B16" s="16"/>
      <c r="C16" s="18"/>
      <c r="D16" s="16"/>
      <c r="E16" s="18"/>
      <c r="F16" s="16"/>
      <c r="G16" s="18"/>
      <c r="H16" s="16"/>
      <c r="I16" s="18"/>
      <c r="J16" s="16"/>
      <c r="K16" s="18"/>
      <c r="L16" s="16"/>
      <c r="M16" s="18"/>
      <c r="N16" s="16"/>
      <c r="O16" s="18"/>
      <c r="P16" s="16"/>
      <c r="Q16" s="18"/>
      <c r="R16" s="16"/>
      <c r="S16" s="18"/>
      <c r="T16" s="19"/>
    </row>
    <row r="17" spans="1:20" ht="15.95" customHeight="1" x14ac:dyDescent="0.25">
      <c r="A17" s="18"/>
      <c r="B17" s="16"/>
      <c r="C17" s="18"/>
      <c r="D17" s="16"/>
      <c r="E17" s="18"/>
      <c r="F17" s="16"/>
      <c r="G17" s="18"/>
      <c r="H17" s="16"/>
      <c r="I17" s="18"/>
      <c r="J17" s="16"/>
      <c r="K17" s="18"/>
      <c r="L17" s="16"/>
      <c r="M17" s="18"/>
      <c r="N17" s="16"/>
      <c r="O17" s="18"/>
      <c r="P17" s="16"/>
      <c r="Q17" s="18"/>
      <c r="R17" s="16"/>
      <c r="S17" s="18"/>
      <c r="T17" s="19"/>
    </row>
    <row r="18" spans="1:20" ht="15.95" customHeight="1" x14ac:dyDescent="0.25">
      <c r="A18" s="18"/>
      <c r="B18" s="16"/>
      <c r="C18" s="18"/>
      <c r="D18" s="16"/>
      <c r="E18" s="18"/>
      <c r="F18" s="16"/>
      <c r="G18" s="18"/>
      <c r="H18" s="16"/>
      <c r="I18" s="18"/>
      <c r="J18" s="16"/>
      <c r="K18" s="18"/>
      <c r="L18" s="16"/>
      <c r="M18" s="18"/>
      <c r="N18" s="16"/>
      <c r="O18" s="18"/>
      <c r="P18" s="16"/>
      <c r="Q18" s="18"/>
      <c r="R18" s="16"/>
      <c r="S18" s="18"/>
      <c r="T18" s="19"/>
    </row>
    <row r="19" spans="1:20" ht="15.95" customHeight="1" x14ac:dyDescent="0.25">
      <c r="A19" s="18"/>
      <c r="B19" s="16"/>
      <c r="C19" s="18"/>
      <c r="D19" s="16"/>
      <c r="E19" s="18"/>
      <c r="F19" s="16"/>
      <c r="G19" s="18"/>
      <c r="H19" s="16"/>
      <c r="I19" s="18"/>
      <c r="J19" s="16"/>
      <c r="K19" s="18"/>
      <c r="L19" s="16"/>
      <c r="M19" s="18"/>
      <c r="N19" s="16"/>
      <c r="O19" s="18"/>
      <c r="P19" s="16"/>
      <c r="Q19" s="18"/>
      <c r="R19" s="16"/>
      <c r="S19" s="18"/>
      <c r="T19" s="19"/>
    </row>
    <row r="20" spans="1:20" ht="15.95" customHeight="1" x14ac:dyDescent="0.25">
      <c r="A20" s="18"/>
      <c r="B20" s="16"/>
      <c r="C20" s="18"/>
      <c r="D20" s="16"/>
      <c r="E20" s="18"/>
      <c r="F20" s="16"/>
      <c r="G20" s="18"/>
      <c r="H20" s="16"/>
      <c r="I20" s="18"/>
      <c r="J20" s="16"/>
      <c r="K20" s="18"/>
      <c r="L20" s="16"/>
      <c r="M20" s="18"/>
      <c r="N20" s="16"/>
      <c r="O20" s="18"/>
      <c r="P20" s="16"/>
      <c r="Q20" s="18"/>
      <c r="R20" s="16"/>
      <c r="S20" s="18"/>
      <c r="T20" s="19"/>
    </row>
    <row r="21" spans="1:20" ht="15.95" customHeight="1" x14ac:dyDescent="0.25">
      <c r="A21" s="18"/>
      <c r="B21" s="16"/>
      <c r="C21" s="18"/>
      <c r="D21" s="16"/>
      <c r="E21" s="18"/>
      <c r="F21" s="16"/>
      <c r="G21" s="18"/>
      <c r="H21" s="16"/>
      <c r="I21" s="18"/>
      <c r="J21" s="16"/>
      <c r="K21" s="18"/>
      <c r="L21" s="16"/>
      <c r="M21" s="18"/>
      <c r="N21" s="16"/>
      <c r="O21" s="18"/>
      <c r="P21" s="16"/>
      <c r="Q21" s="18"/>
      <c r="R21" s="16"/>
      <c r="S21" s="18"/>
      <c r="T21" s="19"/>
    </row>
    <row r="22" spans="1:20" ht="15.95" customHeight="1" x14ac:dyDescent="0.25">
      <c r="A22" s="18"/>
      <c r="B22" s="16"/>
      <c r="C22" s="18"/>
      <c r="D22" s="16"/>
      <c r="E22" s="18"/>
      <c r="F22" s="16"/>
      <c r="G22" s="18"/>
      <c r="H22" s="16"/>
      <c r="I22" s="18"/>
      <c r="J22" s="16"/>
      <c r="K22" s="18"/>
      <c r="L22" s="16"/>
      <c r="M22" s="18"/>
      <c r="N22" s="16"/>
      <c r="O22" s="18"/>
      <c r="P22" s="16"/>
      <c r="Q22" s="18"/>
      <c r="R22" s="16"/>
      <c r="S22" s="18"/>
      <c r="T22" s="19"/>
    </row>
    <row r="23" spans="1:20" ht="15.95" customHeight="1" x14ac:dyDescent="0.25">
      <c r="A23" s="18"/>
      <c r="B23" s="16"/>
      <c r="C23" s="18"/>
      <c r="D23" s="16"/>
      <c r="E23" s="18"/>
      <c r="F23" s="16"/>
      <c r="G23" s="18"/>
      <c r="H23" s="16"/>
      <c r="I23" s="18"/>
      <c r="J23" s="16"/>
      <c r="K23" s="18"/>
      <c r="L23" s="16"/>
      <c r="M23" s="18"/>
      <c r="N23" s="16"/>
      <c r="O23" s="18"/>
      <c r="P23" s="16"/>
      <c r="Q23" s="18"/>
      <c r="R23" s="16"/>
      <c r="S23" s="18"/>
      <c r="T23" s="19"/>
    </row>
    <row r="24" spans="1:20" ht="15.95" customHeight="1" x14ac:dyDescent="0.25">
      <c r="A24" s="18"/>
      <c r="B24" s="16"/>
      <c r="C24" s="18"/>
      <c r="D24" s="16"/>
      <c r="E24" s="18"/>
      <c r="F24" s="16"/>
      <c r="G24" s="18"/>
      <c r="H24" s="16"/>
      <c r="I24" s="18"/>
      <c r="J24" s="16"/>
      <c r="K24" s="18"/>
      <c r="L24" s="16"/>
      <c r="M24" s="18"/>
      <c r="N24" s="16"/>
      <c r="O24" s="18"/>
      <c r="P24" s="16"/>
      <c r="Q24" s="18"/>
      <c r="R24" s="16"/>
      <c r="S24" s="18"/>
      <c r="T24" s="19"/>
    </row>
    <row r="25" spans="1:20" ht="15.95" customHeight="1" x14ac:dyDescent="0.25">
      <c r="A25" s="18"/>
      <c r="B25" s="16"/>
      <c r="C25" s="18"/>
      <c r="D25" s="16"/>
      <c r="E25" s="18"/>
      <c r="F25" s="16"/>
      <c r="G25" s="18"/>
      <c r="H25" s="16"/>
      <c r="I25" s="18"/>
      <c r="J25" s="16"/>
      <c r="K25" s="18"/>
      <c r="L25" s="16"/>
      <c r="M25" s="18"/>
      <c r="N25" s="16"/>
      <c r="O25" s="18"/>
      <c r="P25" s="16"/>
      <c r="Q25" s="18"/>
      <c r="R25" s="16"/>
      <c r="S25" s="18"/>
      <c r="T25" s="19"/>
    </row>
    <row r="26" spans="1:20" ht="15.95" customHeight="1" x14ac:dyDescent="0.25">
      <c r="A26" s="18"/>
      <c r="B26" s="16"/>
      <c r="C26" s="18"/>
      <c r="D26" s="16"/>
      <c r="E26" s="18"/>
      <c r="F26" s="16"/>
      <c r="G26" s="18"/>
      <c r="H26" s="16"/>
      <c r="I26" s="18"/>
      <c r="J26" s="16"/>
      <c r="K26" s="18"/>
      <c r="L26" s="16"/>
      <c r="M26" s="18"/>
      <c r="N26" s="16"/>
      <c r="O26" s="18"/>
      <c r="P26" s="16"/>
      <c r="Q26" s="18"/>
      <c r="R26" s="16"/>
      <c r="S26" s="18"/>
      <c r="T26" s="19"/>
    </row>
    <row r="27" spans="1:20" ht="15.95" customHeight="1" x14ac:dyDescent="0.25">
      <c r="A27" s="18"/>
      <c r="B27" s="16"/>
      <c r="C27" s="18"/>
      <c r="D27" s="16"/>
      <c r="E27" s="18"/>
      <c r="F27" s="16"/>
      <c r="G27" s="18"/>
      <c r="H27" s="16"/>
      <c r="I27" s="18"/>
      <c r="J27" s="16"/>
      <c r="K27" s="18"/>
      <c r="L27" s="16"/>
      <c r="M27" s="18"/>
      <c r="N27" s="16"/>
      <c r="O27" s="18"/>
      <c r="P27" s="16"/>
      <c r="Q27" s="18"/>
      <c r="R27" s="16"/>
      <c r="S27" s="18"/>
      <c r="T27" s="19"/>
    </row>
    <row r="28" spans="1:20" ht="15.95" customHeight="1" x14ac:dyDescent="0.25">
      <c r="A28" s="18"/>
      <c r="B28" s="16"/>
      <c r="C28" s="18"/>
      <c r="D28" s="16"/>
      <c r="E28" s="18"/>
      <c r="F28" s="16"/>
      <c r="G28" s="18"/>
      <c r="H28" s="16"/>
      <c r="I28" s="18"/>
      <c r="J28" s="16"/>
      <c r="K28" s="18"/>
      <c r="L28" s="16"/>
      <c r="M28" s="18"/>
      <c r="N28" s="16"/>
      <c r="O28" s="18"/>
      <c r="P28" s="16"/>
      <c r="Q28" s="18"/>
      <c r="R28" s="16"/>
      <c r="S28" s="18"/>
      <c r="T28" s="19"/>
    </row>
    <row r="29" spans="1:20" ht="15.95" customHeight="1" x14ac:dyDescent="0.25">
      <c r="A29" s="18"/>
      <c r="B29" s="16"/>
      <c r="C29" s="18"/>
      <c r="D29" s="16"/>
      <c r="E29" s="18"/>
      <c r="F29" s="16"/>
      <c r="G29" s="18"/>
      <c r="H29" s="16"/>
      <c r="I29" s="18"/>
      <c r="J29" s="16"/>
      <c r="K29" s="18"/>
      <c r="L29" s="16"/>
      <c r="M29" s="18"/>
      <c r="N29" s="16"/>
      <c r="O29" s="18"/>
      <c r="P29" s="16"/>
      <c r="Q29" s="18"/>
      <c r="R29" s="16"/>
      <c r="S29" s="18"/>
      <c r="T29" s="19"/>
    </row>
    <row r="30" spans="1:20" ht="15.95" customHeight="1" x14ac:dyDescent="0.25">
      <c r="A30" s="18"/>
      <c r="B30" s="16"/>
      <c r="C30" s="18"/>
      <c r="D30" s="16"/>
      <c r="E30" s="18"/>
      <c r="F30" s="16"/>
      <c r="G30" s="18"/>
      <c r="H30" s="16"/>
      <c r="I30" s="18"/>
      <c r="J30" s="16"/>
      <c r="K30" s="18"/>
      <c r="L30" s="16"/>
      <c r="M30" s="18"/>
      <c r="N30" s="16"/>
      <c r="O30" s="18"/>
      <c r="P30" s="16"/>
      <c r="Q30" s="18"/>
      <c r="R30" s="16"/>
      <c r="S30" s="18"/>
      <c r="T30" s="19"/>
    </row>
    <row r="31" spans="1:20" ht="15.95" customHeight="1" x14ac:dyDescent="0.25">
      <c r="A31" s="18"/>
      <c r="B31" s="16"/>
      <c r="C31" s="18"/>
      <c r="D31" s="16"/>
      <c r="E31" s="18"/>
      <c r="F31" s="16"/>
      <c r="G31" s="18"/>
      <c r="H31" s="16"/>
      <c r="I31" s="18"/>
      <c r="J31" s="16"/>
      <c r="K31" s="18"/>
      <c r="L31" s="16"/>
      <c r="M31" s="18"/>
      <c r="N31" s="16"/>
      <c r="O31" s="18"/>
      <c r="P31" s="16"/>
      <c r="Q31" s="18"/>
      <c r="R31" s="16"/>
      <c r="S31" s="18"/>
      <c r="T31" s="19"/>
    </row>
    <row r="32" spans="1:20" ht="15.95" customHeight="1" x14ac:dyDescent="0.25">
      <c r="A32" s="18"/>
      <c r="B32" s="16"/>
      <c r="C32" s="18"/>
      <c r="D32" s="16"/>
      <c r="E32" s="18"/>
      <c r="F32" s="16"/>
      <c r="G32" s="18"/>
      <c r="H32" s="16"/>
      <c r="I32" s="18"/>
      <c r="J32" s="16"/>
      <c r="K32" s="18"/>
      <c r="L32" s="16"/>
      <c r="M32" s="18"/>
      <c r="N32" s="16"/>
      <c r="O32" s="18"/>
      <c r="P32" s="16"/>
      <c r="Q32" s="18"/>
      <c r="R32" s="16"/>
      <c r="S32" s="18"/>
      <c r="T32" s="19"/>
    </row>
    <row r="33" spans="1:20" ht="15.95" customHeight="1" x14ac:dyDescent="0.25">
      <c r="A33" s="21"/>
      <c r="B33" s="16"/>
      <c r="C33" s="18"/>
      <c r="D33" s="16"/>
      <c r="E33" s="18"/>
      <c r="F33" s="16"/>
      <c r="G33" s="18"/>
      <c r="H33" s="16"/>
      <c r="I33" s="18"/>
      <c r="J33" s="16"/>
      <c r="K33" s="18"/>
      <c r="L33" s="16"/>
      <c r="M33" s="18"/>
      <c r="N33" s="16"/>
      <c r="O33" s="18"/>
      <c r="P33" s="16"/>
      <c r="Q33" s="18"/>
      <c r="R33" s="16"/>
      <c r="S33" s="18"/>
      <c r="T33" s="19"/>
    </row>
    <row r="34" spans="1:20" ht="15.95" customHeight="1" x14ac:dyDescent="0.25">
      <c r="A34" s="18"/>
      <c r="B34" s="16"/>
      <c r="C34" s="18"/>
      <c r="D34" s="16"/>
      <c r="E34" s="18"/>
      <c r="F34" s="16"/>
      <c r="G34" s="18"/>
      <c r="H34" s="16"/>
      <c r="I34" s="18"/>
      <c r="J34" s="16"/>
      <c r="K34" s="18"/>
      <c r="L34" s="16"/>
      <c r="M34" s="18"/>
      <c r="N34" s="16"/>
      <c r="O34" s="18"/>
      <c r="P34" s="16"/>
      <c r="Q34" s="18"/>
      <c r="R34" s="16"/>
      <c r="S34" s="18"/>
      <c r="T34" s="19"/>
    </row>
    <row r="35" spans="1:20" ht="15.95" customHeight="1" x14ac:dyDescent="0.25">
      <c r="A35" s="18"/>
      <c r="B35" s="16"/>
      <c r="C35" s="18"/>
      <c r="D35" s="16"/>
      <c r="E35" s="18"/>
      <c r="F35" s="16"/>
      <c r="G35" s="18"/>
      <c r="H35" s="16"/>
      <c r="I35" s="18"/>
      <c r="J35" s="16"/>
      <c r="K35" s="18"/>
      <c r="L35" s="16"/>
      <c r="M35" s="18"/>
      <c r="N35" s="16"/>
      <c r="O35" s="18"/>
      <c r="P35" s="16"/>
      <c r="Q35" s="18"/>
      <c r="R35" s="16"/>
      <c r="S35" s="18"/>
      <c r="T35" s="19"/>
    </row>
    <row r="36" spans="1:20" ht="15.95" customHeight="1" x14ac:dyDescent="0.25">
      <c r="A36" s="18"/>
      <c r="B36" s="16"/>
      <c r="C36" s="18"/>
      <c r="D36" s="16"/>
      <c r="E36" s="18"/>
      <c r="F36" s="16"/>
      <c r="G36" s="18"/>
      <c r="H36" s="16"/>
      <c r="I36" s="18"/>
      <c r="J36" s="16"/>
      <c r="K36" s="18"/>
      <c r="L36" s="16"/>
      <c r="M36" s="18"/>
      <c r="N36" s="16"/>
      <c r="O36" s="18"/>
      <c r="P36" s="16"/>
      <c r="Q36" s="18"/>
      <c r="R36" s="16"/>
      <c r="S36" s="18"/>
      <c r="T36" s="19"/>
    </row>
    <row r="37" spans="1:20" ht="15.95" customHeight="1" x14ac:dyDescent="0.25">
      <c r="A37" s="18"/>
      <c r="B37" s="16"/>
      <c r="C37" s="18"/>
      <c r="D37" s="16"/>
      <c r="E37" s="18"/>
      <c r="F37" s="16"/>
      <c r="G37" s="18"/>
      <c r="H37" s="16"/>
      <c r="I37" s="18"/>
      <c r="J37" s="16"/>
      <c r="K37" s="18"/>
      <c r="L37" s="16"/>
      <c r="M37" s="18"/>
      <c r="N37" s="16"/>
      <c r="O37" s="18"/>
      <c r="P37" s="16"/>
      <c r="Q37" s="18"/>
      <c r="R37" s="16"/>
      <c r="S37" s="18"/>
      <c r="T37" s="19"/>
    </row>
    <row r="38" spans="1:20" ht="15.95" customHeight="1" x14ac:dyDescent="0.25">
      <c r="A38" s="18"/>
      <c r="B38" s="16"/>
      <c r="C38" s="18"/>
      <c r="D38" s="16"/>
      <c r="E38" s="18"/>
      <c r="F38" s="16"/>
      <c r="G38" s="18"/>
      <c r="H38" s="16"/>
      <c r="I38" s="18"/>
      <c r="J38" s="16"/>
      <c r="K38" s="18"/>
      <c r="L38" s="16"/>
      <c r="M38" s="18"/>
      <c r="N38" s="16"/>
      <c r="O38" s="18"/>
      <c r="P38" s="16"/>
      <c r="Q38" s="18"/>
      <c r="R38" s="16"/>
      <c r="S38" s="18"/>
      <c r="T38" s="20"/>
    </row>
    <row r="39" spans="1:20" ht="15.95" customHeight="1" x14ac:dyDescent="0.25">
      <c r="A39" s="18"/>
      <c r="B39" s="16"/>
      <c r="C39" s="18"/>
      <c r="D39" s="16"/>
      <c r="E39" s="18"/>
      <c r="F39" s="16"/>
      <c r="G39" s="18"/>
      <c r="H39" s="16"/>
      <c r="I39" s="18"/>
      <c r="J39" s="16"/>
      <c r="K39" s="18"/>
      <c r="L39" s="16"/>
      <c r="M39" s="18"/>
      <c r="N39" s="16"/>
      <c r="O39" s="18"/>
      <c r="P39" s="16"/>
      <c r="Q39" s="18"/>
      <c r="R39" s="16"/>
      <c r="S39" s="18"/>
      <c r="T39" s="20"/>
    </row>
    <row r="40" spans="1:20" ht="15.95" customHeight="1" x14ac:dyDescent="0.25">
      <c r="A40" s="18"/>
      <c r="B40" s="16"/>
      <c r="C40" s="18"/>
      <c r="D40" s="16"/>
      <c r="E40" s="18"/>
      <c r="F40" s="16"/>
      <c r="G40" s="18"/>
      <c r="H40" s="16"/>
      <c r="I40" s="18"/>
      <c r="J40" s="16"/>
      <c r="K40" s="18"/>
      <c r="L40" s="16"/>
      <c r="M40" s="18"/>
      <c r="N40" s="16"/>
      <c r="O40" s="18"/>
      <c r="P40" s="16"/>
      <c r="Q40" s="18"/>
      <c r="R40" s="16"/>
      <c r="S40" s="18"/>
      <c r="T40" s="20"/>
    </row>
    <row r="41" spans="1:20" ht="15.95" customHeight="1" x14ac:dyDescent="0.25">
      <c r="A41" s="18"/>
      <c r="B41" s="16"/>
      <c r="C41" s="18"/>
      <c r="D41" s="16"/>
      <c r="E41" s="18"/>
      <c r="F41" s="16"/>
      <c r="G41" s="18"/>
      <c r="H41" s="16"/>
      <c r="I41" s="18"/>
      <c r="J41" s="16"/>
      <c r="K41" s="18"/>
      <c r="L41" s="16"/>
      <c r="M41" s="18"/>
      <c r="N41" s="16"/>
      <c r="O41" s="18"/>
      <c r="P41" s="16"/>
      <c r="Q41" s="18"/>
      <c r="R41" s="16"/>
      <c r="S41" s="18"/>
      <c r="T41" s="20"/>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 priority="22" stopIfTrue="1">
      <formula>NOT(ISERROR(A3))</formula>
    </cfRule>
  </conditionalFormatting>
  <conditionalFormatting sqref="A3:T7 A8 C8 E8 G8 I8 K8 M8 O8 Q8 S8 A9:T51">
    <cfRule type="notContainsBlanks" dxfId="11" priority="23">
      <formula>LEN(TRIM(A3))&gt;0</formula>
    </cfRule>
  </conditionalFormatting>
  <conditionalFormatting sqref="A3:T51">
    <cfRule type="containsErrors" dxfId="10" priority="1" stopIfTrue="1">
      <formula>ISERROR(A3)</formula>
    </cfRule>
  </conditionalFormatting>
  <conditionalFormatting sqref="B8">
    <cfRule type="notContainsBlanks" dxfId="9" priority="20">
      <formula>LEN(TRIM(B8))&gt;0</formula>
    </cfRule>
  </conditionalFormatting>
  <conditionalFormatting sqref="D8">
    <cfRule type="notContainsBlanks" dxfId="8" priority="18">
      <formula>LEN(TRIM(D8))&gt;0</formula>
    </cfRule>
  </conditionalFormatting>
  <conditionalFormatting sqref="F8">
    <cfRule type="notContainsBlanks" dxfId="7" priority="16">
      <formula>LEN(TRIM(F8))&gt;0</formula>
    </cfRule>
  </conditionalFormatting>
  <conditionalFormatting sqref="H8">
    <cfRule type="notContainsBlanks" dxfId="6" priority="14">
      <formula>LEN(TRIM(H8))&gt;0</formula>
    </cfRule>
  </conditionalFormatting>
  <conditionalFormatting sqref="J8">
    <cfRule type="notContainsBlanks" dxfId="5" priority="12">
      <formula>LEN(TRIM(J8))&gt;0</formula>
    </cfRule>
  </conditionalFormatting>
  <conditionalFormatting sqref="L8">
    <cfRule type="notContainsBlanks" dxfId="4" priority="10">
      <formula>LEN(TRIM(L8))&gt;0</formula>
    </cfRule>
  </conditionalFormatting>
  <conditionalFormatting sqref="N8">
    <cfRule type="notContainsBlanks" dxfId="3" priority="8">
      <formula>LEN(TRIM(N8))&gt;0</formula>
    </cfRule>
  </conditionalFormatting>
  <conditionalFormatting sqref="P8">
    <cfRule type="notContainsBlanks" dxfId="2" priority="6">
      <formula>LEN(TRIM(P8))&gt;0</formula>
    </cfRule>
  </conditionalFormatting>
  <conditionalFormatting sqref="R8">
    <cfRule type="notContainsBlanks" dxfId="1" priority="4">
      <formula>LEN(TRIM(R8))&gt;0</formula>
    </cfRule>
  </conditionalFormatting>
  <conditionalFormatting sqref="T8">
    <cfRule type="notContainsBlanks" dxfId="0" priority="2">
      <formula>LEN(TRIM(T8))&gt;0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Sheets</vt:lpstr>
      <vt:lpstr>Result</vt:lpstr>
      <vt:lpstr>Empty</vt:lpstr>
      <vt:lpstr>Blueprint</vt:lpstr>
      <vt:lpstr>ContractCounterThaumaturgy</vt:lpstr>
      <vt:lpstr>ContractTrap</vt:lpstr>
      <vt:lpstr>ContractPerception</vt:lpstr>
      <vt:lpstr>ContractBruteForce</vt:lpstr>
      <vt:lpstr>ContractDeception</vt:lpstr>
      <vt:lpstr>ContractEngineering</vt:lpstr>
      <vt:lpstr>MapQualityCurrency</vt:lpstr>
      <vt:lpstr>MapQualityScarabs</vt:lpstr>
      <vt:lpstr>MapQualityCards</vt:lpstr>
      <vt:lpstr>MapQualityPack</vt:lpstr>
      <vt:lpstr>MapQualityRarity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2026-10-13T02:30:44Z</dcterms:modified>
</cp:coreProperties>
</file>