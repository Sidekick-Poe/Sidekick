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1D9FC088-D527-4B7E-908E-EBFD3ADB5761}" xr6:coauthVersionLast="47" xr6:coauthVersionMax="47" xr10:uidLastSave="{00000000-0000-0000-0000-000000000000}"/>
  <bookViews>
    <workbookView xWindow="-38520" yWindow="-120" windowWidth="38640" windowHeight="21120" tabRatio="822" firstSheet="73" activeTab="9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Empty (2)" sheetId="98" r:id="rId93"/>
  </sheets>
  <definedNames>
    <definedName name="_xleta.MAP" hidden="1" xlm="1">#NAME?</definedName>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9" i="2" l="1"/>
  <c r="A149" i="2"/>
  <c r="T149" i="2"/>
  <c r="B148" i="2"/>
  <c r="B149" i="2"/>
  <c r="T6" i="99"/>
  <c r="R6" i="99"/>
  <c r="P6" i="99"/>
  <c r="N6" i="99"/>
  <c r="L6" i="99"/>
  <c r="J6" i="99"/>
  <c r="H6" i="99"/>
  <c r="F6" i="99"/>
  <c r="D6" i="99"/>
  <c r="B6" i="99"/>
  <c r="T5" i="99"/>
  <c r="R5" i="99"/>
  <c r="P5" i="99"/>
  <c r="N5" i="99"/>
  <c r="L5" i="99"/>
  <c r="J5" i="99"/>
  <c r="H5" i="99"/>
  <c r="F5" i="99"/>
  <c r="D5" i="99"/>
  <c r="B5" i="99"/>
  <c r="T4" i="99"/>
  <c r="R4" i="99"/>
  <c r="Q149" i="2" s="1"/>
  <c r="R149" i="2" s="1"/>
  <c r="P4" i="99"/>
  <c r="O149" i="2" s="1"/>
  <c r="P149" i="2" s="1"/>
  <c r="N4" i="99"/>
  <c r="M149" i="2" s="1"/>
  <c r="N149" i="2" s="1"/>
  <c r="L4" i="99"/>
  <c r="K149" i="2" s="1"/>
  <c r="L149" i="2" s="1"/>
  <c r="J4" i="99"/>
  <c r="I149" i="2" s="1"/>
  <c r="J149" i="2" s="1"/>
  <c r="H4" i="99"/>
  <c r="G149" i="2" s="1"/>
  <c r="H149" i="2" s="1"/>
  <c r="F4" i="99"/>
  <c r="E149" i="2" s="1"/>
  <c r="F149" i="2" s="1"/>
  <c r="D4" i="99"/>
  <c r="C149" i="2" s="1"/>
  <c r="D149" i="2" s="1"/>
  <c r="B4" i="99"/>
  <c r="T3" i="99"/>
  <c r="R3" i="99"/>
  <c r="P3" i="99"/>
  <c r="N3" i="99"/>
  <c r="L3" i="99"/>
  <c r="J3" i="99"/>
  <c r="H3" i="99"/>
  <c r="F3" i="99"/>
  <c r="D3" i="99"/>
  <c r="B3" i="99"/>
  <c r="A1" i="99"/>
  <c r="S148" i="2"/>
  <c r="T148" i="2" s="1"/>
  <c r="Q148" i="2"/>
  <c r="R148" i="2" s="1"/>
  <c r="G148" i="2"/>
  <c r="H148" i="2" s="1"/>
  <c r="C148" i="2"/>
  <c r="D148" i="2" s="1"/>
  <c r="A148" i="2"/>
  <c r="T6" i="98"/>
  <c r="R6" i="98"/>
  <c r="P6" i="98"/>
  <c r="N6" i="98"/>
  <c r="L6" i="98"/>
  <c r="J6" i="98"/>
  <c r="H6" i="98"/>
  <c r="F6" i="98"/>
  <c r="D6" i="98"/>
  <c r="B6" i="98"/>
  <c r="T5" i="98"/>
  <c r="R5" i="98"/>
  <c r="P5" i="98"/>
  <c r="N5" i="98"/>
  <c r="L5" i="98"/>
  <c r="J5" i="98"/>
  <c r="H5" i="98"/>
  <c r="F5" i="98"/>
  <c r="D5" i="98"/>
  <c r="B5" i="98"/>
  <c r="T4" i="98"/>
  <c r="R4" i="98"/>
  <c r="P4" i="98"/>
  <c r="N4" i="98"/>
  <c r="L4" i="98"/>
  <c r="J4" i="98"/>
  <c r="H4" i="98"/>
  <c r="F4" i="98"/>
  <c r="D4" i="98"/>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48" i="2" s="1"/>
  <c r="P148" i="2" s="1"/>
  <c r="N4" i="97"/>
  <c r="M148" i="2" s="1"/>
  <c r="N148" i="2" s="1"/>
  <c r="L4" i="97"/>
  <c r="K148" i="2" s="1"/>
  <c r="L148" i="2" s="1"/>
  <c r="J4" i="97"/>
  <c r="I148" i="2" s="1"/>
  <c r="J148" i="2" s="1"/>
  <c r="H4" i="97"/>
  <c r="F4" i="97"/>
  <c r="E148" i="2" s="1"/>
  <c r="F148"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J59" i="2" s="1"/>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63" i="2" s="1"/>
  <c r="B14" i="8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N60" i="2" s="1"/>
  <c r="M61" i="2"/>
  <c r="N61" i="2" s="1"/>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2" i="2"/>
  <c r="T132" i="2" s="1"/>
  <c r="Q132" i="2"/>
  <c r="R132" i="2" s="1"/>
  <c r="O132" i="2"/>
  <c r="P132" i="2" s="1"/>
  <c r="M132" i="2"/>
  <c r="N132" i="2" s="1"/>
  <c r="K132" i="2"/>
  <c r="L132" i="2" s="1"/>
  <c r="I132" i="2"/>
  <c r="J132" i="2" s="1"/>
  <c r="G132" i="2"/>
  <c r="H132" i="2" s="1"/>
  <c r="E132" i="2"/>
  <c r="F132" i="2" s="1"/>
  <c r="C132" i="2"/>
  <c r="D132" i="2" s="1"/>
  <c r="A132" i="2"/>
  <c r="B132" i="2" s="1"/>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03" i="2"/>
  <c r="T103" i="2" s="1"/>
  <c r="Q104" i="2"/>
  <c r="R104" i="2" s="1"/>
  <c r="O102" i="2"/>
  <c r="P102" i="2" s="1"/>
  <c r="K104" i="2"/>
  <c r="L104" i="2" s="1"/>
  <c r="K102" i="2"/>
  <c r="L102" i="2" s="1"/>
  <c r="I104" i="2"/>
  <c r="J104" i="2" s="1"/>
  <c r="I102" i="2"/>
  <c r="J102" i="2" s="1"/>
  <c r="E104" i="2"/>
  <c r="F104" i="2" s="1"/>
  <c r="C104" i="2"/>
  <c r="D104" i="2" s="1"/>
  <c r="C103" i="2"/>
  <c r="D103" i="2" s="1"/>
  <c r="A104" i="2"/>
  <c r="B104" i="2" s="1"/>
  <c r="A103" i="2"/>
  <c r="B103" i="2" s="1"/>
  <c r="A102" i="2"/>
  <c r="B102" i="2" s="1"/>
  <c r="M101" i="2"/>
  <c r="N101" i="2" s="1"/>
  <c r="A101" i="2"/>
  <c r="T6" i="96"/>
  <c r="R6" i="96"/>
  <c r="P6" i="96"/>
  <c r="N6" i="96"/>
  <c r="L6" i="96"/>
  <c r="J6" i="96"/>
  <c r="H6" i="96"/>
  <c r="F6" i="96"/>
  <c r="D6" i="96"/>
  <c r="B6" i="96"/>
  <c r="T5" i="96"/>
  <c r="R5" i="96"/>
  <c r="P5" i="96"/>
  <c r="N5" i="96"/>
  <c r="L5" i="96"/>
  <c r="J5" i="96"/>
  <c r="H5" i="96"/>
  <c r="F5" i="96"/>
  <c r="D5" i="96"/>
  <c r="B5" i="96"/>
  <c r="T4" i="96"/>
  <c r="S101" i="2" s="1"/>
  <c r="T101" i="2" s="1"/>
  <c r="R4" i="96"/>
  <c r="Q101" i="2" s="1"/>
  <c r="R101" i="2" s="1"/>
  <c r="P4" i="96"/>
  <c r="O101" i="2" s="1"/>
  <c r="P101" i="2" s="1"/>
  <c r="N4" i="96"/>
  <c r="L4" i="96"/>
  <c r="K101" i="2" s="1"/>
  <c r="L101" i="2" s="1"/>
  <c r="J4" i="96"/>
  <c r="I101" i="2" s="1"/>
  <c r="J101" i="2" s="1"/>
  <c r="H4" i="96"/>
  <c r="G101" i="2" s="1"/>
  <c r="H101" i="2" s="1"/>
  <c r="F4" i="96"/>
  <c r="E101" i="2" s="1"/>
  <c r="F101" i="2" s="1"/>
  <c r="D4" i="96"/>
  <c r="C101" i="2" s="1"/>
  <c r="D101"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04" i="2" s="1"/>
  <c r="T104" i="2" s="1"/>
  <c r="R4" i="95"/>
  <c r="P4" i="95"/>
  <c r="O104" i="2" s="1"/>
  <c r="P104" i="2" s="1"/>
  <c r="N4" i="95"/>
  <c r="M104" i="2" s="1"/>
  <c r="N104" i="2" s="1"/>
  <c r="L4" i="95"/>
  <c r="J4" i="95"/>
  <c r="H4" i="95"/>
  <c r="G104" i="2" s="1"/>
  <c r="H104"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03" i="2" s="1"/>
  <c r="R103" i="2" s="1"/>
  <c r="P4" i="94"/>
  <c r="O103" i="2" s="1"/>
  <c r="P103" i="2" s="1"/>
  <c r="N4" i="94"/>
  <c r="M103" i="2" s="1"/>
  <c r="N103" i="2" s="1"/>
  <c r="L4" i="94"/>
  <c r="K103" i="2" s="1"/>
  <c r="L103" i="2" s="1"/>
  <c r="J4" i="94"/>
  <c r="I103" i="2" s="1"/>
  <c r="J103" i="2" s="1"/>
  <c r="H4" i="94"/>
  <c r="G103" i="2" s="1"/>
  <c r="H103" i="2" s="1"/>
  <c r="F4" i="94"/>
  <c r="E103" i="2" s="1"/>
  <c r="F103"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2" i="2" s="1"/>
  <c r="T102" i="2" s="1"/>
  <c r="R4" i="93"/>
  <c r="Q102" i="2" s="1"/>
  <c r="R102" i="2" s="1"/>
  <c r="P4" i="93"/>
  <c r="N4" i="93"/>
  <c r="M102" i="2" s="1"/>
  <c r="N102" i="2" s="1"/>
  <c r="L4" i="93"/>
  <c r="J4" i="93"/>
  <c r="H4" i="93"/>
  <c r="G102" i="2" s="1"/>
  <c r="H102" i="2" s="1"/>
  <c r="F4" i="93"/>
  <c r="E102" i="2" s="1"/>
  <c r="F102" i="2" s="1"/>
  <c r="D4" i="93"/>
  <c r="C102" i="2" s="1"/>
  <c r="D102"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7" i="2"/>
  <c r="R7" i="2"/>
  <c r="P7" i="2"/>
  <c r="N7" i="2"/>
  <c r="L7" i="2"/>
  <c r="J7" i="2"/>
  <c r="H7" i="2"/>
  <c r="F7" i="2"/>
  <c r="D7" i="2"/>
  <c r="B7" i="2"/>
  <c r="S134" i="2"/>
  <c r="T134" i="2" s="1"/>
  <c r="S133" i="2"/>
  <c r="T133" i="2" s="1"/>
  <c r="Q134" i="2"/>
  <c r="R134" i="2" s="1"/>
  <c r="Q133" i="2"/>
  <c r="R133" i="2" s="1"/>
  <c r="O134" i="2"/>
  <c r="P134" i="2" s="1"/>
  <c r="O133" i="2"/>
  <c r="P133" i="2" s="1"/>
  <c r="M134" i="2"/>
  <c r="N134" i="2" s="1"/>
  <c r="M133" i="2"/>
  <c r="N133" i="2" s="1"/>
  <c r="K134" i="2"/>
  <c r="L134" i="2" s="1"/>
  <c r="K133" i="2"/>
  <c r="L133" i="2" s="1"/>
  <c r="I134" i="2"/>
  <c r="J134" i="2" s="1"/>
  <c r="I133" i="2"/>
  <c r="J133" i="2" s="1"/>
  <c r="G134" i="2"/>
  <c r="H134" i="2" s="1"/>
  <c r="G133" i="2"/>
  <c r="H133" i="2" s="1"/>
  <c r="E134" i="2"/>
  <c r="F134" i="2" s="1"/>
  <c r="E133" i="2"/>
  <c r="F133" i="2" s="1"/>
  <c r="C134" i="2"/>
  <c r="D134" i="2" s="1"/>
  <c r="C133" i="2"/>
  <c r="D133" i="2" s="1"/>
  <c r="A134" i="2"/>
  <c r="B134" i="2" s="1"/>
  <c r="A133" i="2"/>
  <c r="B133" i="2" s="1"/>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15" i="2"/>
  <c r="B115" i="2" s="1"/>
  <c r="A114" i="2"/>
  <c r="B114" i="2" s="1"/>
  <c r="A82" i="2"/>
  <c r="B82" i="2" s="1"/>
  <c r="T6" i="86"/>
  <c r="R6" i="86"/>
  <c r="P6" i="86"/>
  <c r="N6" i="86"/>
  <c r="L6" i="86"/>
  <c r="J6" i="86"/>
  <c r="H6" i="86"/>
  <c r="F6" i="86"/>
  <c r="D6" i="86"/>
  <c r="B6" i="86"/>
  <c r="T5" i="86"/>
  <c r="R5" i="86"/>
  <c r="P5" i="86"/>
  <c r="N5" i="86"/>
  <c r="L5" i="86"/>
  <c r="J5" i="86"/>
  <c r="H5" i="86"/>
  <c r="F5" i="86"/>
  <c r="D5" i="86"/>
  <c r="B5" i="86"/>
  <c r="T4" i="86"/>
  <c r="S82" i="2" s="1"/>
  <c r="T82" i="2" s="1"/>
  <c r="R4" i="86"/>
  <c r="Q82" i="2" s="1"/>
  <c r="R82" i="2" s="1"/>
  <c r="P4" i="86"/>
  <c r="O82" i="2" s="1"/>
  <c r="P82" i="2" s="1"/>
  <c r="N4" i="86"/>
  <c r="M82" i="2" s="1"/>
  <c r="N82" i="2" s="1"/>
  <c r="L4" i="86"/>
  <c r="K82" i="2" s="1"/>
  <c r="L82" i="2" s="1"/>
  <c r="J4" i="86"/>
  <c r="I82" i="2" s="1"/>
  <c r="J82" i="2" s="1"/>
  <c r="H4" i="86"/>
  <c r="G82" i="2" s="1"/>
  <c r="H82" i="2" s="1"/>
  <c r="F4" i="86"/>
  <c r="E82" i="2" s="1"/>
  <c r="F82" i="2" s="1"/>
  <c r="D4" i="86"/>
  <c r="C82" i="2" s="1"/>
  <c r="D82"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15" i="2" s="1"/>
  <c r="T115" i="2" s="1"/>
  <c r="R4" i="85"/>
  <c r="Q115" i="2" s="1"/>
  <c r="R115" i="2" s="1"/>
  <c r="P4" i="85"/>
  <c r="O115" i="2" s="1"/>
  <c r="P115" i="2" s="1"/>
  <c r="N4" i="85"/>
  <c r="M115" i="2" s="1"/>
  <c r="N115" i="2" s="1"/>
  <c r="L4" i="85"/>
  <c r="K115" i="2" s="1"/>
  <c r="L115" i="2" s="1"/>
  <c r="J4" i="85"/>
  <c r="I115" i="2" s="1"/>
  <c r="J115" i="2" s="1"/>
  <c r="H4" i="85"/>
  <c r="G115" i="2" s="1"/>
  <c r="H115" i="2" s="1"/>
  <c r="F4" i="85"/>
  <c r="E115" i="2" s="1"/>
  <c r="F115" i="2" s="1"/>
  <c r="D4" i="85"/>
  <c r="C115" i="2" s="1"/>
  <c r="D115"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14" i="2" s="1"/>
  <c r="T114" i="2" s="1"/>
  <c r="R4" i="84"/>
  <c r="Q114" i="2" s="1"/>
  <c r="R114" i="2" s="1"/>
  <c r="P4" i="84"/>
  <c r="O114" i="2" s="1"/>
  <c r="P114" i="2" s="1"/>
  <c r="N4" i="84"/>
  <c r="M114" i="2" s="1"/>
  <c r="N114" i="2" s="1"/>
  <c r="L4" i="84"/>
  <c r="K114" i="2" s="1"/>
  <c r="L114" i="2" s="1"/>
  <c r="J4" i="84"/>
  <c r="I114" i="2" s="1"/>
  <c r="J114" i="2" s="1"/>
  <c r="H4" i="84"/>
  <c r="G114" i="2" s="1"/>
  <c r="H114" i="2" s="1"/>
  <c r="F4" i="84"/>
  <c r="E114" i="2" s="1"/>
  <c r="F114" i="2" s="1"/>
  <c r="D4" i="84"/>
  <c r="C114" i="2" s="1"/>
  <c r="D114" i="2" s="1"/>
  <c r="B4" i="84"/>
  <c r="T3" i="84"/>
  <c r="R3" i="84"/>
  <c r="P3" i="84"/>
  <c r="N3" i="84"/>
  <c r="L3" i="84"/>
  <c r="J3" i="84"/>
  <c r="H3" i="84"/>
  <c r="F3" i="84"/>
  <c r="D3" i="84"/>
  <c r="B3" i="84"/>
  <c r="A1" i="84"/>
  <c r="T5" i="2"/>
  <c r="R5" i="2"/>
  <c r="P5" i="2"/>
  <c r="N5" i="2"/>
  <c r="L5" i="2"/>
  <c r="J5" i="2"/>
  <c r="H5" i="2"/>
  <c r="F5" i="2"/>
  <c r="D5" i="2"/>
  <c r="B5"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47"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13" i="2"/>
  <c r="L113" i="2" s="1"/>
  <c r="I113" i="2"/>
  <c r="J113" i="2" s="1"/>
  <c r="G112" i="2"/>
  <c r="H112" i="2" s="1"/>
  <c r="O111" i="2"/>
  <c r="P111" i="2" s="1"/>
  <c r="M111" i="2"/>
  <c r="N111" i="2" s="1"/>
  <c r="G111" i="2"/>
  <c r="H111" i="2" s="1"/>
  <c r="C111" i="2"/>
  <c r="D111" i="2" s="1"/>
  <c r="O81" i="2"/>
  <c r="P81" i="2" s="1"/>
  <c r="A113" i="2"/>
  <c r="B113" i="2" s="1"/>
  <c r="E110" i="2"/>
  <c r="F110" i="2" s="1"/>
  <c r="C110" i="2"/>
  <c r="D110" i="2" s="1"/>
  <c r="O95" i="2"/>
  <c r="P95" i="2" s="1"/>
  <c r="K95" i="2"/>
  <c r="L95" i="2" s="1"/>
  <c r="I95" i="2"/>
  <c r="J95" i="2" s="1"/>
  <c r="A95" i="2"/>
  <c r="B95" i="2" s="1"/>
  <c r="O124" i="2"/>
  <c r="P124" i="2" s="1"/>
  <c r="I124" i="2"/>
  <c r="J124" i="2" s="1"/>
  <c r="T6" i="81"/>
  <c r="R6" i="81"/>
  <c r="P6" i="81"/>
  <c r="N6" i="81"/>
  <c r="L6" i="81"/>
  <c r="J6" i="81"/>
  <c r="H6" i="81"/>
  <c r="F6" i="81"/>
  <c r="D6" i="81"/>
  <c r="B6" i="81"/>
  <c r="T5" i="81"/>
  <c r="R5" i="81"/>
  <c r="P5" i="81"/>
  <c r="N5" i="81"/>
  <c r="L5" i="81"/>
  <c r="J5" i="81"/>
  <c r="H5" i="81"/>
  <c r="F5" i="81"/>
  <c r="D5" i="81"/>
  <c r="B5" i="81"/>
  <c r="T4" i="81"/>
  <c r="S124" i="2" s="1"/>
  <c r="T124" i="2" s="1"/>
  <c r="R4" i="81"/>
  <c r="Q124" i="2" s="1"/>
  <c r="R124" i="2" s="1"/>
  <c r="P4" i="81"/>
  <c r="N4" i="81"/>
  <c r="M124" i="2" s="1"/>
  <c r="N124" i="2" s="1"/>
  <c r="L4" i="81"/>
  <c r="K124" i="2" s="1"/>
  <c r="L124" i="2" s="1"/>
  <c r="J4" i="81"/>
  <c r="H4" i="81"/>
  <c r="G124" i="2" s="1"/>
  <c r="H124" i="2" s="1"/>
  <c r="F4" i="81"/>
  <c r="E124" i="2" s="1"/>
  <c r="F124" i="2" s="1"/>
  <c r="D4" i="81"/>
  <c r="C124" i="2" s="1"/>
  <c r="D124" i="2" s="1"/>
  <c r="B4" i="81"/>
  <c r="A124" i="2" s="1"/>
  <c r="B124"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13" i="2" s="1"/>
  <c r="T113" i="2" s="1"/>
  <c r="R4" i="80"/>
  <c r="Q113" i="2" s="1"/>
  <c r="R113" i="2" s="1"/>
  <c r="P4" i="80"/>
  <c r="O113" i="2" s="1"/>
  <c r="P113" i="2" s="1"/>
  <c r="N4" i="80"/>
  <c r="M113" i="2" s="1"/>
  <c r="N113" i="2" s="1"/>
  <c r="L4" i="80"/>
  <c r="J4" i="80"/>
  <c r="H4" i="80"/>
  <c r="G113" i="2" s="1"/>
  <c r="H113" i="2" s="1"/>
  <c r="F4" i="80"/>
  <c r="E113" i="2" s="1"/>
  <c r="F113" i="2" s="1"/>
  <c r="D4" i="80"/>
  <c r="C113" i="2" s="1"/>
  <c r="D113"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2" i="2" s="1"/>
  <c r="T112" i="2" s="1"/>
  <c r="R4" i="79"/>
  <c r="Q112" i="2" s="1"/>
  <c r="R112" i="2" s="1"/>
  <c r="P4" i="79"/>
  <c r="O112" i="2" s="1"/>
  <c r="P112" i="2" s="1"/>
  <c r="N4" i="79"/>
  <c r="M112" i="2" s="1"/>
  <c r="N112" i="2" s="1"/>
  <c r="L4" i="79"/>
  <c r="K112" i="2" s="1"/>
  <c r="L112" i="2" s="1"/>
  <c r="J4" i="79"/>
  <c r="I112" i="2" s="1"/>
  <c r="J112" i="2" s="1"/>
  <c r="H4" i="79"/>
  <c r="F4" i="79"/>
  <c r="E112" i="2" s="1"/>
  <c r="F112" i="2" s="1"/>
  <c r="D4" i="79"/>
  <c r="C112" i="2" s="1"/>
  <c r="D112" i="2" s="1"/>
  <c r="B4" i="79"/>
  <c r="A112" i="2" s="1"/>
  <c r="B112"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1" i="2" s="1"/>
  <c r="T111" i="2" s="1"/>
  <c r="R4" i="78"/>
  <c r="Q111" i="2" s="1"/>
  <c r="R111" i="2" s="1"/>
  <c r="P4" i="78"/>
  <c r="N4" i="78"/>
  <c r="L4" i="78"/>
  <c r="K111" i="2" s="1"/>
  <c r="L111" i="2" s="1"/>
  <c r="J4" i="78"/>
  <c r="I111" i="2" s="1"/>
  <c r="J111" i="2" s="1"/>
  <c r="H4" i="78"/>
  <c r="F4" i="78"/>
  <c r="E111" i="2" s="1"/>
  <c r="F111" i="2" s="1"/>
  <c r="D4" i="78"/>
  <c r="B4" i="78"/>
  <c r="A111" i="2" s="1"/>
  <c r="B111"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0" i="2" s="1"/>
  <c r="T110" i="2" s="1"/>
  <c r="R4" i="77"/>
  <c r="Q110" i="2" s="1"/>
  <c r="R110" i="2" s="1"/>
  <c r="P4" i="77"/>
  <c r="O110" i="2" s="1"/>
  <c r="P110" i="2" s="1"/>
  <c r="N4" i="77"/>
  <c r="M110" i="2" s="1"/>
  <c r="N110" i="2" s="1"/>
  <c r="L4" i="77"/>
  <c r="K110" i="2" s="1"/>
  <c r="L110" i="2" s="1"/>
  <c r="J4" i="77"/>
  <c r="I110" i="2" s="1"/>
  <c r="J110" i="2" s="1"/>
  <c r="H4" i="77"/>
  <c r="G110" i="2" s="1"/>
  <c r="H110" i="2" s="1"/>
  <c r="F4" i="77"/>
  <c r="D4" i="77"/>
  <c r="B4" i="77"/>
  <c r="A110" i="2" s="1"/>
  <c r="B110"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1" i="2" s="1"/>
  <c r="T81" i="2" s="1"/>
  <c r="R4" i="76"/>
  <c r="Q81" i="2" s="1"/>
  <c r="R81" i="2" s="1"/>
  <c r="P4" i="76"/>
  <c r="N4" i="76"/>
  <c r="M81" i="2" s="1"/>
  <c r="N81" i="2" s="1"/>
  <c r="L4" i="76"/>
  <c r="K81" i="2" s="1"/>
  <c r="L81" i="2" s="1"/>
  <c r="J4" i="76"/>
  <c r="I81" i="2" s="1"/>
  <c r="J81" i="2" s="1"/>
  <c r="H4" i="76"/>
  <c r="G81" i="2" s="1"/>
  <c r="H81" i="2" s="1"/>
  <c r="F4" i="76"/>
  <c r="E81" i="2" s="1"/>
  <c r="F81" i="2" s="1"/>
  <c r="D4" i="76"/>
  <c r="C81" i="2" s="1"/>
  <c r="D81" i="2" s="1"/>
  <c r="B4" i="76"/>
  <c r="A81" i="2" s="1"/>
  <c r="B81"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95" i="2" s="1"/>
  <c r="T95" i="2" s="1"/>
  <c r="R4" i="75"/>
  <c r="Q95" i="2" s="1"/>
  <c r="R95" i="2" s="1"/>
  <c r="P4" i="75"/>
  <c r="N4" i="75"/>
  <c r="M95" i="2" s="1"/>
  <c r="N95" i="2" s="1"/>
  <c r="L4" i="75"/>
  <c r="J4" i="75"/>
  <c r="H4" i="75"/>
  <c r="G95" i="2" s="1"/>
  <c r="H95" i="2" s="1"/>
  <c r="F4" i="75"/>
  <c r="E95" i="2" s="1"/>
  <c r="F95" i="2" s="1"/>
  <c r="D4" i="75"/>
  <c r="C95" i="2" s="1"/>
  <c r="D9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47" i="2"/>
  <c r="T146" i="2"/>
  <c r="T145" i="2"/>
  <c r="T144" i="2"/>
  <c r="T143" i="2"/>
  <c r="T142" i="2"/>
  <c r="T141" i="2"/>
  <c r="T140" i="2"/>
  <c r="T139" i="2"/>
  <c r="T138" i="2"/>
  <c r="T137" i="2"/>
  <c r="T136" i="2"/>
  <c r="T135" i="2"/>
  <c r="T131" i="2"/>
  <c r="T130" i="2"/>
  <c r="T129" i="2"/>
  <c r="T128" i="2"/>
  <c r="T127" i="2"/>
  <c r="T126" i="2"/>
  <c r="T125" i="2"/>
  <c r="T123" i="2"/>
  <c r="T122" i="2"/>
  <c r="T121" i="2"/>
  <c r="T120" i="2"/>
  <c r="T119" i="2"/>
  <c r="T118" i="2"/>
  <c r="T117" i="2"/>
  <c r="T116" i="2"/>
  <c r="T109" i="2"/>
  <c r="T108" i="2"/>
  <c r="T107" i="2"/>
  <c r="T106" i="2"/>
  <c r="T105" i="2"/>
  <c r="T100" i="2"/>
  <c r="T99" i="2"/>
  <c r="T98" i="2"/>
  <c r="T97" i="2"/>
  <c r="T96" i="2"/>
  <c r="T94" i="2"/>
  <c r="T93" i="2"/>
  <c r="T92" i="2"/>
  <c r="T91" i="2"/>
  <c r="T90" i="2"/>
  <c r="T89" i="2"/>
  <c r="T88" i="2"/>
  <c r="T87" i="2"/>
  <c r="T86" i="2"/>
  <c r="T85" i="2"/>
  <c r="T84" i="2"/>
  <c r="T83" i="2"/>
  <c r="T80" i="2"/>
  <c r="T79" i="2"/>
  <c r="T78" i="2"/>
  <c r="Q147" i="2"/>
  <c r="R147" i="2" s="1"/>
  <c r="Q143" i="2"/>
  <c r="R143" i="2" s="1"/>
  <c r="Q142" i="2"/>
  <c r="R142" i="2" s="1"/>
  <c r="Q141" i="2"/>
  <c r="R141" i="2" s="1"/>
  <c r="Q140" i="2"/>
  <c r="R140" i="2" s="1"/>
  <c r="Q139" i="2"/>
  <c r="R139" i="2" s="1"/>
  <c r="Q138" i="2"/>
  <c r="R138" i="2" s="1"/>
  <c r="Q137" i="2"/>
  <c r="R137" i="2" s="1"/>
  <c r="Q136" i="2"/>
  <c r="R136" i="2" s="1"/>
  <c r="Q135" i="2"/>
  <c r="R135" i="2" s="1"/>
  <c r="Q131" i="2"/>
  <c r="R131" i="2" s="1"/>
  <c r="Q130" i="2"/>
  <c r="R130" i="2" s="1"/>
  <c r="Q129" i="2"/>
  <c r="R129" i="2" s="1"/>
  <c r="Q128" i="2"/>
  <c r="R128" i="2" s="1"/>
  <c r="Q127" i="2"/>
  <c r="R127" i="2" s="1"/>
  <c r="Q126" i="2"/>
  <c r="R126" i="2" s="1"/>
  <c r="Q125" i="2"/>
  <c r="R125" i="2" s="1"/>
  <c r="Q123" i="2"/>
  <c r="R123" i="2" s="1"/>
  <c r="Q122" i="2"/>
  <c r="R122" i="2" s="1"/>
  <c r="Q121" i="2"/>
  <c r="R121" i="2" s="1"/>
  <c r="Q120" i="2"/>
  <c r="R120" i="2" s="1"/>
  <c r="Q119" i="2"/>
  <c r="R119" i="2" s="1"/>
  <c r="Q118" i="2"/>
  <c r="R118" i="2" s="1"/>
  <c r="Q117" i="2"/>
  <c r="R117" i="2" s="1"/>
  <c r="Q116" i="2"/>
  <c r="R116" i="2" s="1"/>
  <c r="Q109" i="2"/>
  <c r="R109" i="2" s="1"/>
  <c r="Q108" i="2"/>
  <c r="R108" i="2" s="1"/>
  <c r="Q107" i="2"/>
  <c r="R107" i="2" s="1"/>
  <c r="Q106" i="2"/>
  <c r="R106" i="2" s="1"/>
  <c r="Q105" i="2"/>
  <c r="R105" i="2" s="1"/>
  <c r="Q100" i="2"/>
  <c r="R100" i="2" s="1"/>
  <c r="Q99" i="2"/>
  <c r="R99" i="2" s="1"/>
  <c r="Q98" i="2"/>
  <c r="R98" i="2" s="1"/>
  <c r="Q97" i="2"/>
  <c r="R97" i="2" s="1"/>
  <c r="Q96" i="2"/>
  <c r="R96" i="2" s="1"/>
  <c r="Q94" i="2"/>
  <c r="R94" i="2" s="1"/>
  <c r="Q93" i="2"/>
  <c r="R93" i="2" s="1"/>
  <c r="Q92" i="2"/>
  <c r="R92" i="2" s="1"/>
  <c r="Q91" i="2"/>
  <c r="R91" i="2" s="1"/>
  <c r="Q90" i="2"/>
  <c r="R90" i="2" s="1"/>
  <c r="Q89" i="2"/>
  <c r="R89" i="2" s="1"/>
  <c r="Q88" i="2"/>
  <c r="R88" i="2" s="1"/>
  <c r="Q87" i="2"/>
  <c r="R87" i="2" s="1"/>
  <c r="Q86" i="2"/>
  <c r="R86" i="2" s="1"/>
  <c r="Q85" i="2"/>
  <c r="R85" i="2" s="1"/>
  <c r="Q84" i="2"/>
  <c r="R84" i="2" s="1"/>
  <c r="Q83" i="2"/>
  <c r="R83" i="2" s="1"/>
  <c r="Q80" i="2"/>
  <c r="R80" i="2" s="1"/>
  <c r="Q79" i="2"/>
  <c r="R79" i="2" s="1"/>
  <c r="Q78" i="2"/>
  <c r="R78" i="2" s="1"/>
  <c r="O147" i="2"/>
  <c r="P147" i="2" s="1"/>
  <c r="O143" i="2"/>
  <c r="P143" i="2" s="1"/>
  <c r="O142" i="2"/>
  <c r="P142" i="2" s="1"/>
  <c r="O141" i="2"/>
  <c r="P141" i="2" s="1"/>
  <c r="O140" i="2"/>
  <c r="P140" i="2" s="1"/>
  <c r="O139" i="2"/>
  <c r="P139" i="2" s="1"/>
  <c r="O138" i="2"/>
  <c r="P138" i="2" s="1"/>
  <c r="O137" i="2"/>
  <c r="P137" i="2" s="1"/>
  <c r="O136" i="2"/>
  <c r="P136" i="2" s="1"/>
  <c r="O135" i="2"/>
  <c r="P135" i="2" s="1"/>
  <c r="O131" i="2"/>
  <c r="P131" i="2" s="1"/>
  <c r="O130" i="2"/>
  <c r="P130" i="2" s="1"/>
  <c r="O129" i="2"/>
  <c r="P129" i="2" s="1"/>
  <c r="O128" i="2"/>
  <c r="P128" i="2" s="1"/>
  <c r="O127" i="2"/>
  <c r="P127" i="2" s="1"/>
  <c r="O126" i="2"/>
  <c r="P126" i="2" s="1"/>
  <c r="O125" i="2"/>
  <c r="P125" i="2" s="1"/>
  <c r="O123" i="2"/>
  <c r="P123" i="2" s="1"/>
  <c r="O122" i="2"/>
  <c r="P122" i="2" s="1"/>
  <c r="O121" i="2"/>
  <c r="P121" i="2" s="1"/>
  <c r="O120" i="2"/>
  <c r="P120" i="2" s="1"/>
  <c r="O119" i="2"/>
  <c r="P119" i="2" s="1"/>
  <c r="O118" i="2"/>
  <c r="P118" i="2" s="1"/>
  <c r="O117" i="2"/>
  <c r="P117" i="2" s="1"/>
  <c r="O116" i="2"/>
  <c r="P116" i="2" s="1"/>
  <c r="O109" i="2"/>
  <c r="P109" i="2" s="1"/>
  <c r="O108" i="2"/>
  <c r="P108" i="2" s="1"/>
  <c r="O107" i="2"/>
  <c r="P107" i="2" s="1"/>
  <c r="O106" i="2"/>
  <c r="P106" i="2" s="1"/>
  <c r="O105" i="2"/>
  <c r="P105" i="2" s="1"/>
  <c r="O100" i="2"/>
  <c r="P100" i="2" s="1"/>
  <c r="O99" i="2"/>
  <c r="P99" i="2" s="1"/>
  <c r="O98" i="2"/>
  <c r="P98" i="2" s="1"/>
  <c r="O97" i="2"/>
  <c r="P97" i="2" s="1"/>
  <c r="O96" i="2"/>
  <c r="P96" i="2" s="1"/>
  <c r="O94" i="2"/>
  <c r="P94" i="2" s="1"/>
  <c r="O93" i="2"/>
  <c r="P93" i="2" s="1"/>
  <c r="O92" i="2"/>
  <c r="P92" i="2" s="1"/>
  <c r="O91" i="2"/>
  <c r="P91" i="2" s="1"/>
  <c r="O90" i="2"/>
  <c r="P90" i="2" s="1"/>
  <c r="O89" i="2"/>
  <c r="P89" i="2" s="1"/>
  <c r="O88" i="2"/>
  <c r="P88" i="2" s="1"/>
  <c r="O87" i="2"/>
  <c r="P87" i="2" s="1"/>
  <c r="O86" i="2"/>
  <c r="P86" i="2" s="1"/>
  <c r="O85" i="2"/>
  <c r="P85" i="2" s="1"/>
  <c r="O84" i="2"/>
  <c r="P84" i="2" s="1"/>
  <c r="O83" i="2"/>
  <c r="P83" i="2" s="1"/>
  <c r="O80" i="2"/>
  <c r="P80" i="2" s="1"/>
  <c r="O79" i="2"/>
  <c r="P79" i="2" s="1"/>
  <c r="O78" i="2"/>
  <c r="P78" i="2" s="1"/>
  <c r="M147" i="2"/>
  <c r="N147" i="2" s="1"/>
  <c r="M143" i="2"/>
  <c r="N143" i="2" s="1"/>
  <c r="M142" i="2"/>
  <c r="N142" i="2" s="1"/>
  <c r="M141" i="2"/>
  <c r="N141" i="2" s="1"/>
  <c r="M140" i="2"/>
  <c r="N140" i="2" s="1"/>
  <c r="M139" i="2"/>
  <c r="N139" i="2" s="1"/>
  <c r="M138" i="2"/>
  <c r="N138" i="2" s="1"/>
  <c r="M137" i="2"/>
  <c r="N137" i="2" s="1"/>
  <c r="M136" i="2"/>
  <c r="N136" i="2" s="1"/>
  <c r="M135" i="2"/>
  <c r="N135" i="2" s="1"/>
  <c r="M131" i="2"/>
  <c r="N131" i="2" s="1"/>
  <c r="M130" i="2"/>
  <c r="N130" i="2" s="1"/>
  <c r="M129" i="2"/>
  <c r="N129" i="2" s="1"/>
  <c r="M128" i="2"/>
  <c r="N128" i="2" s="1"/>
  <c r="M127" i="2"/>
  <c r="N127" i="2" s="1"/>
  <c r="M126" i="2"/>
  <c r="N126" i="2" s="1"/>
  <c r="M125" i="2"/>
  <c r="N125" i="2" s="1"/>
  <c r="M123" i="2"/>
  <c r="N123" i="2" s="1"/>
  <c r="M122" i="2"/>
  <c r="N122" i="2" s="1"/>
  <c r="M121" i="2"/>
  <c r="N121" i="2" s="1"/>
  <c r="M120" i="2"/>
  <c r="N120" i="2" s="1"/>
  <c r="M119" i="2"/>
  <c r="N119" i="2" s="1"/>
  <c r="M118" i="2"/>
  <c r="N118" i="2" s="1"/>
  <c r="M117" i="2"/>
  <c r="N117" i="2" s="1"/>
  <c r="M116" i="2"/>
  <c r="N116" i="2" s="1"/>
  <c r="M109" i="2"/>
  <c r="N109" i="2" s="1"/>
  <c r="M108" i="2"/>
  <c r="N108" i="2" s="1"/>
  <c r="M107" i="2"/>
  <c r="N107" i="2" s="1"/>
  <c r="M106" i="2"/>
  <c r="N106" i="2" s="1"/>
  <c r="M105" i="2"/>
  <c r="N105" i="2" s="1"/>
  <c r="M100" i="2"/>
  <c r="N100" i="2" s="1"/>
  <c r="M99" i="2"/>
  <c r="N99" i="2" s="1"/>
  <c r="M98" i="2"/>
  <c r="N98" i="2" s="1"/>
  <c r="M97" i="2"/>
  <c r="N97" i="2" s="1"/>
  <c r="M96" i="2"/>
  <c r="N96" i="2" s="1"/>
  <c r="M94" i="2"/>
  <c r="N94" i="2" s="1"/>
  <c r="M93" i="2"/>
  <c r="N93" i="2" s="1"/>
  <c r="M92" i="2"/>
  <c r="N92" i="2" s="1"/>
  <c r="M91" i="2"/>
  <c r="N91" i="2" s="1"/>
  <c r="M90" i="2"/>
  <c r="N90" i="2" s="1"/>
  <c r="M89" i="2"/>
  <c r="N89" i="2" s="1"/>
  <c r="M88" i="2"/>
  <c r="N88" i="2" s="1"/>
  <c r="M87" i="2"/>
  <c r="N87" i="2" s="1"/>
  <c r="M86" i="2"/>
  <c r="N86" i="2" s="1"/>
  <c r="M85" i="2"/>
  <c r="N85" i="2" s="1"/>
  <c r="M84" i="2"/>
  <c r="N84" i="2" s="1"/>
  <c r="M83" i="2"/>
  <c r="N83" i="2" s="1"/>
  <c r="M80" i="2"/>
  <c r="N80" i="2" s="1"/>
  <c r="M79" i="2"/>
  <c r="N79" i="2" s="1"/>
  <c r="M78" i="2"/>
  <c r="N78" i="2" s="1"/>
  <c r="K147" i="2"/>
  <c r="L147" i="2" s="1"/>
  <c r="K143" i="2"/>
  <c r="L143" i="2" s="1"/>
  <c r="K142" i="2"/>
  <c r="L142" i="2" s="1"/>
  <c r="K141" i="2"/>
  <c r="L141" i="2" s="1"/>
  <c r="K140" i="2"/>
  <c r="L140" i="2" s="1"/>
  <c r="K139" i="2"/>
  <c r="L139" i="2" s="1"/>
  <c r="K138" i="2"/>
  <c r="L138" i="2" s="1"/>
  <c r="K137" i="2"/>
  <c r="L137" i="2" s="1"/>
  <c r="K136" i="2"/>
  <c r="L136" i="2" s="1"/>
  <c r="K135" i="2"/>
  <c r="L135" i="2" s="1"/>
  <c r="K131" i="2"/>
  <c r="L131" i="2" s="1"/>
  <c r="K130" i="2"/>
  <c r="L130" i="2" s="1"/>
  <c r="K129" i="2"/>
  <c r="L129" i="2" s="1"/>
  <c r="K128" i="2"/>
  <c r="L128" i="2" s="1"/>
  <c r="K127" i="2"/>
  <c r="L127" i="2" s="1"/>
  <c r="K126" i="2"/>
  <c r="L126" i="2" s="1"/>
  <c r="K125" i="2"/>
  <c r="L125" i="2" s="1"/>
  <c r="K123" i="2"/>
  <c r="L123" i="2" s="1"/>
  <c r="K122" i="2"/>
  <c r="L122" i="2" s="1"/>
  <c r="K121" i="2"/>
  <c r="L121" i="2" s="1"/>
  <c r="K120" i="2"/>
  <c r="L120" i="2" s="1"/>
  <c r="K119" i="2"/>
  <c r="L119" i="2" s="1"/>
  <c r="K118" i="2"/>
  <c r="L118" i="2" s="1"/>
  <c r="K117" i="2"/>
  <c r="L117" i="2" s="1"/>
  <c r="K116" i="2"/>
  <c r="L116" i="2" s="1"/>
  <c r="K109" i="2"/>
  <c r="L109" i="2" s="1"/>
  <c r="K108" i="2"/>
  <c r="L108" i="2" s="1"/>
  <c r="K107" i="2"/>
  <c r="L107" i="2" s="1"/>
  <c r="K106" i="2"/>
  <c r="L106" i="2" s="1"/>
  <c r="K105" i="2"/>
  <c r="L105" i="2" s="1"/>
  <c r="K100" i="2"/>
  <c r="L100" i="2" s="1"/>
  <c r="K99" i="2"/>
  <c r="L99" i="2" s="1"/>
  <c r="K98" i="2"/>
  <c r="L98" i="2" s="1"/>
  <c r="K97" i="2"/>
  <c r="L97" i="2" s="1"/>
  <c r="K96" i="2"/>
  <c r="L96" i="2" s="1"/>
  <c r="K94" i="2"/>
  <c r="L94" i="2" s="1"/>
  <c r="K93" i="2"/>
  <c r="L93" i="2" s="1"/>
  <c r="K92" i="2"/>
  <c r="L92" i="2" s="1"/>
  <c r="K91" i="2"/>
  <c r="L91" i="2" s="1"/>
  <c r="K90" i="2"/>
  <c r="L90" i="2" s="1"/>
  <c r="K89" i="2"/>
  <c r="L89" i="2" s="1"/>
  <c r="K88" i="2"/>
  <c r="L88" i="2" s="1"/>
  <c r="K87" i="2"/>
  <c r="L87" i="2" s="1"/>
  <c r="K86" i="2"/>
  <c r="L86" i="2" s="1"/>
  <c r="K85" i="2"/>
  <c r="L85" i="2" s="1"/>
  <c r="K84" i="2"/>
  <c r="L84" i="2" s="1"/>
  <c r="K83" i="2"/>
  <c r="L83" i="2" s="1"/>
  <c r="K80" i="2"/>
  <c r="L80" i="2" s="1"/>
  <c r="K79" i="2"/>
  <c r="L79" i="2" s="1"/>
  <c r="K78" i="2"/>
  <c r="L78" i="2" s="1"/>
  <c r="I147" i="2"/>
  <c r="J147" i="2" s="1"/>
  <c r="I143" i="2"/>
  <c r="J143" i="2" s="1"/>
  <c r="I142" i="2"/>
  <c r="J142" i="2" s="1"/>
  <c r="I141" i="2"/>
  <c r="J141" i="2" s="1"/>
  <c r="I140" i="2"/>
  <c r="J140" i="2" s="1"/>
  <c r="I139" i="2"/>
  <c r="J139" i="2" s="1"/>
  <c r="I138" i="2"/>
  <c r="J138" i="2" s="1"/>
  <c r="I137" i="2"/>
  <c r="J137" i="2" s="1"/>
  <c r="I136" i="2"/>
  <c r="J136" i="2" s="1"/>
  <c r="I135" i="2"/>
  <c r="J135" i="2" s="1"/>
  <c r="I131" i="2"/>
  <c r="J131" i="2" s="1"/>
  <c r="I130" i="2"/>
  <c r="J130" i="2" s="1"/>
  <c r="I129" i="2"/>
  <c r="J129" i="2" s="1"/>
  <c r="I128" i="2"/>
  <c r="J128" i="2" s="1"/>
  <c r="I127" i="2"/>
  <c r="J127" i="2" s="1"/>
  <c r="I126" i="2"/>
  <c r="J126" i="2" s="1"/>
  <c r="I125" i="2"/>
  <c r="J125" i="2" s="1"/>
  <c r="I123" i="2"/>
  <c r="J123" i="2" s="1"/>
  <c r="I122" i="2"/>
  <c r="J122" i="2" s="1"/>
  <c r="I121" i="2"/>
  <c r="J121" i="2" s="1"/>
  <c r="I120" i="2"/>
  <c r="J120" i="2" s="1"/>
  <c r="I119" i="2"/>
  <c r="J119" i="2" s="1"/>
  <c r="I118" i="2"/>
  <c r="J118" i="2" s="1"/>
  <c r="I117" i="2"/>
  <c r="J117" i="2" s="1"/>
  <c r="I116" i="2"/>
  <c r="J116" i="2" s="1"/>
  <c r="I109" i="2"/>
  <c r="J109" i="2" s="1"/>
  <c r="I108" i="2"/>
  <c r="J108" i="2" s="1"/>
  <c r="I107" i="2"/>
  <c r="J107" i="2" s="1"/>
  <c r="I106" i="2"/>
  <c r="J106" i="2" s="1"/>
  <c r="I105" i="2"/>
  <c r="J105" i="2" s="1"/>
  <c r="I100" i="2"/>
  <c r="J100" i="2" s="1"/>
  <c r="I99" i="2"/>
  <c r="J99" i="2" s="1"/>
  <c r="I98" i="2"/>
  <c r="J98" i="2" s="1"/>
  <c r="I97" i="2"/>
  <c r="J97" i="2" s="1"/>
  <c r="I96" i="2"/>
  <c r="J96" i="2" s="1"/>
  <c r="I94" i="2"/>
  <c r="J94" i="2" s="1"/>
  <c r="I93" i="2"/>
  <c r="J93" i="2" s="1"/>
  <c r="I92" i="2"/>
  <c r="J92" i="2" s="1"/>
  <c r="I91" i="2"/>
  <c r="J91" i="2" s="1"/>
  <c r="I90" i="2"/>
  <c r="J90" i="2" s="1"/>
  <c r="I89" i="2"/>
  <c r="J89" i="2" s="1"/>
  <c r="I88" i="2"/>
  <c r="J88" i="2" s="1"/>
  <c r="I87" i="2"/>
  <c r="J87" i="2" s="1"/>
  <c r="I86" i="2"/>
  <c r="J86" i="2" s="1"/>
  <c r="I85" i="2"/>
  <c r="J85" i="2" s="1"/>
  <c r="I84" i="2"/>
  <c r="J84" i="2" s="1"/>
  <c r="I83" i="2"/>
  <c r="J83" i="2" s="1"/>
  <c r="I80" i="2"/>
  <c r="J80" i="2" s="1"/>
  <c r="I79" i="2"/>
  <c r="J79" i="2" s="1"/>
  <c r="I78" i="2"/>
  <c r="J78" i="2" s="1"/>
  <c r="G147" i="2"/>
  <c r="H147" i="2" s="1"/>
  <c r="G143" i="2"/>
  <c r="H143" i="2" s="1"/>
  <c r="G142" i="2"/>
  <c r="H142" i="2" s="1"/>
  <c r="G141" i="2"/>
  <c r="H141" i="2" s="1"/>
  <c r="G140" i="2"/>
  <c r="H140" i="2" s="1"/>
  <c r="G139" i="2"/>
  <c r="H139" i="2" s="1"/>
  <c r="G138" i="2"/>
  <c r="H138" i="2" s="1"/>
  <c r="G137" i="2"/>
  <c r="H137" i="2" s="1"/>
  <c r="G136" i="2"/>
  <c r="H136" i="2" s="1"/>
  <c r="G135" i="2"/>
  <c r="H135" i="2" s="1"/>
  <c r="G131" i="2"/>
  <c r="H131" i="2" s="1"/>
  <c r="G130" i="2"/>
  <c r="H130" i="2" s="1"/>
  <c r="G129" i="2"/>
  <c r="H129" i="2" s="1"/>
  <c r="G128" i="2"/>
  <c r="H128" i="2" s="1"/>
  <c r="G127" i="2"/>
  <c r="H127" i="2" s="1"/>
  <c r="G126" i="2"/>
  <c r="H126" i="2" s="1"/>
  <c r="G125" i="2"/>
  <c r="H125" i="2" s="1"/>
  <c r="G123" i="2"/>
  <c r="H123" i="2" s="1"/>
  <c r="G122" i="2"/>
  <c r="H122" i="2" s="1"/>
  <c r="G121" i="2"/>
  <c r="H121" i="2" s="1"/>
  <c r="G120" i="2"/>
  <c r="H120" i="2" s="1"/>
  <c r="G119" i="2"/>
  <c r="H119" i="2" s="1"/>
  <c r="G118" i="2"/>
  <c r="H118" i="2" s="1"/>
  <c r="G117" i="2"/>
  <c r="H117" i="2" s="1"/>
  <c r="G116" i="2"/>
  <c r="H116" i="2" s="1"/>
  <c r="G109" i="2"/>
  <c r="H109" i="2" s="1"/>
  <c r="G108" i="2"/>
  <c r="H108" i="2" s="1"/>
  <c r="G107" i="2"/>
  <c r="H107" i="2" s="1"/>
  <c r="G106" i="2"/>
  <c r="H106" i="2" s="1"/>
  <c r="G105" i="2"/>
  <c r="H105" i="2" s="1"/>
  <c r="G100" i="2"/>
  <c r="H100" i="2" s="1"/>
  <c r="G99" i="2"/>
  <c r="H99" i="2" s="1"/>
  <c r="G98" i="2"/>
  <c r="H98" i="2" s="1"/>
  <c r="G97" i="2"/>
  <c r="H97" i="2" s="1"/>
  <c r="G96" i="2"/>
  <c r="H96" i="2" s="1"/>
  <c r="G94" i="2"/>
  <c r="H94" i="2" s="1"/>
  <c r="G93" i="2"/>
  <c r="H93" i="2" s="1"/>
  <c r="G92" i="2"/>
  <c r="H92" i="2" s="1"/>
  <c r="G91" i="2"/>
  <c r="H91" i="2" s="1"/>
  <c r="G90" i="2"/>
  <c r="H90" i="2" s="1"/>
  <c r="G89" i="2"/>
  <c r="H89" i="2" s="1"/>
  <c r="G88" i="2"/>
  <c r="H88" i="2" s="1"/>
  <c r="G87" i="2"/>
  <c r="H87" i="2" s="1"/>
  <c r="G86" i="2"/>
  <c r="H86" i="2" s="1"/>
  <c r="G85" i="2"/>
  <c r="H85" i="2" s="1"/>
  <c r="G84" i="2"/>
  <c r="H84" i="2" s="1"/>
  <c r="G83" i="2"/>
  <c r="H83" i="2" s="1"/>
  <c r="G80" i="2"/>
  <c r="H80" i="2" s="1"/>
  <c r="G79" i="2"/>
  <c r="H79" i="2" s="1"/>
  <c r="G78" i="2"/>
  <c r="H78" i="2" s="1"/>
  <c r="E147" i="2"/>
  <c r="F147" i="2" s="1"/>
  <c r="E143" i="2"/>
  <c r="F143" i="2" s="1"/>
  <c r="E142" i="2"/>
  <c r="F142" i="2" s="1"/>
  <c r="E141" i="2"/>
  <c r="F141" i="2" s="1"/>
  <c r="E140" i="2"/>
  <c r="F140" i="2" s="1"/>
  <c r="E139" i="2"/>
  <c r="F139" i="2" s="1"/>
  <c r="E138" i="2"/>
  <c r="F138" i="2" s="1"/>
  <c r="E137" i="2"/>
  <c r="F137" i="2" s="1"/>
  <c r="E136" i="2"/>
  <c r="F136" i="2" s="1"/>
  <c r="E135" i="2"/>
  <c r="F135" i="2" s="1"/>
  <c r="E131" i="2"/>
  <c r="F131" i="2" s="1"/>
  <c r="E130" i="2"/>
  <c r="F130" i="2" s="1"/>
  <c r="E129" i="2"/>
  <c r="F129" i="2" s="1"/>
  <c r="E128" i="2"/>
  <c r="F128" i="2" s="1"/>
  <c r="E127" i="2"/>
  <c r="F127" i="2" s="1"/>
  <c r="E126" i="2"/>
  <c r="F126" i="2" s="1"/>
  <c r="E125" i="2"/>
  <c r="F125" i="2" s="1"/>
  <c r="E123" i="2"/>
  <c r="F123" i="2" s="1"/>
  <c r="E122" i="2"/>
  <c r="F122" i="2" s="1"/>
  <c r="E121" i="2"/>
  <c r="F121" i="2" s="1"/>
  <c r="E120" i="2"/>
  <c r="F120" i="2" s="1"/>
  <c r="E119" i="2"/>
  <c r="F119" i="2" s="1"/>
  <c r="E118" i="2"/>
  <c r="F118" i="2" s="1"/>
  <c r="E117" i="2"/>
  <c r="F117" i="2" s="1"/>
  <c r="E116" i="2"/>
  <c r="F116" i="2" s="1"/>
  <c r="E109" i="2"/>
  <c r="F109" i="2" s="1"/>
  <c r="E108" i="2"/>
  <c r="F108" i="2" s="1"/>
  <c r="E107" i="2"/>
  <c r="F107" i="2" s="1"/>
  <c r="E106" i="2"/>
  <c r="F106" i="2" s="1"/>
  <c r="E105" i="2"/>
  <c r="F105" i="2" s="1"/>
  <c r="E100" i="2"/>
  <c r="F100" i="2" s="1"/>
  <c r="E99" i="2"/>
  <c r="F99" i="2" s="1"/>
  <c r="E98" i="2"/>
  <c r="F98" i="2" s="1"/>
  <c r="E97" i="2"/>
  <c r="F97" i="2" s="1"/>
  <c r="E96" i="2"/>
  <c r="F96"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0" i="2"/>
  <c r="F80" i="2" s="1"/>
  <c r="E79" i="2"/>
  <c r="F79" i="2" s="1"/>
  <c r="E78" i="2"/>
  <c r="F78" i="2" s="1"/>
  <c r="C147" i="2"/>
  <c r="D147" i="2" s="1"/>
  <c r="C143" i="2"/>
  <c r="D143" i="2" s="1"/>
  <c r="C142" i="2"/>
  <c r="D142" i="2" s="1"/>
  <c r="C141" i="2"/>
  <c r="D141" i="2" s="1"/>
  <c r="C140" i="2"/>
  <c r="D140" i="2" s="1"/>
  <c r="C139" i="2"/>
  <c r="D139" i="2" s="1"/>
  <c r="C138" i="2"/>
  <c r="D138" i="2" s="1"/>
  <c r="C137" i="2"/>
  <c r="D137" i="2" s="1"/>
  <c r="C136" i="2"/>
  <c r="D136" i="2" s="1"/>
  <c r="C135" i="2"/>
  <c r="D135" i="2" s="1"/>
  <c r="C131" i="2"/>
  <c r="D131" i="2" s="1"/>
  <c r="C130" i="2"/>
  <c r="D130" i="2" s="1"/>
  <c r="C129" i="2"/>
  <c r="D129" i="2" s="1"/>
  <c r="C128" i="2"/>
  <c r="D128" i="2" s="1"/>
  <c r="C127" i="2"/>
  <c r="D127" i="2" s="1"/>
  <c r="C126" i="2"/>
  <c r="D126" i="2" s="1"/>
  <c r="C125" i="2"/>
  <c r="D125" i="2" s="1"/>
  <c r="C123" i="2"/>
  <c r="D123" i="2" s="1"/>
  <c r="C122" i="2"/>
  <c r="D122" i="2" s="1"/>
  <c r="C121" i="2"/>
  <c r="D121" i="2" s="1"/>
  <c r="C120" i="2"/>
  <c r="D120" i="2" s="1"/>
  <c r="C119" i="2"/>
  <c r="D119" i="2" s="1"/>
  <c r="C118" i="2"/>
  <c r="D118" i="2" s="1"/>
  <c r="C117" i="2"/>
  <c r="D117" i="2" s="1"/>
  <c r="C116" i="2"/>
  <c r="D116" i="2" s="1"/>
  <c r="C109" i="2"/>
  <c r="D109" i="2" s="1"/>
  <c r="C108" i="2"/>
  <c r="D108" i="2" s="1"/>
  <c r="C107" i="2"/>
  <c r="D107" i="2" s="1"/>
  <c r="C106" i="2"/>
  <c r="D106" i="2" s="1"/>
  <c r="C105" i="2"/>
  <c r="D105" i="2" s="1"/>
  <c r="C100" i="2"/>
  <c r="D100" i="2" s="1"/>
  <c r="C99" i="2"/>
  <c r="D99" i="2" s="1"/>
  <c r="C98" i="2"/>
  <c r="D98" i="2" s="1"/>
  <c r="C97" i="2"/>
  <c r="D97" i="2" s="1"/>
  <c r="C96" i="2"/>
  <c r="D96" i="2" s="1"/>
  <c r="C94" i="2"/>
  <c r="D94" i="2" s="1"/>
  <c r="C93" i="2"/>
  <c r="D93" i="2" s="1"/>
  <c r="C92" i="2"/>
  <c r="D92" i="2" s="1"/>
  <c r="C91" i="2"/>
  <c r="D91" i="2" s="1"/>
  <c r="C90" i="2"/>
  <c r="D90" i="2" s="1"/>
  <c r="C89" i="2"/>
  <c r="D89" i="2" s="1"/>
  <c r="C88" i="2"/>
  <c r="D88" i="2" s="1"/>
  <c r="C87" i="2"/>
  <c r="D87" i="2" s="1"/>
  <c r="C86" i="2"/>
  <c r="D86" i="2" s="1"/>
  <c r="C85" i="2"/>
  <c r="D85" i="2" s="1"/>
  <c r="C84" i="2"/>
  <c r="D84" i="2" s="1"/>
  <c r="C83" i="2"/>
  <c r="D83" i="2" s="1"/>
  <c r="C80" i="2"/>
  <c r="D80" i="2" s="1"/>
  <c r="C79" i="2"/>
  <c r="D79" i="2" s="1"/>
  <c r="C78" i="2"/>
  <c r="D78" i="2" s="1"/>
  <c r="A146" i="2"/>
  <c r="B146" i="2" s="1"/>
  <c r="A141" i="2"/>
  <c r="B141" i="2" s="1"/>
  <c r="B3" i="68"/>
  <c r="J30" i="39" a="1"/>
  <c r="J29" i="39" a="1"/>
  <c r="R4" i="39" a="1"/>
  <c r="B28" i="39" a="1"/>
  <c r="B3" i="39" a="1"/>
  <c r="B27" i="39" a="1"/>
  <c r="N14" i="39" a="1"/>
  <c r="B26" i="39" a="1"/>
  <c r="F15" i="39" a="1"/>
  <c r="N13" i="39" a="1"/>
  <c r="B25" i="39" a="1"/>
  <c r="N12" i="39" a="1"/>
  <c r="B24" i="39" a="1"/>
  <c r="B20" i="39" a="1"/>
  <c r="B22" i="39" a="1"/>
  <c r="N10" i="39" a="1"/>
  <c r="R9" i="39" a="1"/>
  <c r="R8" i="39" a="1"/>
  <c r="B18" i="39" a="1"/>
  <c r="B29" i="39" a="1"/>
  <c r="R7" i="39" a="1"/>
  <c r="B15" i="39" a="1"/>
  <c r="B17" i="39" a="1"/>
  <c r="J28" i="39" a="1"/>
  <c r="J27" i="39" a="1"/>
  <c r="B16" i="39" a="1"/>
  <c r="B23" i="39" a="1"/>
  <c r="B11" i="39" a="1"/>
  <c r="F21" i="39" a="1"/>
  <c r="J26" i="39" a="1"/>
  <c r="B10" i="39" a="1"/>
  <c r="J25" i="39" a="1"/>
  <c r="B21" i="39" a="1"/>
  <c r="F22" i="39" a="1"/>
  <c r="J24" i="39" a="1"/>
  <c r="B19" i="39" a="1"/>
  <c r="J23" i="39" a="1"/>
  <c r="B14" i="39" a="1"/>
  <c r="F20" i="39" a="1"/>
  <c r="F18" i="39" a="1"/>
  <c r="N11" i="39" a="1"/>
  <c r="F19" i="39" a="1"/>
  <c r="F17" i="39" a="1"/>
  <c r="F16" i="39" a="1"/>
  <c r="B2" i="39" a="1"/>
  <c r="J30" i="39" l="1"/>
  <c r="K30" i="39"/>
  <c r="J29" i="39"/>
  <c r="K29" i="39" s="1"/>
  <c r="N11" i="39"/>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46" i="2" s="1"/>
  <c r="R146" i="2" s="1"/>
  <c r="P4" i="69"/>
  <c r="O146" i="2" s="1"/>
  <c r="P146" i="2" s="1"/>
  <c r="N4" i="69"/>
  <c r="M146" i="2" s="1"/>
  <c r="N146" i="2" s="1"/>
  <c r="L4" i="69"/>
  <c r="K146" i="2" s="1"/>
  <c r="L146" i="2" s="1"/>
  <c r="J4" i="69"/>
  <c r="I146" i="2" s="1"/>
  <c r="J146" i="2" s="1"/>
  <c r="H4" i="69"/>
  <c r="G146" i="2" s="1"/>
  <c r="H146" i="2" s="1"/>
  <c r="F4" i="69"/>
  <c r="E146" i="2" s="1"/>
  <c r="F146" i="2" s="1"/>
  <c r="D4" i="69"/>
  <c r="C146" i="2" s="1"/>
  <c r="D146"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45" i="2" s="1"/>
  <c r="R145" i="2" s="1"/>
  <c r="P4" i="68"/>
  <c r="O145" i="2" s="1"/>
  <c r="P145" i="2" s="1"/>
  <c r="N4" i="68"/>
  <c r="M145" i="2" s="1"/>
  <c r="N145" i="2" s="1"/>
  <c r="L4" i="68"/>
  <c r="K145" i="2" s="1"/>
  <c r="L145" i="2" s="1"/>
  <c r="J4" i="68"/>
  <c r="I145" i="2" s="1"/>
  <c r="J145" i="2" s="1"/>
  <c r="H4" i="68"/>
  <c r="G145" i="2" s="1"/>
  <c r="H145" i="2" s="1"/>
  <c r="F4" i="68"/>
  <c r="E145" i="2" s="1"/>
  <c r="F145" i="2" s="1"/>
  <c r="D4" i="68"/>
  <c r="C145" i="2" s="1"/>
  <c r="D145" i="2" s="1"/>
  <c r="B4" i="68"/>
  <c r="A145" i="2" s="1"/>
  <c r="B145"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44" i="2" s="1"/>
  <c r="R144" i="2" s="1"/>
  <c r="P4" i="67"/>
  <c r="O144" i="2" s="1"/>
  <c r="P144" i="2" s="1"/>
  <c r="N4" i="67"/>
  <c r="M144" i="2" s="1"/>
  <c r="N144" i="2" s="1"/>
  <c r="L4" i="67"/>
  <c r="K144" i="2" s="1"/>
  <c r="L144" i="2" s="1"/>
  <c r="J4" i="67"/>
  <c r="I144" i="2" s="1"/>
  <c r="J144" i="2" s="1"/>
  <c r="H4" i="67"/>
  <c r="G144" i="2" s="1"/>
  <c r="H144" i="2" s="1"/>
  <c r="F4" i="67"/>
  <c r="E144" i="2" s="1"/>
  <c r="F144" i="2" s="1"/>
  <c r="D4" i="67"/>
  <c r="C144" i="2" s="1"/>
  <c r="D144" i="2" s="1"/>
  <c r="B4" i="67"/>
  <c r="A144" i="2" s="1"/>
  <c r="B144"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35" i="2"/>
  <c r="B135"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47"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0" i="2"/>
  <c r="B140"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43" i="2"/>
  <c r="B143"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38" i="2"/>
  <c r="B138"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39" i="2"/>
  <c r="B139" i="2" s="1"/>
  <c r="A136" i="2"/>
  <c r="B136" i="2" s="1"/>
  <c r="A85" i="2"/>
  <c r="B85" i="2" s="1"/>
  <c r="A108" i="2"/>
  <c r="B108" i="2" s="1"/>
  <c r="A107" i="2"/>
  <c r="B107"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09" i="2"/>
  <c r="B109"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06" i="2"/>
  <c r="B106"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83" i="2"/>
  <c r="B83"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98" i="2"/>
  <c r="B9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97" i="2"/>
  <c r="B9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96" i="2"/>
  <c r="B9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86" i="2"/>
  <c r="B8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84" i="2"/>
  <c r="B84"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2" i="2"/>
  <c r="B142" i="2" s="1"/>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0" i="2"/>
  <c r="B80"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05" i="2" s="1"/>
  <c r="B105"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87" i="2" s="1"/>
  <c r="B87" i="2" s="1"/>
  <c r="T3" i="33"/>
  <c r="R3" i="33"/>
  <c r="P3" i="33"/>
  <c r="N3" i="33"/>
  <c r="L3" i="33"/>
  <c r="J3" i="33"/>
  <c r="H3" i="33"/>
  <c r="F3" i="33"/>
  <c r="D3" i="33"/>
  <c r="B3" i="33"/>
  <c r="A21" i="2"/>
  <c r="B21" i="2" s="1"/>
  <c r="A79" i="2"/>
  <c r="B79"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0" i="2" s="1"/>
  <c r="B100"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37" i="2"/>
  <c r="B137"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99" i="2" s="1"/>
  <c r="B99" i="2" s="1"/>
  <c r="T3" i="27"/>
  <c r="R3" i="27"/>
  <c r="P3" i="27"/>
  <c r="N3" i="27"/>
  <c r="L3" i="27"/>
  <c r="J3" i="27"/>
  <c r="H3" i="27"/>
  <c r="F3" i="27"/>
  <c r="D3" i="27"/>
  <c r="B3" i="27"/>
  <c r="A93" i="2"/>
  <c r="B93" i="2" s="1"/>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2" i="2"/>
  <c r="B92" i="2" s="1"/>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1" i="2" s="1"/>
  <c r="B91" i="2" s="1"/>
  <c r="T3" i="24"/>
  <c r="R3" i="24"/>
  <c r="P3" i="24"/>
  <c r="N3" i="24"/>
  <c r="L3" i="24"/>
  <c r="J3" i="24"/>
  <c r="H3" i="24"/>
  <c r="F3" i="24"/>
  <c r="D3" i="24"/>
  <c r="B3" i="24"/>
  <c r="A90" i="2"/>
  <c r="B9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89" i="2"/>
  <c r="B8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94" i="2"/>
  <c r="B9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1" i="2"/>
  <c r="B131"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25" i="2"/>
  <c r="B125"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23" i="2"/>
  <c r="B123"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29" i="2"/>
  <c r="B129"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B101"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28" i="2" s="1"/>
  <c r="B128"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2" i="2" s="1"/>
  <c r="B122"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27" i="2" s="1"/>
  <c r="B127" i="2" s="1"/>
  <c r="T3" i="12"/>
  <c r="R3" i="12"/>
  <c r="P3" i="12"/>
  <c r="N3" i="12"/>
  <c r="L3" i="12"/>
  <c r="J3" i="12"/>
  <c r="H3" i="12"/>
  <c r="F3" i="12"/>
  <c r="D3" i="12"/>
  <c r="B3" i="12"/>
  <c r="A121" i="2"/>
  <c r="B121"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26" i="2"/>
  <c r="B126"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0" i="2"/>
  <c r="B120"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19" i="2"/>
  <c r="B119"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18" i="2"/>
  <c r="B118" i="2" s="1"/>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17" i="2"/>
  <c r="B117"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0" i="2"/>
  <c r="B130" i="2" s="1"/>
  <c r="B12" i="5"/>
  <c r="A44" i="2" s="1"/>
  <c r="B44" i="2" s="1"/>
  <c r="B11" i="5"/>
  <c r="A45" i="2" s="1"/>
  <c r="B45" i="2" s="1"/>
  <c r="B10" i="5"/>
  <c r="A32" i="2" s="1"/>
  <c r="B32" i="2" s="1"/>
  <c r="B9" i="5"/>
  <c r="B6" i="5"/>
  <c r="B5" i="5"/>
  <c r="B4" i="5"/>
  <c r="B3" i="5"/>
  <c r="B3" i="4"/>
  <c r="B4" i="4"/>
  <c r="A116" i="2" s="1"/>
  <c r="B116"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88" i="2" s="1"/>
  <c r="B88" i="2" s="1"/>
  <c r="B6" i="1"/>
  <c r="A15" i="2" s="1"/>
  <c r="B15" i="2" s="1"/>
  <c r="B5" i="1"/>
  <c r="B3" i="1"/>
  <c r="A78" i="2" s="1"/>
  <c r="B78" i="2" s="1"/>
  <c r="J16" i="39" a="1"/>
  <c r="F11" i="39" a="1"/>
  <c r="F3" i="39" a="1"/>
  <c r="J5" i="39" a="1"/>
  <c r="J4" i="39" a="1"/>
  <c r="J2" i="39" a="1"/>
  <c r="J15" i="39" a="1"/>
  <c r="F10" i="39" a="1"/>
  <c r="J11" i="39" a="1"/>
  <c r="N7" i="39" a="1"/>
  <c r="J14" i="39" a="1"/>
  <c r="F9" i="39" a="1"/>
  <c r="F6" i="39" a="1"/>
  <c r="F5" i="39" a="1"/>
  <c r="F4" i="39" a="1"/>
  <c r="J13" i="39" a="1"/>
  <c r="J3" i="39" a="1"/>
  <c r="J12" i="39" a="1"/>
  <c r="J10" i="39" a="1"/>
  <c r="B7" i="39" a="1"/>
  <c r="J9" i="39" a="1"/>
  <c r="F2" i="39" a="1"/>
  <c r="J8" i="39" a="1"/>
  <c r="B4" i="39" a="1"/>
  <c r="B9" i="39" a="1"/>
  <c r="J7" i="39" a="1"/>
  <c r="N6" i="39" a="1"/>
  <c r="B8" i="39" a="1"/>
  <c r="J6" i="39" a="1"/>
  <c r="N4" i="39" a="1"/>
  <c r="N22" i="39" a="1"/>
  <c r="N21" i="39" a="1"/>
  <c r="N20" i="39" a="1"/>
  <c r="J19" i="39" a="1"/>
  <c r="N3" i="39" a="1"/>
  <c r="N2" i="39" a="1"/>
  <c r="J22" i="39" a="1"/>
  <c r="N19" i="39" a="1"/>
  <c r="N18" i="39" a="1"/>
  <c r="J21" i="39" a="1"/>
  <c r="J18" i="39" a="1"/>
  <c r="N5" i="39" a="1"/>
  <c r="J20" i="39" a="1"/>
  <c r="N17" i="39" a="1"/>
  <c r="F14" i="39" a="1"/>
  <c r="F13" i="39" a="1"/>
  <c r="J17" i="39" a="1"/>
  <c r="F12"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N21" i="39"/>
  <c r="O21"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<sst xmlns="http://schemas.openxmlformats.org/spreadsheetml/2006/main" count="17535" uniqueCount="8637">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</sst>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65">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styles" Target="style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calcChain" Target="calcChain.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K29" sqref="K29"/>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2" t="s">
        <v>1500</v>
      </c>
      <c r="B1" s="32"/>
      <c r="C1" s="32"/>
      <c r="E1" s="32" t="s">
        <v>1502</v>
      </c>
      <c r="F1" s="32"/>
      <c r="G1" s="32"/>
      <c r="I1" s="32" t="s">
        <v>1505</v>
      </c>
      <c r="J1" s="32"/>
      <c r="K1" s="32"/>
      <c r="M1" s="32" t="s">
        <v>70</v>
      </c>
      <c r="N1" s="32"/>
      <c r="O1" s="32"/>
      <c r="Q1" s="32" t="s">
        <v>7568</v>
      </c>
      <c r="R1" s="32"/>
      <c r="S1" s="32"/>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7566</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7567</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3" t="s">
        <v>706</v>
      </c>
      <c r="B6" s="34"/>
      <c r="C6" s="35"/>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1506</v>
      </c>
      <c r="R6" s="32"/>
      <c r="S6" s="32"/>
    </row>
    <row r="7" spans="1:19" ht="21" customHeight="1" x14ac:dyDescent="0.25">
      <c r="A7" s="25">
        <v>5</v>
      </c>
      <c r="B7" s="27" t="str" cm="1">
        <f t="array" ref="B7">INDEX(LISTSHEETS,A7)</f>
        <v>Chaos Orb</v>
      </c>
      <c r="C7" s="28" t="str">
        <f t="shared" ref="C7:C9"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2" t="s">
        <v>1503</v>
      </c>
      <c r="F8" s="32"/>
      <c r="G8" s="32"/>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3" t="s">
        <v>1501</v>
      </c>
      <c r="N9" s="34"/>
      <c r="O9" s="35"/>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3" t="s">
        <v>716</v>
      </c>
      <c r="B13" s="34"/>
      <c r="C13" s="35"/>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c r="M16" s="33" t="s">
        <v>1504</v>
      </c>
      <c r="N16" s="34"/>
      <c r="O16" s="35"/>
    </row>
    <row r="17" spans="1:15"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c r="M17" s="25">
        <v>28</v>
      </c>
      <c r="N17" s="27" t="str" cm="1">
        <f t="array" ref="N17">INDEX(LISTSHEETS,M17)</f>
        <v>Crusader</v>
      </c>
      <c r="O17" s="28" t="str">
        <f t="shared" ref="O17:O22" si="9">HYPERLINK(_xlfn.CONCAT("#'", N17, "'!A1"), "Go to Sheet")</f>
        <v>Go to Sheet</v>
      </c>
    </row>
    <row r="18" spans="1:15"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c r="M18" s="25">
        <v>29</v>
      </c>
      <c r="N18" s="27" t="str" cm="1">
        <f t="array" ref="N18">INDEX(LISTSHEETS,M18)</f>
        <v>Elder</v>
      </c>
      <c r="O18" s="28" t="str">
        <f t="shared" si="9"/>
        <v>Go to Sheet</v>
      </c>
    </row>
    <row r="19" spans="1:15"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c r="M19" s="25">
        <v>30</v>
      </c>
      <c r="N19" s="27" t="str" cm="1">
        <f t="array" ref="N19">INDEX(LISTSHEETS,M19)</f>
        <v>Hunter</v>
      </c>
      <c r="O19" s="28" t="str">
        <f t="shared" si="9"/>
        <v>Go to Sheet</v>
      </c>
    </row>
    <row r="20" spans="1:15"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c r="M20" s="25">
        <v>31</v>
      </c>
      <c r="N20" s="27" t="str" cm="1">
        <f t="array" ref="N20">INDEX(LISTSHEETS,M20)</f>
        <v>Redeemer</v>
      </c>
      <c r="O20" s="28" t="str">
        <f t="shared" si="9"/>
        <v>Go to Sheet</v>
      </c>
    </row>
    <row r="21" spans="1:15"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c r="M21" s="25">
        <v>32</v>
      </c>
      <c r="N21" s="27" t="str" cm="1">
        <f t="array" ref="N21">INDEX(LISTSHEETS,M21)</f>
        <v>Shaper</v>
      </c>
      <c r="O21" s="28" t="str">
        <f t="shared" si="9"/>
        <v>Go to Sheet</v>
      </c>
    </row>
    <row r="22" spans="1:15"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c r="M22" s="25">
        <v>33</v>
      </c>
      <c r="N22" s="27" t="str" cm="1">
        <f t="array" ref="N22">INDEX(LISTSHEETS,M22)</f>
        <v>Warlord</v>
      </c>
      <c r="O22" s="28" t="str">
        <f t="shared" si="9"/>
        <v>Go to Sheet</v>
      </c>
    </row>
    <row r="23" spans="1:15"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10">HYPERLINK(_xlfn.CONCAT("#'", J23, "'!A1"), "Go to Sheet")</f>
        <v>Go to Sheet</v>
      </c>
    </row>
    <row r="24" spans="1:15" ht="21" customHeight="1" x14ac:dyDescent="0.25">
      <c r="A24" s="25">
        <v>71</v>
      </c>
      <c r="B24" s="27" t="str" cm="1">
        <f t="array" ref="B24">INDEX(LISTSHEETS,A24)</f>
        <v>Waystone</v>
      </c>
      <c r="C24" s="28" t="str">
        <f t="shared" ref="C24:C29" si="11">HYPERLINK(_xlfn.CONCAT("#'", B24, "'!A1"), "Go to Sheet")</f>
        <v>Go to Sheet</v>
      </c>
      <c r="I24" s="25">
        <v>69</v>
      </c>
      <c r="J24" s="27" t="str" cm="1">
        <f t="array" ref="J24">INDEX(LISTSHEETS,I24)</f>
        <v>Focus</v>
      </c>
      <c r="K24" s="28" t="str">
        <f>HYPERLINK(_xlfn.CONCAT("#'", J24, "'!A1"), "Go to Sheet")</f>
        <v>Go to Sheet</v>
      </c>
    </row>
    <row r="25" spans="1:15" ht="21" customHeight="1" x14ac:dyDescent="0.25">
      <c r="A25" s="25">
        <v>72</v>
      </c>
      <c r="B25" s="27" t="str" cm="1">
        <f t="array" ref="B25">INDEX(LISTSHEETS,A25)</f>
        <v>Barya</v>
      </c>
      <c r="C25" s="28" t="str">
        <f t="shared" si="11"/>
        <v>Go to Sheet</v>
      </c>
      <c r="I25" s="25">
        <v>75</v>
      </c>
      <c r="J25" s="27" t="str" cm="1">
        <f t="array" ref="J25">INDEX(LISTSHEETS,I25)</f>
        <v>Crossbow</v>
      </c>
      <c r="K25" s="28" t="str">
        <f>HYPERLINK(_xlfn.CONCAT("#'", J25, "'!A1"), "Go to Sheet")</f>
        <v>Go to Sheet</v>
      </c>
    </row>
    <row r="26" spans="1:15" ht="21" customHeight="1" x14ac:dyDescent="0.25">
      <c r="A26" s="25">
        <v>73</v>
      </c>
      <c r="B26" s="27" t="str" cm="1">
        <f t="array" ref="B26">INDEX(LISTSHEETS,A26)</f>
        <v>Ultimatum</v>
      </c>
      <c r="C26" s="28" t="str">
        <f t="shared" si="11"/>
        <v>Go to Sheet</v>
      </c>
      <c r="I26" s="25">
        <v>76</v>
      </c>
      <c r="J26" s="27" t="str" cm="1">
        <f t="array" ref="J26">INDEX(LISTSHEETS,I26)</f>
        <v>Quarterstaff</v>
      </c>
      <c r="K26" s="28" t="str">
        <f>HYPERLINK(_xlfn.CONCAT("#'", J26, "'!A1"), "Go to Sheet")</f>
        <v>Go to Sheet</v>
      </c>
    </row>
    <row r="27" spans="1:15" ht="21" customHeight="1" x14ac:dyDescent="0.25">
      <c r="A27" s="25">
        <v>74</v>
      </c>
      <c r="B27" s="27" t="str" cm="1">
        <f t="array" ref="B27">INDEX(LISTSHEETS,A27)</f>
        <v>Tablet</v>
      </c>
      <c r="C27" s="28" t="str">
        <f t="shared" si="11"/>
        <v>Go to Sheet</v>
      </c>
      <c r="I27" s="25">
        <v>84</v>
      </c>
      <c r="J27" s="27" t="str" cm="1">
        <f t="array" ref="J27">INDEX(LISTSHEETS,I27)</f>
        <v>Spear</v>
      </c>
      <c r="K27" s="28" t="str">
        <f t="shared" ref="K27:K28" si="12">HYPERLINK(_xlfn.CONCAT("#'", J27, "'!A1"), "Go to Sheet")</f>
        <v>Go to Sheet</v>
      </c>
    </row>
    <row r="28" spans="1:15" ht="21" customHeight="1" x14ac:dyDescent="0.25">
      <c r="A28" s="25">
        <v>79</v>
      </c>
      <c r="B28" s="27" t="str" cm="1">
        <f t="array" ref="B28">INDEX(LISTSHEETS,A28)</f>
        <v>Boss Key</v>
      </c>
      <c r="C28" s="28" t="str">
        <f t="shared" si="11"/>
        <v>Go to Sheet</v>
      </c>
      <c r="I28" s="25">
        <v>85</v>
      </c>
      <c r="J28" s="27" t="str" cm="1">
        <f t="array" ref="J28">INDEX(LISTSHEETS,I28)</f>
        <v>Buckler</v>
      </c>
      <c r="K28" s="28" t="str">
        <f t="shared" si="12"/>
        <v>Go to Sheet</v>
      </c>
    </row>
    <row r="29" spans="1:15" ht="21" customHeight="1" x14ac:dyDescent="0.25">
      <c r="A29" s="25">
        <v>78</v>
      </c>
      <c r="B29" s="27" t="str" cm="1">
        <f t="array" ref="B29">INDEX(LISTSHEETS,A29)</f>
        <v>Breachstone</v>
      </c>
      <c r="C29" s="28" t="str">
        <f t="shared" si="11"/>
        <v>Go to Sheet</v>
      </c>
      <c r="I29" s="25">
        <v>91</v>
      </c>
      <c r="J29" s="27" t="str" cm="1">
        <f t="array" ref="J29">INDEX(LISTSHEETS,I29)</f>
        <v>Graft</v>
      </c>
      <c r="K29" s="28" t="str">
        <f t="shared" ref="K29" si="13">HYPERLINK(_xlfn.CONCAT("#'", J29, "'!A1"), "Go to Sheet")</f>
        <v>Go to Sheet</v>
      </c>
    </row>
    <row r="30" spans="1:15" ht="21" customHeight="1" x14ac:dyDescent="0.25">
      <c r="I30" s="25">
        <v>92</v>
      </c>
      <c r="J30" s="27" t="str" cm="1">
        <f t="array" ref="J30">INDEX(LISTSHEETS,I30)</f>
        <v>Wombgift</v>
      </c>
      <c r="K30" s="28" t="str">
        <f t="shared" ref="K30" si="14">HYPERLINK(_xlfn.CONCAT("#'", J30, "'!A1"), "Go to Sheet")</f>
        <v>Go to Sheet</v>
      </c>
    </row>
    <row r="31" spans="1:15" ht="21" customHeight="1" x14ac:dyDescent="0.25"/>
    <row r="32" spans="1:15"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A13:C13"/>
    <mergeCell ref="A6:C6"/>
    <mergeCell ref="M9:O9"/>
    <mergeCell ref="A1:C1"/>
    <mergeCell ref="E1:G1"/>
    <mergeCell ref="E8:G8"/>
    <mergeCell ref="Q1:S1"/>
    <mergeCell ref="M16:O16"/>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52"/>
  <sheetViews>
    <sheetView topLeftCell="A61" workbookViewId="0">
      <selection activeCell="A68" sqref="A68:XFD68"/>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8088</v>
      </c>
      <c r="R1" s="9"/>
      <c r="S1" s="8" t="s">
        <v>8087</v>
      </c>
      <c r="T1" s="9"/>
      <c r="V1" s="8" t="s">
        <v>512</v>
      </c>
    </row>
    <row r="2" spans="1:22" ht="15.95" customHeight="1" x14ac:dyDescent="0.25">
      <c r="A2" s="6" t="s">
        <v>21</v>
      </c>
      <c r="B2" s="10" t="s">
        <v>8297</v>
      </c>
      <c r="C2" s="16" t="s">
        <v>24</v>
      </c>
      <c r="D2" s="10" t="str">
        <f>B2</f>
        <v>namespace Sidekick.Apis.Poe.Languages.Implementations;</v>
      </c>
      <c r="E2" s="16" t="s">
        <v>33</v>
      </c>
      <c r="F2" s="10" t="str">
        <f>D2</f>
        <v>namespace Sidekick.Apis.Poe.Languages.Implementations;</v>
      </c>
      <c r="G2" s="16" t="s">
        <v>34</v>
      </c>
      <c r="H2" s="10" t="str">
        <f>F2</f>
        <v>namespace Sidekick.Apis.Poe.Languages.Implementations;</v>
      </c>
      <c r="I2" s="16" t="s">
        <v>8090</v>
      </c>
      <c r="J2" s="10" t="str">
        <f>H2</f>
        <v>namespace Sidekick.Apis.Poe.Languages.Implementations;</v>
      </c>
      <c r="K2" s="16" t="s">
        <v>8295</v>
      </c>
      <c r="L2" s="10" t="str">
        <f>J2</f>
        <v>namespace Sidekick.Apis.Poe.Languages.Implementations;</v>
      </c>
      <c r="M2" s="16" t="s">
        <v>35</v>
      </c>
      <c r="N2" s="10" t="str">
        <f>L2</f>
        <v>namespace Sidekick.Apis.Poe.Languages.Implementations;</v>
      </c>
      <c r="O2" s="16" t="s">
        <v>36</v>
      </c>
      <c r="P2" s="10" t="str">
        <f>N2</f>
        <v>namespace Sidekick.Apis.Poe.Languages.Implementations;</v>
      </c>
      <c r="Q2" s="16" t="s">
        <v>37</v>
      </c>
      <c r="R2" s="10" t="str">
        <f>P2</f>
        <v>namespace Sidekick.Apis.Poe.Languages.Implementations;</v>
      </c>
      <c r="S2" s="16" t="s">
        <v>38</v>
      </c>
      <c r="T2" s="10" t="str">
        <f>R2</f>
        <v>namespace Sidekick.Apis.Poe.Languages.Implementations;</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6309</v>
      </c>
      <c r="B9" s="11" t="str">
        <f>_xlfn.CONCAT("    public string PoeTradeBaseUrl =&gt; """, A9, """;")</f>
        <v xml:space="preserve">    public string PoeTradeBaseUrl =&gt; "https://www.pathofexile.com/trade/";</v>
      </c>
      <c r="C9" s="30" t="s">
        <v>6310</v>
      </c>
      <c r="D9" s="11" t="str">
        <f>_xlfn.CONCAT("    public string PoeTradeBaseUrl =&gt; """, C9, """;")</f>
        <v xml:space="preserve">    public string PoeTradeBaseUrl =&gt; "https://de.pathofexile.com/trade/";</v>
      </c>
      <c r="E9" s="30" t="s">
        <v>6311</v>
      </c>
      <c r="F9" s="11" t="str">
        <f>_xlfn.CONCAT("    public string PoeTradeBaseUrl =&gt; """, E9, """;")</f>
        <v xml:space="preserve">    public string PoeTradeBaseUrl =&gt; "https://es.pathofexile.com/trade/";</v>
      </c>
      <c r="G9" s="30" t="s">
        <v>6312</v>
      </c>
      <c r="H9" s="11" t="str">
        <f>_xlfn.CONCAT("    public string PoeTradeBaseUrl =&gt; """, G9, """;")</f>
        <v xml:space="preserve">    public string PoeTradeBaseUrl =&gt; "https://fr.pathofexile.com/trade/";</v>
      </c>
      <c r="I9" s="30" t="s">
        <v>6313</v>
      </c>
      <c r="J9" s="11" t="str">
        <f>_xlfn.CONCAT("    public string PoeTradeBaseUrl =&gt; """, I9, """;")</f>
        <v xml:space="preserve">    public string PoeTradeBaseUrl =&gt; "https://jp.pathofexile.com/trade/";</v>
      </c>
      <c r="K9" s="30" t="s">
        <v>6314</v>
      </c>
      <c r="L9" s="11" t="str">
        <f>_xlfn.CONCAT("    public string PoeTradeBaseUrl =&gt; """, K9, """;")</f>
        <v xml:space="preserve">    public string PoeTradeBaseUrl =&gt; "https://poe.game.daum.net/trade/";</v>
      </c>
      <c r="M9" s="30" t="s">
        <v>6315</v>
      </c>
      <c r="N9" s="11" t="str">
        <f>_xlfn.CONCAT("    public string PoeTradeBaseUrl =&gt; """, M9, """;")</f>
        <v xml:space="preserve">    public string PoeTradeBaseUrl =&gt; "https://br.pathofexile.com/trade/";</v>
      </c>
      <c r="O9" s="30" t="s">
        <v>6316</v>
      </c>
      <c r="P9" s="11" t="str">
        <f>_xlfn.CONCAT("    public string PoeTradeBaseUrl =&gt; """, O9, """;")</f>
        <v xml:space="preserve">    public string PoeTradeBaseUrl =&gt; "https://ru.pathofexile.com/trade/";</v>
      </c>
      <c r="Q9" s="30" t="s">
        <v>6317</v>
      </c>
      <c r="R9" s="11" t="str">
        <f>_xlfn.CONCAT("    public string PoeTradeBaseUrl =&gt; """, Q9, """;")</f>
        <v xml:space="preserve">    public string PoeTradeBaseUrl =&gt; "https://th.pathofexile.com/trade/";</v>
      </c>
      <c r="S9" s="30" t="s">
        <v>7697</v>
      </c>
      <c r="T9" s="11" t="str">
        <f>_xlfn.CONCAT("    public string PoeTradeBaseUrl =&gt; """, S9, """;")</f>
        <v xml:space="preserve">    public string PoeTradeBaseUrl =&gt; "http://www.pathofexile.tw/trade/";</v>
      </c>
      <c r="V9" s="31" t="s">
        <v>6309</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7698</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7611</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7614</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7613</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7612</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7615</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7616</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7617</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8296</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3064</v>
      </c>
      <c r="T24" s="11" t="str">
        <f>_xlfn.CONCAT("    public string DescriptionUnidentified =&gt; """, S24, """;")</f>
        <v xml:space="preserve">    public string DescriptionUnidentified =&gt; "未鑑定";</v>
      </c>
      <c r="V24" s="1" t="s">
        <v>47</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7618</v>
      </c>
      <c r="T25" s="11" t="str">
        <f>_xlfn.CONCAT("    public string DescriptionQuality =&gt; """, S25, """;")</f>
        <v xml:space="preserve">    public string DescriptionQuality =&gt; "品質";</v>
      </c>
      <c r="V25" s="1" t="s">
        <v>48</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7621</v>
      </c>
      <c r="T26" s="11" t="str">
        <f>_xlfn.CONCAT("    public string DescriptionLevel =&gt; """, S26, """;")</f>
        <v xml:space="preserve">    public string DescriptionLevel =&gt; "物品等級";</v>
      </c>
      <c r="V26" s="1" t="s">
        <v>49</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7619</v>
      </c>
      <c r="T27" s="11" t="str">
        <f>_xlfn.CONCAT("    public string DescriptionCorrupted =&gt; """, S27, """;")</f>
        <v xml:space="preserve">    public string DescriptionCorrupted =&gt; "已汙染";</v>
      </c>
      <c r="V27" s="1" t="s">
        <v>50</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7620</v>
      </c>
      <c r="T28" s="11" t="str">
        <f>_xlfn.CONCAT("    public string DescriptionSockets =&gt; """, S28, """;")</f>
        <v xml:space="preserve">    public string DescriptionSockets =&gt; "插槽";</v>
      </c>
      <c r="V28" s="1" t="s">
        <v>51</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7621</v>
      </c>
      <c r="T29" s="11" t="str">
        <f>_xlfn.CONCAT("    public string DescriptionItemLevel =&gt; """, S29, """;")</f>
        <v xml:space="preserve">    public string DescriptionItemLevel =&gt; "物品等級";</v>
      </c>
      <c r="V29" s="1" t="s">
        <v>57</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7622</v>
      </c>
      <c r="T30" s="11" t="str">
        <f>_xlfn.CONCAT("    public string DescriptionExperience =&gt; """, S30, """;")</f>
        <v xml:space="preserve">    public string DescriptionExperience =&gt; "經驗值";</v>
      </c>
      <c r="V30" s="1" t="s">
        <v>52</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7623</v>
      </c>
      <c r="T31" s="11" t="str">
        <f>_xlfn.CONCAT("    public string DescriptionPhysicalDamage =&gt; """, S31, """;")</f>
        <v xml:space="preserve">    public string DescriptionPhysicalDamage =&gt; "物理傷害";</v>
      </c>
      <c r="V31" s="1" t="s">
        <v>58</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7624</v>
      </c>
      <c r="T32" s="11" t="str">
        <f>_xlfn.CONCAT("    public string DescriptionElementalDamage =&gt; """, S32, """;")</f>
        <v xml:space="preserve">    public string DescriptionElementalDamage =&gt; "元素傷害";</v>
      </c>
      <c r="V32" s="1" t="s">
        <v>59</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6764</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6765</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6766</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7625</v>
      </c>
      <c r="T36" s="11" t="str">
        <f>_xlfn.CONCAT("    public string DescriptionChaosDamage =&gt; """, S36, """;")</f>
        <v xml:space="preserve">    public string DescriptionChaosDamage =&gt; "混沌傷害";</v>
      </c>
      <c r="V36" s="1" t="s">
        <v>6767</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7628</v>
      </c>
      <c r="T37" s="11" t="str">
        <f>_xlfn.CONCAT("    public string DescriptionEnergyShield =&gt; """, S37, """;")</f>
        <v xml:space="preserve">    public string DescriptionEnergyShield =&gt; "能量護盾";</v>
      </c>
      <c r="V37" s="1" t="s">
        <v>60</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7629</v>
      </c>
      <c r="T39" s="11" t="str">
        <f>_xlfn.CONCAT("    public string DescriptionArmour =&gt; """, S39, """;")</f>
        <v xml:space="preserve">    public string DescriptionArmour =&gt; "護甲";</v>
      </c>
      <c r="V39" s="1" t="s">
        <v>53</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7630</v>
      </c>
      <c r="T40" s="11" t="str">
        <f>_xlfn.CONCAT("    public string DescriptionEvasion =&gt; """, S40, """;")</f>
        <v xml:space="preserve">    public string DescriptionEvasion =&gt; "閃避值";</v>
      </c>
      <c r="V40" s="1" t="s">
        <v>61</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7631</v>
      </c>
      <c r="T41" s="11" t="str">
        <f>_xlfn.CONCAT("    public string DescriptionChanceToBlock =&gt; """, S41, """;")</f>
        <v xml:space="preserve">    public string DescriptionChanceToBlock =&gt; "格擋率";</v>
      </c>
      <c r="V41" s="1" t="s">
        <v>62</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6839</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7610</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7626</v>
      </c>
      <c r="T44" s="11" t="str">
        <f>_xlfn.CONCAT("    public string DescriptionAttacksPerSecond =&gt; """, S44, """;")</f>
        <v xml:space="preserve">    public string DescriptionAttacksPerSecond =&gt; "每秒攻擊次數";</v>
      </c>
      <c r="V44" s="1" t="s">
        <v>63</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7627</v>
      </c>
      <c r="T45" s="11" t="str">
        <f>_xlfn.CONCAT("    public string DescriptionCriticalStrikeChance =&gt; """, S45, """;")</f>
        <v xml:space="preserve">    public string DescriptionCriticalStrikeChance =&gt; "暴擊率";</v>
      </c>
      <c r="V45" s="1" t="s">
        <v>64</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6768</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7632</v>
      </c>
      <c r="T47" s="11" t="str">
        <f>_xlfn.CONCAT("    public string DescriptionMapTier =&gt; """, S47, """;")</f>
        <v xml:space="preserve">    public string DescriptionMapTier =&gt; "地圖階級";</v>
      </c>
      <c r="V47" s="1" t="s">
        <v>65</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8089</v>
      </c>
      <c r="T48" s="11" t="str">
        <f>_xlfn.CONCAT("    public string DescriptionReward =&gt; """, S48, """;")</f>
        <v xml:space="preserve">    public string DescriptionReward =&gt; "__UNSET__";</v>
      </c>
      <c r="V48" s="1" t="s">
        <v>7721</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7633</v>
      </c>
      <c r="T49" s="11" t="str">
        <f>_xlfn.CONCAT("    public string DescriptionItemQuantity =&gt; """, S49, """;")</f>
        <v xml:space="preserve">    public string DescriptionItemQuantity =&gt; "物品數量";</v>
      </c>
      <c r="V49" s="1" t="s">
        <v>66</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7634</v>
      </c>
      <c r="T50" s="11" t="str">
        <f>_xlfn.CONCAT("    public string DescriptionItemRarity =&gt; """, S50, """;")</f>
        <v xml:space="preserve">    public string DescriptionItemRarity =&gt; "物品稀有度";</v>
      </c>
      <c r="V50" s="1" t="s">
        <v>67</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7635</v>
      </c>
      <c r="T51" s="11" t="str">
        <f>_xlfn.CONCAT("    public string DescriptionMonsterPackSize =&gt; """, S51, """;")</f>
        <v xml:space="preserve">    public string DescriptionMonsterPackSize =&gt; "怪物群大小";</v>
      </c>
      <c r="V51" s="1" t="s">
        <v>68</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8334</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8335</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8336</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8337</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7636</v>
      </c>
      <c r="T56" s="11" t="str">
        <f>_xlfn.CONCAT("    public string DescriptionAreaLevel =&gt; """, S56, """;")</f>
        <v xml:space="preserve">    public string DescriptionAreaLevel =&gt; "區域等級";</v>
      </c>
      <c r="V56" s="1" t="s">
        <v>69</v>
      </c>
    </row>
    <row r="57" spans="1:22" ht="15.95" customHeight="1" x14ac:dyDescent="0.25">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7909</v>
      </c>
    </row>
    <row r="58" spans="1:22" ht="15.95" customHeight="1" x14ac:dyDescent="0.25">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54</v>
      </c>
    </row>
    <row r="59" spans="1:22" ht="15.95" customHeight="1" x14ac:dyDescent="0.25">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8301</v>
      </c>
    </row>
    <row r="60" spans="1:22" ht="15.95" customHeight="1" x14ac:dyDescent="0.25">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49</v>
      </c>
    </row>
    <row r="61" spans="1:22" ht="15.95" customHeight="1" x14ac:dyDescent="0.25">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8298</v>
      </c>
    </row>
    <row r="62" spans="1:22" ht="15.95" customHeight="1" x14ac:dyDescent="0.25">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8299</v>
      </c>
    </row>
    <row r="63" spans="1:22" ht="15.95" customHeight="1" x14ac:dyDescent="0.25">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8300</v>
      </c>
    </row>
    <row r="64" spans="1:22" ht="15.95" customHeight="1" x14ac:dyDescent="0.25">
      <c r="A64" s="12" t="s">
        <v>22</v>
      </c>
      <c r="B64" s="11"/>
      <c r="C64" s="12" t="s">
        <v>22</v>
      </c>
      <c r="D64" s="11"/>
      <c r="E64" s="12" t="s">
        <v>22</v>
      </c>
      <c r="F64" s="11"/>
      <c r="G64" s="12" t="s">
        <v>22</v>
      </c>
      <c r="H64" s="11"/>
      <c r="I64" s="12" t="s">
        <v>22</v>
      </c>
      <c r="J64" s="11"/>
      <c r="K64" s="12" t="s">
        <v>22</v>
      </c>
      <c r="L64" s="11"/>
      <c r="M64" s="12" t="s">
        <v>22</v>
      </c>
      <c r="N64" s="11"/>
      <c r="O64" s="12" t="s">
        <v>22</v>
      </c>
      <c r="P64" s="11"/>
      <c r="Q64" s="12" t="s">
        <v>22</v>
      </c>
      <c r="R64" s="11"/>
      <c r="S64" s="12" t="s">
        <v>22</v>
      </c>
      <c r="T64" s="11"/>
      <c r="V64" s="1" t="s">
        <v>22</v>
      </c>
    </row>
    <row r="65" spans="1:22" ht="15.95" customHeight="1" x14ac:dyDescent="0.25">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7637</v>
      </c>
      <c r="T65" s="11" t="str">
        <f>_xlfn.CONCAT("    public string AffixSuperior =&gt; """, S65, """;")</f>
        <v xml:space="preserve">    public string AffixSuperior =&gt; "精良的";</v>
      </c>
      <c r="V65" s="1" t="s">
        <v>55</v>
      </c>
    </row>
    <row r="66" spans="1:22" ht="15.95" customHeight="1" x14ac:dyDescent="0.25">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7638</v>
      </c>
      <c r="T66" s="11" t="str">
        <f>_xlfn.CONCAT("    public string AffixBlighted =&gt; """, S66, """;")</f>
        <v xml:space="preserve">    public string AffixBlighted =&gt; "凋落的";</v>
      </c>
      <c r="V66" s="1" t="s">
        <v>56</v>
      </c>
    </row>
    <row r="67" spans="1:22" ht="15.95" customHeight="1" x14ac:dyDescent="0.25">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7639</v>
      </c>
      <c r="T67" s="11" t="str">
        <f>_xlfn.CONCAT("    public string AffixBlightRavaged =&gt; """, S67, """;")</f>
        <v xml:space="preserve">    public string AffixBlightRavaged =&gt; "凋落蔓延";</v>
      </c>
      <c r="V67" s="1" t="s">
        <v>707</v>
      </c>
    </row>
    <row r="68" spans="1:22" ht="15.95" customHeight="1" x14ac:dyDescent="0.25">
      <c r="A68" s="12" t="s">
        <v>22</v>
      </c>
      <c r="B68" s="11"/>
      <c r="C68" s="12" t="s">
        <v>22</v>
      </c>
      <c r="D68" s="11"/>
      <c r="E68" s="12" t="s">
        <v>22</v>
      </c>
      <c r="F68" s="11"/>
      <c r="G68" s="12" t="s">
        <v>22</v>
      </c>
      <c r="H68" s="11"/>
      <c r="I68" s="12" t="s">
        <v>22</v>
      </c>
      <c r="J68" s="11"/>
      <c r="K68" s="12" t="s">
        <v>22</v>
      </c>
      <c r="L68" s="11"/>
      <c r="M68" s="12" t="s">
        <v>22</v>
      </c>
      <c r="N68" s="11"/>
      <c r="O68" s="12" t="s">
        <v>22</v>
      </c>
      <c r="P68" s="11"/>
      <c r="Q68" s="12" t="s">
        <v>22</v>
      </c>
      <c r="R68" s="11"/>
      <c r="S68" s="12" t="s">
        <v>22</v>
      </c>
      <c r="T68" s="11"/>
      <c r="V68" s="1" t="s">
        <v>22</v>
      </c>
    </row>
    <row r="69" spans="1:22" ht="15.95" customHeight="1" x14ac:dyDescent="0.25">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7640</v>
      </c>
      <c r="T69" s="11" t="str">
        <f>_xlfn.CONCAT("    public string InfluenceShaper =&gt; """, S69, """;")</f>
        <v xml:space="preserve">    public string InfluenceShaper =&gt; "塑者之物";</v>
      </c>
      <c r="V69" s="1" t="s">
        <v>750</v>
      </c>
    </row>
    <row r="70" spans="1:22" ht="15.95" customHeight="1" x14ac:dyDescent="0.25">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7641</v>
      </c>
      <c r="T70" s="11" t="str">
        <f>_xlfn.CONCAT("    public string InfluenceElder =&gt; """, S70, """;")</f>
        <v xml:space="preserve">    public string InfluenceElder =&gt; "尊師之物";</v>
      </c>
      <c r="V70" s="1" t="s">
        <v>775</v>
      </c>
    </row>
    <row r="71" spans="1:22" ht="15.95" customHeight="1" x14ac:dyDescent="0.25">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7642</v>
      </c>
      <c r="T71" s="11" t="str">
        <f>_xlfn.CONCAT("    public string InfluenceCrusader =&gt; """, S71, """;")</f>
        <v xml:space="preserve">    public string InfluenceCrusader =&gt; "聖戰軍王物品";</v>
      </c>
      <c r="V71" s="1" t="s">
        <v>793</v>
      </c>
    </row>
    <row r="72" spans="1:22" ht="15.95" customHeight="1" x14ac:dyDescent="0.25">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7643</v>
      </c>
      <c r="T72" s="11" t="str">
        <f>_xlfn.CONCAT("    public string InfluenceHunter =&gt; """, S72, """;")</f>
        <v xml:space="preserve">    public string InfluenceHunter =&gt; "狩獵者物品";</v>
      </c>
      <c r="V72" s="1" t="s">
        <v>761</v>
      </c>
    </row>
    <row r="73" spans="1:22" ht="15.95" customHeight="1" x14ac:dyDescent="0.25">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7644</v>
      </c>
      <c r="T73" s="11" t="str">
        <f>_xlfn.CONCAT("    public string InfluenceRedeemer =&gt; """, S73, """;")</f>
        <v xml:space="preserve">    public string InfluenceRedeemer =&gt; "救贖者物品";</v>
      </c>
      <c r="V73" s="1" t="s">
        <v>785</v>
      </c>
    </row>
    <row r="74" spans="1:22" ht="15.95" customHeight="1" x14ac:dyDescent="0.25">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7645</v>
      </c>
      <c r="T74" s="11" t="str">
        <f>_xlfn.CONCAT("    public string InfluenceWarlord =&gt; """, S74, """;")</f>
        <v xml:space="preserve">    public string InfluenceWarlord =&gt; "總督軍物品";</v>
      </c>
      <c r="V74" s="1" t="s">
        <v>742</v>
      </c>
    </row>
    <row r="75" spans="1:22" ht="15.95" customHeight="1" x14ac:dyDescent="0.25">
      <c r="A75" s="12" t="s">
        <v>22</v>
      </c>
      <c r="B75" s="11"/>
      <c r="C75" s="12" t="s">
        <v>22</v>
      </c>
      <c r="D75" s="11"/>
      <c r="E75" s="12" t="s">
        <v>22</v>
      </c>
      <c r="F75" s="11"/>
      <c r="G75" s="12" t="s">
        <v>22</v>
      </c>
      <c r="H75" s="11"/>
      <c r="I75" s="12" t="s">
        <v>22</v>
      </c>
      <c r="J75" s="11"/>
      <c r="K75" s="12" t="s">
        <v>22</v>
      </c>
      <c r="L75" s="11"/>
      <c r="M75" s="12" t="s">
        <v>22</v>
      </c>
      <c r="N75" s="11"/>
      <c r="O75" s="12" t="s">
        <v>22</v>
      </c>
      <c r="P75" s="11"/>
      <c r="Q75" s="12" t="s">
        <v>22</v>
      </c>
      <c r="R75" s="11"/>
      <c r="S75" s="12" t="s">
        <v>22</v>
      </c>
      <c r="T75" s="11"/>
      <c r="V75" s="1" t="s">
        <v>22</v>
      </c>
    </row>
    <row r="76" spans="1:22" ht="15.95" customHeight="1" x14ac:dyDescent="0.25">
      <c r="A76" s="12" t="s">
        <v>22</v>
      </c>
      <c r="B76" s="11" t="s">
        <v>6318</v>
      </c>
      <c r="C76" s="12" t="s">
        <v>22</v>
      </c>
      <c r="D76" s="11" t="s">
        <v>6318</v>
      </c>
      <c r="E76" s="12" t="s">
        <v>22</v>
      </c>
      <c r="F76" s="11" t="s">
        <v>6318</v>
      </c>
      <c r="G76" s="12" t="s">
        <v>22</v>
      </c>
      <c r="H76" s="11" t="s">
        <v>6318</v>
      </c>
      <c r="I76" s="12" t="s">
        <v>22</v>
      </c>
      <c r="J76" s="11" t="s">
        <v>6318</v>
      </c>
      <c r="K76" s="12" t="s">
        <v>22</v>
      </c>
      <c r="L76" s="11" t="s">
        <v>6318</v>
      </c>
      <c r="M76" s="12" t="s">
        <v>22</v>
      </c>
      <c r="N76" s="11" t="s">
        <v>6318</v>
      </c>
      <c r="O76" s="12" t="s">
        <v>22</v>
      </c>
      <c r="P76" s="11" t="s">
        <v>6318</v>
      </c>
      <c r="Q76" s="12" t="s">
        <v>22</v>
      </c>
      <c r="R76" s="11" t="s">
        <v>6318</v>
      </c>
      <c r="S76" s="12" t="s">
        <v>22</v>
      </c>
      <c r="T76" s="11" t="s">
        <v>6318</v>
      </c>
      <c r="V76" s="1" t="s">
        <v>22</v>
      </c>
    </row>
    <row r="77" spans="1:22" ht="15.95" customHeight="1" x14ac:dyDescent="0.25">
      <c r="A77" s="12" t="s">
        <v>22</v>
      </c>
      <c r="B77" s="11" t="s">
        <v>14</v>
      </c>
      <c r="C77" s="12" t="s">
        <v>22</v>
      </c>
      <c r="D77" s="11" t="s">
        <v>14</v>
      </c>
      <c r="E77" s="12" t="s">
        <v>22</v>
      </c>
      <c r="F77" s="11" t="s">
        <v>14</v>
      </c>
      <c r="G77" s="12" t="s">
        <v>22</v>
      </c>
      <c r="H77" s="11" t="s">
        <v>14</v>
      </c>
      <c r="I77" s="12" t="s">
        <v>22</v>
      </c>
      <c r="J77" s="11" t="s">
        <v>14</v>
      </c>
      <c r="K77" s="12" t="s">
        <v>22</v>
      </c>
      <c r="L77" s="11" t="s">
        <v>14</v>
      </c>
      <c r="M77" s="12" t="s">
        <v>22</v>
      </c>
      <c r="N77" s="11" t="s">
        <v>14</v>
      </c>
      <c r="O77" s="12" t="s">
        <v>22</v>
      </c>
      <c r="P77" s="11" t="s">
        <v>14</v>
      </c>
      <c r="Q77" s="12" t="s">
        <v>22</v>
      </c>
      <c r="R77" s="11" t="s">
        <v>14</v>
      </c>
      <c r="S77" s="12" t="s">
        <v>22</v>
      </c>
      <c r="T77" s="11" t="s">
        <v>14</v>
      </c>
      <c r="V77" s="1" t="s">
        <v>22</v>
      </c>
    </row>
    <row r="78" spans="1:22" ht="15.95" customHeight="1" x14ac:dyDescent="0.25">
      <c r="A78" s="19" t="str">
        <f>Belt!B3</f>
        <v>Item Class</v>
      </c>
      <c r="B78" s="11" t="str">
        <f>_xlfn.CONCAT("        Prefix = """, A78, """,")</f>
        <v xml:space="preserve">        Prefix = "Item Class",</v>
      </c>
      <c r="C78" s="19" t="str">
        <f>Belt!D3</f>
        <v>Gegenstandsklasse</v>
      </c>
      <c r="D78" s="11" t="str">
        <f>_xlfn.CONCAT("        Prefix = """, C78, """,")</f>
        <v xml:space="preserve">        Prefix = "Gegenstandsklasse",</v>
      </c>
      <c r="E78" s="19" t="str">
        <f>Belt!F3</f>
        <v>Clase de objeto</v>
      </c>
      <c r="F78" s="11" t="str">
        <f>_xlfn.CONCAT("        Prefix = """, E78, """,")</f>
        <v xml:space="preserve">        Prefix = "Clase de objeto",</v>
      </c>
      <c r="G78" s="19" t="str">
        <f>Belt!H3</f>
        <v>Classe d'objet</v>
      </c>
      <c r="H78" s="11" t="str">
        <f>_xlfn.CONCAT("        Prefix = """, G78, """,")</f>
        <v xml:space="preserve">        Prefix = "Classe d'objet",</v>
      </c>
      <c r="I78" s="19" t="str">
        <f>Belt!J3</f>
        <v>アイテムクラス</v>
      </c>
      <c r="J78" s="11" t="str">
        <f>_xlfn.CONCAT("        Prefix = """, I78, """,")</f>
        <v xml:space="preserve">        Prefix = "アイテムクラス",</v>
      </c>
      <c r="K78" s="19" t="str">
        <f>Belt!L3</f>
        <v>아이템 종류</v>
      </c>
      <c r="L78" s="11" t="str">
        <f>_xlfn.CONCAT("        Prefix = """, K78, """,")</f>
        <v xml:space="preserve">        Prefix = "아이템 종류",</v>
      </c>
      <c r="M78" s="19" t="str">
        <f>Belt!N3</f>
        <v>Classe do Item</v>
      </c>
      <c r="N78" s="11" t="str">
        <f>_xlfn.CONCAT("        Prefix = """, M78, """,")</f>
        <v xml:space="preserve">        Prefix = "Classe do Item",</v>
      </c>
      <c r="O78" s="19" t="str">
        <f>Belt!P3</f>
        <v>Класс предмета</v>
      </c>
      <c r="P78" s="11" t="str">
        <f>_xlfn.CONCAT("        Prefix = """, O78, """,")</f>
        <v xml:space="preserve">        Prefix = "Класс предмета",</v>
      </c>
      <c r="Q78" s="19" t="str">
        <f>Belt!R3</f>
        <v>ชนิดไอเทม</v>
      </c>
      <c r="R78" s="11" t="str">
        <f>_xlfn.CONCAT("        Prefix = """, Q78, """,")</f>
        <v xml:space="preserve">        Prefix = "ชนิดไอเทม",</v>
      </c>
      <c r="S78" s="19" t="s">
        <v>7646</v>
      </c>
      <c r="T78" s="11" t="str">
        <f>_xlfn.CONCAT("        Prefix = """, S78, """,")</f>
        <v xml:space="preserve">        Prefix = "物品種類",</v>
      </c>
      <c r="V78" s="1" t="s">
        <v>516</v>
      </c>
    </row>
    <row r="79" spans="1:22" ht="15.95" customHeight="1" x14ac:dyDescent="0.25">
      <c r="A79" s="19" t="str">
        <f>Card!B4</f>
        <v>Divination Cards</v>
      </c>
      <c r="B79" s="11" t="str">
        <f>_xlfn.CONCAT("        DivinationCard = """, A79, """,")</f>
        <v xml:space="preserve">        DivinationCard = "Divination Cards",</v>
      </c>
      <c r="C79" s="19" t="str">
        <f>Card!D4</f>
        <v>Weissagungskarten</v>
      </c>
      <c r="D79" s="11" t="str">
        <f>_xlfn.CONCAT("        DivinationCard = """, C79, """,")</f>
        <v xml:space="preserve">        DivinationCard = "Weissagungskarten",</v>
      </c>
      <c r="E79" s="19" t="str">
        <f>Card!F4</f>
        <v>Cartas de adivinación</v>
      </c>
      <c r="F79" s="11" t="str">
        <f>_xlfn.CONCAT("        DivinationCard = """, E79, """,")</f>
        <v xml:space="preserve">        DivinationCard = "Cartas de adivinación",</v>
      </c>
      <c r="G79" s="19" t="str">
        <f>Card!H4</f>
        <v>Cartes divinatoires</v>
      </c>
      <c r="H79" s="11" t="str">
        <f>_xlfn.CONCAT("        DivinationCard = """, G79, """,")</f>
        <v xml:space="preserve">        DivinationCard = "Cartes divinatoires",</v>
      </c>
      <c r="I79" s="19" t="str">
        <f>Card!J4</f>
        <v>占いカード</v>
      </c>
      <c r="J79" s="11" t="str">
        <f>_xlfn.CONCAT("        DivinationCard = """, I79, """,")</f>
        <v xml:space="preserve">        DivinationCard = "占いカード",</v>
      </c>
      <c r="K79" s="19" t="str">
        <f>Card!L4</f>
        <v>점술 카드</v>
      </c>
      <c r="L79" s="11" t="str">
        <f>_xlfn.CONCAT("        DivinationCard = """, K79, """,")</f>
        <v xml:space="preserve">        DivinationCard = "점술 카드",</v>
      </c>
      <c r="M79" s="19" t="str">
        <f>Card!N4</f>
        <v>Cartas de Adivinhação</v>
      </c>
      <c r="N79" s="11" t="str">
        <f>_xlfn.CONCAT("        DivinationCard = """, M79, """,")</f>
        <v xml:space="preserve">        DivinationCard = "Cartas de Adivinhação",</v>
      </c>
      <c r="O79" s="19" t="str">
        <f>Card!P4</f>
        <v>Гадальные карты</v>
      </c>
      <c r="P79" s="11" t="str">
        <f>_xlfn.CONCAT("        DivinationCard = """, O79, """,")</f>
        <v xml:space="preserve">        DivinationCard = "Гадальные карты",</v>
      </c>
      <c r="Q79" s="19" t="str">
        <f>Card!R4</f>
        <v>ไพ่พยากรณ์</v>
      </c>
      <c r="R79" s="11" t="str">
        <f>_xlfn.CONCAT("        DivinationCard = """, Q79, """,")</f>
        <v xml:space="preserve">        DivinationCard = "ไพ่พยากรณ์",</v>
      </c>
      <c r="S79" s="19" t="s">
        <v>7617</v>
      </c>
      <c r="T79" s="11" t="str">
        <f>_xlfn.CONCAT("        DivinationCard = """, S79, """,")</f>
        <v xml:space="preserve">        DivinationCard = "命運卡",</v>
      </c>
      <c r="V79" s="1" t="s">
        <v>517</v>
      </c>
    </row>
    <row r="80" spans="1:22" ht="15.95" customHeight="1" x14ac:dyDescent="0.25">
      <c r="A80" s="19" t="str">
        <f>'Chaos Orb'!B4</f>
        <v>Stackable Currency</v>
      </c>
      <c r="B80" s="11" t="str">
        <f>_xlfn.CONCAT("        StackableCurrency = """, A80, """,")</f>
        <v xml:space="preserve">        StackableCurrency = "Stackable Currency",</v>
      </c>
      <c r="C80" s="19" t="str">
        <f>'Chaos Orb'!D4</f>
        <v>Stapelbare Währung</v>
      </c>
      <c r="D80" s="11" t="str">
        <f>_xlfn.CONCAT("        StackableCurrency = """, C80, """,")</f>
        <v xml:space="preserve">        StackableCurrency = "Stapelbare Währung",</v>
      </c>
      <c r="E80" s="19" t="str">
        <f>'Chaos Orb'!F4</f>
        <v>Objetos monetarios apilables</v>
      </c>
      <c r="F80" s="11" t="str">
        <f>_xlfn.CONCAT("        StackableCurrency = """, E80, """,")</f>
        <v xml:space="preserve">        StackableCurrency = "Objetos monetarios apilables",</v>
      </c>
      <c r="G80" s="19" t="str">
        <f>'Chaos Orb'!H4</f>
        <v>Objets monétaires empilables</v>
      </c>
      <c r="H80" s="11" t="str">
        <f>_xlfn.CONCAT("        StackableCurrency = """, G80, """,")</f>
        <v xml:space="preserve">        StackableCurrency = "Objets monétaires empilables",</v>
      </c>
      <c r="I80" s="19" t="str">
        <f>'Chaos Orb'!J4</f>
        <v>スタック可能カレンシー</v>
      </c>
      <c r="J80" s="11" t="str">
        <f>_xlfn.CONCAT("        StackableCurrency = """, I80, """,")</f>
        <v xml:space="preserve">        StackableCurrency = "スタック可能カレンシー",</v>
      </c>
      <c r="K80" s="19" t="str">
        <f>'Chaos Orb'!L4</f>
        <v>중첩 가능 화폐</v>
      </c>
      <c r="L80" s="11" t="str">
        <f>_xlfn.CONCAT("        StackableCurrency = """, K80, """,")</f>
        <v xml:space="preserve">        StackableCurrency = "중첩 가능 화폐",</v>
      </c>
      <c r="M80" s="19" t="str">
        <f>'Chaos Orb'!N4</f>
        <v>Moedas Empilháveis</v>
      </c>
      <c r="N80" s="11" t="str">
        <f>_xlfn.CONCAT("        StackableCurrency = """, M80, """,")</f>
        <v xml:space="preserve">        StackableCurrency = "Moedas Empilháveis",</v>
      </c>
      <c r="O80" s="19" t="str">
        <f>'Chaos Orb'!P4</f>
        <v>Валюта</v>
      </c>
      <c r="P80" s="11" t="str">
        <f>_xlfn.CONCAT("        StackableCurrency = """, O80, """,")</f>
        <v xml:space="preserve">        StackableCurrency = "Валюта",</v>
      </c>
      <c r="Q80" s="19" t="str">
        <f>'Chaos Orb'!R4</f>
        <v>เงินตรารวมกองได้</v>
      </c>
      <c r="R80" s="11" t="str">
        <f>_xlfn.CONCAT("        StackableCurrency = """, Q80, """,")</f>
        <v xml:space="preserve">        StackableCurrency = "เงินตรารวมกองได้",</v>
      </c>
      <c r="S80" s="19" t="s">
        <v>7647</v>
      </c>
      <c r="T80" s="11" t="str">
        <f>_xlfn.CONCAT("        StackableCurrency = """, S80, """,")</f>
        <v xml:space="preserve">        StackableCurrency = "可堆疊通貨",</v>
      </c>
      <c r="V80" s="1" t="s">
        <v>708</v>
      </c>
    </row>
    <row r="81" spans="1:22" ht="15.95" customHeight="1" x14ac:dyDescent="0.25">
      <c r="A81" s="19" t="str">
        <f>Socketable!B4</f>
        <v>Socketable</v>
      </c>
      <c r="B81" s="11" t="str">
        <f>_xlfn.CONCAT("        Socketable = """, A81, """,")</f>
        <v xml:space="preserve">        Socketable = "Socketable",</v>
      </c>
      <c r="C81" s="19" t="str">
        <f>Socketable!D4</f>
        <v>Einfassbar</v>
      </c>
      <c r="D81" s="11" t="str">
        <f>_xlfn.CONCAT("        Socketable = """, C81, """,")</f>
        <v xml:space="preserve">        Socketable = "Einfassbar",</v>
      </c>
      <c r="E81" s="19" t="str">
        <f>Socketable!F4</f>
        <v>Engarzable</v>
      </c>
      <c r="F81" s="11" t="str">
        <f>_xlfn.CONCAT("        Socketable = """, E81, """,")</f>
        <v xml:space="preserve">        Socketable = "Engarzable",</v>
      </c>
      <c r="G81" s="19" t="str">
        <f>Socketable!H4</f>
        <v>Enchâssable</v>
      </c>
      <c r="H81" s="11" t="str">
        <f>_xlfn.CONCAT("        Socketable = """, G81, """,")</f>
        <v xml:space="preserve">        Socketable = "Enchâssable",</v>
      </c>
      <c r="I81" s="19" t="str">
        <f>Socketable!J4</f>
        <v>ソケット可能</v>
      </c>
      <c r="J81" s="11" t="str">
        <f>_xlfn.CONCAT("        Socketable = """, I81, """,")</f>
        <v xml:space="preserve">        Socketable = "ソケット可能",</v>
      </c>
      <c r="K81" s="19" t="str">
        <f>Socketable!L4</f>
        <v>홈에 장착 가능</v>
      </c>
      <c r="L81" s="11" t="str">
        <f>_xlfn.CONCAT("        Socketable = """, K81, """,")</f>
        <v xml:space="preserve">        Socketable = "홈에 장착 가능",</v>
      </c>
      <c r="M81" s="19" t="str">
        <f>Socketable!N4</f>
        <v>Encaixável</v>
      </c>
      <c r="N81" s="11" t="str">
        <f>_xlfn.CONCAT("        Socketable = """, M81, """,")</f>
        <v xml:space="preserve">        Socketable = "Encaixável",</v>
      </c>
      <c r="O81" s="19" t="str">
        <f>Socketable!P4</f>
        <v>Размещаемое</v>
      </c>
      <c r="P81" s="11" t="str">
        <f>_xlfn.CONCAT("        Socketable = """, O81, """,")</f>
        <v xml:space="preserve">        Socketable = "Размещаемое",</v>
      </c>
      <c r="Q81" s="19" t="str">
        <f>Socketable!R4</f>
        <v>ไอเทมใส่รู</v>
      </c>
      <c r="R81" s="11" t="str">
        <f>_xlfn.CONCAT("        Socketable = """, Q81, """,")</f>
        <v xml:space="preserve">        Socketable = "ไอเทมใส่รู",</v>
      </c>
      <c r="S81" s="19" t="str">
        <f>Socketable!T4</f>
        <v>可鑲嵌</v>
      </c>
      <c r="T81" s="11" t="str">
        <f>_xlfn.CONCAT("        Socketable = """, S81, """,")</f>
        <v xml:space="preserve">        Socketable = "可鑲嵌",</v>
      </c>
      <c r="V81" s="1" t="s">
        <v>6769</v>
      </c>
    </row>
    <row r="82" spans="1:22" ht="15.95" customHeight="1" x14ac:dyDescent="0.25">
      <c r="A82" s="19" t="str">
        <f>Omen!B4</f>
        <v>Omen</v>
      </c>
      <c r="B82" s="11" t="str">
        <f>_xlfn.CONCAT("        Omen = """, A82, """,")</f>
        <v xml:space="preserve">        Omen = "Omen",</v>
      </c>
      <c r="C82" s="19" t="str">
        <f>Omen!D4</f>
        <v>Omen</v>
      </c>
      <c r="D82" s="11" t="str">
        <f>_xlfn.CONCAT("        Omen = """, C82, """,")</f>
        <v xml:space="preserve">        Omen = "Omen",</v>
      </c>
      <c r="E82" s="19" t="str">
        <f>Omen!F4</f>
        <v>Augurio</v>
      </c>
      <c r="F82" s="11" t="str">
        <f>_xlfn.CONCAT("        Omen = """, E82, """,")</f>
        <v xml:space="preserve">        Omen = "Augurio",</v>
      </c>
      <c r="G82" s="19" t="str">
        <f>Omen!H4</f>
        <v>Présage</v>
      </c>
      <c r="H82" s="11" t="str">
        <f>_xlfn.CONCAT("        Omen = """, G82, """,")</f>
        <v xml:space="preserve">        Omen = "Présage",</v>
      </c>
      <c r="I82" s="19" t="str">
        <f>Omen!J4</f>
        <v>お告げ</v>
      </c>
      <c r="J82" s="11" t="str">
        <f>_xlfn.CONCAT("        Omen = """, I82, """,")</f>
        <v xml:space="preserve">        Omen = "お告げ",</v>
      </c>
      <c r="K82" s="19" t="str">
        <f>Omen!L4</f>
        <v>징조</v>
      </c>
      <c r="L82" s="11" t="str">
        <f>_xlfn.CONCAT("        Omen = """, K82, """,")</f>
        <v xml:space="preserve">        Omen = "징조",</v>
      </c>
      <c r="M82" s="19" t="str">
        <f>Omen!N4</f>
        <v>Presságio</v>
      </c>
      <c r="N82" s="11" t="str">
        <f>_xlfn.CONCAT("        Omen = """, M82, """,")</f>
        <v xml:space="preserve">        Omen = "Presságio",</v>
      </c>
      <c r="O82" s="19" t="str">
        <f>Omen!P4</f>
        <v>Предзнаменования</v>
      </c>
      <c r="P82" s="11" t="str">
        <f>_xlfn.CONCAT("        Omen = """, O82, """,")</f>
        <v xml:space="preserve">        Omen = "Предзнаменования",</v>
      </c>
      <c r="Q82" s="19" t="str">
        <f>Omen!R4</f>
        <v>ลางบอกเหตุ</v>
      </c>
      <c r="R82" s="11" t="str">
        <f>_xlfn.CONCAT("        Omen = """, Q82, """,")</f>
        <v xml:space="preserve">        Omen = "ลางบอกเหตุ",</v>
      </c>
      <c r="S82" s="19" t="str">
        <f>Omen!T4</f>
        <v>預兆</v>
      </c>
      <c r="T82" s="11" t="str">
        <f>_xlfn.CONCAT("        Omen = """, S82, """,")</f>
        <v xml:space="preserve">        Omen = "預兆",</v>
      </c>
      <c r="V82" s="1" t="s">
        <v>6854</v>
      </c>
    </row>
    <row r="83" spans="1:22" ht="15.95" customHeight="1" x14ac:dyDescent="0.25">
      <c r="A83" s="19" t="str">
        <f>Jewel!B4</f>
        <v>Jewels</v>
      </c>
      <c r="B83" s="11" t="str">
        <f>_xlfn.CONCAT("        Jewel = """, A83, """,")</f>
        <v xml:space="preserve">        Jewel = "Jewels",</v>
      </c>
      <c r="C83" s="19" t="str">
        <f>Jewel!D4</f>
        <v>Juwelen</v>
      </c>
      <c r="D83" s="11" t="str">
        <f>_xlfn.CONCAT("        Jewel = """, C83, """,")</f>
        <v xml:space="preserve">        Jewel = "Juwelen",</v>
      </c>
      <c r="E83" s="19" t="str">
        <f>Jewel!F4</f>
        <v>Joyas</v>
      </c>
      <c r="F83" s="11" t="str">
        <f>_xlfn.CONCAT("        Jewel = """, E83, """,")</f>
        <v xml:space="preserve">        Jewel = "Joyas",</v>
      </c>
      <c r="G83" s="19" t="str">
        <f>Jewel!H4</f>
        <v>Joyaux</v>
      </c>
      <c r="H83" s="11" t="str">
        <f>_xlfn.CONCAT("        Jewel = """, G83, """,")</f>
        <v xml:space="preserve">        Jewel = "Joyaux",</v>
      </c>
      <c r="I83" s="19" t="str">
        <f>Jewel!J4</f>
        <v>ジュエル</v>
      </c>
      <c r="J83" s="11" t="str">
        <f>_xlfn.CONCAT("        Jewel = """, I83, """,")</f>
        <v xml:space="preserve">        Jewel = "ジュエル",</v>
      </c>
      <c r="K83" s="19" t="str">
        <f>Jewel!L4</f>
        <v>주얼</v>
      </c>
      <c r="L83" s="11" t="str">
        <f>_xlfn.CONCAT("        Jewel = """, K83, """,")</f>
        <v xml:space="preserve">        Jewel = "주얼",</v>
      </c>
      <c r="M83" s="19" t="str">
        <f>Jewel!N4</f>
        <v>Joias</v>
      </c>
      <c r="N83" s="11" t="str">
        <f>_xlfn.CONCAT("        Jewel = """, M83, """,")</f>
        <v xml:space="preserve">        Jewel = "Joias",</v>
      </c>
      <c r="O83" s="19" t="str">
        <f>Jewel!P4</f>
        <v>Самоцветы</v>
      </c>
      <c r="P83" s="11" t="str">
        <f>_xlfn.CONCAT("        Jewel = """, O83, """,")</f>
        <v xml:space="preserve">        Jewel = "Самоцветы",</v>
      </c>
      <c r="Q83" s="19" t="str">
        <f>Jewel!R4</f>
        <v>จิวเวล</v>
      </c>
      <c r="R83" s="11" t="str">
        <f>_xlfn.CONCAT("        Jewel = """, Q83, """,")</f>
        <v xml:space="preserve">        Jewel = "จิวเวล",</v>
      </c>
      <c r="S83" s="19" t="s">
        <v>7648</v>
      </c>
      <c r="T83" s="11" t="str">
        <f>_xlfn.CONCAT("        Jewel = """, S83, """,")</f>
        <v xml:space="preserve">        Jewel = "珠寶",</v>
      </c>
      <c r="V83" s="1" t="s">
        <v>709</v>
      </c>
    </row>
    <row r="84" spans="1:22" ht="15.95" customHeight="1" x14ac:dyDescent="0.25">
      <c r="A84" s="19" t="str">
        <f>Resonator!B4</f>
        <v>Delve Stackable Socketable Currency</v>
      </c>
      <c r="B84" s="11" t="str">
        <f>_xlfn.CONCAT("        DelveStackableSocketableCurrency = """, A84, """,")</f>
        <v xml:space="preserve">        DelveStackableSocketableCurrency = "Delve Stackable Socketable Currency",</v>
      </c>
      <c r="C84" s="19" t="str">
        <f>Resonator!D4</f>
        <v>Delve: Stapelbare, einfassbare Währung</v>
      </c>
      <c r="D84" s="11" t="str">
        <f>_xlfn.CONCAT("        DelveStackableSocketableCurrency = """, C84, """,")</f>
        <v xml:space="preserve">        DelveStackableSocketableCurrency = "Delve: Stapelbare, einfassbare Währung",</v>
      </c>
      <c r="E84" s="19" t="str">
        <f>Resonator!F4</f>
        <v>Objetos monetarios apilables y engarzables de Delve</v>
      </c>
      <c r="F84" s="11" t="str">
        <f>_xlfn.CONCAT("        DelveStackableSocketableCurrency = """, E84, """,")</f>
        <v xml:space="preserve">        DelveStackableSocketableCurrency = "Objetos monetarios apilables y engarzables de Delve",</v>
      </c>
      <c r="G84" s="19" t="str">
        <f>Resonator!H4</f>
        <v>Objets enchâssables et empilables Delve</v>
      </c>
      <c r="H84" s="11" t="str">
        <f>_xlfn.CONCAT("        DelveStackableSocketableCurrency = """, G84, """,")</f>
        <v xml:space="preserve">        DelveStackableSocketableCurrency = "Objets enchâssables et empilables Delve",</v>
      </c>
      <c r="I84" s="19" t="str">
        <f>Resonator!J4</f>
        <v>デルヴスタック可能ソケット可能カレンシー</v>
      </c>
      <c r="J84" s="11" t="str">
        <f>_xlfn.CONCAT("        DelveStackableSocketableCurrency = """, I84, """,")</f>
        <v xml:space="preserve">        DelveStackableSocketableCurrency = "デルヴスタック可能ソケット可能カレンシー",</v>
      </c>
      <c r="K84" s="19" t="str">
        <f>Resonator!L4</f>
        <v>탐광 중첩 및 결합형 화폐</v>
      </c>
      <c r="L84" s="11" t="str">
        <f>_xlfn.CONCAT("        DelveStackableSocketableCurrency = """, K84, """,")</f>
        <v xml:space="preserve">        DelveStackableSocketableCurrency = "탐광 중첩 및 결합형 화폐",</v>
      </c>
      <c r="M84" s="19" t="str">
        <f>Resonator!N4</f>
        <v>Item Monetário Aglomerável e Encaixável Delve</v>
      </c>
      <c r="N84" s="11" t="str">
        <f>_xlfn.CONCAT("        DelveStackableSocketableCurrency = """, M84, """,")</f>
        <v xml:space="preserve">        DelveStackableSocketableCurrency = "Item Monetário Aglomerável e Encaixável Delve",</v>
      </c>
      <c r="O84" s="19" t="str">
        <f>Resonator!P4</f>
        <v>Валюта Спуска</v>
      </c>
      <c r="P84" s="11" t="str">
        <f>_xlfn.CONCAT("        DelveStackableSocketableCurrency = """, O84, """,")</f>
        <v xml:space="preserve">        DelveStackableSocketableCurrency = "Валюта Спуска",</v>
      </c>
      <c r="Q84" s="19" t="str">
        <f>Resonator!R4</f>
        <v>เงินตรามีรูของเหมืองแบบรวมกองได้</v>
      </c>
      <c r="R84" s="11" t="str">
        <f>_xlfn.CONCAT("        DelveStackableSocketableCurrency = """, Q84, """,")</f>
        <v xml:space="preserve">        DelveStackableSocketableCurrency = "เงินตรามีรูของเหมืองแบบรวมกองได้",</v>
      </c>
      <c r="S84" s="19" t="s">
        <v>7649</v>
      </c>
      <c r="T84" s="11" t="str">
        <f>_xlfn.CONCAT("        DelveStackableSocketableCurrency = """, S84, """,")</f>
        <v xml:space="preserve">        DelveStackableSocketableCurrency = "掘獄可堆疊有插槽通貨",</v>
      </c>
      <c r="V84" s="1" t="s">
        <v>710</v>
      </c>
    </row>
    <row r="85" spans="1:22" ht="15.95" customHeight="1" x14ac:dyDescent="0.25">
      <c r="A85" s="19" t="str">
        <f>'Heist Tool'!B4</f>
        <v>Heist Tools</v>
      </c>
      <c r="B85" s="11" t="str">
        <f>_xlfn.CONCAT("        HeistTool = """, A85, """,")</f>
        <v xml:space="preserve">        HeistTool = "Heist Tools",</v>
      </c>
      <c r="C85" s="19" t="str">
        <f>'Heist Tool'!D4</f>
        <v>Heist-Werkzeug</v>
      </c>
      <c r="D85" s="11" t="str">
        <f>_xlfn.CONCAT("        HeistTool = """, C85, """,")</f>
        <v xml:space="preserve">        HeistTool = "Heist-Werkzeug",</v>
      </c>
      <c r="E85" s="19" t="str">
        <f>'Heist Tool'!F4</f>
        <v>Herramientas de Heist</v>
      </c>
      <c r="F85" s="11" t="str">
        <f>_xlfn.CONCAT("        HeistTool = """, E85, """,")</f>
        <v xml:space="preserve">        HeistTool = "Herramientas de Heist",</v>
      </c>
      <c r="G85" s="19" t="str">
        <f>'Heist Tool'!H4</f>
        <v>Outils de Malfaiteur</v>
      </c>
      <c r="H85" s="11" t="str">
        <f>_xlfn.CONCAT("        HeistTool = """, G85, """,")</f>
        <v xml:space="preserve">        HeistTool = "Outils de Malfaiteur",</v>
      </c>
      <c r="I85" s="19" t="str">
        <f>'Heist Tool'!J4</f>
        <v>ハイストツール</v>
      </c>
      <c r="J85" s="11" t="str">
        <f>_xlfn.CONCAT("        HeistTool = """, I85, """,")</f>
        <v xml:space="preserve">        HeistTool = "ハイストツール",</v>
      </c>
      <c r="K85" s="19" t="str">
        <f>'Heist Tool'!L4</f>
        <v>강탈 도구</v>
      </c>
      <c r="L85" s="11" t="str">
        <f>_xlfn.CONCAT("        HeistTool = """, K85, """,")</f>
        <v xml:space="preserve">        HeistTool = "강탈 도구",</v>
      </c>
      <c r="M85" s="19" t="str">
        <f>'Heist Tool'!N4</f>
        <v>Ferramentas Heist</v>
      </c>
      <c r="N85" s="11" t="str">
        <f>_xlfn.CONCAT("        HeistTool = """, M85, """,")</f>
        <v xml:space="preserve">        HeistTool = "Ferramentas Heist",</v>
      </c>
      <c r="O85" s="19" t="str">
        <f>'Heist Tool'!P4</f>
        <v>Разбойничий инструмент</v>
      </c>
      <c r="P85" s="11" t="str">
        <f>_xlfn.CONCAT("        HeistTool = """, O85, """,")</f>
        <v xml:space="preserve">        HeistTool = "Разбойничий инструмент",</v>
      </c>
      <c r="Q85" s="19" t="str">
        <f>'Heist Tool'!R4</f>
        <v>เครื่องมือกองโจร</v>
      </c>
      <c r="R85" s="11" t="str">
        <f>_xlfn.CONCAT("        HeistTool = """, Q85, """,")</f>
        <v xml:space="preserve">        HeistTool = "เครื่องมือกองโจร",</v>
      </c>
      <c r="S85" s="19" t="s">
        <v>7650</v>
      </c>
      <c r="T85" s="11" t="str">
        <f>_xlfn.CONCAT("        HeistTool = """, S85, """,")</f>
        <v xml:space="preserve">        HeistTool = "劫盜工具",</v>
      </c>
      <c r="V85" s="1" t="s">
        <v>711</v>
      </c>
    </row>
    <row r="86" spans="1:22" ht="15.95" customHeight="1" x14ac:dyDescent="0.25">
      <c r="A86" s="19" t="str">
        <f>'Foiled Amulet'!B4</f>
        <v>Amulets</v>
      </c>
      <c r="B86" s="11" t="str">
        <f>_xlfn.CONCAT("        Amulet = """, A86, """,")</f>
        <v xml:space="preserve">        Amulet = "Amulets",</v>
      </c>
      <c r="C86" s="19" t="str">
        <f>'Foiled Amulet'!D4</f>
        <v>Amulette</v>
      </c>
      <c r="D86" s="11" t="str">
        <f>_xlfn.CONCAT("        Amulet = """, C86, """,")</f>
        <v xml:space="preserve">        Amulet = "Amulette",</v>
      </c>
      <c r="E86" s="19" t="str">
        <f>'Foiled Amulet'!F4</f>
        <v>Amuletos</v>
      </c>
      <c r="F86" s="11" t="str">
        <f>_xlfn.CONCAT("        Amulet = """, E86, """,")</f>
        <v xml:space="preserve">        Amulet = "Amuletos",</v>
      </c>
      <c r="G86" s="19" t="str">
        <f>'Foiled Amulet'!H4</f>
        <v>Amulettes</v>
      </c>
      <c r="H86" s="11" t="str">
        <f>_xlfn.CONCAT("        Amulet = """, G86, """,")</f>
        <v xml:space="preserve">        Amulet = "Amulettes",</v>
      </c>
      <c r="I86" s="19" t="str">
        <f>'Foiled Amulet'!J4</f>
        <v>アミュレット</v>
      </c>
      <c r="J86" s="11" t="str">
        <f>_xlfn.CONCAT("        Amulet = """, I86, """,")</f>
        <v xml:space="preserve">        Amulet = "アミュレット",</v>
      </c>
      <c r="K86" s="19" t="str">
        <f>'Foiled Amulet'!L4</f>
        <v>목걸이</v>
      </c>
      <c r="L86" s="11" t="str">
        <f>_xlfn.CONCAT("        Amulet = """, K86, """,")</f>
        <v xml:space="preserve">        Amulet = "목걸이",</v>
      </c>
      <c r="M86" s="19" t="str">
        <f>'Foiled Amulet'!N4</f>
        <v>Amuletos</v>
      </c>
      <c r="N86" s="11" t="str">
        <f>_xlfn.CONCAT("        Amulet = """, M86, """,")</f>
        <v xml:space="preserve">        Amulet = "Amuletos",</v>
      </c>
      <c r="O86" s="19" t="str">
        <f>'Foiled Amulet'!P4</f>
        <v>Амулеты</v>
      </c>
      <c r="P86" s="11" t="str">
        <f>_xlfn.CONCAT("        Amulet = """, O86, """,")</f>
        <v xml:space="preserve">        Amulet = "Амулеты",</v>
      </c>
      <c r="Q86" s="19" t="str">
        <f>'Foiled Amulet'!R4</f>
        <v>สร้อย</v>
      </c>
      <c r="R86" s="11" t="str">
        <f>_xlfn.CONCAT("        Amulet = """, Q86, """,")</f>
        <v xml:space="preserve">        Amulet = "สร้อย",</v>
      </c>
      <c r="S86" s="19" t="s">
        <v>7651</v>
      </c>
      <c r="T86" s="11" t="str">
        <f>_xlfn.CONCAT("        Amulet = """, S86, """,")</f>
        <v xml:space="preserve">        Amulet = "項鍊",</v>
      </c>
      <c r="V86" s="1" t="s">
        <v>712</v>
      </c>
    </row>
    <row r="87" spans="1:22" ht="15.95" customHeight="1" x14ac:dyDescent="0.25">
      <c r="A87" s="19" t="str">
        <f>'Unidentified ring'!B4</f>
        <v>Rings</v>
      </c>
      <c r="B87" s="11" t="str">
        <f>_xlfn.CONCAT("        Ring = """, A87, """,")</f>
        <v xml:space="preserve">        Ring = "Rings",</v>
      </c>
      <c r="C87" s="19" t="str">
        <f>'Unidentified ring'!D4</f>
        <v>Ringe</v>
      </c>
      <c r="D87" s="11" t="str">
        <f>_xlfn.CONCAT("        Ring = """, C87, """,")</f>
        <v xml:space="preserve">        Ring = "Ringe",</v>
      </c>
      <c r="E87" s="19" t="str">
        <f>'Unidentified ring'!F4</f>
        <v>Anillos</v>
      </c>
      <c r="F87" s="11" t="str">
        <f>_xlfn.CONCAT("        Ring = """, E87, """,")</f>
        <v xml:space="preserve">        Ring = "Anillos",</v>
      </c>
      <c r="G87" s="19" t="str">
        <f>'Unidentified ring'!H4</f>
        <v>Bagues</v>
      </c>
      <c r="H87" s="11" t="str">
        <f>_xlfn.CONCAT("        Ring = """, G87, """,")</f>
        <v xml:space="preserve">        Ring = "Bagues",</v>
      </c>
      <c r="I87" s="19" t="str">
        <f>'Unidentified ring'!J4</f>
        <v>指輪</v>
      </c>
      <c r="J87" s="11" t="str">
        <f>_xlfn.CONCAT("        Ring = """, I87, """,")</f>
        <v xml:space="preserve">        Ring = "指輪",</v>
      </c>
      <c r="K87" s="19" t="str">
        <f>'Unidentified ring'!L4</f>
        <v>반지</v>
      </c>
      <c r="L87" s="11" t="str">
        <f>_xlfn.CONCAT("        Ring = """, K87, """,")</f>
        <v xml:space="preserve">        Ring = "반지",</v>
      </c>
      <c r="M87" s="19" t="str">
        <f>'Unidentified ring'!N4</f>
        <v>Anéis</v>
      </c>
      <c r="N87" s="11" t="str">
        <f>_xlfn.CONCAT("        Ring = """, M87, """,")</f>
        <v xml:space="preserve">        Ring = "Anéis",</v>
      </c>
      <c r="O87" s="19" t="str">
        <f>'Unidentified ring'!P4</f>
        <v>Кольца</v>
      </c>
      <c r="P87" s="11" t="str">
        <f>_xlfn.CONCAT("        Ring = """, O87, """,")</f>
        <v xml:space="preserve">        Ring = "Кольца",</v>
      </c>
      <c r="Q87" s="19" t="str">
        <f>'Unidentified ring'!R4</f>
        <v>แหวน</v>
      </c>
      <c r="R87" s="11" t="str">
        <f>_xlfn.CONCAT("        Ring = """, Q87, """,")</f>
        <v xml:space="preserve">        Ring = "แหวน",</v>
      </c>
      <c r="S87" s="19" t="s">
        <v>7652</v>
      </c>
      <c r="T87" s="11" t="str">
        <f>_xlfn.CONCAT("        Ring = """, S87, """,")</f>
        <v xml:space="preserve">        Ring = "戒指",</v>
      </c>
      <c r="V87" s="1" t="s">
        <v>518</v>
      </c>
    </row>
    <row r="88" spans="1:22" ht="15.95" customHeight="1" x14ac:dyDescent="0.25">
      <c r="A88" s="19" t="str">
        <f>Belt!B4</f>
        <v>Belts</v>
      </c>
      <c r="B88" s="11" t="str">
        <f>_xlfn.CONCAT("        Belt = """, A88, """,")</f>
        <v xml:space="preserve">        Belt = "Belts",</v>
      </c>
      <c r="C88" s="19" t="str">
        <f>Belt!D4</f>
        <v>Gürtel</v>
      </c>
      <c r="D88" s="11" t="str">
        <f>_xlfn.CONCAT("        Belt = """, C88, """,")</f>
        <v xml:space="preserve">        Belt = "Gürtel",</v>
      </c>
      <c r="E88" s="19" t="str">
        <f>Belt!F4</f>
        <v>Cinturones</v>
      </c>
      <c r="F88" s="11" t="str">
        <f>_xlfn.CONCAT("        Belt = """, E88, """,")</f>
        <v xml:space="preserve">        Belt = "Cinturones",</v>
      </c>
      <c r="G88" s="19" t="str">
        <f>Belt!H4</f>
        <v>Ceintures</v>
      </c>
      <c r="H88" s="11" t="str">
        <f>_xlfn.CONCAT("        Belt = """, G88, """,")</f>
        <v xml:space="preserve">        Belt = "Ceintures",</v>
      </c>
      <c r="I88" s="19" t="str">
        <f>Belt!J4</f>
        <v>ベルト</v>
      </c>
      <c r="J88" s="11" t="str">
        <f>_xlfn.CONCAT("        Belt = """, I88, """,")</f>
        <v xml:space="preserve">        Belt = "ベルト",</v>
      </c>
      <c r="K88" s="19" t="str">
        <f>Belt!L4</f>
        <v>허리띠</v>
      </c>
      <c r="L88" s="11" t="str">
        <f>_xlfn.CONCAT("        Belt = """, K88, """,")</f>
        <v xml:space="preserve">        Belt = "허리띠",</v>
      </c>
      <c r="M88" s="19" t="str">
        <f>Belt!N4</f>
        <v>Cintos</v>
      </c>
      <c r="N88" s="11" t="str">
        <f>_xlfn.CONCAT("        Belt = """, M88, """,")</f>
        <v xml:space="preserve">        Belt = "Cintos",</v>
      </c>
      <c r="O88" s="19" t="str">
        <f>Belt!P4</f>
        <v>Пояса</v>
      </c>
      <c r="P88" s="11" t="str">
        <f>_xlfn.CONCAT("        Belt = """, O88, """,")</f>
        <v xml:space="preserve">        Belt = "Пояса",</v>
      </c>
      <c r="Q88" s="19" t="str">
        <f>Belt!R4</f>
        <v>เข็มขัด</v>
      </c>
      <c r="R88" s="11" t="str">
        <f>_xlfn.CONCAT("        Belt = """, Q88, """,")</f>
        <v xml:space="preserve">        Belt = "เข็มขัด",</v>
      </c>
      <c r="S88" s="19" t="s">
        <v>7653</v>
      </c>
      <c r="T88" s="11" t="str">
        <f>_xlfn.CONCAT("        Belt = """, S88, """,")</f>
        <v xml:space="preserve">        Belt = "腰帶",</v>
      </c>
      <c r="V88" s="1" t="s">
        <v>519</v>
      </c>
    </row>
    <row r="89" spans="1:22" ht="15.95" customHeight="1" x14ac:dyDescent="0.25">
      <c r="A89" s="19" t="str">
        <f>Gloves!B4</f>
        <v>Gloves</v>
      </c>
      <c r="B89" s="11" t="str">
        <f>_xlfn.CONCAT("        Gloves = """, A89, """,")</f>
        <v xml:space="preserve">        Gloves = "Gloves",</v>
      </c>
      <c r="C89" s="19" t="str">
        <f>Gloves!D4</f>
        <v>Handschuhe</v>
      </c>
      <c r="D89" s="11" t="str">
        <f>_xlfn.CONCAT("        Gloves = """, C89, """,")</f>
        <v xml:space="preserve">        Gloves = "Handschuhe",</v>
      </c>
      <c r="E89" s="19" t="str">
        <f>Gloves!F4</f>
        <v>Guantes</v>
      </c>
      <c r="F89" s="11" t="str">
        <f>_xlfn.CONCAT("        Gloves = """, E89, """,")</f>
        <v xml:space="preserve">        Gloves = "Guantes",</v>
      </c>
      <c r="G89" s="19" t="str">
        <f>Gloves!H4</f>
        <v>Gants</v>
      </c>
      <c r="H89" s="11" t="str">
        <f>_xlfn.CONCAT("        Gloves = """, G89, """,")</f>
        <v xml:space="preserve">        Gloves = "Gants",</v>
      </c>
      <c r="I89" s="19" t="str">
        <f>Gloves!J4</f>
        <v>手袋</v>
      </c>
      <c r="J89" s="11" t="str">
        <f>_xlfn.CONCAT("        Gloves = """, I89, """,")</f>
        <v xml:space="preserve">        Gloves = "手袋",</v>
      </c>
      <c r="K89" s="19" t="str">
        <f>Gloves!L4</f>
        <v>장갑</v>
      </c>
      <c r="L89" s="11" t="str">
        <f>_xlfn.CONCAT("        Gloves = """, K89, """,")</f>
        <v xml:space="preserve">        Gloves = "장갑",</v>
      </c>
      <c r="M89" s="19" t="str">
        <f>Gloves!N4</f>
        <v>Luvas</v>
      </c>
      <c r="N89" s="11" t="str">
        <f>_xlfn.CONCAT("        Gloves = """, M89, """,")</f>
        <v xml:space="preserve">        Gloves = "Luvas",</v>
      </c>
      <c r="O89" s="19" t="str">
        <f>Gloves!P4</f>
        <v>Перчатки</v>
      </c>
      <c r="P89" s="11" t="str">
        <f>_xlfn.CONCAT("        Gloves = """, O89, """,")</f>
        <v xml:space="preserve">        Gloves = "Перчатки",</v>
      </c>
      <c r="Q89" s="19" t="str">
        <f>Gloves!R4</f>
        <v>ถุงมือ</v>
      </c>
      <c r="R89" s="11" t="str">
        <f>_xlfn.CONCAT("        Gloves = """, Q89, """,")</f>
        <v xml:space="preserve">        Gloves = "ถุงมือ",</v>
      </c>
      <c r="S89" s="19" t="s">
        <v>7654</v>
      </c>
      <c r="T89" s="11" t="str">
        <f>_xlfn.CONCAT("        Gloves = """, S89, """,")</f>
        <v xml:space="preserve">        Gloves = "手套",</v>
      </c>
      <c r="V89" s="1" t="s">
        <v>71</v>
      </c>
    </row>
    <row r="90" spans="1:22" ht="15.95" customHeight="1" x14ac:dyDescent="0.25">
      <c r="A90" s="19" t="str">
        <f>Boots!B4</f>
        <v>Boots</v>
      </c>
      <c r="B90" s="11" t="str">
        <f>_xlfn.CONCAT("        Boots = """, A90, """,")</f>
        <v xml:space="preserve">        Boots = "Boots",</v>
      </c>
      <c r="C90" s="19" t="str">
        <f>Boots!D4</f>
        <v>Stiefel</v>
      </c>
      <c r="D90" s="11" t="str">
        <f>_xlfn.CONCAT("        Boots = """, C90, """,")</f>
        <v xml:space="preserve">        Boots = "Stiefel",</v>
      </c>
      <c r="E90" s="19" t="str">
        <f>Boots!F4</f>
        <v>Botas</v>
      </c>
      <c r="F90" s="11" t="str">
        <f>_xlfn.CONCAT("        Boots = """, E90, """,")</f>
        <v xml:space="preserve">        Boots = "Botas",</v>
      </c>
      <c r="G90" s="19" t="str">
        <f>Boots!H4</f>
        <v>Bottes</v>
      </c>
      <c r="H90" s="11" t="str">
        <f>_xlfn.CONCAT("        Boots = """, G90, """,")</f>
        <v xml:space="preserve">        Boots = "Bottes",</v>
      </c>
      <c r="I90" s="19" t="str">
        <f>Boots!J4</f>
        <v>靴</v>
      </c>
      <c r="J90" s="11" t="str">
        <f>_xlfn.CONCAT("        Boots = """, I90, """,")</f>
        <v xml:space="preserve">        Boots = "靴",</v>
      </c>
      <c r="K90" s="19" t="str">
        <f>Boots!L4</f>
        <v>장화</v>
      </c>
      <c r="L90" s="11" t="str">
        <f>_xlfn.CONCAT("        Boots = """, K90, """,")</f>
        <v xml:space="preserve">        Boots = "장화",</v>
      </c>
      <c r="M90" s="19" t="str">
        <f>Boots!N4</f>
        <v>Botas</v>
      </c>
      <c r="N90" s="11" t="str">
        <f>_xlfn.CONCAT("        Boots = """, M90, """,")</f>
        <v xml:space="preserve">        Boots = "Botas",</v>
      </c>
      <c r="O90" s="19" t="str">
        <f>Boots!P4</f>
        <v>Обувь</v>
      </c>
      <c r="P90" s="11" t="str">
        <f>_xlfn.CONCAT("        Boots = """, O90, """,")</f>
        <v xml:space="preserve">        Boots = "Обувь",</v>
      </c>
      <c r="Q90" s="19" t="str">
        <f>Boots!R4</f>
        <v>รองเท้า</v>
      </c>
      <c r="R90" s="11" t="str">
        <f>_xlfn.CONCAT("        Boots = """, Q90, """,")</f>
        <v xml:space="preserve">        Boots = "รองเท้า",</v>
      </c>
      <c r="S90" s="19" t="s">
        <v>7655</v>
      </c>
      <c r="T90" s="11" t="str">
        <f>_xlfn.CONCAT("        Boots = """, S90, """,")</f>
        <v xml:space="preserve">        Boots = "鞋子",</v>
      </c>
      <c r="V90" s="1" t="s">
        <v>72</v>
      </c>
    </row>
    <row r="91" spans="1:22" ht="15.95" customHeight="1" x14ac:dyDescent="0.25">
      <c r="A91" s="19" t="str">
        <f>'Carcass Jack'!B4</f>
        <v>Body Armours</v>
      </c>
      <c r="B91" s="11" t="str">
        <f>_xlfn.CONCAT("        BodyArmours = """, A91, """,")</f>
        <v xml:space="preserve">        BodyArmours = "Body Armours",</v>
      </c>
      <c r="C91" s="19" t="str">
        <f>'Carcass Jack'!D4</f>
        <v>Körperrüstungen</v>
      </c>
      <c r="D91" s="11" t="str">
        <f>_xlfn.CONCAT("        BodyArmours = """, C91, """,")</f>
        <v xml:space="preserve">        BodyArmours = "Körperrüstungen",</v>
      </c>
      <c r="E91" s="19" t="str">
        <f>'Carcass Jack'!F4</f>
        <v>Armaduras corporales</v>
      </c>
      <c r="F91" s="11" t="str">
        <f>_xlfn.CONCAT("        BodyArmours = """, E91, """,")</f>
        <v xml:space="preserve">        BodyArmours = "Armaduras corporales",</v>
      </c>
      <c r="G91" s="19" t="str">
        <f>'Carcass Jack'!H4</f>
        <v>Armures</v>
      </c>
      <c r="H91" s="11" t="str">
        <f>_xlfn.CONCAT("        BodyArmours = """, G91, """,")</f>
        <v xml:space="preserve">        BodyArmours = "Armures",</v>
      </c>
      <c r="I91" s="19" t="str">
        <f>'Carcass Jack'!J4</f>
        <v>鎧</v>
      </c>
      <c r="J91" s="11" t="str">
        <f>_xlfn.CONCAT("        BodyArmours = """, I91, """,")</f>
        <v xml:space="preserve">        BodyArmours = "鎧",</v>
      </c>
      <c r="K91" s="19" t="str">
        <f>'Carcass Jack'!L4</f>
        <v>갑옷</v>
      </c>
      <c r="L91" s="11" t="str">
        <f>_xlfn.CONCAT("        BodyArmours = """, K91, """,")</f>
        <v xml:space="preserve">        BodyArmours = "갑옷",</v>
      </c>
      <c r="M91" s="19" t="str">
        <f>'Carcass Jack'!N4</f>
        <v>Peitorais</v>
      </c>
      <c r="N91" s="11" t="str">
        <f>_xlfn.CONCAT("        BodyArmours = """, M91, """,")</f>
        <v xml:space="preserve">        BodyArmours = "Peitorais",</v>
      </c>
      <c r="O91" s="19" t="str">
        <f>'Carcass Jack'!P4</f>
        <v>Доспехи</v>
      </c>
      <c r="P91" s="11" t="str">
        <f>_xlfn.CONCAT("        BodyArmours = """, O91, """,")</f>
        <v xml:space="preserve">        BodyArmours = "Доспехи",</v>
      </c>
      <c r="Q91" s="19" t="str">
        <f>'Carcass Jack'!R4</f>
        <v>เสื้อเกราะ</v>
      </c>
      <c r="R91" s="11" t="str">
        <f>_xlfn.CONCAT("        BodyArmours = """, Q91, """,")</f>
        <v xml:space="preserve">        BodyArmours = "เสื้อเกราะ",</v>
      </c>
      <c r="S91" s="19" t="s">
        <v>7656</v>
      </c>
      <c r="T91" s="11" t="str">
        <f>_xlfn.CONCAT("        BodyArmours = """, S91, """,")</f>
        <v xml:space="preserve">        BodyArmours = "胸甲",</v>
      </c>
      <c r="V91" s="1" t="s">
        <v>520</v>
      </c>
    </row>
    <row r="92" spans="1:22" ht="15.95" customHeight="1" x14ac:dyDescent="0.25">
      <c r="A92" s="19" t="str">
        <f>Abyssus!B4</f>
        <v>Helmets</v>
      </c>
      <c r="B92" s="11" t="str">
        <f>_xlfn.CONCAT("        Helmets = """, A92, """,")</f>
        <v xml:space="preserve">        Helmets = "Helmets",</v>
      </c>
      <c r="C92" s="19" t="str">
        <f>Abyssus!D4</f>
        <v>Helme</v>
      </c>
      <c r="D92" s="11" t="str">
        <f>_xlfn.CONCAT("        Helmets = """, C92, """,")</f>
        <v xml:space="preserve">        Helmets = "Helme",</v>
      </c>
      <c r="E92" s="19" t="str">
        <f>Abyssus!F4</f>
        <v>Cascos</v>
      </c>
      <c r="F92" s="11" t="str">
        <f>_xlfn.CONCAT("        Helmets = """, E92, """,")</f>
        <v xml:space="preserve">        Helmets = "Cascos",</v>
      </c>
      <c r="G92" s="19" t="str">
        <f>Abyssus!H4</f>
        <v>Casques</v>
      </c>
      <c r="H92" s="11" t="str">
        <f>_xlfn.CONCAT("        Helmets = """, G92, """,")</f>
        <v xml:space="preserve">        Helmets = "Casques",</v>
      </c>
      <c r="I92" s="19" t="str">
        <f>Abyssus!J4</f>
        <v>兜</v>
      </c>
      <c r="J92" s="11" t="str">
        <f>_xlfn.CONCAT("        Helmets = """, I92, """,")</f>
        <v xml:space="preserve">        Helmets = "兜",</v>
      </c>
      <c r="K92" s="19" t="str">
        <f>Abyssus!L4</f>
        <v>투구</v>
      </c>
      <c r="L92" s="11" t="str">
        <f>_xlfn.CONCAT("        Helmets = """, K92, """,")</f>
        <v xml:space="preserve">        Helmets = "투구",</v>
      </c>
      <c r="M92" s="19" t="str">
        <f>Abyssus!N4</f>
        <v>Elmos</v>
      </c>
      <c r="N92" s="11" t="str">
        <f>_xlfn.CONCAT("        Helmets = """, M92, """,")</f>
        <v xml:space="preserve">        Helmets = "Elmos",</v>
      </c>
      <c r="O92" s="19" t="str">
        <f>Abyssus!P4</f>
        <v>Шлемы</v>
      </c>
      <c r="P92" s="11" t="str">
        <f>_xlfn.CONCAT("        Helmets = """, O92, """,")</f>
        <v xml:space="preserve">        Helmets = "Шлемы",</v>
      </c>
      <c r="Q92" s="19" t="str">
        <f>Abyssus!R4</f>
        <v>หมวก</v>
      </c>
      <c r="R92" s="11" t="str">
        <f>_xlfn.CONCAT("        Helmets = """, Q92, """,")</f>
        <v xml:space="preserve">        Helmets = "หมวก",</v>
      </c>
      <c r="S92" s="19" t="s">
        <v>7657</v>
      </c>
      <c r="T92" s="11" t="str">
        <f>_xlfn.CONCAT("        Helmets = """, S92, """,")</f>
        <v xml:space="preserve">        Helmets = "頭部",</v>
      </c>
      <c r="V92" s="1" t="s">
        <v>73</v>
      </c>
    </row>
    <row r="93" spans="1:22" ht="15.95" customHeight="1" x14ac:dyDescent="0.25">
      <c r="A93" s="19" t="str">
        <f>Mistwall!B4</f>
        <v>Shields</v>
      </c>
      <c r="B93" s="11" t="str">
        <f>_xlfn.CONCAT("        Shields = """, A93, """,")</f>
        <v xml:space="preserve">        Shields = "Shields",</v>
      </c>
      <c r="C93" s="19" t="str">
        <f>Mistwall!D4</f>
        <v>Schilde</v>
      </c>
      <c r="D93" s="11" t="str">
        <f>_xlfn.CONCAT("        Shields = """, C93, """,")</f>
        <v xml:space="preserve">        Shields = "Schilde",</v>
      </c>
      <c r="E93" s="19" t="str">
        <f>Mistwall!F4</f>
        <v>Escudos</v>
      </c>
      <c r="F93" s="11" t="str">
        <f>_xlfn.CONCAT("        Shields = """, E93, """,")</f>
        <v xml:space="preserve">        Shields = "Escudos",</v>
      </c>
      <c r="G93" s="19" t="str">
        <f>Mistwall!H4</f>
        <v>Boucliers</v>
      </c>
      <c r="H93" s="11" t="str">
        <f>_xlfn.CONCAT("        Shields = """, G93, """,")</f>
        <v xml:space="preserve">        Shields = "Boucliers",</v>
      </c>
      <c r="I93" s="19" t="str">
        <f>Mistwall!J4</f>
        <v>盾</v>
      </c>
      <c r="J93" s="11" t="str">
        <f>_xlfn.CONCAT("        Shields = """, I93, """,")</f>
        <v xml:space="preserve">        Shields = "盾",</v>
      </c>
      <c r="K93" s="19" t="str">
        <f>Mistwall!L4</f>
        <v>방패</v>
      </c>
      <c r="L93" s="11" t="str">
        <f>_xlfn.CONCAT("        Shields = """, K93, """,")</f>
        <v xml:space="preserve">        Shields = "방패",</v>
      </c>
      <c r="M93" s="19" t="str">
        <f>Mistwall!N4</f>
        <v>Escudos</v>
      </c>
      <c r="N93" s="11" t="str">
        <f>_xlfn.CONCAT("        Shields = """, M93, """,")</f>
        <v xml:space="preserve">        Shields = "Escudos",</v>
      </c>
      <c r="O93" s="19" t="str">
        <f>Mistwall!P4</f>
        <v>Щиты</v>
      </c>
      <c r="P93" s="11" t="str">
        <f>_xlfn.CONCAT("        Shields = """, O93, """,")</f>
        <v xml:space="preserve">        Shields = "Щиты",</v>
      </c>
      <c r="Q93" s="19" t="str">
        <f>Mistwall!R4</f>
        <v>โล่</v>
      </c>
      <c r="R93" s="11" t="str">
        <f>_xlfn.CONCAT("        Shields = """, Q93, """,")</f>
        <v xml:space="preserve">        Shields = "โล่",</v>
      </c>
      <c r="S93" s="19" t="s">
        <v>7658</v>
      </c>
      <c r="T93" s="11" t="str">
        <f>_xlfn.CONCAT("        Shields = """, S93, """,")</f>
        <v xml:space="preserve">        Shields = "盾",</v>
      </c>
      <c r="V93" s="1" t="s">
        <v>74</v>
      </c>
    </row>
    <row r="94" spans="1:22" ht="15.95" customHeight="1" x14ac:dyDescent="0.25">
      <c r="A94" s="19" t="str">
        <f>Quiver!B4</f>
        <v>Quivers</v>
      </c>
      <c r="B94" s="11" t="str">
        <f>_xlfn.CONCAT("        Quivers = """, A94, """,")</f>
        <v xml:space="preserve">        Quivers = "Quivers",</v>
      </c>
      <c r="C94" s="19" t="str">
        <f>Quiver!D4</f>
        <v>Köcher</v>
      </c>
      <c r="D94" s="11" t="str">
        <f>_xlfn.CONCAT("        Quivers = """, C94, """,")</f>
        <v xml:space="preserve">        Quivers = "Köcher",</v>
      </c>
      <c r="E94" s="19" t="str">
        <f>Quiver!F4</f>
        <v>Carcajes</v>
      </c>
      <c r="F94" s="11" t="str">
        <f>_xlfn.CONCAT("        Quivers = """, E94, """,")</f>
        <v xml:space="preserve">        Quivers = "Carcajes",</v>
      </c>
      <c r="G94" s="19" t="str">
        <f>Quiver!H4</f>
        <v>Carquois</v>
      </c>
      <c r="H94" s="11" t="str">
        <f>_xlfn.CONCAT("        Quivers = """, G94, """,")</f>
        <v xml:space="preserve">        Quivers = "Carquois",</v>
      </c>
      <c r="I94" s="19" t="str">
        <f>Quiver!J4</f>
        <v>矢筒</v>
      </c>
      <c r="J94" s="11" t="str">
        <f>_xlfn.CONCAT("        Quivers = """, I94, """,")</f>
        <v xml:space="preserve">        Quivers = "矢筒",</v>
      </c>
      <c r="K94" s="19" t="str">
        <f>Quiver!L4</f>
        <v>화살통</v>
      </c>
      <c r="L94" s="11" t="str">
        <f>_xlfn.CONCAT("        Quivers = """, K94, """,")</f>
        <v xml:space="preserve">        Quivers = "화살통",</v>
      </c>
      <c r="M94" s="19" t="str">
        <f>Quiver!N4</f>
        <v>Aljavas</v>
      </c>
      <c r="N94" s="11" t="str">
        <f>_xlfn.CONCAT("        Quivers = """, M94, """,")</f>
        <v xml:space="preserve">        Quivers = "Aljavas",</v>
      </c>
      <c r="O94" s="19" t="str">
        <f>Quiver!P4</f>
        <v>Колчаны</v>
      </c>
      <c r="P94" s="11" t="str">
        <f>_xlfn.CONCAT("        Quivers = """, O94, """,")</f>
        <v xml:space="preserve">        Quivers = "Колчаны",</v>
      </c>
      <c r="Q94" s="19" t="str">
        <f>Quiver!R4</f>
        <v>ซองธนู</v>
      </c>
      <c r="R94" s="11" t="str">
        <f>_xlfn.CONCAT("        Quivers = """, Q94, """,")</f>
        <v xml:space="preserve">        Quivers = "ซองธนู",</v>
      </c>
      <c r="S94" s="19" t="s">
        <v>7659</v>
      </c>
      <c r="T94" s="11" t="str">
        <f>_xlfn.CONCAT("        Quivers = """, S94, """,")</f>
        <v xml:space="preserve">        Quivers = "箭袋",</v>
      </c>
      <c r="V94" s="1" t="s">
        <v>75</v>
      </c>
    </row>
    <row r="95" spans="1:22" ht="15.95" customHeight="1" x14ac:dyDescent="0.25">
      <c r="A95" s="19" t="str">
        <f>Focus!B4</f>
        <v>Foci</v>
      </c>
      <c r="B95" s="11" t="str">
        <f>_xlfn.CONCAT("        Focus = """, A95, """,")</f>
        <v xml:space="preserve">        Focus = "Foci",</v>
      </c>
      <c r="C95" s="19" t="str">
        <f>Focus!D4</f>
        <v>Fokusse</v>
      </c>
      <c r="D95" s="11" t="str">
        <f>_xlfn.CONCAT("        Focus = """, C95, """,")</f>
        <v xml:space="preserve">        Focus = "Fokusse",</v>
      </c>
      <c r="E95" s="19" t="str">
        <f>Focus!F4</f>
        <v>Focos</v>
      </c>
      <c r="F95" s="11" t="str">
        <f>_xlfn.CONCAT("        Focus = """, E95, """,")</f>
        <v xml:space="preserve">        Focus = "Focos",</v>
      </c>
      <c r="G95" s="19" t="str">
        <f>Focus!H4</f>
        <v>Focus</v>
      </c>
      <c r="H95" s="11" t="str">
        <f>_xlfn.CONCAT("        Focus = """, G95, """,")</f>
        <v xml:space="preserve">        Focus = "Focus",</v>
      </c>
      <c r="I95" s="19" t="str">
        <f>Focus!J4</f>
        <v>フォーカス</v>
      </c>
      <c r="J95" s="11" t="str">
        <f>_xlfn.CONCAT("        Focus = """, I95, """,")</f>
        <v xml:space="preserve">        Focus = "フォーカス",</v>
      </c>
      <c r="K95" s="19" t="str">
        <f>Focus!L4</f>
        <v>집중구</v>
      </c>
      <c r="L95" s="11" t="str">
        <f>_xlfn.CONCAT("        Focus = """, K95, """,")</f>
        <v xml:space="preserve">        Focus = "집중구",</v>
      </c>
      <c r="M95" s="19" t="str">
        <f>Focus!N4</f>
        <v>Focos</v>
      </c>
      <c r="N95" s="11" t="str">
        <f>_xlfn.CONCAT("        Focus = """, M95, """,")</f>
        <v xml:space="preserve">        Focus = "Focos",</v>
      </c>
      <c r="O95" s="19" t="str">
        <f>Focus!P4</f>
        <v>Фокусы</v>
      </c>
      <c r="P95" s="11" t="str">
        <f>_xlfn.CONCAT("        Focus = """, O95, """,")</f>
        <v xml:space="preserve">        Focus = "Фокусы",</v>
      </c>
      <c r="Q95" s="19" t="str">
        <f>Focus!R4</f>
        <v>โฟกัส</v>
      </c>
      <c r="R95" s="11" t="str">
        <f>_xlfn.CONCAT("        Focus = """, Q95, """,")</f>
        <v xml:space="preserve">        Focus = "โฟกัส",</v>
      </c>
      <c r="S95" s="19" t="str">
        <f>Focus!T4</f>
        <v>法器</v>
      </c>
      <c r="T95" s="11" t="str">
        <f>_xlfn.CONCAT("        Focus = """, S95, """,")</f>
        <v xml:space="preserve">        Focus = "法器",</v>
      </c>
      <c r="V95" s="1" t="s">
        <v>6827</v>
      </c>
    </row>
    <row r="96" spans="1:22" ht="15.95" customHeight="1" x14ac:dyDescent="0.25">
      <c r="A96" s="19" t="str">
        <f>'Life Flask'!B4</f>
        <v>Life Flasks</v>
      </c>
      <c r="B96" s="11" t="str">
        <f>_xlfn.CONCAT("        LifeFlasks = """, A96, """,")</f>
        <v xml:space="preserve">        LifeFlasks = "Life Flasks",</v>
      </c>
      <c r="C96" s="19" t="str">
        <f>'Life Flask'!D4</f>
        <v>Lebensfläschchen</v>
      </c>
      <c r="D96" s="11" t="str">
        <f>_xlfn.CONCAT("        LifeFlasks = """, C96, """,")</f>
        <v xml:space="preserve">        LifeFlasks = "Lebensfläschchen",</v>
      </c>
      <c r="E96" s="19" t="str">
        <f>'Life Flask'!F4</f>
        <v>Frascos de vida</v>
      </c>
      <c r="F96" s="11" t="str">
        <f>_xlfn.CONCAT("        LifeFlasks = """, E96, """,")</f>
        <v xml:space="preserve">        LifeFlasks = "Frascos de vida",</v>
      </c>
      <c r="G96" s="19" t="str">
        <f>'Life Flask'!H4</f>
        <v>Flacons de Vie</v>
      </c>
      <c r="H96" s="11" t="str">
        <f>_xlfn.CONCAT("        LifeFlasks = """, G96, """,")</f>
        <v xml:space="preserve">        LifeFlasks = "Flacons de Vie",</v>
      </c>
      <c r="I96" s="19" t="str">
        <f>'Life Flask'!J4</f>
        <v>ライフフラスコ</v>
      </c>
      <c r="J96" s="11" t="str">
        <f>_xlfn.CONCAT("        LifeFlasks = """, I96, """,")</f>
        <v xml:space="preserve">        LifeFlasks = "ライフフラスコ",</v>
      </c>
      <c r="K96" s="19" t="str">
        <f>'Life Flask'!L4</f>
        <v>생명력 플라스크</v>
      </c>
      <c r="L96" s="11" t="str">
        <f>_xlfn.CONCAT("        LifeFlasks = """, K96, """,")</f>
        <v xml:space="preserve">        LifeFlasks = "생명력 플라스크",</v>
      </c>
      <c r="M96" s="19" t="str">
        <f>'Life Flask'!N4</f>
        <v>Frascos de Vida</v>
      </c>
      <c r="N96" s="11" t="str">
        <f>_xlfn.CONCAT("        LifeFlasks = """, M96, """,")</f>
        <v xml:space="preserve">        LifeFlasks = "Frascos de Vida",</v>
      </c>
      <c r="O96" s="19" t="str">
        <f>'Life Flask'!P4</f>
        <v>Флаконы жизни</v>
      </c>
      <c r="P96" s="11" t="str">
        <f>_xlfn.CONCAT("        LifeFlasks = """, O96, """,")</f>
        <v xml:space="preserve">        LifeFlasks = "Флаконы жизни",</v>
      </c>
      <c r="Q96" s="19" t="str">
        <f>'Life Flask'!R4</f>
        <v>ขวดยาพลังชีวิต</v>
      </c>
      <c r="R96" s="11" t="str">
        <f>_xlfn.CONCAT("        LifeFlasks = """, Q96, """,")</f>
        <v xml:space="preserve">        LifeFlasks = "ขวดยาพลังชีวิต",</v>
      </c>
      <c r="S96" s="19" t="s">
        <v>7660</v>
      </c>
      <c r="T96" s="11" t="str">
        <f>_xlfn.CONCAT("        LifeFlasks = """, S96, """,")</f>
        <v xml:space="preserve">        LifeFlasks = "生命藥劑",</v>
      </c>
      <c r="V96" s="1" t="s">
        <v>713</v>
      </c>
    </row>
    <row r="97" spans="1:22" ht="15.95" customHeight="1" x14ac:dyDescent="0.25">
      <c r="A97" s="19" t="str">
        <f>'Mana Flask'!B4</f>
        <v>Mana Flasks</v>
      </c>
      <c r="B97" s="11" t="str">
        <f>_xlfn.CONCAT("        ManaFlasks = """, A97, """,")</f>
        <v xml:space="preserve">        ManaFlasks = "Mana Flasks",</v>
      </c>
      <c r="C97" s="19" t="str">
        <f>'Mana Flask'!D4</f>
        <v>Manafläschchen</v>
      </c>
      <c r="D97" s="11" t="str">
        <f>_xlfn.CONCAT("        ManaFlasks = """, C97, """,")</f>
        <v xml:space="preserve">        ManaFlasks = "Manafläschchen",</v>
      </c>
      <c r="E97" s="19" t="str">
        <f>'Mana Flask'!F4</f>
        <v>Frascos de maná</v>
      </c>
      <c r="F97" s="11" t="str">
        <f>_xlfn.CONCAT("        ManaFlasks = """, E97, """,")</f>
        <v xml:space="preserve">        ManaFlasks = "Frascos de maná",</v>
      </c>
      <c r="G97" s="19" t="str">
        <f>'Mana Flask'!H4</f>
        <v>Flacons de Mana</v>
      </c>
      <c r="H97" s="11" t="str">
        <f>_xlfn.CONCAT("        ManaFlasks = """, G97, """,")</f>
        <v xml:space="preserve">        ManaFlasks = "Flacons de Mana",</v>
      </c>
      <c r="I97" s="19" t="str">
        <f>'Mana Flask'!J4</f>
        <v>マナフラスコ</v>
      </c>
      <c r="J97" s="11" t="str">
        <f>_xlfn.CONCAT("        ManaFlasks = """, I97, """,")</f>
        <v xml:space="preserve">        ManaFlasks = "マナフラスコ",</v>
      </c>
      <c r="K97" s="19" t="str">
        <f>'Mana Flask'!L4</f>
        <v>마나 플라스크</v>
      </c>
      <c r="L97" s="11" t="str">
        <f>_xlfn.CONCAT("        ManaFlasks = """, K97, """,")</f>
        <v xml:space="preserve">        ManaFlasks = "마나 플라스크",</v>
      </c>
      <c r="M97" s="19" t="str">
        <f>'Mana Flask'!N4</f>
        <v>Frascos de Mana</v>
      </c>
      <c r="N97" s="11" t="str">
        <f>_xlfn.CONCAT("        ManaFlasks = """, M97, """,")</f>
        <v xml:space="preserve">        ManaFlasks = "Frascos de Mana",</v>
      </c>
      <c r="O97" s="19" t="str">
        <f>'Mana Flask'!P4</f>
        <v>Флаконы маны</v>
      </c>
      <c r="P97" s="11" t="str">
        <f>_xlfn.CONCAT("        ManaFlasks = """, O97, """,")</f>
        <v xml:space="preserve">        ManaFlasks = "Флаконы маны",</v>
      </c>
      <c r="Q97" s="19" t="str">
        <f>'Mana Flask'!R4</f>
        <v>ขวดยามานา</v>
      </c>
      <c r="R97" s="11" t="str">
        <f>_xlfn.CONCAT("        ManaFlasks = """, Q97, """,")</f>
        <v xml:space="preserve">        ManaFlasks = "ขวดยามานา",</v>
      </c>
      <c r="S97" s="19" t="s">
        <v>7661</v>
      </c>
      <c r="T97" s="11" t="str">
        <f>_xlfn.CONCAT("        ManaFlasks = """, S97, """,")</f>
        <v xml:space="preserve">        ManaFlasks = "魔力藥劑",</v>
      </c>
      <c r="V97" s="1" t="s">
        <v>714</v>
      </c>
    </row>
    <row r="98" spans="1:22" ht="15.95" customHeight="1" x14ac:dyDescent="0.25">
      <c r="A98" s="19" t="str">
        <f>'Hybrid Flask'!B4</f>
        <v>Hybrid Flasks</v>
      </c>
      <c r="B98" s="11" t="str">
        <f>_xlfn.CONCAT("        HybridFlasks = """, A98, """,")</f>
        <v xml:space="preserve">        HybridFlasks = "Hybrid Flasks",</v>
      </c>
      <c r="C98" s="19" t="str">
        <f>'Hybrid Flask'!D4</f>
        <v>Hybridfläschchen</v>
      </c>
      <c r="D98" s="11" t="str">
        <f>_xlfn.CONCAT("        HybridFlasks = """, C98, """,")</f>
        <v xml:space="preserve">        HybridFlasks = "Hybridfläschchen",</v>
      </c>
      <c r="E98" s="19" t="str">
        <f>'Hybrid Flask'!F4</f>
        <v>Frascos híbridos</v>
      </c>
      <c r="F98" s="11" t="str">
        <f>_xlfn.CONCAT("        HybridFlasks = """, E98, """,")</f>
        <v xml:space="preserve">        HybridFlasks = "Frascos híbridos",</v>
      </c>
      <c r="G98" s="19" t="str">
        <f>'Hybrid Flask'!H4</f>
        <v>Flacons hybrides</v>
      </c>
      <c r="H98" s="11" t="str">
        <f>_xlfn.CONCAT("        HybridFlasks = """, G98, """,")</f>
        <v xml:space="preserve">        HybridFlasks = "Flacons hybrides",</v>
      </c>
      <c r="I98" s="19" t="str">
        <f>'Hybrid Flask'!J4</f>
        <v>ハイブリッドフラスコ</v>
      </c>
      <c r="J98" s="11" t="str">
        <f>_xlfn.CONCAT("        HybridFlasks = """, I98, """,")</f>
        <v xml:space="preserve">        HybridFlasks = "ハイブリッドフラスコ",</v>
      </c>
      <c r="K98" s="19" t="str">
        <f>'Hybrid Flask'!L4</f>
        <v>하이브리드 플라스크</v>
      </c>
      <c r="L98" s="11" t="str">
        <f>_xlfn.CONCAT("        HybridFlasks = """, K98, """,")</f>
        <v xml:space="preserve">        HybridFlasks = "하이브리드 플라스크",</v>
      </c>
      <c r="M98" s="19" t="str">
        <f>'Hybrid Flask'!N4</f>
        <v>Frascos Híbridos</v>
      </c>
      <c r="N98" s="11" t="str">
        <f>_xlfn.CONCAT("        HybridFlasks = """, M98, """,")</f>
        <v xml:space="preserve">        HybridFlasks = "Frascos Híbridos",</v>
      </c>
      <c r="O98" s="19" t="str">
        <f>'Hybrid Flask'!P4</f>
        <v>Флаконы равновесия</v>
      </c>
      <c r="P98" s="11" t="str">
        <f>_xlfn.CONCAT("        HybridFlasks = """, O98, """,")</f>
        <v xml:space="preserve">        HybridFlasks = "Флаконы равновесия",</v>
      </c>
      <c r="Q98" s="19" t="str">
        <f>'Hybrid Flask'!R4</f>
        <v>ขวดยาผสม</v>
      </c>
      <c r="R98" s="11" t="str">
        <f>_xlfn.CONCAT("        HybridFlasks = """, Q98, """,")</f>
        <v xml:space="preserve">        HybridFlasks = "ขวดยาผสม",</v>
      </c>
      <c r="S98" s="19" t="s">
        <v>7662</v>
      </c>
      <c r="T98" s="11" t="str">
        <f>_xlfn.CONCAT("        HybridFlasks = """, S98, """,")</f>
        <v xml:space="preserve">        HybridFlasks = "複合藥劑",</v>
      </c>
      <c r="V98" s="1" t="s">
        <v>715</v>
      </c>
    </row>
    <row r="99" spans="1:22" ht="15.95" customHeight="1" x14ac:dyDescent="0.25">
      <c r="A99" s="19" t="str">
        <f>'Magic Utility Flask'!B4</f>
        <v>Utility Flasks</v>
      </c>
      <c r="B99" s="11" t="str">
        <f>_xlfn.CONCAT("        UtilityFlasks = """, A99, """,")</f>
        <v xml:space="preserve">        UtilityFlasks = "Utility Flasks",</v>
      </c>
      <c r="C99" s="19" t="str">
        <f>'Magic Utility Flask'!D4</f>
        <v>Hilfsfläschchen</v>
      </c>
      <c r="D99" s="11" t="str">
        <f>_xlfn.CONCAT("        UtilityFlasks = """, C99, """,")</f>
        <v xml:space="preserve">        UtilityFlasks = "Hilfsfläschchen",</v>
      </c>
      <c r="E99" s="19" t="str">
        <f>'Magic Utility Flask'!F4</f>
        <v>Frascos de utilidad</v>
      </c>
      <c r="F99" s="11" t="str">
        <f>_xlfn.CONCAT("        UtilityFlasks = """, E99, """,")</f>
        <v xml:space="preserve">        UtilityFlasks = "Frascos de utilidad",</v>
      </c>
      <c r="G99" s="19" t="str">
        <f>'Magic Utility Flask'!H4</f>
        <v>Flacons utilitaires</v>
      </c>
      <c r="H99" s="11" t="str">
        <f>_xlfn.CONCAT("        UtilityFlasks = """, G99, """,")</f>
        <v xml:space="preserve">        UtilityFlasks = "Flacons utilitaires",</v>
      </c>
      <c r="I99" s="19" t="str">
        <f>'Magic Utility Flask'!J4</f>
        <v>ユーティリティフラスコ</v>
      </c>
      <c r="J99" s="11" t="str">
        <f>_xlfn.CONCAT("        UtilityFlasks = """, I99, """,")</f>
        <v xml:space="preserve">        UtilityFlasks = "ユーティリティフラスコ",</v>
      </c>
      <c r="K99" s="19" t="str">
        <f>'Magic Utility Flask'!L4</f>
        <v>특수 플라스크</v>
      </c>
      <c r="L99" s="11" t="str">
        <f>_xlfn.CONCAT("        UtilityFlasks = """, K99, """,")</f>
        <v xml:space="preserve">        UtilityFlasks = "특수 플라스크",</v>
      </c>
      <c r="M99" s="19" t="str">
        <f>'Magic Utility Flask'!N4</f>
        <v>Frascos de Utilidade</v>
      </c>
      <c r="N99" s="11" t="str">
        <f>_xlfn.CONCAT("        UtilityFlasks = """, M99, """,")</f>
        <v xml:space="preserve">        UtilityFlasks = "Frascos de Utilidade",</v>
      </c>
      <c r="O99" s="19" t="str">
        <f>'Magic Utility Flask'!P4</f>
        <v>Особые флаконы</v>
      </c>
      <c r="P99" s="11" t="str">
        <f>_xlfn.CONCAT("        UtilityFlasks = """, O99, """,")</f>
        <v xml:space="preserve">        UtilityFlasks = "Особые флаконы",</v>
      </c>
      <c r="Q99" s="19" t="str">
        <f>'Magic Utility Flask'!R4</f>
        <v>ขวดยาช่วยเหลือ</v>
      </c>
      <c r="R99" s="11" t="str">
        <f>_xlfn.CONCAT("        UtilityFlasks = """, Q99, """,")</f>
        <v xml:space="preserve">        UtilityFlasks = "ขวดยาช่วยเหลือ",</v>
      </c>
      <c r="S99" s="19" t="s">
        <v>7663</v>
      </c>
      <c r="T99" s="11" t="str">
        <f>_xlfn.CONCAT("        UtilityFlasks = """, S99, """,")</f>
        <v xml:space="preserve">        UtilityFlasks = "功能藥劑",</v>
      </c>
      <c r="V99" s="1" t="s">
        <v>521</v>
      </c>
    </row>
    <row r="100" spans="1:22" ht="15.95" customHeight="1" x14ac:dyDescent="0.25">
      <c r="A100" s="19" t="str">
        <f>Gem!B4</f>
        <v>Skill Gems</v>
      </c>
      <c r="B100" s="11" t="str">
        <f>_xlfn.CONCAT("        ActiveSkillGems = """, A100, """,")</f>
        <v xml:space="preserve">        ActiveSkillGems = "Skill Gems",</v>
      </c>
      <c r="C100" s="19" t="str">
        <f>Gem!D4</f>
        <v>Fertigkeitengemmen</v>
      </c>
      <c r="D100" s="11" t="str">
        <f>_xlfn.CONCAT("        ActiveSkillGems = """, C100, """,")</f>
        <v xml:space="preserve">        ActiveSkillGems = "Fertigkeitengemmen",</v>
      </c>
      <c r="E100" s="19" t="str">
        <f>Gem!F4</f>
        <v>Gemas de habilidad</v>
      </c>
      <c r="F100" s="11" t="str">
        <f>_xlfn.CONCAT("        ActiveSkillGems = """, E100, """,")</f>
        <v xml:space="preserve">        ActiveSkillGems = "Gemas de habilidad",</v>
      </c>
      <c r="G100" s="19" t="str">
        <f>Gem!H4</f>
        <v>Gemmes d'aptitude</v>
      </c>
      <c r="H100" s="11" t="str">
        <f>_xlfn.CONCAT("        ActiveSkillGems = """, G100, """,")</f>
        <v xml:space="preserve">        ActiveSkillGems = "Gemmes d'aptitude",</v>
      </c>
      <c r="I100" s="19" t="str">
        <f>Gem!J4</f>
        <v>スキルジェム</v>
      </c>
      <c r="J100" s="11" t="str">
        <f>_xlfn.CONCAT("        ActiveSkillGems = """, I100, """,")</f>
        <v xml:space="preserve">        ActiveSkillGems = "スキルジェム",</v>
      </c>
      <c r="K100" s="19" t="str">
        <f>Gem!L4</f>
        <v>스킬 젬</v>
      </c>
      <c r="L100" s="11" t="str">
        <f>_xlfn.CONCAT("        ActiveSkillGems = """, K100, """,")</f>
        <v xml:space="preserve">        ActiveSkillGems = "스킬 젬",</v>
      </c>
      <c r="M100" s="19" t="str">
        <f>Gem!N4</f>
        <v>Gemas de Habilidades</v>
      </c>
      <c r="N100" s="11" t="str">
        <f>_xlfn.CONCAT("        ActiveSkillGems = """, M100, """,")</f>
        <v xml:space="preserve">        ActiveSkillGems = "Gemas de Habilidades",</v>
      </c>
      <c r="O100" s="19" t="str">
        <f>Gem!P4</f>
        <v>Камни умений</v>
      </c>
      <c r="P100" s="11" t="str">
        <f>_xlfn.CONCAT("        ActiveSkillGems = """, O100, """,")</f>
        <v xml:space="preserve">        ActiveSkillGems = "Камни умений",</v>
      </c>
      <c r="Q100" s="19" t="str">
        <f>Gem!R4</f>
        <v>หินสกิล</v>
      </c>
      <c r="R100" s="11" t="str">
        <f>_xlfn.CONCAT("        ActiveSkillGems = """, Q100, """,")</f>
        <v xml:space="preserve">        ActiveSkillGems = "หินสกิล",</v>
      </c>
      <c r="S100" s="19" t="s">
        <v>7664</v>
      </c>
      <c r="T100" s="11" t="str">
        <f>_xlfn.CONCAT("        ActiveSkillGems = """, S100, """,")</f>
        <v xml:space="preserve">        ActiveSkillGems = "技能寶石",</v>
      </c>
      <c r="V100" s="1" t="s">
        <v>522</v>
      </c>
    </row>
    <row r="101" spans="1:22" ht="15.95" customHeight="1" x14ac:dyDescent="0.25">
      <c r="A101" s="19" t="str">
        <f>'Support Gem'!B4</f>
        <v>Support Gems</v>
      </c>
      <c r="B101" s="11" t="str">
        <f>_xlfn.CONCAT("        SupportSkillGems = """, A101, """,")</f>
        <v xml:space="preserve">        SupportSkillGems = "Support Gems",</v>
      </c>
      <c r="C101" s="19" t="str">
        <f>'Support Gem'!D4</f>
        <v>Unterstützungsgemmen</v>
      </c>
      <c r="D101" s="11" t="str">
        <f>_xlfn.CONCAT("        SupportSkillGems = """, C101, """,")</f>
        <v xml:space="preserve">        SupportSkillGems = "Unterstützungsgemmen",</v>
      </c>
      <c r="E101" s="19" t="str">
        <f>'Support Gem'!F4</f>
        <v>Gemas de asistencia</v>
      </c>
      <c r="F101" s="11" t="str">
        <f>_xlfn.CONCAT("        SupportSkillGems = """, E101, """,")</f>
        <v xml:space="preserve">        SupportSkillGems = "Gemas de asistencia",</v>
      </c>
      <c r="G101" s="19" t="str">
        <f>'Support Gem'!H4</f>
        <v>Gemmes de soutien</v>
      </c>
      <c r="H101" s="11" t="str">
        <f>_xlfn.CONCAT("        SupportSkillGems = """, G101, """,")</f>
        <v xml:space="preserve">        SupportSkillGems = "Gemmes de soutien",</v>
      </c>
      <c r="I101" s="19" t="str">
        <f>'Support Gem'!J4</f>
        <v>サポートジェム</v>
      </c>
      <c r="J101" s="11" t="str">
        <f>_xlfn.CONCAT("        SupportSkillGems = """, I101, """,")</f>
        <v xml:space="preserve">        SupportSkillGems = "サポートジェム",</v>
      </c>
      <c r="K101" s="19" t="str">
        <f>'Support Gem'!L4</f>
        <v>보조 젬</v>
      </c>
      <c r="L101" s="11" t="str">
        <f>_xlfn.CONCAT("        SupportSkillGems = """, K101, """,")</f>
        <v xml:space="preserve">        SupportSkillGems = "보조 젬",</v>
      </c>
      <c r="M101" s="19" t="str">
        <f>'Support Gem'!N4</f>
        <v>Gemas de Suporte</v>
      </c>
      <c r="N101" s="11" t="str">
        <f>_xlfn.CONCAT("        SupportSkillGems = """, M101, """,")</f>
        <v xml:space="preserve">        SupportSkillGems = "Gemas de Suporte",</v>
      </c>
      <c r="O101" s="19" t="str">
        <f>'Support Gem'!P4</f>
        <v>Камни поддержки</v>
      </c>
      <c r="P101" s="11" t="str">
        <f>_xlfn.CONCAT("        SupportSkillGems = """, O101, """,")</f>
        <v xml:space="preserve">        SupportSkillGems = "Камни поддержки",</v>
      </c>
      <c r="Q101" s="19" t="str">
        <f>'Support Gem'!R4</f>
        <v>หินเสริม</v>
      </c>
      <c r="R101" s="11" t="str">
        <f>_xlfn.CONCAT("        SupportSkillGems = """, Q101, """,")</f>
        <v xml:space="preserve">        SupportSkillGems = "หินเสริม",</v>
      </c>
      <c r="S101" s="19" t="str">
        <f>'Support Gem'!T4</f>
        <v>輔助寶石</v>
      </c>
      <c r="T101" s="11" t="str">
        <f>_xlfn.CONCAT("        SupportSkillGems = """, S101, """,")</f>
        <v xml:space="preserve">        SupportSkillGems = "輔助寶石",</v>
      </c>
      <c r="V101" s="1" t="s">
        <v>523</v>
      </c>
    </row>
    <row r="102" spans="1:22" ht="15.95" customHeight="1" x14ac:dyDescent="0.25">
      <c r="A102" s="19" t="str">
        <f>'Uncut Skill Gem'!B4</f>
        <v>Uncut Skill Gems</v>
      </c>
      <c r="B102" s="11" t="str">
        <f>_xlfn.CONCAT("        UncutSkillGems = """, A102, """,")</f>
        <v xml:space="preserve">        UncutSkillGems = "Uncut Skill Gems",</v>
      </c>
      <c r="C102" s="19" t="str">
        <f>'Uncut Skill Gem'!D4</f>
        <v>Ungeschnittene Fertigkeitengemme</v>
      </c>
      <c r="D102" s="11" t="str">
        <f>_xlfn.CONCAT("        UncutSkillGems = """, C102, """,")</f>
        <v xml:space="preserve">        UncutSkillGems = "Ungeschnittene Fertigkeitengemme",</v>
      </c>
      <c r="E102" s="19" t="str">
        <f>'Uncut Skill Gem'!F4</f>
        <v>Gemas de habilidad sin tallar</v>
      </c>
      <c r="F102" s="11" t="str">
        <f>_xlfn.CONCAT("        UncutSkillGems = """, E102, """,")</f>
        <v xml:space="preserve">        UncutSkillGems = "Gemas de habilidad sin tallar",</v>
      </c>
      <c r="G102" s="19" t="str">
        <f>'Uncut Skill Gem'!H4</f>
        <v>Gemmes d'aptitude brutes</v>
      </c>
      <c r="H102" s="11" t="str">
        <f>_xlfn.CONCAT("        UncutSkillGems = """, G102, """,")</f>
        <v xml:space="preserve">        UncutSkillGems = "Gemmes d'aptitude brutes",</v>
      </c>
      <c r="I102" s="19" t="str">
        <f>'Uncut Skill Gem'!J4</f>
        <v>スキルジェムの原石</v>
      </c>
      <c r="J102" s="11" t="str">
        <f>_xlfn.CONCAT("        UncutSkillGems = """, I102, """,")</f>
        <v xml:space="preserve">        UncutSkillGems = "スキルジェムの原石",</v>
      </c>
      <c r="K102" s="19" t="str">
        <f>'Uncut Skill Gem'!L4</f>
        <v>미가공 스킬 젬</v>
      </c>
      <c r="L102" s="11" t="str">
        <f>_xlfn.CONCAT("        UncutSkillGems = """, K102, """,")</f>
        <v xml:space="preserve">        UncutSkillGems = "미가공 스킬 젬",</v>
      </c>
      <c r="M102" s="19" t="str">
        <f>'Uncut Skill Gem'!N4</f>
        <v>Gemas de Habilidade Brutas</v>
      </c>
      <c r="N102" s="11" t="str">
        <f>_xlfn.CONCAT("        UncutSkillGems = """, M102, """,")</f>
        <v xml:space="preserve">        UncutSkillGems = "Gemas de Habilidade Brutas",</v>
      </c>
      <c r="O102" s="19" t="str">
        <f>'Uncut Skill Gem'!P4</f>
        <v>Неогранённые камни умений</v>
      </c>
      <c r="P102" s="11" t="str">
        <f>_xlfn.CONCAT("        UncutSkillGems = """, O102, """,")</f>
        <v xml:space="preserve">        UncutSkillGems = "Неогранённые камни умений",</v>
      </c>
      <c r="Q102" s="19" t="str">
        <f>'Uncut Skill Gem'!R4</f>
        <v>หินสกิลหยาบ</v>
      </c>
      <c r="R102" s="11" t="str">
        <f>_xlfn.CONCAT("        UncutSkillGems = """, Q102, """,")</f>
        <v xml:space="preserve">        UncutSkillGems = "หินสกิลหยาบ",</v>
      </c>
      <c r="S102" s="19" t="str">
        <f>'Uncut Skill Gem'!T4</f>
        <v>未切割的技能寶石</v>
      </c>
      <c r="T102" s="11" t="str">
        <f>_xlfn.CONCAT("        UncutSkillGems = """, S102, """,")</f>
        <v xml:space="preserve">        UncutSkillGems = "未切割的技能寶石",</v>
      </c>
      <c r="V102" s="1" t="s">
        <v>8091</v>
      </c>
    </row>
    <row r="103" spans="1:22" ht="15.95" customHeight="1" x14ac:dyDescent="0.25">
      <c r="A103" s="19" t="str">
        <f>'Uncut Support Gem'!B4</f>
        <v>Uncut Support Gems</v>
      </c>
      <c r="B103" s="11" t="str">
        <f>_xlfn.CONCAT("        UncutSupportGems = """, A103, """,")</f>
        <v xml:space="preserve">        UncutSupportGems = "Uncut Support Gems",</v>
      </c>
      <c r="C103" s="19" t="str">
        <f>'Uncut Support Gem'!D4</f>
        <v>Ungeschnittene Unterstützungsgemme</v>
      </c>
      <c r="D103" s="11" t="str">
        <f>_xlfn.CONCAT("        UncutSupportGems = """, C103, """,")</f>
        <v xml:space="preserve">        UncutSupportGems = "Ungeschnittene Unterstützungsgemme",</v>
      </c>
      <c r="E103" s="19" t="str">
        <f>'Uncut Support Gem'!F4</f>
        <v>Gemas de asistencia sin tallar</v>
      </c>
      <c r="F103" s="11" t="str">
        <f>_xlfn.CONCAT("        UncutSupportGems = """, E103, """,")</f>
        <v xml:space="preserve">        UncutSupportGems = "Gemas de asistencia sin tallar",</v>
      </c>
      <c r="G103" s="19" t="str">
        <f>'Uncut Support Gem'!H4</f>
        <v>Gemmes de soutien brutes</v>
      </c>
      <c r="H103" s="11" t="str">
        <f>_xlfn.CONCAT("        UncutSupportGems = """, G103, """,")</f>
        <v xml:space="preserve">        UncutSupportGems = "Gemmes de soutien brutes",</v>
      </c>
      <c r="I103" s="19" t="str">
        <f>'Uncut Support Gem'!J4</f>
        <v>サポートジェムの原石</v>
      </c>
      <c r="J103" s="11" t="str">
        <f>_xlfn.CONCAT("        UncutSupportGems = """, I103, """,")</f>
        <v xml:space="preserve">        UncutSupportGems = "サポートジェムの原石",</v>
      </c>
      <c r="K103" s="19" t="str">
        <f>'Uncut Support Gem'!L4</f>
        <v>미가공 보조 젬</v>
      </c>
      <c r="L103" s="11" t="str">
        <f>_xlfn.CONCAT("        UncutSupportGems = """, K103, """,")</f>
        <v xml:space="preserve">        UncutSupportGems = "미가공 보조 젬",</v>
      </c>
      <c r="M103" s="19" t="str">
        <f>'Uncut Support Gem'!N4</f>
        <v>Gemas de Reforço Brutas</v>
      </c>
      <c r="N103" s="11" t="str">
        <f>_xlfn.CONCAT("        UncutSupportGems = """, M103, """,")</f>
        <v xml:space="preserve">        UncutSupportGems = "Gemas de Reforço Brutas",</v>
      </c>
      <c r="O103" s="19" t="str">
        <f>'Uncut Support Gem'!P4</f>
        <v>Неогранённые камни поддержки</v>
      </c>
      <c r="P103" s="11" t="str">
        <f>_xlfn.CONCAT("        UncutSupportGems = """, O103, """,")</f>
        <v xml:space="preserve">        UncutSupportGems = "Неогранённые камни поддержки",</v>
      </c>
      <c r="Q103" s="19" t="str">
        <f>'Uncut Support Gem'!R4</f>
        <v>หินเสริมหยาบ</v>
      </c>
      <c r="R103" s="11" t="str">
        <f>_xlfn.CONCAT("        UncutSupportGems = """, Q103, """,")</f>
        <v xml:space="preserve">        UncutSupportGems = "หินเสริมหยาบ",</v>
      </c>
      <c r="S103" s="19" t="str">
        <f>'Uncut Support Gem'!T4</f>
        <v>未切割的輔助寶石</v>
      </c>
      <c r="T103" s="11" t="str">
        <f>_xlfn.CONCAT("        UncutSupportGems = """, S103, """,")</f>
        <v xml:space="preserve">        UncutSupportGems = "未切割的輔助寶石",</v>
      </c>
      <c r="V103" s="1" t="s">
        <v>8092</v>
      </c>
    </row>
    <row r="104" spans="1:22" ht="15.95" customHeight="1" x14ac:dyDescent="0.25">
      <c r="A104" s="19" t="str">
        <f>'Uncut Spirit Gem'!B4</f>
        <v>Uncut Spirit Gems</v>
      </c>
      <c r="B104" s="11" t="str">
        <f>_xlfn.CONCAT("        UncutSpiritGems = """, A104, """,")</f>
        <v xml:space="preserve">        UncutSpiritGems = "Uncut Spirit Gems",</v>
      </c>
      <c r="C104" s="19" t="str">
        <f>'Uncut Spirit Gem'!D4</f>
        <v>Ungeschnittene Willegemme</v>
      </c>
      <c r="D104" s="11" t="str">
        <f>_xlfn.CONCAT("        UncutSpiritGems = """, C104, """,")</f>
        <v xml:space="preserve">        UncutSpiritGems = "Ungeschnittene Willegemme",</v>
      </c>
      <c r="E104" s="19" t="str">
        <f>'Uncut Spirit Gem'!F4</f>
        <v>Gemas de espíritu sin tallar</v>
      </c>
      <c r="F104" s="11" t="str">
        <f>_xlfn.CONCAT("        UncutSpiritGems = """, E104, """,")</f>
        <v xml:space="preserve">        UncutSpiritGems = "Gemas de espíritu sin tallar",</v>
      </c>
      <c r="G104" s="19" t="str">
        <f>'Uncut Spirit Gem'!H4</f>
        <v>Gemmes d'Esprit brutes</v>
      </c>
      <c r="H104" s="11" t="str">
        <f>_xlfn.CONCAT("        UncutSpiritGems = """, G104, """,")</f>
        <v xml:space="preserve">        UncutSpiritGems = "Gemmes d'Esprit brutes",</v>
      </c>
      <c r="I104" s="19" t="str">
        <f>'Uncut Spirit Gem'!J4</f>
        <v>スピリットジェムの原石</v>
      </c>
      <c r="J104" s="11" t="str">
        <f>_xlfn.CONCAT("        UncutSpiritGems = """, I104, """,")</f>
        <v xml:space="preserve">        UncutSpiritGems = "スピリットジェムの原石",</v>
      </c>
      <c r="K104" s="19" t="str">
        <f>'Uncut Spirit Gem'!L4</f>
        <v>미가공 정신력 젬</v>
      </c>
      <c r="L104" s="11" t="str">
        <f>_xlfn.CONCAT("        UncutSpiritGems = """, K104, """,")</f>
        <v xml:space="preserve">        UncutSpiritGems = "미가공 정신력 젬",</v>
      </c>
      <c r="M104" s="19" t="str">
        <f>'Uncut Spirit Gem'!N4</f>
        <v>Gemas Espirituais Brutas</v>
      </c>
      <c r="N104" s="11" t="str">
        <f>_xlfn.CONCAT("        UncutSpiritGems = """, M104, """,")</f>
        <v xml:space="preserve">        UncutSpiritGems = "Gemas Espirituais Brutas",</v>
      </c>
      <c r="O104" s="19" t="str">
        <f>'Uncut Spirit Gem'!P4</f>
        <v>Неогранённые камни духа</v>
      </c>
      <c r="P104" s="11" t="str">
        <f>_xlfn.CONCAT("        UncutSpiritGems = """, O104, """,")</f>
        <v xml:space="preserve">        UncutSpiritGems = "Неогранённые камни духа",</v>
      </c>
      <c r="Q104" s="19" t="str">
        <f>'Uncut Spirit Gem'!R4</f>
        <v>หินพลังวิญญาณหยาบ</v>
      </c>
      <c r="R104" s="11" t="str">
        <f>_xlfn.CONCAT("        UncutSpiritGems = """, Q104, """,")</f>
        <v xml:space="preserve">        UncutSpiritGems = "หินพลังวิญญาณหยาบ",</v>
      </c>
      <c r="S104" s="19" t="str">
        <f>'Uncut Spirit Gem'!T4</f>
        <v>未切割的精魂寶石</v>
      </c>
      <c r="T104" s="11" t="str">
        <f>_xlfn.CONCAT("        UncutSpiritGems = """, S104, """,")</f>
        <v xml:space="preserve">        UncutSpiritGems = "未切割的精魂寶石",</v>
      </c>
      <c r="V104" s="1" t="s">
        <v>8093</v>
      </c>
    </row>
    <row r="105" spans="1:22" ht="15.95" customHeight="1" x14ac:dyDescent="0.25">
      <c r="A105" s="19" t="str">
        <f>Map!B4</f>
        <v>Maps</v>
      </c>
      <c r="B105" s="11" t="str">
        <f>_xlfn.CONCAT("        Maps = """, A105, """,")</f>
        <v xml:space="preserve">        Maps = "Maps",</v>
      </c>
      <c r="C105" s="19" t="str">
        <f>Map!D4</f>
        <v>Karten</v>
      </c>
      <c r="D105" s="11" t="str">
        <f>_xlfn.CONCAT("        Maps = """, C105, """,")</f>
        <v xml:space="preserve">        Maps = "Karten",</v>
      </c>
      <c r="E105" s="19" t="str">
        <f>Map!F4</f>
        <v>Mapas</v>
      </c>
      <c r="F105" s="11" t="str">
        <f>_xlfn.CONCAT("        Maps = """, E105, """,")</f>
        <v xml:space="preserve">        Maps = "Mapas",</v>
      </c>
      <c r="G105" s="19" t="str">
        <f>Map!H4</f>
        <v>Cartes</v>
      </c>
      <c r="H105" s="11" t="str">
        <f>_xlfn.CONCAT("        Maps = """, G105, """,")</f>
        <v xml:space="preserve">        Maps = "Cartes",</v>
      </c>
      <c r="I105" s="19" t="str">
        <f>Map!J4</f>
        <v>マップ</v>
      </c>
      <c r="J105" s="11" t="str">
        <f>_xlfn.CONCAT("        Maps = """, I105, """,")</f>
        <v xml:space="preserve">        Maps = "マップ",</v>
      </c>
      <c r="K105" s="19" t="str">
        <f>Map!L4</f>
        <v>지도</v>
      </c>
      <c r="L105" s="11" t="str">
        <f>_xlfn.CONCAT("        Maps = """, K105, """,")</f>
        <v xml:space="preserve">        Maps = "지도",</v>
      </c>
      <c r="M105" s="19" t="str">
        <f>Map!N4</f>
        <v>Mapas</v>
      </c>
      <c r="N105" s="11" t="str">
        <f>_xlfn.CONCAT("        Maps = """, M105, """,")</f>
        <v xml:space="preserve">        Maps = "Mapas",</v>
      </c>
      <c r="O105" s="19" t="str">
        <f>Map!P4</f>
        <v>Карты</v>
      </c>
      <c r="P105" s="11" t="str">
        <f>_xlfn.CONCAT("        Maps = """, O105, """,")</f>
        <v xml:space="preserve">        Maps = "Карты",</v>
      </c>
      <c r="Q105" s="19" t="str">
        <f>Map!R4</f>
        <v>แผนที่</v>
      </c>
      <c r="R105" s="11" t="str">
        <f>_xlfn.CONCAT("        Maps = """, Q105, """,")</f>
        <v xml:space="preserve">        Maps = "แผนที่",</v>
      </c>
      <c r="S105" s="19" t="s">
        <v>7665</v>
      </c>
      <c r="T105" s="11" t="str">
        <f>_xlfn.CONCAT("        Maps = """, S105, """,")</f>
        <v xml:space="preserve">        Maps = "地圖",</v>
      </c>
      <c r="V105" s="1" t="s">
        <v>716</v>
      </c>
    </row>
    <row r="106" spans="1:22" ht="15.95" customHeight="1" x14ac:dyDescent="0.25">
      <c r="A106" s="19" t="str">
        <f>'Map Fragment'!B4</f>
        <v>Map Fragments</v>
      </c>
      <c r="B106" s="11" t="str">
        <f>_xlfn.CONCAT("        MapFragments = """, A106, """,")</f>
        <v xml:space="preserve">        MapFragments = "Map Fragments",</v>
      </c>
      <c r="C106" s="19" t="str">
        <f>'Map Fragment'!D4</f>
        <v>Kartenfragmente</v>
      </c>
      <c r="D106" s="11" t="str">
        <f>_xlfn.CONCAT("        MapFragments = """, C106, """,")</f>
        <v xml:space="preserve">        MapFragments = "Kartenfragmente",</v>
      </c>
      <c r="E106" s="19" t="str">
        <f>'Map Fragment'!F4</f>
        <v>Fragmentos de mapa</v>
      </c>
      <c r="F106" s="11" t="str">
        <f>_xlfn.CONCAT("        MapFragments = """, E106, """,")</f>
        <v xml:space="preserve">        MapFragments = "Fragmentos de mapa",</v>
      </c>
      <c r="G106" s="19" t="str">
        <f>'Map Fragment'!H4</f>
        <v>Fragments de carte</v>
      </c>
      <c r="H106" s="11" t="str">
        <f>_xlfn.CONCAT("        MapFragments = """, G106, """,")</f>
        <v xml:space="preserve">        MapFragments = "Fragments de carte",</v>
      </c>
      <c r="I106" s="19" t="str">
        <f>'Map Fragment'!J4</f>
        <v>マップの断片</v>
      </c>
      <c r="J106" s="11" t="str">
        <f>_xlfn.CONCAT("        MapFragments = """, I106, """,")</f>
        <v xml:space="preserve">        MapFragments = "マップの断片",</v>
      </c>
      <c r="K106" s="19" t="str">
        <f>'Map Fragment'!L4</f>
        <v>지도 조각</v>
      </c>
      <c r="L106" s="11" t="str">
        <f>_xlfn.CONCAT("        MapFragments = """, K106, """,")</f>
        <v xml:space="preserve">        MapFragments = "지도 조각",</v>
      </c>
      <c r="M106" s="19" t="str">
        <f>'Map Fragment'!N4</f>
        <v>Fragmentos de Mapas</v>
      </c>
      <c r="N106" s="11" t="str">
        <f>_xlfn.CONCAT("        MapFragments = """, M106, """,")</f>
        <v xml:space="preserve">        MapFragments = "Fragmentos de Mapas",</v>
      </c>
      <c r="O106" s="19" t="str">
        <f>'Map Fragment'!P4</f>
        <v>Обрывки карт</v>
      </c>
      <c r="P106" s="11" t="str">
        <f>_xlfn.CONCAT("        MapFragments = """, O106, """,")</f>
        <v xml:space="preserve">        MapFragments = "Обрывки карт",</v>
      </c>
      <c r="Q106" s="19" t="str">
        <f>'Map Fragment'!R4</f>
        <v>ชิ้นส่วนแผนที่</v>
      </c>
      <c r="R106" s="11" t="str">
        <f>_xlfn.CONCAT("        MapFragments = """, Q106, """,")</f>
        <v xml:space="preserve">        MapFragments = "ชิ้นส่วนแผนที่",</v>
      </c>
      <c r="S106" s="19" t="s">
        <v>7666</v>
      </c>
      <c r="T106" s="11" t="str">
        <f>_xlfn.CONCAT("        MapFragments = """, S106, """,")</f>
        <v xml:space="preserve">        MapFragments = "地圖碎片",</v>
      </c>
      <c r="V106" s="1" t="s">
        <v>717</v>
      </c>
    </row>
    <row r="107" spans="1:22" ht="15.95" customHeight="1" x14ac:dyDescent="0.25">
      <c r="A107" s="19" t="str">
        <f>Contract!B4</f>
        <v>Contracts</v>
      </c>
      <c r="B107" s="11" t="str">
        <f>_xlfn.CONCAT("        Contract = """, A107, """,")</f>
        <v xml:space="preserve">        Contract = "Contracts",</v>
      </c>
      <c r="C107" s="19" t="str">
        <f>Contract!D4</f>
        <v>Aufträge</v>
      </c>
      <c r="D107" s="11" t="str">
        <f>_xlfn.CONCAT("        Contract = """, C107, """,")</f>
        <v xml:space="preserve">        Contract = "Aufträge",</v>
      </c>
      <c r="E107" s="19" t="str">
        <f>Contract!F4</f>
        <v>Contratos</v>
      </c>
      <c r="F107" s="11" t="str">
        <f>_xlfn.CONCAT("        Contract = """, E107, """,")</f>
        <v xml:space="preserve">        Contract = "Contratos",</v>
      </c>
      <c r="G107" s="19" t="str">
        <f>Contract!H4</f>
        <v>Contrats</v>
      </c>
      <c r="H107" s="11" t="str">
        <f>_xlfn.CONCAT("        Contract = """, G107, """,")</f>
        <v xml:space="preserve">        Contract = "Contrats",</v>
      </c>
      <c r="I107" s="19" t="str">
        <f>Contract!J4</f>
        <v>依頼書</v>
      </c>
      <c r="J107" s="11" t="str">
        <f>_xlfn.CONCAT("        Contract = """, I107, """,")</f>
        <v xml:space="preserve">        Contract = "依頼書",</v>
      </c>
      <c r="K107" s="19" t="str">
        <f>Contract!L4</f>
        <v>계약</v>
      </c>
      <c r="L107" s="11" t="str">
        <f>_xlfn.CONCAT("        Contract = """, K107, """,")</f>
        <v xml:space="preserve">        Contract = "계약",</v>
      </c>
      <c r="M107" s="19" t="str">
        <f>Contract!N4</f>
        <v>Contratos</v>
      </c>
      <c r="N107" s="11" t="str">
        <f>_xlfn.CONCAT("        Contract = """, M107, """,")</f>
        <v xml:space="preserve">        Contract = "Contratos",</v>
      </c>
      <c r="O107" s="19" t="str">
        <f>Contract!P4</f>
        <v>Контракты</v>
      </c>
      <c r="P107" s="11" t="str">
        <f>_xlfn.CONCAT("        Contract = """, O107, """,")</f>
        <v xml:space="preserve">        Contract = "Контракты",</v>
      </c>
      <c r="Q107" s="19" t="str">
        <f>Contract!R4</f>
        <v>สัญญาจ้าง</v>
      </c>
      <c r="R107" s="11" t="str">
        <f>_xlfn.CONCAT("        Contract = """, Q107, """,")</f>
        <v xml:space="preserve">        Contract = "สัญญาจ้าง",</v>
      </c>
      <c r="S107" s="19" t="s">
        <v>7667</v>
      </c>
      <c r="T107" s="11" t="str">
        <f>_xlfn.CONCAT("        Contract = """, S107, """,")</f>
        <v xml:space="preserve">        Contract = "契約書",</v>
      </c>
      <c r="V107" s="1" t="s">
        <v>718</v>
      </c>
    </row>
    <row r="108" spans="1:22" ht="15.95" customHeight="1" x14ac:dyDescent="0.25">
      <c r="A108" s="19" t="str">
        <f>Blueprint!B4</f>
        <v>Blueprints</v>
      </c>
      <c r="B108" s="11" t="str">
        <f>_xlfn.CONCAT("        Blueprint = """, A108, """,")</f>
        <v xml:space="preserve">        Blueprint = "Blueprints",</v>
      </c>
      <c r="C108" s="19" t="str">
        <f>Blueprint!D4</f>
        <v>Grundrisse</v>
      </c>
      <c r="D108" s="11" t="str">
        <f>_xlfn.CONCAT("        Blueprint = """, C108, """,")</f>
        <v xml:space="preserve">        Blueprint = "Grundrisse",</v>
      </c>
      <c r="E108" s="19" t="str">
        <f>Blueprint!F4</f>
        <v>Planos</v>
      </c>
      <c r="F108" s="11" t="str">
        <f>_xlfn.CONCAT("        Blueprint = """, E108, """,")</f>
        <v xml:space="preserve">        Blueprint = "Planos",</v>
      </c>
      <c r="G108" s="19" t="str">
        <f>Blueprint!H4</f>
        <v>Plans</v>
      </c>
      <c r="H108" s="11" t="str">
        <f>_xlfn.CONCAT("        Blueprint = """, G108, """,")</f>
        <v xml:space="preserve">        Blueprint = "Plans",</v>
      </c>
      <c r="I108" s="19" t="str">
        <f>Blueprint!J4</f>
        <v>計画書</v>
      </c>
      <c r="J108" s="11" t="str">
        <f>_xlfn.CONCAT("        Blueprint = """, I108, """,")</f>
        <v xml:space="preserve">        Blueprint = "計画書",</v>
      </c>
      <c r="K108" s="19" t="str">
        <f>Blueprint!L4</f>
        <v>도면</v>
      </c>
      <c r="L108" s="11" t="str">
        <f>_xlfn.CONCAT("        Blueprint = """, K108, """,")</f>
        <v xml:space="preserve">        Blueprint = "도면",</v>
      </c>
      <c r="M108" s="19" t="str">
        <f>Blueprint!N4</f>
        <v>Plantas</v>
      </c>
      <c r="N108" s="11" t="str">
        <f>_xlfn.CONCAT("        Blueprint = """, M108, """,")</f>
        <v xml:space="preserve">        Blueprint = "Plantas",</v>
      </c>
      <c r="O108" s="19" t="str">
        <f>Blueprint!P4</f>
        <v>Чертежи</v>
      </c>
      <c r="P108" s="11" t="str">
        <f>_xlfn.CONCAT("        Blueprint = """, O108, """,")</f>
        <v xml:space="preserve">        Blueprint = "Чертежи",</v>
      </c>
      <c r="Q108" s="19" t="str">
        <f>Blueprint!R4</f>
        <v>พิมพ์เขียว</v>
      </c>
      <c r="R108" s="11" t="str">
        <f>_xlfn.CONCAT("        Blueprint = """, Q108, """,")</f>
        <v xml:space="preserve">        Blueprint = "พิมพ์เขียว",</v>
      </c>
      <c r="S108" s="19" t="s">
        <v>7668</v>
      </c>
      <c r="T108" s="11" t="str">
        <f>_xlfn.CONCAT("        Blueprint = """, S108, """,")</f>
        <v xml:space="preserve">        Blueprint = "藍圖",</v>
      </c>
      <c r="V108" s="1" t="s">
        <v>719</v>
      </c>
    </row>
    <row r="109" spans="1:22" ht="15.95" customHeight="1" x14ac:dyDescent="0.25">
      <c r="A109" s="19" t="str">
        <f>'Misc Map Item'!B4</f>
        <v>Misc Map Items</v>
      </c>
      <c r="B109" s="11" t="str">
        <f>_xlfn.CONCAT("        MiscMapItems = """, A109, """,")</f>
        <v xml:space="preserve">        MiscMapItems = "Misc Map Items",</v>
      </c>
      <c r="C109" s="19" t="str">
        <f>'Misc Map Item'!D4</f>
        <v>Sonstige Kartengegenstände</v>
      </c>
      <c r="D109" s="11" t="str">
        <f>_xlfn.CONCAT("        MiscMapItems = """, C109, """,")</f>
        <v xml:space="preserve">        MiscMapItems = "Sonstige Kartengegenstände",</v>
      </c>
      <c r="E109" s="19" t="str">
        <f>'Misc Map Item'!F4</f>
        <v>Objetos misceláneos de mapa</v>
      </c>
      <c r="F109" s="11" t="str">
        <f>_xlfn.CONCAT("        MiscMapItems = """, E109, """,")</f>
        <v xml:space="preserve">        MiscMapItems = "Objetos misceláneos de mapa",</v>
      </c>
      <c r="G109" s="19" t="str">
        <f>'Misc Map Item'!H4</f>
        <v>Objets de Carte divers</v>
      </c>
      <c r="H109" s="11" t="str">
        <f>_xlfn.CONCAT("        MiscMapItems = """, G109, """,")</f>
        <v xml:space="preserve">        MiscMapItems = "Objets de Carte divers",</v>
      </c>
      <c r="I109" s="19" t="str">
        <f>'Misc Map Item'!J4</f>
        <v>その他マップアイテム</v>
      </c>
      <c r="J109" s="11" t="str">
        <f>_xlfn.CONCAT("        MiscMapItems = """, I109, """,")</f>
        <v xml:space="preserve">        MiscMapItems = "その他マップアイテム",</v>
      </c>
      <c r="K109" s="19" t="str">
        <f>'Misc Map Item'!L4</f>
        <v>기타 지도 아이템</v>
      </c>
      <c r="L109" s="11" t="str">
        <f>_xlfn.CONCAT("        MiscMapItems = """, K109, """,")</f>
        <v xml:space="preserve">        MiscMapItems = "기타 지도 아이템",</v>
      </c>
      <c r="M109" s="19" t="str">
        <f>'Misc Map Item'!N4</f>
        <v>Itens Mapas Variados</v>
      </c>
      <c r="N109" s="11" t="str">
        <f>_xlfn.CONCAT("        MiscMapItems = """, M109, """,")</f>
        <v xml:space="preserve">        MiscMapItems = "Itens Mapas Variados",</v>
      </c>
      <c r="O109" s="19" t="str">
        <f>'Misc Map Item'!P4</f>
        <v>Прочие предметы карт</v>
      </c>
      <c r="P109" s="11" t="str">
        <f>_xlfn.CONCAT("        MiscMapItems = """, O109, """,")</f>
        <v xml:space="preserve">        MiscMapItems = "Прочие предметы карт",</v>
      </c>
      <c r="Q109" s="19" t="str">
        <f>'Misc Map Item'!R4</f>
        <v>ไอเทมแผนที่อื่นๆ</v>
      </c>
      <c r="R109" s="11" t="str">
        <f>_xlfn.CONCAT("        MiscMapItems = """, Q109, """,")</f>
        <v xml:space="preserve">        MiscMapItems = "ไอเทมแผนที่อื่นๆ",</v>
      </c>
      <c r="S109" s="19" t="s">
        <v>7669</v>
      </c>
      <c r="T109" s="11" t="str">
        <f>_xlfn.CONCAT("        MiscMapItems = """, S109, """,")</f>
        <v xml:space="preserve">        MiscMapItems = "其它",</v>
      </c>
      <c r="V109" s="1" t="s">
        <v>720</v>
      </c>
    </row>
    <row r="110" spans="1:22" ht="15.95" customHeight="1" x14ac:dyDescent="0.25">
      <c r="A110" s="19" t="str">
        <f>Waystone!B4</f>
        <v>Waystones</v>
      </c>
      <c r="B110" s="11" t="str">
        <f>_xlfn.CONCAT("        Waystone = """, A110, """,")</f>
        <v xml:space="preserve">        Waystone = "Waystones",</v>
      </c>
      <c r="C110" s="19" t="str">
        <f>Waystone!D4</f>
        <v>Wegsteine</v>
      </c>
      <c r="D110" s="11" t="str">
        <f>_xlfn.CONCAT("        Waystone = """, C110, """,")</f>
        <v xml:space="preserve">        Waystone = "Wegsteine",</v>
      </c>
      <c r="E110" s="19" t="str">
        <f>Waystone!F4</f>
        <v>Piedras guía</v>
      </c>
      <c r="F110" s="11" t="str">
        <f>_xlfn.CONCAT("        Waystone = """, E110, """,")</f>
        <v xml:space="preserve">        Waystone = "Piedras guía",</v>
      </c>
      <c r="G110" s="19" t="str">
        <f>Waystone!H4</f>
        <v>Pierres de téléportation</v>
      </c>
      <c r="H110" s="11" t="str">
        <f>_xlfn.CONCAT("        Waystone = """, G110, """,")</f>
        <v xml:space="preserve">        Waystone = "Pierres de téléportation",</v>
      </c>
      <c r="I110" s="19" t="str">
        <f>Waystone!J4</f>
        <v>ウェイストーン</v>
      </c>
      <c r="J110" s="11" t="str">
        <f>_xlfn.CONCAT("        Waystone = """, I110, """,")</f>
        <v xml:space="preserve">        Waystone = "ウェイストーン",</v>
      </c>
      <c r="K110" s="19" t="str">
        <f>Waystone!L4</f>
        <v>경로석</v>
      </c>
      <c r="L110" s="11" t="str">
        <f>_xlfn.CONCAT("        Waystone = """, K110, """,")</f>
        <v xml:space="preserve">        Waystone = "경로석",</v>
      </c>
      <c r="M110" s="19" t="str">
        <f>Waystone!N4</f>
        <v>Dreno de Mana</v>
      </c>
      <c r="N110" s="11" t="str">
        <f>_xlfn.CONCAT("        Waystone = """, M110, """,")</f>
        <v xml:space="preserve">        Waystone = "Dreno de Mana",</v>
      </c>
      <c r="O110" s="19" t="str">
        <f>Waystone!P4</f>
        <v>Путевые камни</v>
      </c>
      <c r="P110" s="11" t="str">
        <f>_xlfn.CONCAT("        Waystone = """, O110, """,")</f>
        <v xml:space="preserve">        Waystone = "Путевые камни",</v>
      </c>
      <c r="Q110" s="19" t="str">
        <f>Waystone!R4</f>
        <v>ศิลานำทาง</v>
      </c>
      <c r="R110" s="11" t="str">
        <f>_xlfn.CONCAT("        Waystone = """, Q110, """,")</f>
        <v xml:space="preserve">        Waystone = "ศิลานำทาง",</v>
      </c>
      <c r="S110" s="19" t="str">
        <f>Waystone!T4</f>
        <v>換界石</v>
      </c>
      <c r="T110" s="11" t="str">
        <f>_xlfn.CONCAT("        Waystone = """, S110, """,")</f>
        <v xml:space="preserve">        Waystone = "換界石",</v>
      </c>
      <c r="V110" s="1" t="s">
        <v>6824</v>
      </c>
    </row>
    <row r="111" spans="1:22" ht="15.95" customHeight="1" x14ac:dyDescent="0.25">
      <c r="A111" s="19" t="str">
        <f>Barya!B4</f>
        <v>Trial Coins</v>
      </c>
      <c r="B111" s="11" t="str">
        <f>_xlfn.CONCAT("        Barya = """, A111, """,")</f>
        <v xml:space="preserve">        Barya = "Trial Coins",</v>
      </c>
      <c r="C111" s="19" t="str">
        <f>Barya!D4</f>
        <v>Prüfungsmünzen</v>
      </c>
      <c r="D111" s="11" t="str">
        <f>_xlfn.CONCAT("        Barya = """, C111, """,")</f>
        <v xml:space="preserve">        Barya = "Prüfungsmünzen",</v>
      </c>
      <c r="E111" s="19" t="str">
        <f>Barya!F4</f>
        <v>Monedas de la prueba</v>
      </c>
      <c r="F111" s="11" t="str">
        <f>_xlfn.CONCAT("        Barya = """, E111, """,")</f>
        <v xml:space="preserve">        Barya = "Monedas de la prueba",</v>
      </c>
      <c r="G111" s="19" t="str">
        <f>Barya!H4</f>
        <v>Pièces de l'Épreuve</v>
      </c>
      <c r="H111" s="11" t="str">
        <f>_xlfn.CONCAT("        Barya = """, G111, """,")</f>
        <v xml:space="preserve">        Barya = "Pièces de l'Épreuve",</v>
      </c>
      <c r="I111" s="19" t="str">
        <f>Barya!J4</f>
        <v>試練のコイン</v>
      </c>
      <c r="J111" s="11" t="str">
        <f>_xlfn.CONCAT("        Barya = """, I111, """,")</f>
        <v xml:space="preserve">        Barya = "試練のコイン",</v>
      </c>
      <c r="K111" s="19" t="str">
        <f>Barya!L4</f>
        <v>시련 주화</v>
      </c>
      <c r="L111" s="11" t="str">
        <f>_xlfn.CONCAT("        Barya = """, K111, """,")</f>
        <v xml:space="preserve">        Barya = "시련 주화",</v>
      </c>
      <c r="M111" s="19" t="str">
        <f>Barya!N4</f>
        <v>Moedas da Provação</v>
      </c>
      <c r="N111" s="11" t="str">
        <f>_xlfn.CONCAT("        Barya = """, M111, """,")</f>
        <v xml:space="preserve">        Barya = "Moedas da Provação",</v>
      </c>
      <c r="O111" s="19" t="str">
        <f>Barya!P4</f>
        <v>Монеты Испытания</v>
      </c>
      <c r="P111" s="11" t="str">
        <f>_xlfn.CONCAT("        Barya = """, O111, """,")</f>
        <v xml:space="preserve">        Barya = "Монеты Испытания",</v>
      </c>
      <c r="Q111" s="19" t="str">
        <f>Barya!R4</f>
        <v>เหรียญบททดสอบ</v>
      </c>
      <c r="R111" s="11" t="str">
        <f>_xlfn.CONCAT("        Barya = """, Q111, """,")</f>
        <v xml:space="preserve">        Barya = "เหรียญบททดสอบ",</v>
      </c>
      <c r="S111" s="19" t="str">
        <f>Barya!T4</f>
        <v>試煉代幣</v>
      </c>
      <c r="T111" s="11" t="str">
        <f>_xlfn.CONCAT("        Barya = """, S111, """,")</f>
        <v xml:space="preserve">        Barya = "試煉代幣",</v>
      </c>
      <c r="V111" s="1" t="s">
        <v>6825</v>
      </c>
    </row>
    <row r="112" spans="1:22" ht="15.95" customHeight="1" x14ac:dyDescent="0.25">
      <c r="A112" s="19" t="str">
        <f>Ultimatum!B4</f>
        <v>Inscribed Ultimatum</v>
      </c>
      <c r="B112" s="11" t="str">
        <f>_xlfn.CONCAT("        Ultimatum = """, A112, """,")</f>
        <v xml:space="preserve">        Ultimatum = "Inscribed Ultimatum",</v>
      </c>
      <c r="C112" s="19" t="str">
        <f>Ultimatum!D4</f>
        <v>Inschrift des Ultimatums</v>
      </c>
      <c r="D112" s="11" t="str">
        <f>_xlfn.CONCAT("        Ultimatum = """, C112, """,")</f>
        <v xml:space="preserve">        Ultimatum = "Inschrift des Ultimatums",</v>
      </c>
      <c r="E112" s="19" t="str">
        <f>Ultimatum!F4</f>
        <v>Ultimátum inscrito</v>
      </c>
      <c r="F112" s="11" t="str">
        <f>_xlfn.CONCAT("        Ultimatum = """, E112, """,")</f>
        <v xml:space="preserve">        Ultimatum = "Ultimátum inscrito",</v>
      </c>
      <c r="G112" s="19" t="str">
        <f>Ultimatum!H4</f>
        <v>Ultimatum gravé</v>
      </c>
      <c r="H112" s="11" t="str">
        <f>_xlfn.CONCAT("        Ultimatum = """, G112, """,")</f>
        <v xml:space="preserve">        Ultimatum = "Ultimatum gravé",</v>
      </c>
      <c r="I112" s="19" t="str">
        <f>Ultimatum!J4</f>
        <v>刻印されたアルティメイタム</v>
      </c>
      <c r="J112" s="11" t="str">
        <f>_xlfn.CONCAT("        Ultimatum = """, I112, """,")</f>
        <v xml:space="preserve">        Ultimatum = "刻印されたアルティメイタム",</v>
      </c>
      <c r="K112" s="19" t="str">
        <f>Ultimatum!L4</f>
        <v>새겨진 결전</v>
      </c>
      <c r="L112" s="11" t="str">
        <f>_xlfn.CONCAT("        Ultimatum = """, K112, """,")</f>
        <v xml:space="preserve">        Ultimatum = "새겨진 결전",</v>
      </c>
      <c r="M112" s="19" t="str">
        <f>Ultimatum!N4</f>
        <v>Ultimato Talhado</v>
      </c>
      <c r="N112" s="11" t="str">
        <f>_xlfn.CONCAT("        Ultimatum = """, M112, """,")</f>
        <v xml:space="preserve">        Ultimatum = "Ultimato Talhado",</v>
      </c>
      <c r="O112" s="19" t="str">
        <f>Ultimatum!P4</f>
        <v>Начертанные Ультиматумы</v>
      </c>
      <c r="P112" s="11" t="str">
        <f>_xlfn.CONCAT("        Ultimatum = """, O112, """,")</f>
        <v xml:space="preserve">        Ultimatum = "Начертанные Ультиматумы",</v>
      </c>
      <c r="Q112" s="19" t="str">
        <f>Ultimatum!R4</f>
        <v>คำขาดจารึก</v>
      </c>
      <c r="R112" s="11" t="str">
        <f>_xlfn.CONCAT("        Ultimatum = """, Q112, """,")</f>
        <v xml:space="preserve">        Ultimatum = "คำขาดจารึก",</v>
      </c>
      <c r="S112" s="19" t="str">
        <f>Ultimatum!T4</f>
        <v>最後通牒雕刻</v>
      </c>
      <c r="T112" s="11" t="str">
        <f>_xlfn.CONCAT("        Ultimatum = """, S112, """,")</f>
        <v xml:space="preserve">        Ultimatum = "最後通牒雕刻",</v>
      </c>
      <c r="V112" s="1" t="s">
        <v>6806</v>
      </c>
    </row>
    <row r="113" spans="1:22" ht="15.95" customHeight="1" x14ac:dyDescent="0.25">
      <c r="A113" s="19" t="str">
        <f>Tablet!B4</f>
        <v>Tablet</v>
      </c>
      <c r="B113" s="11" t="str">
        <f>_xlfn.CONCAT("        Tablet = """, A113, """,")</f>
        <v xml:space="preserve">        Tablet = "Tablet",</v>
      </c>
      <c r="C113" s="19" t="str">
        <f>Tablet!D4</f>
        <v>Tafel</v>
      </c>
      <c r="D113" s="11" t="str">
        <f>_xlfn.CONCAT("        Tablet = """, C113, """,")</f>
        <v xml:space="preserve">        Tablet = "Tafel",</v>
      </c>
      <c r="E113" s="19" t="str">
        <f>Tablet!F4</f>
        <v>Tablilla</v>
      </c>
      <c r="F113" s="11" t="str">
        <f>_xlfn.CONCAT("        Tablet = """, E113, """,")</f>
        <v xml:space="preserve">        Tablet = "Tablilla",</v>
      </c>
      <c r="G113" s="19" t="str">
        <f>Tablet!H4</f>
        <v>Tablette</v>
      </c>
      <c r="H113" s="11" t="str">
        <f>_xlfn.CONCAT("        Tablet = """, G113, """,")</f>
        <v xml:space="preserve">        Tablet = "Tablette",</v>
      </c>
      <c r="I113" s="19" t="str">
        <f>Tablet!J4</f>
        <v>石板</v>
      </c>
      <c r="J113" s="11" t="str">
        <f>_xlfn.CONCAT("        Tablet = """, I113, """,")</f>
        <v xml:space="preserve">        Tablet = "石板",</v>
      </c>
      <c r="K113" s="19" t="str">
        <f>Tablet!L4</f>
        <v>서판</v>
      </c>
      <c r="L113" s="11" t="str">
        <f>_xlfn.CONCAT("        Tablet = """, K113, """,")</f>
        <v xml:space="preserve">        Tablet = "서판",</v>
      </c>
      <c r="M113" s="19" t="str">
        <f>Tablet!N4</f>
        <v>Tábua</v>
      </c>
      <c r="N113" s="11" t="str">
        <f>_xlfn.CONCAT("        Tablet = """, M113, """,")</f>
        <v xml:space="preserve">        Tablet = "Tábua",</v>
      </c>
      <c r="O113" s="19" t="str">
        <f>Tablet!P4</f>
        <v>Плитки</v>
      </c>
      <c r="P113" s="11" t="str">
        <f>_xlfn.CONCAT("        Tablet = """, O113, """,")</f>
        <v xml:space="preserve">        Tablet = "Плитки",</v>
      </c>
      <c r="Q113" s="19" t="str">
        <f>Tablet!R4</f>
        <v>แผ่นหิน</v>
      </c>
      <c r="R113" s="11" t="str">
        <f>_xlfn.CONCAT("        Tablet = """, Q113, """,")</f>
        <v xml:space="preserve">        Tablet = "แผ่นหิน",</v>
      </c>
      <c r="S113" s="19" t="str">
        <f>Tablet!T4</f>
        <v>面板</v>
      </c>
      <c r="T113" s="11" t="str">
        <f>_xlfn.CONCAT("        Tablet = """, S113, """,")</f>
        <v xml:space="preserve">        Tablet = "面板",</v>
      </c>
      <c r="V113" s="1" t="s">
        <v>6826</v>
      </c>
    </row>
    <row r="114" spans="1:22" ht="15.95" customHeight="1" x14ac:dyDescent="0.25">
      <c r="A114" s="19" t="str">
        <f>Breachstone!B4</f>
        <v>Breachstones</v>
      </c>
      <c r="B114" s="11" t="str">
        <f>_xlfn.CONCAT("        Breachstone = """, A114, """,")</f>
        <v xml:space="preserve">        Breachstone = "Breachstones",</v>
      </c>
      <c r="C114" s="19" t="str">
        <f>Breachstone!D4</f>
        <v>Riss-Steine</v>
      </c>
      <c r="D114" s="11" t="str">
        <f>_xlfn.CONCAT("        Breachstone = """, C114, """,")</f>
        <v xml:space="preserve">        Breachstone = "Riss-Steine",</v>
      </c>
      <c r="E114" s="19" t="str">
        <f>Breachstone!F4</f>
        <v>Piedras de fisura</v>
      </c>
      <c r="F114" s="11" t="str">
        <f>_xlfn.CONCAT("        Breachstone = """, E114, """,")</f>
        <v xml:space="preserve">        Breachstone = "Piedras de fisura",</v>
      </c>
      <c r="G114" s="19" t="str">
        <f>Breachstone!H4</f>
        <v>Pierres de Brèche</v>
      </c>
      <c r="H114" s="11" t="str">
        <f>_xlfn.CONCAT("        Breachstone = """, G114, """,")</f>
        <v xml:space="preserve">        Breachstone = "Pierres de Brèche",</v>
      </c>
      <c r="I114" s="19" t="str">
        <f>Breachstone!J4</f>
        <v>ブリーチストーン</v>
      </c>
      <c r="J114" s="11" t="str">
        <f>_xlfn.CONCAT("        Breachstone = """, I114, """,")</f>
        <v xml:space="preserve">        Breachstone = "ブリーチストーン",</v>
      </c>
      <c r="K114" s="19" t="str">
        <f>Breachstone!L4</f>
        <v>균열석</v>
      </c>
      <c r="L114" s="11" t="str">
        <f>_xlfn.CONCAT("        Breachstone = """, K114, """,")</f>
        <v xml:space="preserve">        Breachstone = "균열석",</v>
      </c>
      <c r="M114" s="19" t="str">
        <f>Breachstone!N4</f>
        <v>Pedras de Fenda</v>
      </c>
      <c r="N114" s="11" t="str">
        <f>_xlfn.CONCAT("        Breachstone = """, M114, """,")</f>
        <v xml:space="preserve">        Breachstone = "Pedras de Fenda",</v>
      </c>
      <c r="O114" s="19" t="str">
        <f>Breachstone!P4</f>
        <v>Камни Разлома</v>
      </c>
      <c r="P114" s="11" t="str">
        <f>_xlfn.CONCAT("        Breachstone = """, O114, """,")</f>
        <v xml:space="preserve">        Breachstone = "Камни Разлома",</v>
      </c>
      <c r="Q114" s="19" t="str">
        <f>Breachstone!R4</f>
        <v>ศิลาบรีช</v>
      </c>
      <c r="R114" s="11" t="str">
        <f>_xlfn.CONCAT("        Breachstone = """, Q114, """,")</f>
        <v xml:space="preserve">        Breachstone = "ศิลาบรีช",</v>
      </c>
      <c r="S114" s="19" t="str">
        <f>Breachstone!T4</f>
        <v>裂痕石</v>
      </c>
      <c r="T114" s="11" t="str">
        <f>_xlfn.CONCAT("        Breachstone = """, S114, """,")</f>
        <v xml:space="preserve">        Breachstone = "裂痕石",</v>
      </c>
      <c r="V114" s="1" t="s">
        <v>6855</v>
      </c>
    </row>
    <row r="115" spans="1:22" ht="15.95" customHeight="1" x14ac:dyDescent="0.25">
      <c r="A115" s="19" t="str">
        <f>'Boss Key'!B4</f>
        <v>Pinnacle Keys</v>
      </c>
      <c r="B115" s="11" t="str">
        <f>_xlfn.CONCAT("        BossKey = """, A115, """,")</f>
        <v xml:space="preserve">        BossKey = "Pinnacle Keys",</v>
      </c>
      <c r="C115" s="19" t="str">
        <f>'Boss Key'!D4</f>
        <v>Zinnenschhlüssel</v>
      </c>
      <c r="D115" s="11" t="str">
        <f>_xlfn.CONCAT("        BossKey = """, C115, """,")</f>
        <v xml:space="preserve">        BossKey = "Zinnenschhlüssel",</v>
      </c>
      <c r="E115" s="19" t="str">
        <f>'Boss Key'!F4</f>
        <v>Llaves de jefes finales</v>
      </c>
      <c r="F115" s="11" t="str">
        <f>_xlfn.CONCAT("        BossKey = """, E115, """,")</f>
        <v xml:space="preserve">        BossKey = "Llaves de jefes finales",</v>
      </c>
      <c r="G115" s="19" t="str">
        <f>'Boss Key'!H4</f>
        <v>Clés de la Finalité</v>
      </c>
      <c r="H115" s="11" t="str">
        <f>_xlfn.CONCAT("        BossKey = """, G115, """,")</f>
        <v xml:space="preserve">        BossKey = "Clés de la Finalité",</v>
      </c>
      <c r="I115" s="19" t="str">
        <f>'Boss Key'!J4</f>
        <v>ピナクルキー</v>
      </c>
      <c r="J115" s="11" t="str">
        <f>_xlfn.CONCAT("        BossKey = """, I115, """,")</f>
        <v xml:space="preserve">        BossKey = "ピナクルキー",</v>
      </c>
      <c r="K115" s="19" t="str">
        <f>'Boss Key'!L4</f>
        <v>최종 열쇠</v>
      </c>
      <c r="L115" s="11" t="str">
        <f>_xlfn.CONCAT("        BossKey = """, K115, """,")</f>
        <v xml:space="preserve">        BossKey = "최종 열쇠",</v>
      </c>
      <c r="M115" s="19" t="str">
        <f>'Boss Key'!N4</f>
        <v>Chaves Supremas</v>
      </c>
      <c r="N115" s="11" t="str">
        <f>_xlfn.CONCAT("        BossKey = """, M115, """,")</f>
        <v xml:space="preserve">        BossKey = "Chaves Supremas",</v>
      </c>
      <c r="O115" s="19" t="str">
        <f>'Boss Key'!P4</f>
        <v>Древние ключи</v>
      </c>
      <c r="P115" s="11" t="str">
        <f>_xlfn.CONCAT("        BossKey = """, O115, """,")</f>
        <v xml:space="preserve">        BossKey = "Древние ключи",</v>
      </c>
      <c r="Q115" s="19" t="str">
        <f>'Boss Key'!R4</f>
        <v>กุญแจอภิมหาบอส</v>
      </c>
      <c r="R115" s="11" t="str">
        <f>_xlfn.CONCAT("        BossKey = """, Q115, """,")</f>
        <v xml:space="preserve">        BossKey = "กุญแจอภิมหาบอส",</v>
      </c>
      <c r="S115" s="19" t="str">
        <f>'Boss Key'!T4</f>
        <v>巔峰鑰匙</v>
      </c>
      <c r="T115" s="11" t="str">
        <f>_xlfn.CONCAT("        BossKey = """, S115, """,")</f>
        <v xml:space="preserve">        BossKey = "巔峰鑰匙",</v>
      </c>
      <c r="V115" s="1" t="s">
        <v>6856</v>
      </c>
    </row>
    <row r="116" spans="1:22" ht="15.95" customHeight="1" x14ac:dyDescent="0.25">
      <c r="A116" s="19" t="str">
        <f>Claw!B4</f>
        <v>Claws</v>
      </c>
      <c r="B116" s="11" t="str">
        <f>_xlfn.CONCAT("        Claws = """, A116, """,")</f>
        <v xml:space="preserve">        Claws = "Claws",</v>
      </c>
      <c r="C116" s="19" t="str">
        <f>Claw!D4</f>
        <v>Klauen</v>
      </c>
      <c r="D116" s="11" t="str">
        <f>_xlfn.CONCAT("        Claws = """, C116, """,")</f>
        <v xml:space="preserve">        Claws = "Klauen",</v>
      </c>
      <c r="E116" s="19" t="str">
        <f>Claw!F4</f>
        <v>Garras</v>
      </c>
      <c r="F116" s="11" t="str">
        <f>_xlfn.CONCAT("        Claws = """, E116, """,")</f>
        <v xml:space="preserve">        Claws = "Garras",</v>
      </c>
      <c r="G116" s="19" t="str">
        <f>Claw!H4</f>
        <v>Griffes</v>
      </c>
      <c r="H116" s="11" t="str">
        <f>_xlfn.CONCAT("        Claws = """, G116, """,")</f>
        <v xml:space="preserve">        Claws = "Griffes",</v>
      </c>
      <c r="I116" s="19" t="str">
        <f>Claw!J4</f>
        <v>鉤爪</v>
      </c>
      <c r="J116" s="11" t="str">
        <f>_xlfn.CONCAT("        Claws = """, I116, """,")</f>
        <v xml:space="preserve">        Claws = "鉤爪",</v>
      </c>
      <c r="K116" s="19" t="str">
        <f>Claw!L4</f>
        <v>클로</v>
      </c>
      <c r="L116" s="11" t="str">
        <f>_xlfn.CONCAT("        Claws = """, K116, """,")</f>
        <v xml:space="preserve">        Claws = "클로",</v>
      </c>
      <c r="M116" s="19" t="str">
        <f>Claw!N4</f>
        <v>Garras</v>
      </c>
      <c r="N116" s="11" t="str">
        <f>_xlfn.CONCAT("        Claws = """, M116, """,")</f>
        <v xml:space="preserve">        Claws = "Garras",</v>
      </c>
      <c r="O116" s="19" t="str">
        <f>Claw!P4</f>
        <v>Когти</v>
      </c>
      <c r="P116" s="11" t="str">
        <f>_xlfn.CONCAT("        Claws = """, O116, """,")</f>
        <v xml:space="preserve">        Claws = "Когти",</v>
      </c>
      <c r="Q116" s="19" t="str">
        <f>Claw!R4</f>
        <v>กรงเล็บ</v>
      </c>
      <c r="R116" s="11" t="str">
        <f>_xlfn.CONCAT("        Claws = """, Q116, """,")</f>
        <v xml:space="preserve">        Claws = "กรงเล็บ",</v>
      </c>
      <c r="S116" s="19" t="s">
        <v>7670</v>
      </c>
      <c r="T116" s="11" t="str">
        <f>_xlfn.CONCAT("        Claws = """, S116, """,")</f>
        <v xml:space="preserve">        Claws = "爪",</v>
      </c>
      <c r="V116" s="1" t="s">
        <v>524</v>
      </c>
    </row>
    <row r="117" spans="1:22" ht="15.95" customHeight="1" x14ac:dyDescent="0.25">
      <c r="A117" s="19" t="str">
        <f>Dagger!B4</f>
        <v>Daggers</v>
      </c>
      <c r="B117" s="11" t="str">
        <f>_xlfn.CONCAT("        Daggers = """, A117, """,")</f>
        <v xml:space="preserve">        Daggers = "Daggers",</v>
      </c>
      <c r="C117" s="19" t="str">
        <f>Dagger!D4</f>
        <v>Dolche</v>
      </c>
      <c r="D117" s="11" t="str">
        <f>_xlfn.CONCAT("        Daggers = """, C117, """,")</f>
        <v xml:space="preserve">        Daggers = "Dolche",</v>
      </c>
      <c r="E117" s="19" t="str">
        <f>Dagger!F4</f>
        <v>Dagas</v>
      </c>
      <c r="F117" s="11" t="str">
        <f>_xlfn.CONCAT("        Daggers = """, E117, """,")</f>
        <v xml:space="preserve">        Daggers = "Dagas",</v>
      </c>
      <c r="G117" s="19" t="str">
        <f>Dagger!H4</f>
        <v>Dagues</v>
      </c>
      <c r="H117" s="11" t="str">
        <f>_xlfn.CONCAT("        Daggers = """, G117, """,")</f>
        <v xml:space="preserve">        Daggers = "Dagues",</v>
      </c>
      <c r="I117" s="19" t="str">
        <f>Dagger!J4</f>
        <v>短剣</v>
      </c>
      <c r="J117" s="11" t="str">
        <f>_xlfn.CONCAT("        Daggers = """, I117, """,")</f>
        <v xml:space="preserve">        Daggers = "短剣",</v>
      </c>
      <c r="K117" s="19" t="str">
        <f>Dagger!L4</f>
        <v>단검</v>
      </c>
      <c r="L117" s="11" t="str">
        <f>_xlfn.CONCAT("        Daggers = """, K117, """,")</f>
        <v xml:space="preserve">        Daggers = "단검",</v>
      </c>
      <c r="M117" s="19" t="str">
        <f>Dagger!N4</f>
        <v>Adagas</v>
      </c>
      <c r="N117" s="11" t="str">
        <f>_xlfn.CONCAT("        Daggers = """, M117, """,")</f>
        <v xml:space="preserve">        Daggers = "Adagas",</v>
      </c>
      <c r="O117" s="19" t="str">
        <f>Dagger!P4</f>
        <v>Кинжалы</v>
      </c>
      <c r="P117" s="11" t="str">
        <f>_xlfn.CONCAT("        Daggers = """, O117, """,")</f>
        <v xml:space="preserve">        Daggers = "Кинжалы",</v>
      </c>
      <c r="Q117" s="19" t="str">
        <f>Dagger!R4</f>
        <v>มีด</v>
      </c>
      <c r="R117" s="11" t="str">
        <f>_xlfn.CONCAT("        Daggers = """, Q117, """,")</f>
        <v xml:space="preserve">        Daggers = "มีด",</v>
      </c>
      <c r="S117" s="19" t="s">
        <v>7671</v>
      </c>
      <c r="T117" s="11" t="str">
        <f>_xlfn.CONCAT("        Daggers = """, S117, """,")</f>
        <v xml:space="preserve">        Daggers = "匕首",</v>
      </c>
      <c r="V117" s="1" t="s">
        <v>525</v>
      </c>
    </row>
    <row r="118" spans="1:22" ht="15.95" customHeight="1" x14ac:dyDescent="0.25">
      <c r="A118" s="19" t="str">
        <f>Wand!B4</f>
        <v>Wands</v>
      </c>
      <c r="B118" s="11" t="str">
        <f>_xlfn.CONCAT("        Wands = """, A118, """,")</f>
        <v xml:space="preserve">        Wands = "Wands",</v>
      </c>
      <c r="C118" s="19" t="str">
        <f>Wand!D4</f>
        <v>Zauberstäbe</v>
      </c>
      <c r="D118" s="11" t="str">
        <f>_xlfn.CONCAT("        Wands = """, C118, """,")</f>
        <v xml:space="preserve">        Wands = "Zauberstäbe",</v>
      </c>
      <c r="E118" s="19" t="str">
        <f>Wand!F4</f>
        <v>Varitas</v>
      </c>
      <c r="F118" s="11" t="str">
        <f>_xlfn.CONCAT("        Wands = """, E118, """,")</f>
        <v xml:space="preserve">        Wands = "Varitas",</v>
      </c>
      <c r="G118" s="19" t="str">
        <f>Wand!H4</f>
        <v>Baguettes</v>
      </c>
      <c r="H118" s="11" t="str">
        <f>_xlfn.CONCAT("        Wands = """, G118, """,")</f>
        <v xml:space="preserve">        Wands = "Baguettes",</v>
      </c>
      <c r="I118" s="19" t="str">
        <f>Wand!J4</f>
        <v>ワンド</v>
      </c>
      <c r="J118" s="11" t="str">
        <f>_xlfn.CONCAT("        Wands = """, I118, """,")</f>
        <v xml:space="preserve">        Wands = "ワンド",</v>
      </c>
      <c r="K118" s="19" t="str">
        <f>Wand!L4</f>
        <v>마법봉</v>
      </c>
      <c r="L118" s="11" t="str">
        <f>_xlfn.CONCAT("        Wands = """, K118, """,")</f>
        <v xml:space="preserve">        Wands = "마법봉",</v>
      </c>
      <c r="M118" s="19" t="str">
        <f>Wand!N4</f>
        <v>Varinhas</v>
      </c>
      <c r="N118" s="11" t="str">
        <f>_xlfn.CONCAT("        Wands = """, M118, """,")</f>
        <v xml:space="preserve">        Wands = "Varinhas",</v>
      </c>
      <c r="O118" s="19" t="str">
        <f>Wand!P4</f>
        <v>Жезлы</v>
      </c>
      <c r="P118" s="11" t="str">
        <f>_xlfn.CONCAT("        Wands = """, O118, """,")</f>
        <v xml:space="preserve">        Wands = "Жезлы",</v>
      </c>
      <c r="Q118" s="19" t="str">
        <f>Wand!R4</f>
        <v>ไม้กายสิทธิ์</v>
      </c>
      <c r="R118" s="11" t="str">
        <f>_xlfn.CONCAT("        Wands = """, Q118, """,")</f>
        <v xml:space="preserve">        Wands = "ไม้กายสิทธิ์",</v>
      </c>
      <c r="S118" s="19" t="s">
        <v>7672</v>
      </c>
      <c r="T118" s="11" t="str">
        <f>_xlfn.CONCAT("        Wands = """, S118, """,")</f>
        <v xml:space="preserve">        Wands = "法杖",</v>
      </c>
      <c r="V118" s="1" t="s">
        <v>526</v>
      </c>
    </row>
    <row r="119" spans="1:22" ht="15.95" customHeight="1" x14ac:dyDescent="0.25">
      <c r="A119" s="19" t="str">
        <f>'1H Sword'!B4</f>
        <v>One Hand Swords</v>
      </c>
      <c r="B119" s="11" t="str">
        <f>_xlfn.CONCAT("        OneHandSwords = """, A119, """,")</f>
        <v xml:space="preserve">        OneHandSwords = "One Hand Swords",</v>
      </c>
      <c r="C119" s="19" t="str">
        <f>'1H Sword'!D4</f>
        <v>Einhandschwerter</v>
      </c>
      <c r="D119" s="11" t="str">
        <f>_xlfn.CONCAT("        OneHandSwords = """, C119, """,")</f>
        <v xml:space="preserve">        OneHandSwords = "Einhandschwerter",</v>
      </c>
      <c r="E119" s="19" t="str">
        <f>'1H Sword'!F4</f>
        <v>Espadas a una mano</v>
      </c>
      <c r="F119" s="11" t="str">
        <f>_xlfn.CONCAT("        OneHandSwords = """, E119, """,")</f>
        <v xml:space="preserve">        OneHandSwords = "Espadas a una mano",</v>
      </c>
      <c r="G119" s="19" t="str">
        <f>'1H Sword'!H4</f>
        <v>Épées à une main</v>
      </c>
      <c r="H119" s="11" t="str">
        <f>_xlfn.CONCAT("        OneHandSwords = """, G119, """,")</f>
        <v xml:space="preserve">        OneHandSwords = "Épées à une main",</v>
      </c>
      <c r="I119" s="19" t="str">
        <f>'1H Sword'!J4</f>
        <v>片手剣</v>
      </c>
      <c r="J119" s="11" t="str">
        <f>_xlfn.CONCAT("        OneHandSwords = """, I119, """,")</f>
        <v xml:space="preserve">        OneHandSwords = "片手剣",</v>
      </c>
      <c r="K119" s="19" t="str">
        <f>'1H Sword'!L4</f>
        <v>한손 검</v>
      </c>
      <c r="L119" s="11" t="str">
        <f>_xlfn.CONCAT("        OneHandSwords = """, K119, """,")</f>
        <v xml:space="preserve">        OneHandSwords = "한손 검",</v>
      </c>
      <c r="M119" s="19" t="str">
        <f>'1H Sword'!N4</f>
        <v>Espadas de Uma Mão</v>
      </c>
      <c r="N119" s="11" t="str">
        <f>_xlfn.CONCAT("        OneHandSwords = """, M119, """,")</f>
        <v xml:space="preserve">        OneHandSwords = "Espadas de Uma Mão",</v>
      </c>
      <c r="O119" s="19" t="str">
        <f>'1H Sword'!P4</f>
        <v>Одноручные мечи</v>
      </c>
      <c r="P119" s="11" t="str">
        <f>_xlfn.CONCAT("        OneHandSwords = """, O119, """,")</f>
        <v xml:space="preserve">        OneHandSwords = "Одноручные мечи",</v>
      </c>
      <c r="Q119" s="19" t="str">
        <f>'1H Sword'!R4</f>
        <v>ดาบมือเดียว</v>
      </c>
      <c r="R119" s="11" t="str">
        <f>_xlfn.CONCAT("        OneHandSwords = """, Q119, """,")</f>
        <v xml:space="preserve">        OneHandSwords = "ดาบมือเดียว",</v>
      </c>
      <c r="S119" s="19" t="s">
        <v>7673</v>
      </c>
      <c r="T119" s="11" t="str">
        <f>_xlfn.CONCAT("        OneHandSwords = """, S119, """,")</f>
        <v xml:space="preserve">        OneHandSwords = "單手劍",</v>
      </c>
      <c r="V119" s="1" t="s">
        <v>527</v>
      </c>
    </row>
    <row r="120" spans="1:22" ht="15.95" customHeight="1" x14ac:dyDescent="0.25">
      <c r="A120" s="19" t="str">
        <f>'1H Thrusting Sword'!B4</f>
        <v>Thrusting One Hand Swords</v>
      </c>
      <c r="B120" s="11" t="str">
        <f>_xlfn.CONCAT("        ThrustingOneHandSwords = """, A120, """,")</f>
        <v xml:space="preserve">        ThrustingOneHandSwords = "Thrusting One Hand Swords",</v>
      </c>
      <c r="C120" s="19" t="str">
        <f>'1H Thrusting Sword'!D4</f>
        <v>Einhandstichschwerter</v>
      </c>
      <c r="D120" s="11" t="str">
        <f>_xlfn.CONCAT("        ThrustingOneHandSwords = """, C120, """,")</f>
        <v xml:space="preserve">        ThrustingOneHandSwords = "Einhandstichschwerter",</v>
      </c>
      <c r="E120" s="19" t="str">
        <f>'1H Thrusting Sword'!F4</f>
        <v>Espadas agresivas a una mano</v>
      </c>
      <c r="F120" s="11" t="str">
        <f>_xlfn.CONCAT("        ThrustingOneHandSwords = """, E120, """,")</f>
        <v xml:space="preserve">        ThrustingOneHandSwords = "Espadas agresivas a una mano",</v>
      </c>
      <c r="G120" s="19" t="str">
        <f>'1H Thrusting Sword'!H4</f>
        <v>Épées d'estoc à une main</v>
      </c>
      <c r="H120" s="11" t="str">
        <f>_xlfn.CONCAT("        ThrustingOneHandSwords = """, G120, """,")</f>
        <v xml:space="preserve">        ThrustingOneHandSwords = "Épées d'estoc à une main",</v>
      </c>
      <c r="I120" s="19" t="str">
        <f>'1H Thrusting Sword'!J4</f>
        <v>刺突剣</v>
      </c>
      <c r="J120" s="11" t="str">
        <f>_xlfn.CONCAT("        ThrustingOneHandSwords = """, I120, """,")</f>
        <v xml:space="preserve">        ThrustingOneHandSwords = "刺突剣",</v>
      </c>
      <c r="K120" s="19" t="str">
        <f>'1H Thrusting Sword'!L4</f>
        <v>날카로운 한손 검</v>
      </c>
      <c r="L120" s="11" t="str">
        <f>_xlfn.CONCAT("        ThrustingOneHandSwords = """, K120, """,")</f>
        <v xml:space="preserve">        ThrustingOneHandSwords = "날카로운 한손 검",</v>
      </c>
      <c r="M120" s="19" t="str">
        <f>'1H Thrusting Sword'!N4</f>
        <v>Espadas de Estocada de Uma Mão</v>
      </c>
      <c r="N120" s="11" t="str">
        <f>_xlfn.CONCAT("        ThrustingOneHandSwords = """, M120, """,")</f>
        <v xml:space="preserve">        ThrustingOneHandSwords = "Espadas de Estocada de Uma Mão",</v>
      </c>
      <c r="O120" s="19" t="str">
        <f>'1H Thrusting Sword'!P4</f>
        <v>Шпаги</v>
      </c>
      <c r="P120" s="11" t="str">
        <f>_xlfn.CONCAT("        ThrustingOneHandSwords = """, O120, """,")</f>
        <v xml:space="preserve">        ThrustingOneHandSwords = "Шпаги",</v>
      </c>
      <c r="Q120" s="19" t="str">
        <f>'1H Thrusting Sword'!R4</f>
        <v>ดาบแทง</v>
      </c>
      <c r="R120" s="11" t="str">
        <f>_xlfn.CONCAT("        ThrustingOneHandSwords = """, Q120, """,")</f>
        <v xml:space="preserve">        ThrustingOneHandSwords = "ดาบแทง",</v>
      </c>
      <c r="S120" s="19" t="s">
        <v>7674</v>
      </c>
      <c r="T120" s="11" t="str">
        <f>_xlfn.CONCAT("        ThrustingOneHandSwords = """, S120, """,")</f>
        <v xml:space="preserve">        ThrustingOneHandSwords = "細劍",</v>
      </c>
      <c r="V120" s="1" t="s">
        <v>528</v>
      </c>
    </row>
    <row r="121" spans="1:22" ht="15.95" customHeight="1" x14ac:dyDescent="0.25">
      <c r="A121" s="19" t="str">
        <f>'1H Axe'!B4</f>
        <v>One Hand Axes</v>
      </c>
      <c r="B121" s="11" t="str">
        <f>_xlfn.CONCAT("        OneHandAxes = """, A121, """,")</f>
        <v xml:space="preserve">        OneHandAxes = "One Hand Axes",</v>
      </c>
      <c r="C121" s="19" t="str">
        <f>'1H Axe'!D4</f>
        <v>Einhandäxte</v>
      </c>
      <c r="D121" s="11" t="str">
        <f>_xlfn.CONCAT("        OneHandAxes = """, C121, """,")</f>
        <v xml:space="preserve">        OneHandAxes = "Einhandäxte",</v>
      </c>
      <c r="E121" s="19" t="str">
        <f>'1H Axe'!F4</f>
        <v>Hachas a una mano</v>
      </c>
      <c r="F121" s="11" t="str">
        <f>_xlfn.CONCAT("        OneHandAxes = """, E121, """,")</f>
        <v xml:space="preserve">        OneHandAxes = "Hachas a una mano",</v>
      </c>
      <c r="G121" s="19" t="str">
        <f>'1H Axe'!H4</f>
        <v>Haches à une main</v>
      </c>
      <c r="H121" s="11" t="str">
        <f>_xlfn.CONCAT("        OneHandAxes = """, G121, """,")</f>
        <v xml:space="preserve">        OneHandAxes = "Haches à une main",</v>
      </c>
      <c r="I121" s="19" t="str">
        <f>'1H Axe'!J4</f>
        <v>片手斧</v>
      </c>
      <c r="J121" s="11" t="str">
        <f>_xlfn.CONCAT("        OneHandAxes = """, I121, """,")</f>
        <v xml:space="preserve">        OneHandAxes = "片手斧",</v>
      </c>
      <c r="K121" s="19" t="str">
        <f>'1H Axe'!L4</f>
        <v>한손 도끼</v>
      </c>
      <c r="L121" s="11" t="str">
        <f>_xlfn.CONCAT("        OneHandAxes = """, K121, """,")</f>
        <v xml:space="preserve">        OneHandAxes = "한손 도끼",</v>
      </c>
      <c r="M121" s="19" t="str">
        <f>'1H Axe'!N4</f>
        <v>Machados de Uma Mão</v>
      </c>
      <c r="N121" s="11" t="str">
        <f>_xlfn.CONCAT("        OneHandAxes = """, M121, """,")</f>
        <v xml:space="preserve">        OneHandAxes = "Machados de Uma Mão",</v>
      </c>
      <c r="O121" s="19" t="str">
        <f>'1H Axe'!P4</f>
        <v>Одноручные топоры</v>
      </c>
      <c r="P121" s="11" t="str">
        <f>_xlfn.CONCAT("        OneHandAxes = """, O121, """,")</f>
        <v xml:space="preserve">        OneHandAxes = "Одноручные топоры",</v>
      </c>
      <c r="Q121" s="19" t="str">
        <f>'1H Axe'!R4</f>
        <v>ขวานมือเดียว</v>
      </c>
      <c r="R121" s="11" t="str">
        <f>_xlfn.CONCAT("        OneHandAxes = """, Q121, """,")</f>
        <v xml:space="preserve">        OneHandAxes = "ขวานมือเดียว",</v>
      </c>
      <c r="S121" s="19" t="s">
        <v>7675</v>
      </c>
      <c r="T121" s="11" t="str">
        <f>_xlfn.CONCAT("        OneHandAxes = """, S121, """,")</f>
        <v xml:space="preserve">        OneHandAxes = "單手斧",</v>
      </c>
      <c r="V121" s="1" t="s">
        <v>529</v>
      </c>
    </row>
    <row r="122" spans="1:22" ht="15.95" customHeight="1" x14ac:dyDescent="0.25">
      <c r="A122" s="19" t="str">
        <f>'1H Mace'!B4</f>
        <v>One Hand Maces</v>
      </c>
      <c r="B122" s="11" t="str">
        <f>_xlfn.CONCAT("        OneHandMaces = """, A122, """,")</f>
        <v xml:space="preserve">        OneHandMaces = "One Hand Maces",</v>
      </c>
      <c r="C122" s="19" t="str">
        <f>'1H Mace'!D4</f>
        <v>Einhandstreitkolben</v>
      </c>
      <c r="D122" s="11" t="str">
        <f>_xlfn.CONCAT("        OneHandMaces = """, C122, """,")</f>
        <v xml:space="preserve">        OneHandMaces = "Einhandstreitkolben",</v>
      </c>
      <c r="E122" s="19" t="str">
        <f>'1H Mace'!F4</f>
        <v>Mazas a una mano</v>
      </c>
      <c r="F122" s="11" t="str">
        <f>_xlfn.CONCAT("        OneHandMaces = """, E122, """,")</f>
        <v xml:space="preserve">        OneHandMaces = "Mazas a una mano",</v>
      </c>
      <c r="G122" s="19" t="str">
        <f>'1H Mace'!H4</f>
        <v>Masses à une main</v>
      </c>
      <c r="H122" s="11" t="str">
        <f>_xlfn.CONCAT("        OneHandMaces = """, G122, """,")</f>
        <v xml:space="preserve">        OneHandMaces = "Masses à une main",</v>
      </c>
      <c r="I122" s="19" t="str">
        <f>'1H Mace'!J4</f>
        <v>片手メイス</v>
      </c>
      <c r="J122" s="11" t="str">
        <f>_xlfn.CONCAT("        OneHandMaces = """, I122, """,")</f>
        <v xml:space="preserve">        OneHandMaces = "片手メイス",</v>
      </c>
      <c r="K122" s="19" t="str">
        <f>'1H Mace'!L4</f>
        <v>한손 철퇴</v>
      </c>
      <c r="L122" s="11" t="str">
        <f>_xlfn.CONCAT("        OneHandMaces = """, K122, """,")</f>
        <v xml:space="preserve">        OneHandMaces = "한손 철퇴",</v>
      </c>
      <c r="M122" s="19" t="str">
        <f>'1H Mace'!N4</f>
        <v>Maças de Uma Mão</v>
      </c>
      <c r="N122" s="11" t="str">
        <f>_xlfn.CONCAT("        OneHandMaces = """, M122, """,")</f>
        <v xml:space="preserve">        OneHandMaces = "Maças de Uma Mão",</v>
      </c>
      <c r="O122" s="19" t="str">
        <f>'1H Mace'!P4</f>
        <v>Одноручные булавы</v>
      </c>
      <c r="P122" s="11" t="str">
        <f>_xlfn.CONCAT("        OneHandMaces = """, O122, """,")</f>
        <v xml:space="preserve">        OneHandMaces = "Одноручные булавы",</v>
      </c>
      <c r="Q122" s="19" t="str">
        <f>'1H Mace'!R4</f>
        <v>กระบองมือเดียว</v>
      </c>
      <c r="R122" s="11" t="str">
        <f>_xlfn.CONCAT("        OneHandMaces = """, Q122, """,")</f>
        <v xml:space="preserve">        OneHandMaces = "กระบองมือเดียว",</v>
      </c>
      <c r="S122" s="19" t="s">
        <v>7676</v>
      </c>
      <c r="T122" s="11" t="str">
        <f>_xlfn.CONCAT("        OneHandMaces = """, S122, """,")</f>
        <v xml:space="preserve">        OneHandMaces = "單手錘",</v>
      </c>
      <c r="V122" s="1" t="s">
        <v>530</v>
      </c>
    </row>
    <row r="123" spans="1:22" ht="15.95" customHeight="1" x14ac:dyDescent="0.25">
      <c r="A123" s="19" t="str">
        <f>Bow!B4</f>
        <v>Bows</v>
      </c>
      <c r="B123" s="11" t="str">
        <f>_xlfn.CONCAT("        Bows = """, A123, """,")</f>
        <v xml:space="preserve">        Bows = "Bows",</v>
      </c>
      <c r="C123" s="19" t="str">
        <f>Bow!D4</f>
        <v>Bögen</v>
      </c>
      <c r="D123" s="11" t="str">
        <f>_xlfn.CONCAT("        Bows = """, C123, """,")</f>
        <v xml:space="preserve">        Bows = "Bögen",</v>
      </c>
      <c r="E123" s="19" t="str">
        <f>Bow!F4</f>
        <v>Arcos</v>
      </c>
      <c r="F123" s="11" t="str">
        <f>_xlfn.CONCAT("        Bows = """, E123, """,")</f>
        <v xml:space="preserve">        Bows = "Arcos",</v>
      </c>
      <c r="G123" s="19" t="str">
        <f>Bow!H4</f>
        <v>Arcs</v>
      </c>
      <c r="H123" s="11" t="str">
        <f>_xlfn.CONCAT("        Bows = """, G123, """,")</f>
        <v xml:space="preserve">        Bows = "Arcs",</v>
      </c>
      <c r="I123" s="19" t="str">
        <f>Bow!J4</f>
        <v>弓</v>
      </c>
      <c r="J123" s="11" t="str">
        <f>_xlfn.CONCAT("        Bows = """, I123, """,")</f>
        <v xml:space="preserve">        Bows = "弓",</v>
      </c>
      <c r="K123" s="19" t="str">
        <f>Bow!L4</f>
        <v>활</v>
      </c>
      <c r="L123" s="11" t="str">
        <f>_xlfn.CONCAT("        Bows = """, K123, """,")</f>
        <v xml:space="preserve">        Bows = "활",</v>
      </c>
      <c r="M123" s="19" t="str">
        <f>Bow!N4</f>
        <v>Arcos</v>
      </c>
      <c r="N123" s="11" t="str">
        <f>_xlfn.CONCAT("        Bows = """, M123, """,")</f>
        <v xml:space="preserve">        Bows = "Arcos",</v>
      </c>
      <c r="O123" s="19" t="str">
        <f>Bow!P4</f>
        <v>Луки</v>
      </c>
      <c r="P123" s="11" t="str">
        <f>_xlfn.CONCAT("        Bows = """, O123, """,")</f>
        <v xml:space="preserve">        Bows = "Луки",</v>
      </c>
      <c r="Q123" s="19" t="str">
        <f>Bow!R4</f>
        <v>ธนู</v>
      </c>
      <c r="R123" s="11" t="str">
        <f>_xlfn.CONCAT("        Bows = """, Q123, """,")</f>
        <v xml:space="preserve">        Bows = "ธนู",</v>
      </c>
      <c r="S123" s="19" t="s">
        <v>3254</v>
      </c>
      <c r="T123" s="11" t="str">
        <f>_xlfn.CONCAT("        Bows = """, S123, """,")</f>
        <v xml:space="preserve">        Bows = "弓",</v>
      </c>
      <c r="V123" s="1" t="s">
        <v>531</v>
      </c>
    </row>
    <row r="124" spans="1:22" ht="15.95" customHeight="1" x14ac:dyDescent="0.25">
      <c r="A124" s="19" t="str">
        <f>Crossbow!B4</f>
        <v>Crossbows</v>
      </c>
      <c r="B124" s="11" t="str">
        <f>_xlfn.CONCAT("        Crossbows = """, A124, """,")</f>
        <v xml:space="preserve">        Crossbows = "Crossbows",</v>
      </c>
      <c r="C124" s="19" t="str">
        <f>Crossbow!D4</f>
        <v>Armbrüste</v>
      </c>
      <c r="D124" s="11" t="str">
        <f>_xlfn.CONCAT("        Crossbows = """, C124, """,")</f>
        <v xml:space="preserve">        Crossbows = "Armbrüste",</v>
      </c>
      <c r="E124" s="19" t="str">
        <f>Crossbow!F4</f>
        <v>Ballestas</v>
      </c>
      <c r="F124" s="11" t="str">
        <f>_xlfn.CONCAT("        Crossbows = """, E124, """,")</f>
        <v xml:space="preserve">        Crossbows = "Ballestas",</v>
      </c>
      <c r="G124" s="19" t="str">
        <f>Crossbow!H4</f>
        <v>Arbalètes</v>
      </c>
      <c r="H124" s="11" t="str">
        <f>_xlfn.CONCAT("        Crossbows = """, G124, """,")</f>
        <v xml:space="preserve">        Crossbows = "Arbalètes",</v>
      </c>
      <c r="I124" s="19" t="str">
        <f>Crossbow!J4</f>
        <v>クロスボウ</v>
      </c>
      <c r="J124" s="11" t="str">
        <f>_xlfn.CONCAT("        Crossbows = """, I124, """,")</f>
        <v xml:space="preserve">        Crossbows = "クロスボウ",</v>
      </c>
      <c r="K124" s="19" t="str">
        <f>Crossbow!L4</f>
        <v>쇠뇌</v>
      </c>
      <c r="L124" s="11" t="str">
        <f>_xlfn.CONCAT("        Crossbows = """, K124, """,")</f>
        <v xml:space="preserve">        Crossbows = "쇠뇌",</v>
      </c>
      <c r="M124" s="19" t="str">
        <f>Crossbow!N4</f>
        <v>Bestas</v>
      </c>
      <c r="N124" s="11" t="str">
        <f>_xlfn.CONCAT("        Crossbows = """, M124, """,")</f>
        <v xml:space="preserve">        Crossbows = "Bestas",</v>
      </c>
      <c r="O124" s="19" t="str">
        <f>Crossbow!P4</f>
        <v>Самострелы</v>
      </c>
      <c r="P124" s="11" t="str">
        <f>_xlfn.CONCAT("        Crossbows = """, O124, """,")</f>
        <v xml:space="preserve">        Crossbows = "Самострелы",</v>
      </c>
      <c r="Q124" s="19" t="str">
        <f>Crossbow!R4</f>
        <v>หน้าไม้</v>
      </c>
      <c r="R124" s="11" t="str">
        <f>_xlfn.CONCAT("        Crossbows = """, Q124, """,")</f>
        <v xml:space="preserve">        Crossbows = "หน้าไม้",</v>
      </c>
      <c r="S124" s="19" t="str">
        <f>Crossbow!T4</f>
        <v>十字弓</v>
      </c>
      <c r="T124" s="11" t="str">
        <f>_xlfn.CONCAT("        Crossbows = """, S124, """,")</f>
        <v xml:space="preserve">        Crossbows = "十字弓",</v>
      </c>
      <c r="V124" s="1" t="s">
        <v>6771</v>
      </c>
    </row>
    <row r="125" spans="1:22" ht="15.95" customHeight="1" x14ac:dyDescent="0.25">
      <c r="A125" s="19" t="str">
        <f>Staff!B4</f>
        <v>Staves</v>
      </c>
      <c r="B125" s="11" t="str">
        <f>_xlfn.CONCAT("        Staves = """, A125, """,")</f>
        <v xml:space="preserve">        Staves = "Staves",</v>
      </c>
      <c r="C125" s="19" t="str">
        <f>Staff!D4</f>
        <v>Stäbe</v>
      </c>
      <c r="D125" s="11" t="str">
        <f>_xlfn.CONCAT("        Staves = """, C125, """,")</f>
        <v xml:space="preserve">        Staves = "Stäbe",</v>
      </c>
      <c r="E125" s="19" t="str">
        <f>Staff!F4</f>
        <v>Báculos</v>
      </c>
      <c r="F125" s="11" t="str">
        <f>_xlfn.CONCAT("        Staves = """, E125, """,")</f>
        <v xml:space="preserve">        Staves = "Báculos",</v>
      </c>
      <c r="G125" s="19" t="str">
        <f>Staff!H4</f>
        <v>Bâtons</v>
      </c>
      <c r="H125" s="11" t="str">
        <f>_xlfn.CONCAT("        Staves = """, G125, """,")</f>
        <v xml:space="preserve">        Staves = "Bâtons",</v>
      </c>
      <c r="I125" s="19" t="str">
        <f>Staff!J4</f>
        <v>スタッフ</v>
      </c>
      <c r="J125" s="11" t="str">
        <f>_xlfn.CONCAT("        Staves = """, I125, """,")</f>
        <v xml:space="preserve">        Staves = "スタッフ",</v>
      </c>
      <c r="K125" s="19" t="str">
        <f>Staff!L4</f>
        <v>지팡이</v>
      </c>
      <c r="L125" s="11" t="str">
        <f>_xlfn.CONCAT("        Staves = """, K125, """,")</f>
        <v xml:space="preserve">        Staves = "지팡이",</v>
      </c>
      <c r="M125" s="19" t="str">
        <f>Staff!N4</f>
        <v>Cajados</v>
      </c>
      <c r="N125" s="11" t="str">
        <f>_xlfn.CONCAT("        Staves = """, M125, """,")</f>
        <v xml:space="preserve">        Staves = "Cajados",</v>
      </c>
      <c r="O125" s="19" t="str">
        <f>Staff!P4</f>
        <v>Посохи</v>
      </c>
      <c r="P125" s="11" t="str">
        <f>_xlfn.CONCAT("        Staves = """, O125, """,")</f>
        <v xml:space="preserve">        Staves = "Посохи",</v>
      </c>
      <c r="Q125" s="19" t="str">
        <f>Staff!R4</f>
        <v>ไม้พลอง</v>
      </c>
      <c r="R125" s="11" t="str">
        <f>_xlfn.CONCAT("        Staves = """, Q125, """,")</f>
        <v xml:space="preserve">        Staves = "ไม้พลอง",</v>
      </c>
      <c r="S125" s="19" t="s">
        <v>7677</v>
      </c>
      <c r="T125" s="11" t="str">
        <f>_xlfn.CONCAT("        Staves = """, S125, """,")</f>
        <v xml:space="preserve">        Staves = "長杖",</v>
      </c>
      <c r="V125" s="1" t="s">
        <v>532</v>
      </c>
    </row>
    <row r="126" spans="1:22" ht="15.95" customHeight="1" x14ac:dyDescent="0.25">
      <c r="A126" s="19" t="str">
        <f>'2H Sword'!B4</f>
        <v>Two Hand Swords</v>
      </c>
      <c r="B126" s="11" t="str">
        <f>_xlfn.CONCAT("        TwoHandSwords = """, A126, """,")</f>
        <v xml:space="preserve">        TwoHandSwords = "Two Hand Swords",</v>
      </c>
      <c r="C126" s="19" t="str">
        <f>'2H Sword'!D4</f>
        <v>Zweihandschwerter</v>
      </c>
      <c r="D126" s="11" t="str">
        <f>_xlfn.CONCAT("        TwoHandSwords = """, C126, """,")</f>
        <v xml:space="preserve">        TwoHandSwords = "Zweihandschwerter",</v>
      </c>
      <c r="E126" s="19" t="str">
        <f>'2H Sword'!F4</f>
        <v>Espadas a dos manos</v>
      </c>
      <c r="F126" s="11" t="str">
        <f>_xlfn.CONCAT("        TwoHandSwords = """, E126, """,")</f>
        <v xml:space="preserve">        TwoHandSwords = "Espadas a dos manos",</v>
      </c>
      <c r="G126" s="19" t="str">
        <f>'2H Sword'!H4</f>
        <v>Épées à deux mains</v>
      </c>
      <c r="H126" s="11" t="str">
        <f>_xlfn.CONCAT("        TwoHandSwords = """, G126, """,")</f>
        <v xml:space="preserve">        TwoHandSwords = "Épées à deux mains",</v>
      </c>
      <c r="I126" s="19" t="str">
        <f>'2H Sword'!J4</f>
        <v>両手剣</v>
      </c>
      <c r="J126" s="11" t="str">
        <f>_xlfn.CONCAT("        TwoHandSwords = """, I126, """,")</f>
        <v xml:space="preserve">        TwoHandSwords = "両手剣",</v>
      </c>
      <c r="K126" s="19" t="str">
        <f>'2H Sword'!L4</f>
        <v>양손 검</v>
      </c>
      <c r="L126" s="11" t="str">
        <f>_xlfn.CONCAT("        TwoHandSwords = """, K126, """,")</f>
        <v xml:space="preserve">        TwoHandSwords = "양손 검",</v>
      </c>
      <c r="M126" s="19" t="str">
        <f>'2H Sword'!N4</f>
        <v>Espadas de Duas Mãos</v>
      </c>
      <c r="N126" s="11" t="str">
        <f>_xlfn.CONCAT("        TwoHandSwords = """, M126, """,")</f>
        <v xml:space="preserve">        TwoHandSwords = "Espadas de Duas Mãos",</v>
      </c>
      <c r="O126" s="19" t="str">
        <f>'2H Sword'!P4</f>
        <v>Двуручные мечи</v>
      </c>
      <c r="P126" s="11" t="str">
        <f>_xlfn.CONCAT("        TwoHandSwords = """, O126, """,")</f>
        <v xml:space="preserve">        TwoHandSwords = "Двуручные мечи",</v>
      </c>
      <c r="Q126" s="19" t="str">
        <f>'2H Sword'!R4</f>
        <v>ดาบสองมือ</v>
      </c>
      <c r="R126" s="11" t="str">
        <f>_xlfn.CONCAT("        TwoHandSwords = """, Q126, """,")</f>
        <v xml:space="preserve">        TwoHandSwords = "ดาบสองมือ",</v>
      </c>
      <c r="S126" s="19" t="s">
        <v>7678</v>
      </c>
      <c r="T126" s="11" t="str">
        <f>_xlfn.CONCAT("        TwoHandSwords = """, S126, """,")</f>
        <v xml:space="preserve">        TwoHandSwords = "雙手劍",</v>
      </c>
      <c r="V126" s="1" t="s">
        <v>533</v>
      </c>
    </row>
    <row r="127" spans="1:22" ht="15.95" customHeight="1" x14ac:dyDescent="0.25">
      <c r="A127" s="19" t="str">
        <f>'2H Axe'!B4</f>
        <v>Two Hand Axes</v>
      </c>
      <c r="B127" s="11" t="str">
        <f>_xlfn.CONCAT("        TwoHandAxes = """, A127, """,")</f>
        <v xml:space="preserve">        TwoHandAxes = "Two Hand Axes",</v>
      </c>
      <c r="C127" s="19" t="str">
        <f>'2H Axe'!D4</f>
        <v>Zweihandäxte</v>
      </c>
      <c r="D127" s="11" t="str">
        <f>_xlfn.CONCAT("        TwoHandAxes = """, C127, """,")</f>
        <v xml:space="preserve">        TwoHandAxes = "Zweihandäxte",</v>
      </c>
      <c r="E127" s="19" t="str">
        <f>'2H Axe'!F4</f>
        <v>Hachas a dos manos</v>
      </c>
      <c r="F127" s="11" t="str">
        <f>_xlfn.CONCAT("        TwoHandAxes = """, E127, """,")</f>
        <v xml:space="preserve">        TwoHandAxes = "Hachas a dos manos",</v>
      </c>
      <c r="G127" s="19" t="str">
        <f>'2H Axe'!H4</f>
        <v>Haches à deux mains</v>
      </c>
      <c r="H127" s="11" t="str">
        <f>_xlfn.CONCAT("        TwoHandAxes = """, G127, """,")</f>
        <v xml:space="preserve">        TwoHandAxes = "Haches à deux mains",</v>
      </c>
      <c r="I127" s="19" t="str">
        <f>'2H Axe'!J4</f>
        <v>両手斧</v>
      </c>
      <c r="J127" s="11" t="str">
        <f>_xlfn.CONCAT("        TwoHandAxes = """, I127, """,")</f>
        <v xml:space="preserve">        TwoHandAxes = "両手斧",</v>
      </c>
      <c r="K127" s="19" t="str">
        <f>'2H Axe'!L4</f>
        <v>양손 도끼</v>
      </c>
      <c r="L127" s="11" t="str">
        <f>_xlfn.CONCAT("        TwoHandAxes = """, K127, """,")</f>
        <v xml:space="preserve">        TwoHandAxes = "양손 도끼",</v>
      </c>
      <c r="M127" s="19" t="str">
        <f>'2H Axe'!N4</f>
        <v>Machados de Duas Mãos</v>
      </c>
      <c r="N127" s="11" t="str">
        <f>_xlfn.CONCAT("        TwoHandAxes = """, M127, """,")</f>
        <v xml:space="preserve">        TwoHandAxes = "Machados de Duas Mãos",</v>
      </c>
      <c r="O127" s="19" t="str">
        <f>'2H Axe'!P4</f>
        <v>Двуручные топоры</v>
      </c>
      <c r="P127" s="11" t="str">
        <f>_xlfn.CONCAT("        TwoHandAxes = """, O127, """,")</f>
        <v xml:space="preserve">        TwoHandAxes = "Двуручные топоры",</v>
      </c>
      <c r="Q127" s="19" t="str">
        <f>'2H Axe'!R4</f>
        <v>ขวานสองมือ</v>
      </c>
      <c r="R127" s="11" t="str">
        <f>_xlfn.CONCAT("        TwoHandAxes = """, Q127, """,")</f>
        <v xml:space="preserve">        TwoHandAxes = "ขวานสองมือ",</v>
      </c>
      <c r="S127" s="19" t="s">
        <v>7679</v>
      </c>
      <c r="T127" s="11" t="str">
        <f>_xlfn.CONCAT("        TwoHandAxes = """, S127, """,")</f>
        <v xml:space="preserve">        TwoHandAxes = "雙手斧",</v>
      </c>
      <c r="V127" s="1" t="s">
        <v>534</v>
      </c>
    </row>
    <row r="128" spans="1:22" ht="15.95" customHeight="1" x14ac:dyDescent="0.25">
      <c r="A128" s="19" t="str">
        <f>'2H Mace'!B4</f>
        <v>Two Hand Maces</v>
      </c>
      <c r="B128" s="11" t="str">
        <f>_xlfn.CONCAT("        TwoHandMaces = """, A128, """,")</f>
        <v xml:space="preserve">        TwoHandMaces = "Two Hand Maces",</v>
      </c>
      <c r="C128" s="19" t="str">
        <f>'2H Mace'!D4</f>
        <v>Zweihandstreitkolben</v>
      </c>
      <c r="D128" s="11" t="str">
        <f>_xlfn.CONCAT("        TwoHandMaces = """, C128, """,")</f>
        <v xml:space="preserve">        TwoHandMaces = "Zweihandstreitkolben",</v>
      </c>
      <c r="E128" s="19" t="str">
        <f>'2H Mace'!F4</f>
        <v>Mazas a dos manos</v>
      </c>
      <c r="F128" s="11" t="str">
        <f>_xlfn.CONCAT("        TwoHandMaces = """, E128, """,")</f>
        <v xml:space="preserve">        TwoHandMaces = "Mazas a dos manos",</v>
      </c>
      <c r="G128" s="19" t="str">
        <f>'2H Mace'!H4</f>
        <v>Masses à deux mains</v>
      </c>
      <c r="H128" s="11" t="str">
        <f>_xlfn.CONCAT("        TwoHandMaces = """, G128, """,")</f>
        <v xml:space="preserve">        TwoHandMaces = "Masses à deux mains",</v>
      </c>
      <c r="I128" s="19" t="str">
        <f>'2H Mace'!J4</f>
        <v>両手メイス</v>
      </c>
      <c r="J128" s="11" t="str">
        <f>_xlfn.CONCAT("        TwoHandMaces = """, I128, """,")</f>
        <v xml:space="preserve">        TwoHandMaces = "両手メイス",</v>
      </c>
      <c r="K128" s="19" t="str">
        <f>'2H Mace'!L4</f>
        <v>양손 철퇴</v>
      </c>
      <c r="L128" s="11" t="str">
        <f>_xlfn.CONCAT("        TwoHandMaces = """, K128, """,")</f>
        <v xml:space="preserve">        TwoHandMaces = "양손 철퇴",</v>
      </c>
      <c r="M128" s="19" t="str">
        <f>'2H Mace'!N4</f>
        <v>Maças de Duas Mãos</v>
      </c>
      <c r="N128" s="11" t="str">
        <f>_xlfn.CONCAT("        TwoHandMaces = """, M128, """,")</f>
        <v xml:space="preserve">        TwoHandMaces = "Maças de Duas Mãos",</v>
      </c>
      <c r="O128" s="19" t="str">
        <f>'2H Mace'!P4</f>
        <v>Двуручные булавы</v>
      </c>
      <c r="P128" s="11" t="str">
        <f>_xlfn.CONCAT("        TwoHandMaces = """, O128, """,")</f>
        <v xml:space="preserve">        TwoHandMaces = "Двуручные булавы",</v>
      </c>
      <c r="Q128" s="19" t="str">
        <f>'2H Mace'!R4</f>
        <v>กระบองสองมือ</v>
      </c>
      <c r="R128" s="11" t="str">
        <f>_xlfn.CONCAT("        TwoHandMaces = """, Q128, """,")</f>
        <v xml:space="preserve">        TwoHandMaces = "กระบองสองมือ",</v>
      </c>
      <c r="S128" s="19" t="s">
        <v>7680</v>
      </c>
      <c r="T128" s="11" t="str">
        <f>_xlfn.CONCAT("        TwoHandMaces = """, S128, """,")</f>
        <v xml:space="preserve">        TwoHandMaces = "雙手錘",</v>
      </c>
      <c r="V128" s="1" t="s">
        <v>535</v>
      </c>
    </row>
    <row r="129" spans="1:22" ht="15.95" customHeight="1" x14ac:dyDescent="0.25">
      <c r="A129" s="19" t="str">
        <f>Sceptre!B4</f>
        <v>Sceptres</v>
      </c>
      <c r="B129" s="11" t="str">
        <f>_xlfn.CONCAT("        Sceptres = """, A129, """,")</f>
        <v xml:space="preserve">        Sceptres = "Sceptres",</v>
      </c>
      <c r="C129" s="19" t="str">
        <f>Sceptre!D4</f>
        <v>Zepter</v>
      </c>
      <c r="D129" s="11" t="str">
        <f>_xlfn.CONCAT("        Sceptres = """, C129, """,")</f>
        <v xml:space="preserve">        Sceptres = "Zepter",</v>
      </c>
      <c r="E129" s="19" t="str">
        <f>Sceptre!F4</f>
        <v>Cetros</v>
      </c>
      <c r="F129" s="11" t="str">
        <f>_xlfn.CONCAT("        Sceptres = """, E129, """,")</f>
        <v xml:space="preserve">        Sceptres = "Cetros",</v>
      </c>
      <c r="G129" s="19" t="str">
        <f>Sceptre!H4</f>
        <v>Sceptres</v>
      </c>
      <c r="H129" s="11" t="str">
        <f>_xlfn.CONCAT("        Sceptres = """, G129, """,")</f>
        <v xml:space="preserve">        Sceptres = "Sceptres",</v>
      </c>
      <c r="I129" s="19" t="str">
        <f>Sceptre!J4</f>
        <v>セプター</v>
      </c>
      <c r="J129" s="11" t="str">
        <f>_xlfn.CONCAT("        Sceptres = """, I129, """,")</f>
        <v xml:space="preserve">        Sceptres = "セプター",</v>
      </c>
      <c r="K129" s="19" t="str">
        <f>Sceptre!L4</f>
        <v>셉터</v>
      </c>
      <c r="L129" s="11" t="str">
        <f>_xlfn.CONCAT("        Sceptres = """, K129, """,")</f>
        <v xml:space="preserve">        Sceptres = "셉터",</v>
      </c>
      <c r="M129" s="19" t="str">
        <f>Sceptre!N4</f>
        <v>Cetros</v>
      </c>
      <c r="N129" s="11" t="str">
        <f>_xlfn.CONCAT("        Sceptres = """, M129, """,")</f>
        <v xml:space="preserve">        Sceptres = "Cetros",</v>
      </c>
      <c r="O129" s="19" t="str">
        <f>Sceptre!P4</f>
        <v>Скипетры</v>
      </c>
      <c r="P129" s="11" t="str">
        <f>_xlfn.CONCAT("        Sceptres = """, O129, """,")</f>
        <v xml:space="preserve">        Sceptres = "Скипетры",</v>
      </c>
      <c r="Q129" s="19" t="str">
        <f>Sceptre!R4</f>
        <v>คทา</v>
      </c>
      <c r="R129" s="11" t="str">
        <f>_xlfn.CONCAT("        Sceptres = """, Q129, """,")</f>
        <v xml:space="preserve">        Sceptres = "คทา",</v>
      </c>
      <c r="S129" s="19" t="s">
        <v>7681</v>
      </c>
      <c r="T129" s="11" t="str">
        <f>_xlfn.CONCAT("        Sceptres = """, S129, """,")</f>
        <v xml:space="preserve">        Sceptres = "權杖",</v>
      </c>
      <c r="V129" s="1" t="s">
        <v>536</v>
      </c>
    </row>
    <row r="130" spans="1:22" ht="15.95" customHeight="1" x14ac:dyDescent="0.25">
      <c r="A130" s="19" t="str">
        <f>'White Wind'!B4</f>
        <v>Rune Daggers</v>
      </c>
      <c r="B130" s="11" t="str">
        <f>_xlfn.CONCAT("        RuneDaggers = """, A130, """,")</f>
        <v xml:space="preserve">        RuneDaggers = "Rune Daggers",</v>
      </c>
      <c r="C130" s="19" t="str">
        <f>'White Wind'!D4</f>
        <v>Runendolche</v>
      </c>
      <c r="D130" s="11" t="str">
        <f>_xlfn.CONCAT("        RuneDaggers = """, C130, """,")</f>
        <v xml:space="preserve">        RuneDaggers = "Runendolche",</v>
      </c>
      <c r="E130" s="19" t="str">
        <f>'White Wind'!F4</f>
        <v>Dagas rúnicas</v>
      </c>
      <c r="F130" s="11" t="str">
        <f>_xlfn.CONCAT("        RuneDaggers = """, E130, """,")</f>
        <v xml:space="preserve">        RuneDaggers = "Dagas rúnicas",</v>
      </c>
      <c r="G130" s="19" t="str">
        <f>'White Wind'!H4</f>
        <v>Dagues runiques</v>
      </c>
      <c r="H130" s="11" t="str">
        <f>_xlfn.CONCAT("        RuneDaggers = """, G130, """,")</f>
        <v xml:space="preserve">        RuneDaggers = "Dagues runiques",</v>
      </c>
      <c r="I130" s="19" t="str">
        <f>'White Wind'!J4</f>
        <v>ルーンの短剣</v>
      </c>
      <c r="J130" s="11" t="str">
        <f>_xlfn.CONCAT("        RuneDaggers = """, I130, """,")</f>
        <v xml:space="preserve">        RuneDaggers = "ルーンの短剣",</v>
      </c>
      <c r="K130" s="19" t="str">
        <f>'White Wind'!L4</f>
        <v>룬 단검</v>
      </c>
      <c r="L130" s="11" t="str">
        <f>_xlfn.CONCAT("        RuneDaggers = """, K130, """,")</f>
        <v xml:space="preserve">        RuneDaggers = "룬 단검",</v>
      </c>
      <c r="M130" s="19" t="str">
        <f>'White Wind'!N4</f>
        <v>Adagas Rúnicas</v>
      </c>
      <c r="N130" s="11" t="str">
        <f>_xlfn.CONCAT("        RuneDaggers = """, M130, """,")</f>
        <v xml:space="preserve">        RuneDaggers = "Adagas Rúnicas",</v>
      </c>
      <c r="O130" s="19" t="str">
        <f>'White Wind'!P4</f>
        <v>Рунические кинжалы</v>
      </c>
      <c r="P130" s="11" t="str">
        <f>_xlfn.CONCAT("        RuneDaggers = """, O130, """,")</f>
        <v xml:space="preserve">        RuneDaggers = "Рунические кинжалы",</v>
      </c>
      <c r="Q130" s="19" t="str">
        <f>'White Wind'!R4</f>
        <v>มีดอาคม</v>
      </c>
      <c r="R130" s="11" t="str">
        <f>_xlfn.CONCAT("        RuneDaggers = """, Q130, """,")</f>
        <v xml:space="preserve">        RuneDaggers = "มีดอาคม",</v>
      </c>
      <c r="S130" s="19" t="s">
        <v>7682</v>
      </c>
      <c r="T130" s="11" t="str">
        <f>_xlfn.CONCAT("        RuneDaggers = """, S130, """,")</f>
        <v xml:space="preserve">        RuneDaggers = "符紋匕首",</v>
      </c>
      <c r="V130" s="1" t="s">
        <v>537</v>
      </c>
    </row>
    <row r="131" spans="1:22" ht="15.95" customHeight="1" x14ac:dyDescent="0.25">
      <c r="A131" s="19" t="str">
        <f>Warstaff!B4</f>
        <v>Warstaves</v>
      </c>
      <c r="B131" s="11" t="str">
        <f>_xlfn.CONCAT("        Warstaves = """, A131, """,")</f>
        <v xml:space="preserve">        Warstaves = "Warstaves",</v>
      </c>
      <c r="C131" s="19" t="str">
        <f>Warstaff!D4</f>
        <v>Kriegsstäbe</v>
      </c>
      <c r="D131" s="11" t="str">
        <f>_xlfn.CONCAT("        Warstaves = """, C131, """,")</f>
        <v xml:space="preserve">        Warstaves = "Kriegsstäbe",</v>
      </c>
      <c r="E131" s="19" t="str">
        <f>Warstaff!F4</f>
        <v>Báculos de guerra</v>
      </c>
      <c r="F131" s="11" t="str">
        <f>_xlfn.CONCAT("        Warstaves = """, E131, """,")</f>
        <v xml:space="preserve">        Warstaves = "Báculos de guerra",</v>
      </c>
      <c r="G131" s="19" t="str">
        <f>Warstaff!H4</f>
        <v>Bâtons de guerre</v>
      </c>
      <c r="H131" s="11" t="str">
        <f>_xlfn.CONCAT("        Warstaves = """, G131, """,")</f>
        <v xml:space="preserve">        Warstaves = "Bâtons de guerre",</v>
      </c>
      <c r="I131" s="19" t="str">
        <f>Warstaff!J4</f>
        <v>ウォースタッフ</v>
      </c>
      <c r="J131" s="11" t="str">
        <f>_xlfn.CONCAT("        Warstaves = """, I131, """,")</f>
        <v xml:space="preserve">        Warstaves = "ウォースタッフ",</v>
      </c>
      <c r="K131" s="19" t="str">
        <f>Warstaff!L4</f>
        <v>전쟁지팡이</v>
      </c>
      <c r="L131" s="11" t="str">
        <f>_xlfn.CONCAT("        Warstaves = """, K131, """,")</f>
        <v xml:space="preserve">        Warstaves = "전쟁지팡이",</v>
      </c>
      <c r="M131" s="19" t="str">
        <f>Warstaff!N4</f>
        <v>Cajados de Guerra</v>
      </c>
      <c r="N131" s="11" t="str">
        <f>_xlfn.CONCAT("        Warstaves = """, M131, """,")</f>
        <v xml:space="preserve">        Warstaves = "Cajados de Guerra",</v>
      </c>
      <c r="O131" s="19" t="str">
        <f>Warstaff!P4</f>
        <v>Воинские посохи</v>
      </c>
      <c r="P131" s="11" t="str">
        <f>_xlfn.CONCAT("        Warstaves = """, O131, """,")</f>
        <v xml:space="preserve">        Warstaves = "Воинские посохи",</v>
      </c>
      <c r="Q131" s="19" t="str">
        <f>Warstaff!R4</f>
        <v>ไม้พลองสงคราม</v>
      </c>
      <c r="R131" s="11" t="str">
        <f>_xlfn.CONCAT("        Warstaves = """, Q131, """,")</f>
        <v xml:space="preserve">        Warstaves = "ไม้พลองสงคราม",</v>
      </c>
      <c r="S131" s="19" t="s">
        <v>7683</v>
      </c>
      <c r="T131" s="11" t="str">
        <f>_xlfn.CONCAT("        Warstaves = """, S131, """,")</f>
        <v xml:space="preserve">        Warstaves = "征戰長杖",</v>
      </c>
      <c r="V131" s="1" t="s">
        <v>538</v>
      </c>
    </row>
    <row r="132" spans="1:22" ht="15.95" customHeight="1" x14ac:dyDescent="0.25">
      <c r="A132" s="19" t="str">
        <f>Quarterstaff!B4</f>
        <v>Quarterstaves</v>
      </c>
      <c r="B132" s="11" t="str">
        <f>_xlfn.CONCAT("        Quarterstaves = """, A132, """,")</f>
        <v xml:space="preserve">        Quarterstaves = "Quarterstaves",</v>
      </c>
      <c r="C132" s="19" t="str">
        <f>Quarterstaff!D4</f>
        <v>Kampfstäbe</v>
      </c>
      <c r="D132" s="11" t="str">
        <f>_xlfn.CONCAT("        Quarterstaves = """, C132, """,")</f>
        <v xml:space="preserve">        Quarterstaves = "Kampfstäbe",</v>
      </c>
      <c r="E132" s="19" t="str">
        <f>Quarterstaff!F4</f>
        <v>Bastones</v>
      </c>
      <c r="F132" s="11" t="str">
        <f>_xlfn.CONCAT("        Quarterstaves = """, E132, """,")</f>
        <v xml:space="preserve">        Quarterstaves = "Bastones",</v>
      </c>
      <c r="G132" s="19" t="str">
        <f>Quarterstaff!H4</f>
        <v>Bâtons de combat</v>
      </c>
      <c r="H132" s="11" t="str">
        <f>_xlfn.CONCAT("        Quarterstaves = """, G132, """,")</f>
        <v xml:space="preserve">        Quarterstaves = "Bâtons de combat",</v>
      </c>
      <c r="I132" s="19" t="str">
        <f>Quarterstaff!J4</f>
        <v>クォータースタッフ</v>
      </c>
      <c r="J132" s="11" t="str">
        <f>_xlfn.CONCAT("        Quarterstaves = """, I132, """,")</f>
        <v xml:space="preserve">        Quarterstaves = "クォータースタッフ",</v>
      </c>
      <c r="K132" s="19" t="str">
        <f>Quarterstaff!L4</f>
        <v>육척봉</v>
      </c>
      <c r="L132" s="11" t="str">
        <f>_xlfn.CONCAT("        Quarterstaves = """, K132, """,")</f>
        <v xml:space="preserve">        Quarterstaves = "육척봉",</v>
      </c>
      <c r="M132" s="19" t="str">
        <f>Quarterstaff!N4</f>
        <v>Cajados</v>
      </c>
      <c r="N132" s="11" t="str">
        <f>_xlfn.CONCAT("        Quarterstaves = """, M132, """,")</f>
        <v xml:space="preserve">        Quarterstaves = "Cajados",</v>
      </c>
      <c r="O132" s="19" t="str">
        <f>Quarterstaff!P4</f>
        <v>Боевые посохи</v>
      </c>
      <c r="P132" s="11" t="str">
        <f>_xlfn.CONCAT("        Quarterstaves = """, O132, """,")</f>
        <v xml:space="preserve">        Quarterstaves = "Боевые посохи",</v>
      </c>
      <c r="Q132" s="19" t="str">
        <f>Quarterstaff!R4</f>
        <v>ไม้พลองวรยุทธ์</v>
      </c>
      <c r="R132" s="11" t="str">
        <f>_xlfn.CONCAT("        Quarterstaves = """, Q132, """,")</f>
        <v xml:space="preserve">        Quarterstaves = "ไม้พลองวรยุทธ์",</v>
      </c>
      <c r="S132" s="19" t="str">
        <f>Quarterstaff!T4</f>
        <v>征戰長杖</v>
      </c>
      <c r="T132" s="11" t="str">
        <f>_xlfn.CONCAT("        Quarterstaves = """, S132, """,")</f>
        <v xml:space="preserve">        Quarterstaves = "征戰長杖",</v>
      </c>
      <c r="V132" s="1" t="s">
        <v>8302</v>
      </c>
    </row>
    <row r="133" spans="1:22" ht="15.95" customHeight="1" x14ac:dyDescent="0.25">
      <c r="A133" s="19" t="str">
        <f>Spear!B4</f>
        <v>Spears</v>
      </c>
      <c r="B133" s="11" t="str">
        <f>_xlfn.CONCAT("        Spears = """, A133, """,")</f>
        <v xml:space="preserve">        Spears = "Spears",</v>
      </c>
      <c r="C133" s="19" t="str">
        <f>Spear!D4</f>
        <v>Speere</v>
      </c>
      <c r="D133" s="11" t="str">
        <f>_xlfn.CONCAT("        Spears = """, C133, """,")</f>
        <v xml:space="preserve">        Spears = "Speere",</v>
      </c>
      <c r="E133" s="19" t="str">
        <f>Spear!F4</f>
        <v>Lanzas</v>
      </c>
      <c r="F133" s="11" t="str">
        <f>_xlfn.CONCAT("        Spears = """, E133, """,")</f>
        <v xml:space="preserve">        Spears = "Lanzas",</v>
      </c>
      <c r="G133" s="19" t="str">
        <f>Spear!H4</f>
        <v>Lances</v>
      </c>
      <c r="H133" s="11" t="str">
        <f>_xlfn.CONCAT("        Spears = """, G133, """,")</f>
        <v xml:space="preserve">        Spears = "Lances",</v>
      </c>
      <c r="I133" s="19" t="str">
        <f>Spear!J4</f>
        <v>槍</v>
      </c>
      <c r="J133" s="11" t="str">
        <f>_xlfn.CONCAT("        Spears = """, I133, """,")</f>
        <v xml:space="preserve">        Spears = "槍",</v>
      </c>
      <c r="K133" s="19" t="str">
        <f>Spear!L4</f>
        <v>창</v>
      </c>
      <c r="L133" s="11" t="str">
        <f>_xlfn.CONCAT("        Spears = """, K133, """,")</f>
        <v xml:space="preserve">        Spears = "창",</v>
      </c>
      <c r="M133" s="19" t="str">
        <f>Spear!N4</f>
        <v>Lanças</v>
      </c>
      <c r="N133" s="11" t="str">
        <f>_xlfn.CONCAT("        Spears = """, M133, """,")</f>
        <v xml:space="preserve">        Spears = "Lanças",</v>
      </c>
      <c r="O133" s="19" t="str">
        <f>Spear!P4</f>
        <v>Копья</v>
      </c>
      <c r="P133" s="11" t="str">
        <f>_xlfn.CONCAT("        Spears = """, O133, """,")</f>
        <v xml:space="preserve">        Spears = "Копья",</v>
      </c>
      <c r="Q133" s="19" t="str">
        <f>Spear!R4</f>
        <v>หอก</v>
      </c>
      <c r="R133" s="11" t="str">
        <f>_xlfn.CONCAT("        Spears = """, Q133, """,")</f>
        <v xml:space="preserve">        Spears = "หอก",</v>
      </c>
      <c r="S133" s="19" t="str">
        <f>Spear!T4</f>
        <v>長鋒</v>
      </c>
      <c r="T133" s="11" t="str">
        <f>_xlfn.CONCAT("        Spears = """, S133, """,")</f>
        <v xml:space="preserve">        Spears = "長鋒",</v>
      </c>
      <c r="V133" s="1" t="s">
        <v>8085</v>
      </c>
    </row>
    <row r="134" spans="1:22" ht="15.95" customHeight="1" x14ac:dyDescent="0.25">
      <c r="A134" s="19" t="str">
        <f>Buckler!B4</f>
        <v>Bucklers</v>
      </c>
      <c r="B134" s="11" t="str">
        <f>_xlfn.CONCAT("        Bucklers = """, A134, """,")</f>
        <v xml:space="preserve">        Bucklers = "Bucklers",</v>
      </c>
      <c r="C134" s="19" t="str">
        <f>Buckler!D4</f>
        <v>Faustschild</v>
      </c>
      <c r="D134" s="11" t="str">
        <f>_xlfn.CONCAT("        Bucklers = """, C134, """,")</f>
        <v xml:space="preserve">        Bucklers = "Faustschild",</v>
      </c>
      <c r="E134" s="19" t="str">
        <f>Buckler!F4</f>
        <v>Broqueles</v>
      </c>
      <c r="F134" s="11" t="str">
        <f>_xlfn.CONCAT("        Bucklers = """, E134, """,")</f>
        <v xml:space="preserve">        Bucklers = "Broqueles",</v>
      </c>
      <c r="G134" s="19" t="str">
        <f>Buckler!H4</f>
        <v>Bocles</v>
      </c>
      <c r="H134" s="11" t="str">
        <f>_xlfn.CONCAT("        Bucklers = """, G134, """,")</f>
        <v xml:space="preserve">        Bucklers = "Bocles",</v>
      </c>
      <c r="I134" s="19" t="str">
        <f>Buckler!J4</f>
        <v>バックラー</v>
      </c>
      <c r="J134" s="11" t="str">
        <f>_xlfn.CONCAT("        Bucklers = """, I134, """,")</f>
        <v xml:space="preserve">        Bucklers = "バックラー",</v>
      </c>
      <c r="K134" s="19" t="str">
        <f>Buckler!L4</f>
        <v>버클러</v>
      </c>
      <c r="L134" s="11" t="str">
        <f>_xlfn.CONCAT("        Bucklers = """, K134, """,")</f>
        <v xml:space="preserve">        Bucklers = "버클러",</v>
      </c>
      <c r="M134" s="19" t="str">
        <f>Buckler!N4</f>
        <v>Broquéis</v>
      </c>
      <c r="N134" s="11" t="str">
        <f>_xlfn.CONCAT("        Bucklers = """, M134, """,")</f>
        <v xml:space="preserve">        Bucklers = "Broquéis",</v>
      </c>
      <c r="O134" s="19" t="str">
        <f>Buckler!P4</f>
        <v>Баклеры</v>
      </c>
      <c r="P134" s="11" t="str">
        <f>_xlfn.CONCAT("        Bucklers = """, O134, """,")</f>
        <v xml:space="preserve">        Bucklers = "Баклеры",</v>
      </c>
      <c r="Q134" s="19" t="str">
        <f>Buckler!R4</f>
        <v>บัคเลอร์</v>
      </c>
      <c r="R134" s="11" t="str">
        <f>_xlfn.CONCAT("        Bucklers = """, Q134, """,")</f>
        <v xml:space="preserve">        Bucklers = "บัคเลอร์",</v>
      </c>
      <c r="S134" s="19" t="str">
        <f>Buckler!T4</f>
        <v>輕盾</v>
      </c>
      <c r="T134" s="11" t="str">
        <f>_xlfn.CONCAT("        Bucklers = """, S134, """,")</f>
        <v xml:space="preserve">        Bucklers = "輕盾",</v>
      </c>
      <c r="V134" s="1" t="s">
        <v>8086</v>
      </c>
    </row>
    <row r="135" spans="1:22" ht="15.95" customHeight="1" x14ac:dyDescent="0.25">
      <c r="A135" s="19" t="str">
        <f>'Fishing Rod'!B4</f>
        <v>Fishing Rods</v>
      </c>
      <c r="B135" s="11" t="str">
        <f>_xlfn.CONCAT("        FishingRods = """, A135, """,")</f>
        <v xml:space="preserve">        FishingRods = "Fishing Rods",</v>
      </c>
      <c r="C135" s="19" t="str">
        <f>'Fishing Rod'!D4</f>
        <v>Angelruten</v>
      </c>
      <c r="D135" s="11" t="str">
        <f>_xlfn.CONCAT("        FishingRods = """, C135, """,")</f>
        <v xml:space="preserve">        FishingRods = "Angelruten",</v>
      </c>
      <c r="E135" s="19" t="str">
        <f>'Fishing Rod'!F4</f>
        <v>Cañas de pescar</v>
      </c>
      <c r="F135" s="11" t="str">
        <f>_xlfn.CONCAT("        FishingRods = """, E135, """,")</f>
        <v xml:space="preserve">        FishingRods = "Cañas de pescar",</v>
      </c>
      <c r="G135" s="19" t="str">
        <f>'Fishing Rod'!H4</f>
        <v>Cannes à pêche</v>
      </c>
      <c r="H135" s="11" t="str">
        <f>_xlfn.CONCAT("        FishingRods = """, G135, """,")</f>
        <v xml:space="preserve">        FishingRods = "Cannes à pêche",</v>
      </c>
      <c r="I135" s="19" t="str">
        <f>'Fishing Rod'!J4</f>
        <v>釣り竿</v>
      </c>
      <c r="J135" s="11" t="str">
        <f>_xlfn.CONCAT("        FishingRods = """, I135, """,")</f>
        <v xml:space="preserve">        FishingRods = "釣り竿",</v>
      </c>
      <c r="K135" s="19" t="str">
        <f>'Fishing Rod'!L4</f>
        <v>낚싯대</v>
      </c>
      <c r="L135" s="11" t="str">
        <f>_xlfn.CONCAT("        FishingRods = """, K135, """,")</f>
        <v xml:space="preserve">        FishingRods = "낚싯대",</v>
      </c>
      <c r="M135" s="19" t="str">
        <f>'Fishing Rod'!N4</f>
        <v>Varas de Pescar</v>
      </c>
      <c r="N135" s="11" t="str">
        <f>_xlfn.CONCAT("        FishingRods = """, M135, """,")</f>
        <v xml:space="preserve">        FishingRods = "Varas de Pescar",</v>
      </c>
      <c r="O135" s="19" t="str">
        <f>'Fishing Rod'!P4</f>
        <v>Удочки</v>
      </c>
      <c r="P135" s="11" t="str">
        <f>_xlfn.CONCAT("        FishingRods = """, O135, """,")</f>
        <v xml:space="preserve">        FishingRods = "Удочки",</v>
      </c>
      <c r="Q135" s="19" t="str">
        <f>'Fishing Rod'!R4</f>
        <v>เบ็ดตกปลา</v>
      </c>
      <c r="R135" s="11" t="str">
        <f>_xlfn.CONCAT("        FishingRods = """, Q135, """,")</f>
        <v xml:space="preserve">        FishingRods = "เบ็ดตกปลา",</v>
      </c>
      <c r="S135" s="19" t="s">
        <v>7684</v>
      </c>
      <c r="T135" s="11" t="str">
        <f>_xlfn.CONCAT("        FishingRods = """, S135, """,")</f>
        <v xml:space="preserve">        FishingRods = "魚竿",</v>
      </c>
      <c r="V135" s="1" t="s">
        <v>1461</v>
      </c>
    </row>
    <row r="136" spans="1:22" ht="15.95" customHeight="1" x14ac:dyDescent="0.25">
      <c r="A136" s="19" t="str">
        <f>'Heist Gear'!B4</f>
        <v>Heist Gear</v>
      </c>
      <c r="B136" s="11" t="str">
        <f>_xlfn.CONCAT("        HeistGear = """, A136, """,")</f>
        <v xml:space="preserve">        HeistGear = "Heist Gear",</v>
      </c>
      <c r="C136" s="19" t="str">
        <f>'Heist Gear'!D4</f>
        <v>Heist-Ausrüstung</v>
      </c>
      <c r="D136" s="11" t="str">
        <f>_xlfn.CONCAT("        HeistGear = """, C136, """,")</f>
        <v xml:space="preserve">        HeistGear = "Heist-Ausrüstung",</v>
      </c>
      <c r="E136" s="19" t="str">
        <f>'Heist Gear'!F4</f>
        <v>Accesorio de Heist</v>
      </c>
      <c r="F136" s="11" t="str">
        <f>_xlfn.CONCAT("        HeistGear = """, E136, """,")</f>
        <v xml:space="preserve">        HeistGear = "Accesorio de Heist",</v>
      </c>
      <c r="G136" s="19" t="str">
        <f>'Heist Gear'!H4</f>
        <v>Équipements de Malfaiteur</v>
      </c>
      <c r="H136" s="11" t="str">
        <f>_xlfn.CONCAT("        HeistGear = """, G136, """,")</f>
        <v xml:space="preserve">        HeistGear = "Équipements de Malfaiteur",</v>
      </c>
      <c r="I136" s="19" t="str">
        <f>'Heist Gear'!J4</f>
        <v>ハイストギア</v>
      </c>
      <c r="J136" s="11" t="str">
        <f>_xlfn.CONCAT("        HeistGear = """, I136, """,")</f>
        <v xml:space="preserve">        HeistGear = "ハイストギア",</v>
      </c>
      <c r="K136" s="19" t="str">
        <f>'Heist Gear'!L4</f>
        <v>강탈 장비</v>
      </c>
      <c r="L136" s="11" t="str">
        <f>_xlfn.CONCAT("        HeistGear = """, K136, """,")</f>
        <v xml:space="preserve">        HeistGear = "강탈 장비",</v>
      </c>
      <c r="M136" s="19" t="str">
        <f>'Heist Gear'!N4</f>
        <v>Equipamento Heist</v>
      </c>
      <c r="N136" s="11" t="str">
        <f>_xlfn.CONCAT("        HeistGear = """, M136, """,")</f>
        <v xml:space="preserve">        HeistGear = "Equipamento Heist",</v>
      </c>
      <c r="O136" s="19" t="str">
        <f>'Heist Gear'!P4</f>
        <v>Разбойничьи принадлежности</v>
      </c>
      <c r="P136" s="11" t="str">
        <f>_xlfn.CONCAT("        HeistGear = """, O136, """,")</f>
        <v xml:space="preserve">        HeistGear = "Разбойничьи принадлежности",</v>
      </c>
      <c r="Q136" s="19" t="str">
        <f>'Heist Gear'!R4</f>
        <v>อุปกรณ์สวมใส่กองโจร</v>
      </c>
      <c r="R136" s="11" t="str">
        <f>_xlfn.CONCAT("        HeistGear = """, Q136, """,")</f>
        <v xml:space="preserve">        HeistGear = "อุปกรณ์สวมใส่กองโจร",</v>
      </c>
      <c r="S136" s="19" t="s">
        <v>7685</v>
      </c>
      <c r="T136" s="11" t="str">
        <f>_xlfn.CONCAT("        HeistGear = """, S136, """,")</f>
        <v xml:space="preserve">        HeistGear = "劫盜裝備",</v>
      </c>
      <c r="V136" s="1" t="s">
        <v>721</v>
      </c>
    </row>
    <row r="137" spans="1:22" ht="15.95" customHeight="1" x14ac:dyDescent="0.25">
      <c r="A137" s="19" t="str">
        <f>'Heist Brooch'!B4</f>
        <v>Heist Brooches</v>
      </c>
      <c r="B137" s="11" t="str">
        <f>_xlfn.CONCAT("        HeistBrooch = """, A137, """,")</f>
        <v xml:space="preserve">        HeistBrooch = "Heist Brooches",</v>
      </c>
      <c r="C137" s="19" t="str">
        <f>'Heist Brooch'!D4</f>
        <v>Heist-Broschen</v>
      </c>
      <c r="D137" s="11" t="str">
        <f>_xlfn.CONCAT("        HeistBrooch = """, C137, """,")</f>
        <v xml:space="preserve">        HeistBrooch = "Heist-Broschen",</v>
      </c>
      <c r="E137" s="19" t="str">
        <f>'Heist Brooch'!F4</f>
        <v>Broches de Heist</v>
      </c>
      <c r="F137" s="11" t="str">
        <f>_xlfn.CONCAT("        HeistBrooch = """, E137, """,")</f>
        <v xml:space="preserve">        HeistBrooch = "Broches de Heist",</v>
      </c>
      <c r="G137" s="19" t="str">
        <f>'Heist Brooch'!H4</f>
        <v>Broches de Malfaiteur</v>
      </c>
      <c r="H137" s="11" t="str">
        <f>_xlfn.CONCAT("        HeistBrooch = """, G137, """,")</f>
        <v xml:space="preserve">        HeistBrooch = "Broches de Malfaiteur",</v>
      </c>
      <c r="I137" s="19" t="str">
        <f>'Heist Brooch'!J4</f>
        <v>ハイストブローチ</v>
      </c>
      <c r="J137" s="11" t="str">
        <f>_xlfn.CONCAT("        HeistBrooch = """, I137, """,")</f>
        <v xml:space="preserve">        HeistBrooch = "ハイストブローチ",</v>
      </c>
      <c r="K137" s="19" t="str">
        <f>'Heist Brooch'!L4</f>
        <v>강탈 브로치</v>
      </c>
      <c r="L137" s="11" t="str">
        <f>_xlfn.CONCAT("        HeistBrooch = """, K137, """,")</f>
        <v xml:space="preserve">        HeistBrooch = "강탈 브로치",</v>
      </c>
      <c r="M137" s="19" t="str">
        <f>'Heist Brooch'!N4</f>
        <v>Broches Heist</v>
      </c>
      <c r="N137" s="11" t="str">
        <f>_xlfn.CONCAT("        HeistBrooch = """, M137, """,")</f>
        <v xml:space="preserve">        HeistBrooch = "Broches Heist",</v>
      </c>
      <c r="O137" s="19" t="str">
        <f>'Heist Brooch'!P4</f>
        <v>Разбойничьи броши</v>
      </c>
      <c r="P137" s="11" t="str">
        <f>_xlfn.CONCAT("        HeistBrooch = """, O137, """,")</f>
        <v xml:space="preserve">        HeistBrooch = "Разбойничьи броши",</v>
      </c>
      <c r="Q137" s="19" t="str">
        <f>'Heist Brooch'!R4</f>
        <v>เข็มกลัดกองโจร</v>
      </c>
      <c r="R137" s="11" t="str">
        <f>_xlfn.CONCAT("        HeistBrooch = """, Q137, """,")</f>
        <v xml:space="preserve">        HeistBrooch = "เข็มกลัดกองโจร",</v>
      </c>
      <c r="S137" s="19" t="s">
        <v>7686</v>
      </c>
      <c r="T137" s="11" t="str">
        <f>_xlfn.CONCAT("        HeistBrooch = """, S137, """,")</f>
        <v xml:space="preserve">        HeistBrooch = "劫盜胸針",</v>
      </c>
      <c r="V137" s="1" t="s">
        <v>539</v>
      </c>
    </row>
    <row r="138" spans="1:22" ht="15.95" customHeight="1" x14ac:dyDescent="0.25">
      <c r="A138" s="19" t="str">
        <f>'Heist Target'!B4</f>
        <v>Heist Targets</v>
      </c>
      <c r="B138" s="11" t="str">
        <f>_xlfn.CONCAT("        HeistTarget = """, A138, """,")</f>
        <v xml:space="preserve">        HeistTarget = "Heist Targets",</v>
      </c>
      <c r="C138" s="19" t="str">
        <f>'Heist Target'!D4</f>
        <v>Auftragsziele</v>
      </c>
      <c r="D138" s="11" t="str">
        <f>_xlfn.CONCAT("        HeistTarget = """, C138, """,")</f>
        <v xml:space="preserve">        HeistTarget = "Auftragsziele",</v>
      </c>
      <c r="E138" s="19" t="str">
        <f>'Heist Target'!F4</f>
        <v>Objetivos de Heist</v>
      </c>
      <c r="F138" s="11" t="str">
        <f>_xlfn.CONCAT("        HeistTarget = """, E138, """,")</f>
        <v xml:space="preserve">        HeistTarget = "Objetivos de Heist",</v>
      </c>
      <c r="G138" s="19" t="str">
        <f>'Heist Target'!H4</f>
        <v>Objectifs de Casse</v>
      </c>
      <c r="H138" s="11" t="str">
        <f>_xlfn.CONCAT("        HeistTarget = """, G138, """,")</f>
        <v xml:space="preserve">        HeistTarget = "Objectifs de Casse",</v>
      </c>
      <c r="I138" s="19" t="str">
        <f>'Heist Target'!J4</f>
        <v>ハイストターゲット</v>
      </c>
      <c r="J138" s="11" t="str">
        <f>_xlfn.CONCAT("        HeistTarget = """, I138, """,")</f>
        <v xml:space="preserve">        HeistTarget = "ハイストターゲット",</v>
      </c>
      <c r="K138" s="19" t="str">
        <f>'Heist Target'!L4</f>
        <v>강탈 대상</v>
      </c>
      <c r="L138" s="11" t="str">
        <f>_xlfn.CONCAT("        HeistTarget = """, K138, """,")</f>
        <v xml:space="preserve">        HeistTarget = "강탈 대상",</v>
      </c>
      <c r="M138" s="19" t="str">
        <f>'Heist Target'!N4</f>
        <v>Alvos Heist</v>
      </c>
      <c r="N138" s="11" t="str">
        <f>_xlfn.CONCAT("        HeistTarget = """, M138, """,")</f>
        <v xml:space="preserve">        HeistTarget = "Alvos Heist",</v>
      </c>
      <c r="O138" s="19" t="str">
        <f>'Heist Target'!P4</f>
        <v>Предметы кражи</v>
      </c>
      <c r="P138" s="11" t="str">
        <f>_xlfn.CONCAT("        HeistTarget = """, O138, """,")</f>
        <v xml:space="preserve">        HeistTarget = "Предметы кражи",</v>
      </c>
      <c r="Q138" s="19" t="str">
        <f>'Heist Target'!R4</f>
        <v>เป้าหมายโจรกรรม</v>
      </c>
      <c r="R138" s="11" t="str">
        <f>_xlfn.CONCAT("        HeistTarget = """, Q138, """,")</f>
        <v xml:space="preserve">        HeistTarget = "เป้าหมายโจรกรรม",</v>
      </c>
      <c r="S138" s="19" t="s">
        <v>7687</v>
      </c>
      <c r="T138" s="11" t="str">
        <f>_xlfn.CONCAT("        HeistTarget = """, S138, """,")</f>
        <v xml:space="preserve">        HeistTarget = "劫盜目標",</v>
      </c>
      <c r="V138" s="1" t="s">
        <v>722</v>
      </c>
    </row>
    <row r="139" spans="1:22" ht="15.95" customHeight="1" x14ac:dyDescent="0.25">
      <c r="A139" s="19" t="str">
        <f>'Heist Cloak'!B4</f>
        <v>Heist Cloaks</v>
      </c>
      <c r="B139" s="11" t="str">
        <f>_xlfn.CONCAT("        HeistCloak = """, A139, """,")</f>
        <v xml:space="preserve">        HeistCloak = "Heist Cloaks",</v>
      </c>
      <c r="C139" s="19" t="str">
        <f>'Heist Cloak'!D4</f>
        <v>Heist-Umhänge</v>
      </c>
      <c r="D139" s="11" t="str">
        <f>_xlfn.CONCAT("        HeistCloak = """, C139, """,")</f>
        <v xml:space="preserve">        HeistCloak = "Heist-Umhänge",</v>
      </c>
      <c r="E139" s="19" t="str">
        <f>'Heist Cloak'!F4</f>
        <v>Capas de Heist</v>
      </c>
      <c r="F139" s="11" t="str">
        <f>_xlfn.CONCAT("        HeistCloak = """, E139, """,")</f>
        <v xml:space="preserve">        HeistCloak = "Capas de Heist",</v>
      </c>
      <c r="G139" s="19" t="str">
        <f>'Heist Cloak'!H4</f>
        <v>Capes de Malfaiteur</v>
      </c>
      <c r="H139" s="11" t="str">
        <f>_xlfn.CONCAT("        HeistCloak = """, G139, """,")</f>
        <v xml:space="preserve">        HeistCloak = "Capes de Malfaiteur",</v>
      </c>
      <c r="I139" s="19" t="str">
        <f>'Heist Cloak'!J4</f>
        <v>ハイストクローク</v>
      </c>
      <c r="J139" s="11" t="str">
        <f>_xlfn.CONCAT("        HeistCloak = """, I139, """,")</f>
        <v xml:space="preserve">        HeistCloak = "ハイストクローク",</v>
      </c>
      <c r="K139" s="19" t="str">
        <f>'Heist Cloak'!L4</f>
        <v>강탈 망토</v>
      </c>
      <c r="L139" s="11" t="str">
        <f>_xlfn.CONCAT("        HeistCloak = """, K139, """,")</f>
        <v xml:space="preserve">        HeistCloak = "강탈 망토",</v>
      </c>
      <c r="M139" s="19" t="str">
        <f>'Heist Cloak'!N4</f>
        <v>Capas Heist</v>
      </c>
      <c r="N139" s="11" t="str">
        <f>_xlfn.CONCAT("        HeistCloak = """, M139, """,")</f>
        <v xml:space="preserve">        HeistCloak = "Capas Heist",</v>
      </c>
      <c r="O139" s="19" t="str">
        <f>'Heist Cloak'!P4</f>
        <v>Разбойничьи накидки</v>
      </c>
      <c r="P139" s="11" t="str">
        <f>_xlfn.CONCAT("        HeistCloak = """, O139, """,")</f>
        <v xml:space="preserve">        HeistCloak = "Разбойничьи накидки",</v>
      </c>
      <c r="Q139" s="19" t="str">
        <f>'Heist Cloak'!R4</f>
        <v>ผ้าคลุมกองโจร</v>
      </c>
      <c r="R139" s="11" t="str">
        <f>_xlfn.CONCAT("        HeistCloak = """, Q139, """,")</f>
        <v xml:space="preserve">        HeistCloak = "ผ้าคลุมกองโจร",</v>
      </c>
      <c r="S139" s="19" t="s">
        <v>7688</v>
      </c>
      <c r="T139" s="11" t="str">
        <f>_xlfn.CONCAT("        HeistCloak = """, S139, """,")</f>
        <v xml:space="preserve">        HeistCloak = "劫盜披風",</v>
      </c>
      <c r="V139" s="1" t="s">
        <v>723</v>
      </c>
    </row>
    <row r="140" spans="1:22" ht="15.95" customHeight="1" x14ac:dyDescent="0.25">
      <c r="A140" s="19" t="str">
        <f>'Abyssal Jewel'!B4</f>
        <v>Abyss Jewels</v>
      </c>
      <c r="B140" s="11" t="str">
        <f>_xlfn.CONCAT("        AbyssJewel = """, A140, """,")</f>
        <v xml:space="preserve">        AbyssJewel = "Abyss Jewels",</v>
      </c>
      <c r="C140" s="19" t="str">
        <f>'Abyssal Jewel'!D4</f>
        <v>Abgrund-Juwelen</v>
      </c>
      <c r="D140" s="11" t="str">
        <f>_xlfn.CONCAT("        AbyssJewel = """, C140, """,")</f>
        <v xml:space="preserve">        AbyssJewel = "Abgrund-Juwelen",</v>
      </c>
      <c r="E140" s="19" t="str">
        <f>'Abyssal Jewel'!F4</f>
        <v>Joyas de abismo</v>
      </c>
      <c r="F140" s="11" t="str">
        <f>_xlfn.CONCAT("        AbyssJewel = """, E140, """,")</f>
        <v xml:space="preserve">        AbyssJewel = "Joyas de abismo",</v>
      </c>
      <c r="G140" s="19" t="str">
        <f>'Abyssal Jewel'!H4</f>
        <v>Joyaux abyssaux</v>
      </c>
      <c r="H140" s="11" t="str">
        <f>_xlfn.CONCAT("        AbyssJewel = """, G140, """,")</f>
        <v xml:space="preserve">        AbyssJewel = "Joyaux abyssaux",</v>
      </c>
      <c r="I140" s="19" t="str">
        <f>'Abyssal Jewel'!J4</f>
        <v>アビスジュエル</v>
      </c>
      <c r="J140" s="11" t="str">
        <f>_xlfn.CONCAT("        AbyssJewel = """, I140, """,")</f>
        <v xml:space="preserve">        AbyssJewel = "アビスジュエル",</v>
      </c>
      <c r="K140" s="19" t="str">
        <f>'Abyssal Jewel'!L4</f>
        <v>심연 주얼</v>
      </c>
      <c r="L140" s="11" t="str">
        <f>_xlfn.CONCAT("        AbyssJewel = """, K140, """,")</f>
        <v xml:space="preserve">        AbyssJewel = "심연 주얼",</v>
      </c>
      <c r="M140" s="19" t="str">
        <f>'Abyssal Jewel'!N4</f>
        <v>Joias Abissais</v>
      </c>
      <c r="N140" s="11" t="str">
        <f>_xlfn.CONCAT("        AbyssJewel = """, M140, """,")</f>
        <v xml:space="preserve">        AbyssJewel = "Joias Abissais",</v>
      </c>
      <c r="O140" s="19" t="str">
        <f>'Abyssal Jewel'!P4</f>
        <v>Самоцветы Бездны</v>
      </c>
      <c r="P140" s="11" t="str">
        <f>_xlfn.CONCAT("        AbyssJewel = """, O140, """,")</f>
        <v xml:space="preserve">        AbyssJewel = "Самоцветы Бездны",</v>
      </c>
      <c r="Q140" s="19" t="str">
        <f>'Abyssal Jewel'!R4</f>
        <v>จิวเวลอะบิส</v>
      </c>
      <c r="R140" s="11" t="str">
        <f>_xlfn.CONCAT("        AbyssJewel = """, Q140, """,")</f>
        <v xml:space="preserve">        AbyssJewel = "จิวเวลอะบิส",</v>
      </c>
      <c r="S140" s="19" t="s">
        <v>7689</v>
      </c>
      <c r="T140" s="11" t="str">
        <f>_xlfn.CONCAT("        AbyssJewel = """, S140, """,")</f>
        <v xml:space="preserve">        AbyssJewel = "深淵珠寶",</v>
      </c>
      <c r="V140" s="1" t="s">
        <v>809</v>
      </c>
    </row>
    <row r="141" spans="1:22" ht="15.95" customHeight="1" x14ac:dyDescent="0.25">
      <c r="A141" s="19" t="str">
        <f>'Heist Trinket'!B4</f>
        <v>Trinkets</v>
      </c>
      <c r="B141" s="11" t="str">
        <f>_xlfn.CONCAT("        Trinkets = """, A141, """,")</f>
        <v xml:space="preserve">        Trinkets = "Trinkets",</v>
      </c>
      <c r="C141" s="19" t="str">
        <f>'Heist Trinket'!D4</f>
        <v>Schmuckstücke</v>
      </c>
      <c r="D141" s="11" t="str">
        <f>_xlfn.CONCAT("        Trinkets = """, C141, """,")</f>
        <v xml:space="preserve">        Trinkets = "Schmuckstücke",</v>
      </c>
      <c r="E141" s="19" t="str">
        <f>'Heist Trinket'!F4</f>
        <v>Abalorios</v>
      </c>
      <c r="F141" s="11" t="str">
        <f>_xlfn.CONCAT("        Trinkets = """, E141, """,")</f>
        <v xml:space="preserve">        Trinkets = "Abalorios",</v>
      </c>
      <c r="G141" s="19" t="str">
        <f>'Heist Trinket'!H4</f>
        <v>Babioles</v>
      </c>
      <c r="H141" s="11" t="str">
        <f>_xlfn.CONCAT("        Trinkets = """, G141, """,")</f>
        <v xml:space="preserve">        Trinkets = "Babioles",</v>
      </c>
      <c r="I141" s="19" t="str">
        <f>'Heist Trinket'!J4</f>
        <v>トリンケット</v>
      </c>
      <c r="J141" s="11" t="str">
        <f>_xlfn.CONCAT("        Trinkets = """, I141, """,")</f>
        <v xml:space="preserve">        Trinkets = "トリンケット",</v>
      </c>
      <c r="K141" s="19" t="str">
        <f>'Heist Trinket'!L4</f>
        <v>장신구</v>
      </c>
      <c r="L141" s="11" t="str">
        <f>_xlfn.CONCAT("        Trinkets = """, K141, """,")</f>
        <v xml:space="preserve">        Trinkets = "장신구",</v>
      </c>
      <c r="M141" s="19" t="str">
        <f>'Heist Trinket'!N4</f>
        <v>Adornos</v>
      </c>
      <c r="N141" s="11" t="str">
        <f>_xlfn.CONCAT("        Trinkets = """, M141, """,")</f>
        <v xml:space="preserve">        Trinkets = "Adornos",</v>
      </c>
      <c r="O141" s="19" t="str">
        <f>'Heist Trinket'!P4</f>
        <v>Украшения</v>
      </c>
      <c r="P141" s="11" t="str">
        <f>_xlfn.CONCAT("        Trinkets = """, O141, """,")</f>
        <v xml:space="preserve">        Trinkets = "Украшения",</v>
      </c>
      <c r="Q141" s="19" t="str">
        <f>'Heist Trinket'!R4</f>
        <v>เครื่องประดับโจร</v>
      </c>
      <c r="R141" s="11" t="str">
        <f>_xlfn.CONCAT("        Trinkets = """, Q141, """,")</f>
        <v xml:space="preserve">        Trinkets = "เครื่องประดับโจร",</v>
      </c>
      <c r="S141" s="19" t="s">
        <v>7690</v>
      </c>
      <c r="T141" s="11" t="str">
        <f>_xlfn.CONCAT("        Trinkets = """, S141, """,")</f>
        <v xml:space="preserve">        Trinkets = "飾品",</v>
      </c>
      <c r="V141" s="1" t="s">
        <v>1460</v>
      </c>
    </row>
    <row r="142" spans="1:22" ht="15.95" customHeight="1" x14ac:dyDescent="0.25">
      <c r="A142" s="19" t="str">
        <f>Logbook!B4</f>
        <v>Expedition Logbooks</v>
      </c>
      <c r="B142" s="11" t="str">
        <f>_xlfn.CONCAT("        Logbooks = """, A142, """,")</f>
        <v xml:space="preserve">        Logbooks = "Expedition Logbooks",</v>
      </c>
      <c r="C142" s="19" t="str">
        <f>Logbook!D4</f>
        <v>Expeditions-Logbücher</v>
      </c>
      <c r="D142" s="11" t="str">
        <f>_xlfn.CONCAT("        Logbooks = """, C142, """,")</f>
        <v xml:space="preserve">        Logbooks = "Expeditions-Logbücher",</v>
      </c>
      <c r="E142" s="19" t="str">
        <f>Logbook!F4</f>
        <v>Registros de expedición</v>
      </c>
      <c r="F142" s="11" t="str">
        <f>_xlfn.CONCAT("        Logbooks = """, E142, """,")</f>
        <v xml:space="preserve">        Logbooks = "Registros de expedición",</v>
      </c>
      <c r="G142" s="19" t="str">
        <f>Logbook!H4</f>
        <v>Journaux de bord d'Expédition</v>
      </c>
      <c r="H142" s="11" t="str">
        <f>_xlfn.CONCAT("        Logbooks = """, G142, """,")</f>
        <v xml:space="preserve">        Logbooks = "Journaux de bord d'Expédition",</v>
      </c>
      <c r="I142" s="19" t="str">
        <f>Logbook!J4</f>
        <v>エクスペディションログブック</v>
      </c>
      <c r="J142" s="11" t="str">
        <f>_xlfn.CONCAT("        Logbooks = """, I142, """,")</f>
        <v xml:space="preserve">        Logbooks = "エクスペディションログブック",</v>
      </c>
      <c r="K142" s="19" t="str">
        <f>Logbook!L4</f>
        <v>탐험 일지</v>
      </c>
      <c r="L142" s="11" t="str">
        <f>_xlfn.CONCAT("        Logbooks = """, K142, """,")</f>
        <v xml:space="preserve">        Logbooks = "탐험 일지",</v>
      </c>
      <c r="M142" s="19" t="str">
        <f>Logbook!N4</f>
        <v>Diários de Bordo Expedition</v>
      </c>
      <c r="N142" s="11" t="str">
        <f>_xlfn.CONCAT("        Logbooks = """, M142, """,")</f>
        <v xml:space="preserve">        Logbooks = "Diários de Bordo Expedition",</v>
      </c>
      <c r="O142" s="19" t="str">
        <f>Logbook!P4</f>
        <v>Журналы экспедиции</v>
      </c>
      <c r="P142" s="11" t="str">
        <f>_xlfn.CONCAT("        Logbooks = """, O142, """,")</f>
        <v xml:space="preserve">        Logbooks = "Журналы экспедиции",</v>
      </c>
      <c r="Q142" s="19" t="str">
        <f>Logbook!R4</f>
        <v>สมุดปูมเดินทางกองสำรวจ</v>
      </c>
      <c r="R142" s="11" t="str">
        <f>_xlfn.CONCAT("        Logbooks = """, Q142, """,")</f>
        <v xml:space="preserve">        Logbooks = "สมุดปูมเดินทางกองสำรวจ",</v>
      </c>
      <c r="S142" s="19" t="s">
        <v>7691</v>
      </c>
      <c r="T142" s="11" t="str">
        <f>_xlfn.CONCAT("        Logbooks = """, S142, """,")</f>
        <v xml:space="preserve">        Logbooks = "探險日誌",</v>
      </c>
      <c r="V142" s="1" t="s">
        <v>724</v>
      </c>
    </row>
    <row r="143" spans="1:22" ht="15.95" customHeight="1" x14ac:dyDescent="0.25">
      <c r="A143" s="19" t="str">
        <f>Memory!B4</f>
        <v>Memories</v>
      </c>
      <c r="B143" s="11" t="str">
        <f>_xlfn.CONCAT("        MemoryLine = """, A143, """,")</f>
        <v xml:space="preserve">        MemoryLine = "Memories",</v>
      </c>
      <c r="C143" s="19" t="str">
        <f>Memory!D4</f>
        <v>Erinnerungen</v>
      </c>
      <c r="D143" s="11" t="str">
        <f>_xlfn.CONCAT("        MemoryLine = """, C143, """,")</f>
        <v xml:space="preserve">        MemoryLine = "Erinnerungen",</v>
      </c>
      <c r="E143" s="19" t="str">
        <f>Memory!F4</f>
        <v>Recuerdos</v>
      </c>
      <c r="F143" s="11" t="str">
        <f>_xlfn.CONCAT("        MemoryLine = """, E143, """,")</f>
        <v xml:space="preserve">        MemoryLine = "Recuerdos",</v>
      </c>
      <c r="G143" s="19" t="str">
        <f>Memory!H4</f>
        <v>Souvenirs</v>
      </c>
      <c r="H143" s="11" t="str">
        <f>_xlfn.CONCAT("        MemoryLine = """, G143, """,")</f>
        <v xml:space="preserve">        MemoryLine = "Souvenirs",</v>
      </c>
      <c r="I143" s="19" t="str">
        <f>Memory!J4</f>
        <v>記憶</v>
      </c>
      <c r="J143" s="11" t="str">
        <f>_xlfn.CONCAT("        MemoryLine = """, I143, """,")</f>
        <v xml:space="preserve">        MemoryLine = "記憶",</v>
      </c>
      <c r="K143" s="19" t="str">
        <f>Memory!L4</f>
        <v>기억</v>
      </c>
      <c r="L143" s="11" t="str">
        <f>_xlfn.CONCAT("        MemoryLine = """, K143, """,")</f>
        <v xml:space="preserve">        MemoryLine = "기억",</v>
      </c>
      <c r="M143" s="19" t="str">
        <f>Memory!N4</f>
        <v>Memórias</v>
      </c>
      <c r="N143" s="11" t="str">
        <f>_xlfn.CONCAT("        MemoryLine = """, M143, """,")</f>
        <v xml:space="preserve">        MemoryLine = "Memórias",</v>
      </c>
      <c r="O143" s="19" t="str">
        <f>Memory!P4</f>
        <v>Воспоминания</v>
      </c>
      <c r="P143" s="11" t="str">
        <f>_xlfn.CONCAT("        MemoryLine = """, O143, """,")</f>
        <v xml:space="preserve">        MemoryLine = "Воспоминания",</v>
      </c>
      <c r="Q143" s="19" t="str">
        <f>Memory!R4</f>
        <v>ความทรงจำ</v>
      </c>
      <c r="R143" s="11" t="str">
        <f>_xlfn.CONCAT("        MemoryLine = """, Q143, """,")</f>
        <v xml:space="preserve">        MemoryLine = "ความทรงจำ",</v>
      </c>
      <c r="S143" s="19" t="s">
        <v>7692</v>
      </c>
      <c r="T143" s="11" t="str">
        <f>_xlfn.CONCAT("        MemoryLine = """, S143, """,")</f>
        <v xml:space="preserve">        MemoryLine = "記憶",</v>
      </c>
      <c r="V143" s="1" t="s">
        <v>810</v>
      </c>
    </row>
    <row r="144" spans="1:22" ht="15.95" customHeight="1" x14ac:dyDescent="0.25">
      <c r="A144" s="19" t="str">
        <f>'Sanctum Relics'!B4</f>
        <v>Relics</v>
      </c>
      <c r="B144" s="11" t="str">
        <f>_xlfn.CONCAT("        SanctumRelics = """, A144, """,")</f>
        <v xml:space="preserve">        SanctumRelics = "Relics",</v>
      </c>
      <c r="C144" s="19" t="str">
        <f>'Sanctum Relics'!D4</f>
        <v>Relikte</v>
      </c>
      <c r="D144" s="11" t="str">
        <f>_xlfn.CONCAT("        SanctumRelics = """, C144, """,")</f>
        <v xml:space="preserve">        SanctumRelics = "Relikte",</v>
      </c>
      <c r="E144" s="19" t="str">
        <f>'Sanctum Relics'!F4</f>
        <v>Reliquias</v>
      </c>
      <c r="F144" s="11" t="str">
        <f>_xlfn.CONCAT("        SanctumRelics = """, E144, """,")</f>
        <v xml:space="preserve">        SanctumRelics = "Reliquias",</v>
      </c>
      <c r="G144" s="19" t="str">
        <f>'Sanctum Relics'!H4</f>
        <v>Reliques</v>
      </c>
      <c r="H144" s="11" t="str">
        <f>_xlfn.CONCAT("        SanctumRelics = """, G144, """,")</f>
        <v xml:space="preserve">        SanctumRelics = "Reliques",</v>
      </c>
      <c r="I144" s="19" t="str">
        <f>'Sanctum Relics'!J4</f>
        <v>レリック</v>
      </c>
      <c r="J144" s="11" t="str">
        <f>_xlfn.CONCAT("        SanctumRelics = """, I144, """,")</f>
        <v xml:space="preserve">        SanctumRelics = "レリック",</v>
      </c>
      <c r="K144" s="19" t="str">
        <f>'Sanctum Relics'!L4</f>
        <v>유물</v>
      </c>
      <c r="L144" s="11" t="str">
        <f>_xlfn.CONCAT("        SanctumRelics = """, K144, """,")</f>
        <v xml:space="preserve">        SanctumRelics = "유물",</v>
      </c>
      <c r="M144" s="19" t="str">
        <f>'Sanctum Relics'!N4</f>
        <v>Relíquias</v>
      </c>
      <c r="N144" s="11" t="str">
        <f>_xlfn.CONCAT("        SanctumRelics = """, M144, """,")</f>
        <v xml:space="preserve">        SanctumRelics = "Relíquias",</v>
      </c>
      <c r="O144" s="19" t="str">
        <f>'Sanctum Relics'!P4</f>
        <v>Реликвии</v>
      </c>
      <c r="P144" s="11" t="str">
        <f>_xlfn.CONCAT("        SanctumRelics = """, O144, """,")</f>
        <v xml:space="preserve">        SanctumRelics = "Реликвии",</v>
      </c>
      <c r="Q144" s="19" t="str">
        <f>'Sanctum Relics'!R4</f>
        <v>วัตถุตกทอด</v>
      </c>
      <c r="R144" s="11" t="str">
        <f>_xlfn.CONCAT("        SanctumRelics = """, Q144, """,")</f>
        <v xml:space="preserve">        SanctumRelics = "วัตถุตกทอด",</v>
      </c>
      <c r="S144" s="19" t="s">
        <v>7694</v>
      </c>
      <c r="T144" s="11" t="str">
        <f>_xlfn.CONCAT("        SanctumRelics = """, S144, """,")</f>
        <v xml:space="preserve">        SanctumRelics = "聖物",</v>
      </c>
      <c r="V144" s="1" t="s">
        <v>6770</v>
      </c>
    </row>
    <row r="145" spans="1:22" ht="15.95" customHeight="1" x14ac:dyDescent="0.25">
      <c r="A145" s="19" t="str">
        <f>Tinctures!B4</f>
        <v>Tinctures</v>
      </c>
      <c r="B145" s="11" t="str">
        <f>_xlfn.CONCAT("        Tinctures = """, A145, """,")</f>
        <v xml:space="preserve">        Tinctures = "Tinctures",</v>
      </c>
      <c r="C145" s="19" t="str">
        <f>Tinctures!D4</f>
        <v>Tinkturen</v>
      </c>
      <c r="D145" s="11" t="str">
        <f>_xlfn.CONCAT("        Tinctures = """, C145, """,")</f>
        <v xml:space="preserve">        Tinctures = "Tinkturen",</v>
      </c>
      <c r="E145" s="19" t="str">
        <f>Tinctures!F4</f>
        <v>Tinturas</v>
      </c>
      <c r="F145" s="11" t="str">
        <f>_xlfn.CONCAT("        Tinctures = """, E145, """,")</f>
        <v xml:space="preserve">        Tinctures = "Tinturas",</v>
      </c>
      <c r="G145" s="19" t="str">
        <f>Tinctures!H4</f>
        <v>Teintures</v>
      </c>
      <c r="H145" s="11" t="str">
        <f>_xlfn.CONCAT("        Tinctures = """, G145, """,")</f>
        <v xml:space="preserve">        Tinctures = "Teintures",</v>
      </c>
      <c r="I145" s="19" t="str">
        <f>Tinctures!J4</f>
        <v>チンキ</v>
      </c>
      <c r="J145" s="11" t="str">
        <f>_xlfn.CONCAT("        Tinctures = """, I145, """,")</f>
        <v xml:space="preserve">        Tinctures = "チンキ",</v>
      </c>
      <c r="K145" s="19" t="str">
        <f>Tinctures!L4</f>
        <v>팅크</v>
      </c>
      <c r="L145" s="11" t="str">
        <f>_xlfn.CONCAT("        Tinctures = """, K145, """,")</f>
        <v xml:space="preserve">        Tinctures = "팅크",</v>
      </c>
      <c r="M145" s="19" t="str">
        <f>Tinctures!N4</f>
        <v>Tintura</v>
      </c>
      <c r="N145" s="11" t="str">
        <f>_xlfn.CONCAT("        Tinctures = """, M145, """,")</f>
        <v xml:space="preserve">        Tinctures = "Tintura",</v>
      </c>
      <c r="O145" s="19" t="str">
        <f>Tinctures!P4</f>
        <v>Микстуры</v>
      </c>
      <c r="P145" s="11" t="str">
        <f>_xlfn.CONCAT("        Tinctures = """, O145, """,")</f>
        <v xml:space="preserve">        Tinctures = "Микстуры",</v>
      </c>
      <c r="Q145" s="19" t="str">
        <f>Tinctures!R4</f>
        <v>ยาเคลือบอาวุธ</v>
      </c>
      <c r="R145" s="11" t="str">
        <f>_xlfn.CONCAT("        Tinctures = """, Q145, """,")</f>
        <v xml:space="preserve">        Tinctures = "ยาเคลือบอาวุธ",</v>
      </c>
      <c r="S145" s="19" t="s">
        <v>7695</v>
      </c>
      <c r="T145" s="11" t="str">
        <f>_xlfn.CONCAT("        Tinctures = """, S145, """,")</f>
        <v xml:space="preserve">        Tinctures = "萃取物",</v>
      </c>
      <c r="V145" s="1" t="s">
        <v>6823</v>
      </c>
    </row>
    <row r="146" spans="1:22" ht="15.95" customHeight="1" x14ac:dyDescent="0.25">
      <c r="A146" s="19" t="str">
        <f>Corpses!B4</f>
        <v>Corpses</v>
      </c>
      <c r="B146" s="11" t="str">
        <f>_xlfn.CONCAT("        Corpses = """, A146, """,")</f>
        <v xml:space="preserve">        Corpses = "Corpses",</v>
      </c>
      <c r="C146" s="19" t="str">
        <f>Corpses!D4</f>
        <v>Leichen</v>
      </c>
      <c r="D146" s="11" t="str">
        <f>_xlfn.CONCAT("        Corpses = """, C146, """,")</f>
        <v xml:space="preserve">        Corpses = "Leichen",</v>
      </c>
      <c r="E146" s="19" t="str">
        <f>Corpses!F4</f>
        <v>Cadáveres</v>
      </c>
      <c r="F146" s="11" t="str">
        <f>_xlfn.CONCAT("        Corpses = """, E146, """,")</f>
        <v xml:space="preserve">        Corpses = "Cadáveres",</v>
      </c>
      <c r="G146" s="19" t="str">
        <f>Corpses!H4</f>
        <v>Cadavres</v>
      </c>
      <c r="H146" s="11" t="str">
        <f>_xlfn.CONCAT("        Corpses = """, G146, """,")</f>
        <v xml:space="preserve">        Corpses = "Cadavres",</v>
      </c>
      <c r="I146" s="19" t="str">
        <f>Corpses!J4</f>
        <v>死体</v>
      </c>
      <c r="J146" s="11" t="str">
        <f>_xlfn.CONCAT("        Corpses = """, I146, """,")</f>
        <v xml:space="preserve">        Corpses = "死体",</v>
      </c>
      <c r="K146" s="19" t="str">
        <f>Corpses!L4</f>
        <v>시신</v>
      </c>
      <c r="L146" s="11" t="str">
        <f>_xlfn.CONCAT("        Corpses = """, K146, """,")</f>
        <v xml:space="preserve">        Corpses = "시신",</v>
      </c>
      <c r="M146" s="19" t="str">
        <f>Corpses!N4</f>
        <v>Patuá</v>
      </c>
      <c r="N146" s="11" t="str">
        <f>_xlfn.CONCAT("        Corpses = """, M146, """,")</f>
        <v xml:space="preserve">        Corpses = "Patuá",</v>
      </c>
      <c r="O146" s="19" t="str">
        <f>Corpses!P4</f>
        <v>Трупы</v>
      </c>
      <c r="P146" s="11" t="str">
        <f>_xlfn.CONCAT("        Corpses = """, O146, """,")</f>
        <v xml:space="preserve">        Corpses = "Трупы",</v>
      </c>
      <c r="Q146" s="19" t="str">
        <f>Corpses!R4</f>
        <v>ศพ</v>
      </c>
      <c r="R146" s="11" t="str">
        <f>_xlfn.CONCAT("        Corpses = """, Q146, """,")</f>
        <v xml:space="preserve">        Corpses = "ศพ",</v>
      </c>
      <c r="S146" s="19" t="s">
        <v>7696</v>
      </c>
      <c r="T146" s="11" t="str">
        <f>_xlfn.CONCAT("        Corpses = """, S146, """,")</f>
        <v xml:space="preserve">        Corpses = "屍體",</v>
      </c>
      <c r="V146" s="1" t="s">
        <v>6822</v>
      </c>
    </row>
    <row r="147" spans="1:22" ht="15.95" customHeight="1" x14ac:dyDescent="0.25">
      <c r="A147" s="19" t="str">
        <f>Tome!B4</f>
        <v>Sanctum Research</v>
      </c>
      <c r="B147" s="11" t="str">
        <f>_xlfn.CONCAT("        SanctumResearch = """, A147, """,")</f>
        <v xml:space="preserve">        SanctumResearch = "Sanctum Research",</v>
      </c>
      <c r="C147" s="19" t="str">
        <f>Tome!D4</f>
        <v>Sanktum-Forschungsauftrag</v>
      </c>
      <c r="D147" s="11" t="str">
        <f>_xlfn.CONCAT("        SanctumResearch = """, C147, """,")</f>
        <v xml:space="preserve">        SanctumResearch = "Sanktum-Forschungsauftrag",</v>
      </c>
      <c r="E147" s="19" t="str">
        <f>Tome!F4</f>
        <v>Investigación del santuario</v>
      </c>
      <c r="F147" s="11" t="str">
        <f>_xlfn.CONCAT("        SanctumResearch = """, E147, """,")</f>
        <v xml:space="preserve">        SanctumResearch = "Investigación del santuario",</v>
      </c>
      <c r="G147" s="19" t="str">
        <f>Tome!H4</f>
        <v>Recherche du Sanctuaire</v>
      </c>
      <c r="H147" s="11" t="str">
        <f>_xlfn.CONCAT("        SanctumResearch = """, G147, """,")</f>
        <v xml:space="preserve">        SanctumResearch = "Recherche du Sanctuaire",</v>
      </c>
      <c r="I147" s="19" t="str">
        <f>Tome!J4</f>
        <v>サンクタム調査書</v>
      </c>
      <c r="J147" s="11" t="str">
        <f>_xlfn.CONCAT("        SanctumResearch = """, I147, """,")</f>
        <v xml:space="preserve">        SanctumResearch = "サンクタム調査書",</v>
      </c>
      <c r="K147" s="19" t="str">
        <f>Tome!L4</f>
        <v>성역 연구</v>
      </c>
      <c r="L147" s="11" t="str">
        <f>_xlfn.CONCAT("        SanctumResearch = """, K147, """,")</f>
        <v xml:space="preserve">        SanctumResearch = "성역 연구",</v>
      </c>
      <c r="M147" s="19" t="str">
        <f>Tome!N4</f>
        <v>Pesquisa Sanctum</v>
      </c>
      <c r="N147" s="11" t="str">
        <f>_xlfn.CONCAT("        SanctumResearch = """, M147, """,")</f>
        <v xml:space="preserve">        SanctumResearch = "Pesquisa Sanctum",</v>
      </c>
      <c r="O147" s="19" t="str">
        <f>Tome!P4</f>
        <v>Исследования Святилища</v>
      </c>
      <c r="P147" s="11" t="str">
        <f>_xlfn.CONCAT("        SanctumResearch = """, O147, """,")</f>
        <v xml:space="preserve">        SanctumResearch = "Исследования Святилища",</v>
      </c>
      <c r="Q147" s="19" t="str">
        <f>Tome!R4</f>
        <v>บทวิจัยเทวสถาน</v>
      </c>
      <c r="R147" s="11" t="str">
        <f>_xlfn.CONCAT("        SanctumResearch = """, Q147, """,")</f>
        <v xml:space="preserve">        SanctumResearch = "บทวิจัยเทวสถาน",</v>
      </c>
      <c r="S147" s="19" t="s">
        <v>7693</v>
      </c>
      <c r="T147" s="11" t="str">
        <f>_xlfn.CONCAT("        SanctumResearch = """, S147, """,")</f>
        <v xml:space="preserve">        SanctumResearch = "聖域研究",</v>
      </c>
      <c r="V147" s="1" t="s">
        <v>811</v>
      </c>
    </row>
    <row r="148" spans="1:22" ht="15.95" customHeight="1" x14ac:dyDescent="0.25">
      <c r="A148" s="19" t="str">
        <f>Graft!B4</f>
        <v>Grafts</v>
      </c>
      <c r="B148" s="11" t="str">
        <f>_xlfn.CONCAT("        Grafts = """, A148, """,")</f>
        <v xml:space="preserve">        Grafts = "Grafts",</v>
      </c>
      <c r="C148" s="19" t="str">
        <f>Graft!D4</f>
        <v>Transplantate</v>
      </c>
      <c r="D148" s="11" t="str">
        <f>_xlfn.CONCAT("        Grafts = """, C148, """,")</f>
        <v xml:space="preserve">        Grafts = "Transplantate",</v>
      </c>
      <c r="E148" s="19" t="str">
        <f>Graft!F4</f>
        <v>Injertos</v>
      </c>
      <c r="F148" s="11" t="str">
        <f>_xlfn.CONCAT("        Grafts = """, E148, """,")</f>
        <v xml:space="preserve">        Grafts = "Injertos",</v>
      </c>
      <c r="G148" s="19" t="str">
        <f>Graft!H4</f>
        <v>Greffons</v>
      </c>
      <c r="H148" s="11" t="str">
        <f>_xlfn.CONCAT("        Grafts = """, G148, """,")</f>
        <v xml:space="preserve">        Grafts = "Greffons",</v>
      </c>
      <c r="I148" s="19" t="str">
        <f>Graft!J4</f>
        <v>グラフト</v>
      </c>
      <c r="J148" s="11" t="str">
        <f>_xlfn.CONCAT("        Grafts = """, I148, """,")</f>
        <v xml:space="preserve">        Grafts = "グラフト",</v>
      </c>
      <c r="K148" s="19" t="str">
        <f>Graft!L4</f>
        <v>기생체</v>
      </c>
      <c r="L148" s="11" t="str">
        <f>_xlfn.CONCAT("        Grafts = """, K148, """,")</f>
        <v xml:space="preserve">        Grafts = "기생체",</v>
      </c>
      <c r="M148" s="19" t="str">
        <f>Graft!N4</f>
        <v>Enxertos</v>
      </c>
      <c r="N148" s="11" t="str">
        <f>_xlfn.CONCAT("        Grafts = """, M148, """,")</f>
        <v xml:space="preserve">        Grafts = "Enxertos",</v>
      </c>
      <c r="O148" s="19" t="str">
        <f>Graft!P4</f>
        <v>Наросты</v>
      </c>
      <c r="P148" s="11" t="str">
        <f>_xlfn.CONCAT("        Grafts = """, O148, """,")</f>
        <v xml:space="preserve">        Grafts = "Наросты",</v>
      </c>
      <c r="Q148" s="19" t="str">
        <f>Graft!R4</f>
        <v>หัตถ์</v>
      </c>
      <c r="R148" s="11" t="str">
        <f>_xlfn.CONCAT("        Grafts = """, Q148, """,")</f>
        <v xml:space="preserve">        Grafts = "หัตถ์",</v>
      </c>
      <c r="S148" s="19" t="e">
        <f>Graft!T4</f>
        <v>#N/A</v>
      </c>
      <c r="T148" s="11" t="e">
        <f>_xlfn.CONCAT("        Grafts = """, S148, """,")</f>
        <v>#N/A</v>
      </c>
      <c r="V148" s="1" t="s">
        <v>8508</v>
      </c>
    </row>
    <row r="149" spans="1:22" ht="15.95" customHeight="1" x14ac:dyDescent="0.25">
      <c r="A149" s="19" t="str">
        <f>Wombgift!B4</f>
        <v>Wombgifts</v>
      </c>
      <c r="B149" s="11" t="str">
        <f>_xlfn.CONCAT("        Wombgifts = """, A149, """,")</f>
        <v xml:space="preserve">        Wombgifts = "Wombgifts",</v>
      </c>
      <c r="C149" s="19" t="str">
        <f>Wombgift!D4</f>
        <v>Fruchtkeime</v>
      </c>
      <c r="D149" s="11" t="str">
        <f>_xlfn.CONCAT("        Wombgifts = """, C149, """,")</f>
        <v xml:space="preserve">        Wombgifts = "Fruchtkeime",</v>
      </c>
      <c r="E149" s="19" t="str">
        <f>Wombgift!F4</f>
        <v>Regalos del vientre</v>
      </c>
      <c r="F149" s="11" t="str">
        <f>_xlfn.CONCAT("        Wombgifts = """, E149, """,")</f>
        <v xml:space="preserve">        Wombgifts = "Regalos del vientre",</v>
      </c>
      <c r="G149" s="19" t="str">
        <f>Wombgift!H4</f>
        <v>Dons de la matrice</v>
      </c>
      <c r="H149" s="11" t="str">
        <f>_xlfn.CONCAT("        Wombgifts = """, G149, """,")</f>
        <v xml:space="preserve">        Wombgifts = "Dons de la matrice",</v>
      </c>
      <c r="I149" s="19" t="str">
        <f>Wombgift!J4</f>
        <v>母胎ギフト</v>
      </c>
      <c r="J149" s="11" t="str">
        <f>_xlfn.CONCAT("        Wombgifts = """, I149, """,")</f>
        <v xml:space="preserve">        Wombgifts = "母胎ギフト",</v>
      </c>
      <c r="K149" s="19" t="str">
        <f>Wombgift!L4</f>
        <v>생명의 결실</v>
      </c>
      <c r="L149" s="11" t="str">
        <f>_xlfn.CONCAT("        Wombgifts = """, K149, """,")</f>
        <v xml:space="preserve">        Wombgifts = "생명의 결실",</v>
      </c>
      <c r="M149" s="19" t="str">
        <f>Wombgift!N4</f>
        <v>Dádivas do Ventre</v>
      </c>
      <c r="N149" s="11" t="str">
        <f>_xlfn.CONCAT("        Wombgifts = """, M149, """,")</f>
        <v xml:space="preserve">        Wombgifts = "Dádivas do Ventre",</v>
      </c>
      <c r="O149" s="19" t="str">
        <f>Wombgift!P4</f>
        <v>Дары утробы</v>
      </c>
      <c r="P149" s="11" t="str">
        <f>_xlfn.CONCAT("        Wombgifts = """, O149, """,")</f>
        <v xml:space="preserve">        Wombgifts = "Дары утробы",</v>
      </c>
      <c r="Q149" s="19" t="str">
        <f>Wombgift!R4</f>
        <v>ผลฝากครรภ์</v>
      </c>
      <c r="R149" s="11" t="str">
        <f>_xlfn.CONCAT("        Wombgifts = """, Q149, """,")</f>
        <v xml:space="preserve">        Wombgifts = "ผลฝากครรภ์",</v>
      </c>
      <c r="S149" s="19" t="e">
        <f>Wombgift!T4</f>
        <v>#N/A</v>
      </c>
      <c r="T149" s="11" t="e">
        <f>_xlfn.CONCAT("        Wombgifts = """, S149, """,")</f>
        <v>#N/A</v>
      </c>
      <c r="V149" s="1" t="s">
        <v>8515</v>
      </c>
    </row>
    <row r="150" spans="1:22" ht="15.95" customHeight="1" x14ac:dyDescent="0.25">
      <c r="A150" s="12" t="s">
        <v>22</v>
      </c>
      <c r="B150" s="11" t="s">
        <v>6319</v>
      </c>
      <c r="C150" s="12" t="s">
        <v>22</v>
      </c>
      <c r="D150" s="11" t="s">
        <v>6319</v>
      </c>
      <c r="E150" s="12" t="s">
        <v>22</v>
      </c>
      <c r="F150" s="11" t="s">
        <v>6319</v>
      </c>
      <c r="G150" s="12" t="s">
        <v>22</v>
      </c>
      <c r="H150" s="11" t="s">
        <v>6319</v>
      </c>
      <c r="I150" s="12" t="s">
        <v>22</v>
      </c>
      <c r="J150" s="11" t="s">
        <v>6319</v>
      </c>
      <c r="K150" s="12" t="s">
        <v>22</v>
      </c>
      <c r="L150" s="11" t="s">
        <v>6319</v>
      </c>
      <c r="M150" s="12" t="s">
        <v>22</v>
      </c>
      <c r="N150" s="11" t="s">
        <v>6319</v>
      </c>
      <c r="O150" s="12" t="s">
        <v>22</v>
      </c>
      <c r="P150" s="11" t="s">
        <v>6319</v>
      </c>
      <c r="Q150" s="12" t="s">
        <v>22</v>
      </c>
      <c r="R150" s="11" t="s">
        <v>6319</v>
      </c>
      <c r="S150" s="12" t="s">
        <v>22</v>
      </c>
      <c r="T150" s="11" t="s">
        <v>6319</v>
      </c>
      <c r="V150" s="1" t="s">
        <v>22</v>
      </c>
    </row>
    <row r="151" spans="1:22" ht="15.95" customHeight="1" x14ac:dyDescent="0.25">
      <c r="A151" s="12" t="s">
        <v>22</v>
      </c>
      <c r="B151" s="11" t="s">
        <v>15</v>
      </c>
      <c r="C151" s="12" t="s">
        <v>22</v>
      </c>
      <c r="D151" s="11" t="s">
        <v>15</v>
      </c>
      <c r="E151" s="12" t="s">
        <v>22</v>
      </c>
      <c r="F151" s="11" t="s">
        <v>15</v>
      </c>
      <c r="G151" s="12" t="s">
        <v>22</v>
      </c>
      <c r="H151" s="11" t="s">
        <v>15</v>
      </c>
      <c r="I151" s="12" t="s">
        <v>22</v>
      </c>
      <c r="J151" s="11" t="s">
        <v>15</v>
      </c>
      <c r="K151" s="12" t="s">
        <v>22</v>
      </c>
      <c r="L151" s="11" t="s">
        <v>15</v>
      </c>
      <c r="M151" s="12" t="s">
        <v>22</v>
      </c>
      <c r="N151" s="11" t="s">
        <v>15</v>
      </c>
      <c r="O151" s="12" t="s">
        <v>22</v>
      </c>
      <c r="P151" s="11" t="s">
        <v>15</v>
      </c>
      <c r="Q151" s="12" t="s">
        <v>22</v>
      </c>
      <c r="R151" s="11" t="s">
        <v>15</v>
      </c>
      <c r="S151" s="12" t="s">
        <v>22</v>
      </c>
      <c r="T151" s="11" t="s">
        <v>15</v>
      </c>
      <c r="V151" s="1" t="s">
        <v>22</v>
      </c>
    </row>
    <row r="152" spans="1:22" ht="15.95" customHeight="1" x14ac:dyDescent="0.25">
      <c r="A152" s="12" t="s">
        <v>22</v>
      </c>
      <c r="B152" s="14"/>
      <c r="C152" s="12" t="s">
        <v>22</v>
      </c>
      <c r="D152" s="14"/>
      <c r="E152" s="12" t="s">
        <v>22</v>
      </c>
      <c r="F152" s="14"/>
      <c r="G152" s="12" t="s">
        <v>22</v>
      </c>
      <c r="H152" s="14"/>
      <c r="I152" s="12" t="s">
        <v>22</v>
      </c>
      <c r="J152" s="14"/>
      <c r="K152" s="12" t="s">
        <v>22</v>
      </c>
      <c r="L152" s="14"/>
      <c r="M152" s="12" t="s">
        <v>22</v>
      </c>
      <c r="N152" s="14"/>
      <c r="O152" s="12" t="s">
        <v>22</v>
      </c>
      <c r="P152" s="14"/>
      <c r="Q152" s="12" t="s">
        <v>22</v>
      </c>
      <c r="R152" s="14"/>
      <c r="S152" s="12" t="s">
        <v>22</v>
      </c>
      <c r="T152" s="14"/>
      <c r="V152" s="1" t="s">
        <v>22</v>
      </c>
    </row>
  </sheetData>
  <conditionalFormatting sqref="A2:T152">
    <cfRule type="containsErrors" dxfId="564" priority="5" stopIfTrue="1">
      <formula>ISERROR(A2)</formula>
    </cfRule>
    <cfRule type="containsBlanks" dxfId="563" priority="6" stopIfTrue="1">
      <formula>LEN(TRIM(A2))=0</formula>
    </cfRule>
    <cfRule type="cellIs" dxfId="562" priority="10" stopIfTrue="1" operator="equal">
      <formula>"-"</formula>
    </cfRule>
    <cfRule type="cellIs" dxfId="561" priority="11" operator="between">
      <formula>"(Lowest value)"</formula>
      <formula>0</formula>
    </cfRule>
    <cfRule type="notContainsBlanks" dxfId="560" priority="17">
      <formula>LEN(TRIM(A2))&gt;0</formula>
    </cfRule>
  </conditionalFormatting>
  <conditionalFormatting sqref="B2:B152 D2:D152 F2:F152 H2:H152 J2:J152 L2:L152 N2:N152 P2:P152 R2:R152 T2:T152">
    <cfRule type="notContainsErrors" dxfId="559" priority="2" stopIfTrue="1">
      <formula>NOT(ISERROR(B2))</formula>
    </cfRule>
  </conditionalFormatting>
  <conditionalFormatting sqref="V2:V152">
    <cfRule type="cellIs" dxfId="558" priority="7" operator="equal">
      <formula>A2</formula>
    </cfRule>
    <cfRule type="cellIs" dxfId="557"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 stopIfTrue="1">
      <formula>NOT(ISERROR(A3))</formula>
    </cfRule>
  </conditionalFormatting>
  <conditionalFormatting sqref="A3:T51">
    <cfRule type="containsErrors" dxfId="555" priority="1" stopIfTrue="1">
      <formula>ISERROR(A3)</formula>
    </cfRule>
    <cfRule type="notContainsBlanks" dxfId="55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3" priority="84" stopIfTrue="1">
      <formula>NOT(ISERROR(A3))</formula>
    </cfRule>
  </conditionalFormatting>
  <conditionalFormatting sqref="A3:T6 A7:A8 C7:C8 E7:E29 G7:G29 I7:I29 K7:K29 M7:M29 O7:O29 Q7:Q29 S7:S29 A9:D27 A28:A29 C28:C29 A30:T51">
    <cfRule type="notContainsBlanks" dxfId="552" priority="85">
      <formula>LEN(TRIM(A3))&gt;0</formula>
    </cfRule>
  </conditionalFormatting>
  <conditionalFormatting sqref="A3:T51">
    <cfRule type="containsErrors" dxfId="551" priority="1" stopIfTrue="1">
      <formula>ISERROR(A3)</formula>
    </cfRule>
  </conditionalFormatting>
  <conditionalFormatting sqref="B7:B8">
    <cfRule type="notContainsBlanks" dxfId="550" priority="24">
      <formula>LEN(TRIM(B7))&gt;0</formula>
    </cfRule>
  </conditionalFormatting>
  <conditionalFormatting sqref="B28:B29">
    <cfRule type="notContainsBlanks" dxfId="549" priority="82">
      <formula>LEN(TRIM(B28))&gt;0</formula>
    </cfRule>
  </conditionalFormatting>
  <conditionalFormatting sqref="D7:D8">
    <cfRule type="notContainsBlanks" dxfId="548" priority="22">
      <formula>LEN(TRIM(D7))&gt;0</formula>
    </cfRule>
  </conditionalFormatting>
  <conditionalFormatting sqref="D28:D29">
    <cfRule type="notContainsBlanks" dxfId="547" priority="42">
      <formula>LEN(TRIM(D28))&gt;0</formula>
    </cfRule>
  </conditionalFormatting>
  <conditionalFormatting sqref="F7:F29">
    <cfRule type="notContainsBlanks" dxfId="546" priority="20">
      <formula>LEN(TRIM(F7))&gt;0</formula>
    </cfRule>
  </conditionalFormatting>
  <conditionalFormatting sqref="H7:H29">
    <cfRule type="notContainsBlanks" dxfId="545" priority="4">
      <formula>LEN(TRIM(H7))&gt;0</formula>
    </cfRule>
  </conditionalFormatting>
  <conditionalFormatting sqref="J7:J29">
    <cfRule type="notContainsBlanks" dxfId="544" priority="2">
      <formula>LEN(TRIM(J7))&gt;0</formula>
    </cfRule>
  </conditionalFormatting>
  <conditionalFormatting sqref="L7:L29">
    <cfRule type="notContainsBlanks" dxfId="543" priority="14">
      <formula>LEN(TRIM(L7))&gt;0</formula>
    </cfRule>
  </conditionalFormatting>
  <conditionalFormatting sqref="N7:N29">
    <cfRule type="notContainsBlanks" dxfId="542" priority="12">
      <formula>LEN(TRIM(N7))&gt;0</formula>
    </cfRule>
  </conditionalFormatting>
  <conditionalFormatting sqref="P7:P29">
    <cfRule type="notContainsBlanks" dxfId="541" priority="10">
      <formula>LEN(TRIM(P7))&gt;0</formula>
    </cfRule>
  </conditionalFormatting>
  <conditionalFormatting sqref="R7:R29">
    <cfRule type="notContainsBlanks" dxfId="540" priority="8">
      <formula>LEN(TRIM(R7))&gt;0</formula>
    </cfRule>
  </conditionalFormatting>
  <conditionalFormatting sqref="T7:T29">
    <cfRule type="notContainsBlanks" dxfId="539"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2" stopIfTrue="1">
      <formula>NOT(ISERROR(A3))</formula>
    </cfRule>
  </conditionalFormatting>
  <conditionalFormatting sqref="A3:T51">
    <cfRule type="containsErrors" dxfId="531" priority="1" stopIfTrue="1">
      <formula>ISERROR(A3)</formula>
    </cfRule>
    <cfRule type="notContainsBlanks" dxfId="53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9" priority="98" stopIfTrue="1">
      <formula>NOT(ISERROR(A3))</formula>
    </cfRule>
  </conditionalFormatting>
  <conditionalFormatting sqref="A3:T6 A7:A9 C7:C9 E7:E9 G7:G9 I7:I9 K7:K9 M7:M9 O7:O9 Q7:Q9 S7:S9 A10:T51">
    <cfRule type="notContainsBlanks" dxfId="528" priority="99">
      <formula>LEN(TRIM(A3))&gt;0</formula>
    </cfRule>
  </conditionalFormatting>
  <conditionalFormatting sqref="A3:T51">
    <cfRule type="containsErrors" dxfId="527" priority="1" stopIfTrue="1">
      <formula>ISERROR(A3)</formula>
    </cfRule>
  </conditionalFormatting>
  <conditionalFormatting sqref="B7:B9">
    <cfRule type="notContainsBlanks" dxfId="526" priority="92">
      <formula>LEN(TRIM(B7))&gt;0</formula>
    </cfRule>
  </conditionalFormatting>
  <conditionalFormatting sqref="D7:D9">
    <cfRule type="notContainsBlanks" dxfId="525" priority="34">
      <formula>LEN(TRIM(D7))&gt;0</formula>
    </cfRule>
  </conditionalFormatting>
  <conditionalFormatting sqref="F7:F9">
    <cfRule type="notContainsBlanks" dxfId="524" priority="30">
      <formula>LEN(TRIM(F7))&gt;0</formula>
    </cfRule>
  </conditionalFormatting>
  <conditionalFormatting sqref="H7:H9">
    <cfRule type="notContainsBlanks" dxfId="523" priority="26">
      <formula>LEN(TRIM(H7))&gt;0</formula>
    </cfRule>
  </conditionalFormatting>
  <conditionalFormatting sqref="J7:J9">
    <cfRule type="notContainsBlanks" dxfId="522" priority="22">
      <formula>LEN(TRIM(J7))&gt;0</formula>
    </cfRule>
  </conditionalFormatting>
  <conditionalFormatting sqref="L7:L9">
    <cfRule type="notContainsBlanks" dxfId="521" priority="18">
      <formula>LEN(TRIM(L7))&gt;0</formula>
    </cfRule>
  </conditionalFormatting>
  <conditionalFormatting sqref="N7:N9">
    <cfRule type="notContainsBlanks" dxfId="520" priority="14">
      <formula>LEN(TRIM(N7))&gt;0</formula>
    </cfRule>
  </conditionalFormatting>
  <conditionalFormatting sqref="P7:P9">
    <cfRule type="notContainsBlanks" dxfId="519" priority="10">
      <formula>LEN(TRIM(P7))&gt;0</formula>
    </cfRule>
  </conditionalFormatting>
  <conditionalFormatting sqref="R7:R9">
    <cfRule type="notContainsBlanks" dxfId="518" priority="6">
      <formula>LEN(TRIM(R7))&gt;0</formula>
    </cfRule>
  </conditionalFormatting>
  <conditionalFormatting sqref="T7:T9">
    <cfRule type="notContainsBlanks" dxfId="517"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6" priority="28" stopIfTrue="1">
      <formula>NOT(ISERROR(A3))</formula>
    </cfRule>
  </conditionalFormatting>
  <conditionalFormatting sqref="A3:T6 A7 C7 E7 G7 I7 K7 M7 O7 Q7 S7 A8:T51">
    <cfRule type="notContainsBlanks" dxfId="515" priority="29">
      <formula>LEN(TRIM(A3))&gt;0</formula>
    </cfRule>
  </conditionalFormatting>
  <conditionalFormatting sqref="A3:T51">
    <cfRule type="containsErrors" dxfId="514" priority="1" stopIfTrue="1">
      <formula>ISERROR(A3)</formula>
    </cfRule>
  </conditionalFormatting>
  <conditionalFormatting sqref="B7">
    <cfRule type="notContainsBlanks" dxfId="513" priority="26">
      <formula>LEN(TRIM(B7))&gt;0</formula>
    </cfRule>
  </conditionalFormatting>
  <conditionalFormatting sqref="D7">
    <cfRule type="notContainsBlanks" dxfId="512" priority="22">
      <formula>LEN(TRIM(D7))&gt;0</formula>
    </cfRule>
  </conditionalFormatting>
  <conditionalFormatting sqref="F7">
    <cfRule type="notContainsBlanks" dxfId="511" priority="2">
      <formula>LEN(TRIM(F7))&gt;0</formula>
    </cfRule>
  </conditionalFormatting>
  <conditionalFormatting sqref="H7">
    <cfRule type="notContainsBlanks" dxfId="510" priority="4">
      <formula>LEN(TRIM(H7))&gt;0</formula>
    </cfRule>
  </conditionalFormatting>
  <conditionalFormatting sqref="J7">
    <cfRule type="notContainsBlanks" dxfId="509" priority="16">
      <formula>LEN(TRIM(J7))&gt;0</formula>
    </cfRule>
  </conditionalFormatting>
  <conditionalFormatting sqref="L7">
    <cfRule type="notContainsBlanks" dxfId="508" priority="14">
      <formula>LEN(TRIM(L7))&gt;0</formula>
    </cfRule>
  </conditionalFormatting>
  <conditionalFormatting sqref="N7">
    <cfRule type="notContainsBlanks" dxfId="507" priority="12">
      <formula>LEN(TRIM(N7))&gt;0</formula>
    </cfRule>
  </conditionalFormatting>
  <conditionalFormatting sqref="P7">
    <cfRule type="notContainsBlanks" dxfId="506" priority="10">
      <formula>LEN(TRIM(P7))&gt;0</formula>
    </cfRule>
  </conditionalFormatting>
  <conditionalFormatting sqref="R7">
    <cfRule type="notContainsBlanks" dxfId="505" priority="8">
      <formula>LEN(TRIM(R7))&gt;0</formula>
    </cfRule>
  </conditionalFormatting>
  <conditionalFormatting sqref="T7">
    <cfRule type="notContainsBlanks" dxfId="504"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 stopIfTrue="1">
      <formula>NOT(ISERROR(A3))</formula>
    </cfRule>
  </conditionalFormatting>
  <conditionalFormatting sqref="A3:T51">
    <cfRule type="containsErrors" dxfId="499" priority="1" stopIfTrue="1">
      <formula>ISERROR(A3)</formula>
    </cfRule>
    <cfRule type="notContainsBlanks" dxfId="498"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2" stopIfTrue="1">
      <formula>NOT(ISERROR(A3))</formula>
    </cfRule>
  </conditionalFormatting>
  <conditionalFormatting sqref="A3:T6 A7 C7 E7 G7 I7 K7 M7 O7 Q7 S7 A8:T51">
    <cfRule type="notContainsBlanks" dxfId="496" priority="23">
      <formula>LEN(TRIM(A3))&gt;0</formula>
    </cfRule>
  </conditionalFormatting>
  <conditionalFormatting sqref="A3:T51">
    <cfRule type="containsErrors" dxfId="495" priority="1" stopIfTrue="1">
      <formula>ISERROR(A3)</formula>
    </cfRule>
  </conditionalFormatting>
  <conditionalFormatting sqref="B7">
    <cfRule type="notContainsBlanks" dxfId="494" priority="20">
      <formula>LEN(TRIM(B7))&gt;0</formula>
    </cfRule>
  </conditionalFormatting>
  <conditionalFormatting sqref="D7">
    <cfRule type="notContainsBlanks" dxfId="493" priority="18">
      <formula>LEN(TRIM(D7))&gt;0</formula>
    </cfRule>
  </conditionalFormatting>
  <conditionalFormatting sqref="F7">
    <cfRule type="notContainsBlanks" dxfId="492" priority="16">
      <formula>LEN(TRIM(F7))&gt;0</formula>
    </cfRule>
  </conditionalFormatting>
  <conditionalFormatting sqref="H7">
    <cfRule type="notContainsBlanks" dxfId="491" priority="14">
      <formula>LEN(TRIM(H7))&gt;0</formula>
    </cfRule>
  </conditionalFormatting>
  <conditionalFormatting sqref="J7">
    <cfRule type="notContainsBlanks" dxfId="490" priority="12">
      <formula>LEN(TRIM(J7))&gt;0</formula>
    </cfRule>
  </conditionalFormatting>
  <conditionalFormatting sqref="L7">
    <cfRule type="notContainsBlanks" dxfId="489" priority="10">
      <formula>LEN(TRIM(L7))&gt;0</formula>
    </cfRule>
  </conditionalFormatting>
  <conditionalFormatting sqref="N7">
    <cfRule type="notContainsBlanks" dxfId="488" priority="8">
      <formula>LEN(TRIM(N7))&gt;0</formula>
    </cfRule>
  </conditionalFormatting>
  <conditionalFormatting sqref="P7">
    <cfRule type="notContainsBlanks" dxfId="487" priority="6">
      <formula>LEN(TRIM(P7))&gt;0</formula>
    </cfRule>
  </conditionalFormatting>
  <conditionalFormatting sqref="R7">
    <cfRule type="notContainsBlanks" dxfId="486" priority="4">
      <formula>LEN(TRIM(R7))&gt;0</formula>
    </cfRule>
  </conditionalFormatting>
  <conditionalFormatting sqref="T7">
    <cfRule type="notContainsBlanks" dxfId="485"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4" priority="42" stopIfTrue="1">
      <formula>NOT(ISERROR(A3))</formula>
    </cfRule>
  </conditionalFormatting>
  <conditionalFormatting sqref="A3:T7 A8:A10 C8:C10 E8:E10 G8:G10 I8:I10 K8:K10 M8:M10 O8:O10 Q8:Q10 S8:S10 A11:T51">
    <cfRule type="notContainsBlanks" dxfId="483" priority="43">
      <formula>LEN(TRIM(A3))&gt;0</formula>
    </cfRule>
  </conditionalFormatting>
  <conditionalFormatting sqref="A3:T51">
    <cfRule type="containsErrors" dxfId="482" priority="1" stopIfTrue="1">
      <formula>ISERROR(A3)</formula>
    </cfRule>
  </conditionalFormatting>
  <conditionalFormatting sqref="B8:B10">
    <cfRule type="notContainsBlanks" dxfId="481" priority="38">
      <formula>LEN(TRIM(B8))&gt;0</formula>
    </cfRule>
  </conditionalFormatting>
  <conditionalFormatting sqref="D8:D10">
    <cfRule type="notContainsBlanks" dxfId="480" priority="34">
      <formula>LEN(TRIM(D8))&gt;0</formula>
    </cfRule>
  </conditionalFormatting>
  <conditionalFormatting sqref="F8:F10">
    <cfRule type="notContainsBlanks" dxfId="479" priority="30">
      <formula>LEN(TRIM(F8))&gt;0</formula>
    </cfRule>
  </conditionalFormatting>
  <conditionalFormatting sqref="H8:H10">
    <cfRule type="notContainsBlanks" dxfId="478" priority="26">
      <formula>LEN(TRIM(H8))&gt;0</formula>
    </cfRule>
  </conditionalFormatting>
  <conditionalFormatting sqref="J8:J10">
    <cfRule type="notContainsBlanks" dxfId="477" priority="22">
      <formula>LEN(TRIM(J8))&gt;0</formula>
    </cfRule>
  </conditionalFormatting>
  <conditionalFormatting sqref="L8:L10">
    <cfRule type="notContainsBlanks" dxfId="476" priority="18">
      <formula>LEN(TRIM(L8))&gt;0</formula>
    </cfRule>
  </conditionalFormatting>
  <conditionalFormatting sqref="N8:N10">
    <cfRule type="notContainsBlanks" dxfId="475" priority="14">
      <formula>LEN(TRIM(N8))&gt;0</formula>
    </cfRule>
  </conditionalFormatting>
  <conditionalFormatting sqref="P8:P10">
    <cfRule type="notContainsBlanks" dxfId="474" priority="10">
      <formula>LEN(TRIM(P8))&gt;0</formula>
    </cfRule>
  </conditionalFormatting>
  <conditionalFormatting sqref="R8:R10">
    <cfRule type="notContainsBlanks" dxfId="473" priority="6">
      <formula>LEN(TRIM(R8))&gt;0</formula>
    </cfRule>
  </conditionalFormatting>
  <conditionalFormatting sqref="T8:T10">
    <cfRule type="notContainsBlanks" dxfId="472"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1" priority="2" stopIfTrue="1">
      <formula>NOT(ISERROR(A3))</formula>
    </cfRule>
  </conditionalFormatting>
  <conditionalFormatting sqref="A3:T51">
    <cfRule type="containsErrors" dxfId="470" priority="1" stopIfTrue="1">
      <formula>ISERROR(A3)</formula>
    </cfRule>
    <cfRule type="notContainsBlanks" dxfId="46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8" priority="2" stopIfTrue="1">
      <formula>NOT(ISERROR(A3))</formula>
    </cfRule>
  </conditionalFormatting>
  <conditionalFormatting sqref="A3:T51">
    <cfRule type="containsErrors" dxfId="467" priority="1" stopIfTrue="1">
      <formula>ISERROR(A3)</formula>
    </cfRule>
    <cfRule type="notContainsBlanks" dxfId="466"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5" priority="2" stopIfTrue="1">
      <formula>NOT(ISERROR(A3))</formula>
    </cfRule>
  </conditionalFormatting>
  <conditionalFormatting sqref="A3:T51">
    <cfRule type="containsErrors" dxfId="464" priority="1" stopIfTrue="1">
      <formula>ISERROR(A3)</formula>
    </cfRule>
    <cfRule type="notContainsBlanks" dxfId="463"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46" stopIfTrue="1">
      <formula>NOT(ISERROR(A3))</formula>
    </cfRule>
  </conditionalFormatting>
  <conditionalFormatting sqref="A3:T6 A7:A8 C7:C8 E7:E8 G7:G8 I7:I8 K7:K8 M7:M8 O7:O8 Q7:Q8 S7:S8 A9:T51">
    <cfRule type="notContainsBlanks" dxfId="452" priority="47">
      <formula>LEN(TRIM(A3))&gt;0</formula>
    </cfRule>
  </conditionalFormatting>
  <conditionalFormatting sqref="A3:T51">
    <cfRule type="containsErrors" dxfId="451" priority="1" stopIfTrue="1">
      <formula>ISERROR(A3)</formula>
    </cfRule>
  </conditionalFormatting>
  <conditionalFormatting sqref="B7:B8">
    <cfRule type="notContainsBlanks" dxfId="450" priority="44">
      <formula>LEN(TRIM(B7))&gt;0</formula>
    </cfRule>
  </conditionalFormatting>
  <conditionalFormatting sqref="D7:D8">
    <cfRule type="notContainsBlanks" dxfId="449" priority="24">
      <formula>LEN(TRIM(D7))&gt;0</formula>
    </cfRule>
  </conditionalFormatting>
  <conditionalFormatting sqref="F7:F8">
    <cfRule type="notContainsBlanks" dxfId="448" priority="2">
      <formula>LEN(TRIM(F7))&gt;0</formula>
    </cfRule>
  </conditionalFormatting>
  <conditionalFormatting sqref="H7:H8">
    <cfRule type="notContainsBlanks" dxfId="447" priority="6">
      <formula>LEN(TRIM(H7))&gt;0</formula>
    </cfRule>
  </conditionalFormatting>
  <conditionalFormatting sqref="J7:J8">
    <cfRule type="notContainsBlanks" dxfId="446" priority="18">
      <formula>LEN(TRIM(J7))&gt;0</formula>
    </cfRule>
  </conditionalFormatting>
  <conditionalFormatting sqref="L7:L8">
    <cfRule type="notContainsBlanks" dxfId="445" priority="16">
      <formula>LEN(TRIM(L7))&gt;0</formula>
    </cfRule>
  </conditionalFormatting>
  <conditionalFormatting sqref="N7:N8">
    <cfRule type="notContainsBlanks" dxfId="444" priority="14">
      <formula>LEN(TRIM(N7))&gt;0</formula>
    </cfRule>
  </conditionalFormatting>
  <conditionalFormatting sqref="P7:P8">
    <cfRule type="notContainsBlanks" dxfId="443" priority="12">
      <formula>LEN(TRIM(P7))&gt;0</formula>
    </cfRule>
  </conditionalFormatting>
  <conditionalFormatting sqref="R7:R8">
    <cfRule type="notContainsBlanks" dxfId="442" priority="10">
      <formula>LEN(TRIM(R7))&gt;0</formula>
    </cfRule>
  </conditionalFormatting>
  <conditionalFormatting sqref="T7:T8">
    <cfRule type="notContainsBlanks" dxfId="441"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0" priority="22" stopIfTrue="1">
      <formula>NOT(ISERROR(A3))</formula>
    </cfRule>
  </conditionalFormatting>
  <conditionalFormatting sqref="A3:T6 A7 C7 E7 G7 I7 K7 M7 O7 Q7 S7 A8:T51">
    <cfRule type="notContainsBlanks" dxfId="439" priority="23">
      <formula>LEN(TRIM(A3))&gt;0</formula>
    </cfRule>
  </conditionalFormatting>
  <conditionalFormatting sqref="A3:T51">
    <cfRule type="containsErrors" dxfId="438" priority="1" stopIfTrue="1">
      <formula>ISERROR(A3)</formula>
    </cfRule>
  </conditionalFormatting>
  <conditionalFormatting sqref="B7">
    <cfRule type="notContainsBlanks" dxfId="437" priority="20">
      <formula>LEN(TRIM(B7))&gt;0</formula>
    </cfRule>
  </conditionalFormatting>
  <conditionalFormatting sqref="D7">
    <cfRule type="notContainsBlanks" dxfId="436" priority="18">
      <formula>LEN(TRIM(D7))&gt;0</formula>
    </cfRule>
  </conditionalFormatting>
  <conditionalFormatting sqref="F7">
    <cfRule type="notContainsBlanks" dxfId="435" priority="16">
      <formula>LEN(TRIM(F7))&gt;0</formula>
    </cfRule>
  </conditionalFormatting>
  <conditionalFormatting sqref="H7">
    <cfRule type="notContainsBlanks" dxfId="434" priority="14">
      <formula>LEN(TRIM(H7))&gt;0</formula>
    </cfRule>
  </conditionalFormatting>
  <conditionalFormatting sqref="J7">
    <cfRule type="notContainsBlanks" dxfId="433" priority="12">
      <formula>LEN(TRIM(J7))&gt;0</formula>
    </cfRule>
  </conditionalFormatting>
  <conditionalFormatting sqref="L7">
    <cfRule type="notContainsBlanks" dxfId="432" priority="10">
      <formula>LEN(TRIM(L7))&gt;0</formula>
    </cfRule>
  </conditionalFormatting>
  <conditionalFormatting sqref="N7">
    <cfRule type="notContainsBlanks" dxfId="431" priority="8">
      <formula>LEN(TRIM(N7))&gt;0</formula>
    </cfRule>
  </conditionalFormatting>
  <conditionalFormatting sqref="P7">
    <cfRule type="notContainsBlanks" dxfId="430" priority="6">
      <formula>LEN(TRIM(P7))&gt;0</formula>
    </cfRule>
  </conditionalFormatting>
  <conditionalFormatting sqref="R7">
    <cfRule type="notContainsBlanks" dxfId="429" priority="4">
      <formula>LEN(TRIM(R7))&gt;0</formula>
    </cfRule>
  </conditionalFormatting>
  <conditionalFormatting sqref="T7">
    <cfRule type="notContainsBlanks" dxfId="428"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2" stopIfTrue="1">
      <formula>NOT(ISERROR(A3))</formula>
    </cfRule>
  </conditionalFormatting>
  <conditionalFormatting sqref="A3:T51">
    <cfRule type="containsErrors" dxfId="423" priority="1" stopIfTrue="1">
      <formula>ISERROR(A3)</formula>
    </cfRule>
    <cfRule type="notContainsBlanks" dxfId="422"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31" stopIfTrue="1">
      <formula>NOT(ISERROR(A3))</formula>
    </cfRule>
  </conditionalFormatting>
  <conditionalFormatting sqref="A3:T7 A8 C8 E8 G8 I8 K8 M8 O8 Q8 S8 A9:T51">
    <cfRule type="notContainsBlanks" dxfId="420" priority="32">
      <formula>LEN(TRIM(A3))&gt;0</formula>
    </cfRule>
  </conditionalFormatting>
  <conditionalFormatting sqref="A3:T51">
    <cfRule type="containsErrors" dxfId="419" priority="10" stopIfTrue="1">
      <formula>ISERROR(A3)</formula>
    </cfRule>
  </conditionalFormatting>
  <conditionalFormatting sqref="B8">
    <cfRule type="notContainsBlanks" dxfId="418" priority="29">
      <formula>LEN(TRIM(B8))&gt;0</formula>
    </cfRule>
  </conditionalFormatting>
  <conditionalFormatting sqref="B12">
    <cfRule type="notContainsBlanks" dxfId="417" priority="9">
      <formula>LEN(TRIM(B12))&gt;0</formula>
    </cfRule>
  </conditionalFormatting>
  <conditionalFormatting sqref="D8">
    <cfRule type="notContainsBlanks" dxfId="416" priority="27">
      <formula>LEN(TRIM(D8))&gt;0</formula>
    </cfRule>
  </conditionalFormatting>
  <conditionalFormatting sqref="D12">
    <cfRule type="notContainsBlanks" dxfId="415" priority="8">
      <formula>LEN(TRIM(D12))&gt;0</formula>
    </cfRule>
  </conditionalFormatting>
  <conditionalFormatting sqref="F8">
    <cfRule type="notContainsBlanks" dxfId="414" priority="25">
      <formula>LEN(TRIM(F8))&gt;0</formula>
    </cfRule>
  </conditionalFormatting>
  <conditionalFormatting sqref="F12">
    <cfRule type="notContainsBlanks" dxfId="413" priority="7">
      <formula>LEN(TRIM(F12))&gt;0</formula>
    </cfRule>
  </conditionalFormatting>
  <conditionalFormatting sqref="H8">
    <cfRule type="notContainsBlanks" dxfId="412" priority="23">
      <formula>LEN(TRIM(H8))&gt;0</formula>
    </cfRule>
  </conditionalFormatting>
  <conditionalFormatting sqref="H12">
    <cfRule type="notContainsBlanks" dxfId="411" priority="6">
      <formula>LEN(TRIM(H12))&gt;0</formula>
    </cfRule>
  </conditionalFormatting>
  <conditionalFormatting sqref="J8">
    <cfRule type="notContainsBlanks" dxfId="410" priority="21">
      <formula>LEN(TRIM(J8))&gt;0</formula>
    </cfRule>
  </conditionalFormatting>
  <conditionalFormatting sqref="J12">
    <cfRule type="notContainsBlanks" dxfId="409" priority="5">
      <formula>LEN(TRIM(J12))&gt;0</formula>
    </cfRule>
  </conditionalFormatting>
  <conditionalFormatting sqref="L8">
    <cfRule type="notContainsBlanks" dxfId="408" priority="19">
      <formula>LEN(TRIM(L8))&gt;0</formula>
    </cfRule>
  </conditionalFormatting>
  <conditionalFormatting sqref="L12">
    <cfRule type="notContainsBlanks" dxfId="407" priority="4">
      <formula>LEN(TRIM(L12))&gt;0</formula>
    </cfRule>
  </conditionalFormatting>
  <conditionalFormatting sqref="N8">
    <cfRule type="notContainsBlanks" dxfId="406" priority="17">
      <formula>LEN(TRIM(N8))&gt;0</formula>
    </cfRule>
  </conditionalFormatting>
  <conditionalFormatting sqref="N12">
    <cfRule type="notContainsBlanks" dxfId="405" priority="3">
      <formula>LEN(TRIM(N12))&gt;0</formula>
    </cfRule>
  </conditionalFormatting>
  <conditionalFormatting sqref="P8">
    <cfRule type="notContainsBlanks" dxfId="404" priority="15">
      <formula>LEN(TRIM(P8))&gt;0</formula>
    </cfRule>
  </conditionalFormatting>
  <conditionalFormatting sqref="P12">
    <cfRule type="notContainsBlanks" dxfId="403" priority="2">
      <formula>LEN(TRIM(P12))&gt;0</formula>
    </cfRule>
  </conditionalFormatting>
  <conditionalFormatting sqref="R8">
    <cfRule type="notContainsBlanks" dxfId="402" priority="13">
      <formula>LEN(TRIM(R8))&gt;0</formula>
    </cfRule>
  </conditionalFormatting>
  <conditionalFormatting sqref="R12">
    <cfRule type="notContainsBlanks" dxfId="401" priority="1">
      <formula>LEN(TRIM(R12))&gt;0</formula>
    </cfRule>
  </conditionalFormatting>
  <conditionalFormatting sqref="T8">
    <cfRule type="notContainsBlanks" dxfId="400"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42" stopIfTrue="1">
      <formula>NOT(ISERROR(A3))</formula>
    </cfRule>
  </conditionalFormatting>
  <conditionalFormatting sqref="A3:T7 A8:A9 C8:C9 E8:E9 G8:G9 I8:I9 K8:K9 M8:M9 O8:O9 Q8:Q9 S8:S9 A10:T51">
    <cfRule type="notContainsBlanks" dxfId="398" priority="43">
      <formula>LEN(TRIM(A3))&gt;0</formula>
    </cfRule>
  </conditionalFormatting>
  <conditionalFormatting sqref="A3:T51">
    <cfRule type="containsErrors" dxfId="397" priority="1" stopIfTrue="1">
      <formula>ISERROR(A3)</formula>
    </cfRule>
  </conditionalFormatting>
  <conditionalFormatting sqref="B8:B9">
    <cfRule type="notContainsBlanks" dxfId="396" priority="38">
      <formula>LEN(TRIM(B8))&gt;0</formula>
    </cfRule>
  </conditionalFormatting>
  <conditionalFormatting sqref="D8:D9">
    <cfRule type="notContainsBlanks" dxfId="395" priority="34">
      <formula>LEN(TRIM(D8))&gt;0</formula>
    </cfRule>
  </conditionalFormatting>
  <conditionalFormatting sqref="F8:F9">
    <cfRule type="notContainsBlanks" dxfId="394" priority="30">
      <formula>LEN(TRIM(F8))&gt;0</formula>
    </cfRule>
  </conditionalFormatting>
  <conditionalFormatting sqref="H8:H9">
    <cfRule type="notContainsBlanks" dxfId="393" priority="26">
      <formula>LEN(TRIM(H8))&gt;0</formula>
    </cfRule>
  </conditionalFormatting>
  <conditionalFormatting sqref="J8:J9">
    <cfRule type="notContainsBlanks" dxfId="392" priority="22">
      <formula>LEN(TRIM(J8))&gt;0</formula>
    </cfRule>
  </conditionalFormatting>
  <conditionalFormatting sqref="L8:L9">
    <cfRule type="notContainsBlanks" dxfId="391" priority="18">
      <formula>LEN(TRIM(L8))&gt;0</formula>
    </cfRule>
  </conditionalFormatting>
  <conditionalFormatting sqref="N8:N9">
    <cfRule type="notContainsBlanks" dxfId="390" priority="14">
      <formula>LEN(TRIM(N8))&gt;0</formula>
    </cfRule>
  </conditionalFormatting>
  <conditionalFormatting sqref="P8:P9">
    <cfRule type="notContainsBlanks" dxfId="389" priority="10">
      <formula>LEN(TRIM(P8))&gt;0</formula>
    </cfRule>
  </conditionalFormatting>
  <conditionalFormatting sqref="R8:R9">
    <cfRule type="notContainsBlanks" dxfId="388" priority="6">
      <formula>LEN(TRIM(R8))&gt;0</formula>
    </cfRule>
  </conditionalFormatting>
  <conditionalFormatting sqref="T8:T9">
    <cfRule type="notContainsBlanks" dxfId="387"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6" priority="22" stopIfTrue="1">
      <formula>NOT(ISERROR(A3))</formula>
    </cfRule>
  </conditionalFormatting>
  <conditionalFormatting sqref="A3:T7 A8 C8 E8 G8 I8 K8 M8 O8 Q8 S8 A9:T51">
    <cfRule type="notContainsBlanks" dxfId="385" priority="23">
      <formula>LEN(TRIM(A3))&gt;0</formula>
    </cfRule>
  </conditionalFormatting>
  <conditionalFormatting sqref="A3:T51">
    <cfRule type="containsErrors" dxfId="384" priority="1" stopIfTrue="1">
      <formula>ISERROR(A3)</formula>
    </cfRule>
  </conditionalFormatting>
  <conditionalFormatting sqref="B8">
    <cfRule type="notContainsBlanks" dxfId="383" priority="20">
      <formula>LEN(TRIM(B8))&gt;0</formula>
    </cfRule>
  </conditionalFormatting>
  <conditionalFormatting sqref="D8">
    <cfRule type="notContainsBlanks" dxfId="382" priority="18">
      <formula>LEN(TRIM(D8))&gt;0</formula>
    </cfRule>
  </conditionalFormatting>
  <conditionalFormatting sqref="F8">
    <cfRule type="notContainsBlanks" dxfId="381" priority="16">
      <formula>LEN(TRIM(F8))&gt;0</formula>
    </cfRule>
  </conditionalFormatting>
  <conditionalFormatting sqref="H8">
    <cfRule type="notContainsBlanks" dxfId="380" priority="14">
      <formula>LEN(TRIM(H8))&gt;0</formula>
    </cfRule>
  </conditionalFormatting>
  <conditionalFormatting sqref="J8">
    <cfRule type="notContainsBlanks" dxfId="379" priority="12">
      <formula>LEN(TRIM(J8))&gt;0</formula>
    </cfRule>
  </conditionalFormatting>
  <conditionalFormatting sqref="L8">
    <cfRule type="notContainsBlanks" dxfId="378" priority="10">
      <formula>LEN(TRIM(L8))&gt;0</formula>
    </cfRule>
  </conditionalFormatting>
  <conditionalFormatting sqref="N8">
    <cfRule type="notContainsBlanks" dxfId="377" priority="8">
      <formula>LEN(TRIM(N8))&gt;0</formula>
    </cfRule>
  </conditionalFormatting>
  <conditionalFormatting sqref="P8">
    <cfRule type="notContainsBlanks" dxfId="376" priority="6">
      <formula>LEN(TRIM(P8))&gt;0</formula>
    </cfRule>
  </conditionalFormatting>
  <conditionalFormatting sqref="R8">
    <cfRule type="notContainsBlanks" dxfId="375" priority="4">
      <formula>LEN(TRIM(R8))&gt;0</formula>
    </cfRule>
  </conditionalFormatting>
  <conditionalFormatting sqref="T8">
    <cfRule type="notContainsBlanks" dxfId="374"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3" priority="62" stopIfTrue="1">
      <formula>NOT(ISERROR(A3))</formula>
    </cfRule>
  </conditionalFormatting>
  <conditionalFormatting sqref="A3:T12 A13:D14 E13:E23 G13:G23 I13:I23 K13:K23 M13:M23 O13:O23 Q13:Q23 S13:S23 A15 C15 A16:D19 A20 C20 A21:D21 A22 C22 A23:D23 A24:T51">
    <cfRule type="notContainsBlanks" dxfId="372" priority="63">
      <formula>LEN(TRIM(A3))&gt;0</formula>
    </cfRule>
  </conditionalFormatting>
  <conditionalFormatting sqref="A3:T51">
    <cfRule type="containsErrors" dxfId="371" priority="1" stopIfTrue="1">
      <formula>ISERROR(A3)</formula>
    </cfRule>
  </conditionalFormatting>
  <conditionalFormatting sqref="B15:B18">
    <cfRule type="notContainsBlanks" dxfId="370" priority="58">
      <formula>LEN(TRIM(B15))&gt;0</formula>
    </cfRule>
  </conditionalFormatting>
  <conditionalFormatting sqref="B20">
    <cfRule type="notContainsBlanks" dxfId="369" priority="56">
      <formula>LEN(TRIM(B20))&gt;0</formula>
    </cfRule>
  </conditionalFormatting>
  <conditionalFormatting sqref="B22">
    <cfRule type="notContainsBlanks" dxfId="368" priority="60">
      <formula>LEN(TRIM(B22))&gt;0</formula>
    </cfRule>
  </conditionalFormatting>
  <conditionalFormatting sqref="D15:D18">
    <cfRule type="notContainsBlanks" dxfId="367" priority="52">
      <formula>LEN(TRIM(D15))&gt;0</formula>
    </cfRule>
  </conditionalFormatting>
  <conditionalFormatting sqref="D20">
    <cfRule type="notContainsBlanks" dxfId="366" priority="50">
      <formula>LEN(TRIM(D20))&gt;0</formula>
    </cfRule>
  </conditionalFormatting>
  <conditionalFormatting sqref="D22">
    <cfRule type="notContainsBlanks" dxfId="365" priority="54">
      <formula>LEN(TRIM(D22))&gt;0</formula>
    </cfRule>
  </conditionalFormatting>
  <conditionalFormatting sqref="F13:F23">
    <cfRule type="notContainsBlanks" dxfId="364" priority="44">
      <formula>LEN(TRIM(F13))&gt;0</formula>
    </cfRule>
  </conditionalFormatting>
  <conditionalFormatting sqref="H13:H23">
    <cfRule type="notContainsBlanks" dxfId="363" priority="38">
      <formula>LEN(TRIM(H13))&gt;0</formula>
    </cfRule>
  </conditionalFormatting>
  <conditionalFormatting sqref="J13:J23">
    <cfRule type="notContainsBlanks" dxfId="362" priority="32">
      <formula>LEN(TRIM(J13))&gt;0</formula>
    </cfRule>
  </conditionalFormatting>
  <conditionalFormatting sqref="L13:L23">
    <cfRule type="notContainsBlanks" dxfId="361" priority="26">
      <formula>LEN(TRIM(L13))&gt;0</formula>
    </cfRule>
  </conditionalFormatting>
  <conditionalFormatting sqref="N13:N23">
    <cfRule type="notContainsBlanks" dxfId="360" priority="20">
      <formula>LEN(TRIM(N13))&gt;0</formula>
    </cfRule>
  </conditionalFormatting>
  <conditionalFormatting sqref="P13:P23">
    <cfRule type="notContainsBlanks" dxfId="359" priority="14">
      <formula>LEN(TRIM(P13))&gt;0</formula>
    </cfRule>
  </conditionalFormatting>
  <conditionalFormatting sqref="R13:R23">
    <cfRule type="notContainsBlanks" dxfId="358" priority="8">
      <formula>LEN(TRIM(R13))&gt;0</formula>
    </cfRule>
  </conditionalFormatting>
  <conditionalFormatting sqref="T13:T23">
    <cfRule type="notContainsBlanks" dxfId="357"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2" stopIfTrue="1">
      <formula>NOT(ISERROR(A3))</formula>
    </cfRule>
  </conditionalFormatting>
  <conditionalFormatting sqref="A3:T51">
    <cfRule type="containsErrors" dxfId="337" priority="1" stopIfTrue="1">
      <formula>ISERROR(A3)</formula>
    </cfRule>
    <cfRule type="notContainsBlanks" dxfId="336"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1" stopIfTrue="1">
      <formula>NOT(ISERROR(A3))</formula>
    </cfRule>
  </conditionalFormatting>
  <conditionalFormatting sqref="A3:T51">
    <cfRule type="containsErrors" dxfId="334" priority="4" stopIfTrue="1">
      <formula>ISERROR(A3)</formula>
    </cfRule>
    <cfRule type="notContainsBlanks" dxfId="333"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72" priority="1" stopIfTrue="1" operator="equal">
      <formula>"-"</formula>
    </cfRule>
    <cfRule type="cellIs" dxfId="271" priority="2" operator="between">
      <formula>"(Lowest value)"</formula>
      <formula>0</formula>
    </cfRule>
    <cfRule type="containsBlanks" dxfId="270" priority="3">
      <formula>LEN(TRIM(A3))=0</formula>
    </cfRule>
    <cfRule type="notContainsBlanks" dxfId="269" priority="4">
      <formula>LEN(TRIM(A3))&gt;0</formula>
    </cfRule>
  </conditionalFormatting>
  <conditionalFormatting sqref="B3:T3 A4:T51">
    <cfRule type="containsErrors" dxfId="268" priority="5" stopIfTrue="1">
      <formula>ISERROR(A3)</formula>
    </cfRule>
    <cfRule type="notContainsBlanks" dxfId="267" priority="7">
      <formula>LEN(TRIM(A3))&gt;0</formula>
    </cfRule>
  </conditionalFormatting>
  <conditionalFormatting sqref="C3:C51 E3:E51 G3:G51 I3:I51 K3:K51 M3:M51 O3:O51 Q3:Q51 S3:S51 A4:A51">
    <cfRule type="notContainsErrors" dxfId="266"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6" priority="2" stopIfTrue="1">
      <formula>NOT(ISERROR(A3))</formula>
    </cfRule>
  </conditionalFormatting>
  <conditionalFormatting sqref="A3:T51">
    <cfRule type="containsErrors" dxfId="255" priority="1" stopIfTrue="1">
      <formula>ISERROR(A3)</formula>
    </cfRule>
    <cfRule type="notContainsBlanks" dxfId="254"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6320</v>
      </c>
      <c r="D3" s="16" t="str">
        <f>TRIM(_xlfn.TEXTBEFORE(C3, ":"))</f>
        <v>Gegenstandsklasse</v>
      </c>
      <c r="E3" s="17" t="s">
        <v>6426</v>
      </c>
      <c r="F3" s="16" t="str">
        <f>TRIM(_xlfn.TEXTBEFORE(E3, ":"))</f>
        <v>Clase de objeto</v>
      </c>
      <c r="G3" s="17" t="s">
        <v>6279</v>
      </c>
      <c r="H3" s="16" t="str">
        <f>TRIM(_xlfn.TEXTBEFORE(G3, ":"))</f>
        <v>Classe d'objet</v>
      </c>
      <c r="I3" s="17" t="s">
        <v>6480</v>
      </c>
      <c r="J3" s="16" t="str">
        <f>TRIM(_xlfn.TEXTBEFORE(I3, ":"))</f>
        <v>アイテムクラス</v>
      </c>
      <c r="K3" s="17" t="s">
        <v>6453</v>
      </c>
      <c r="L3" s="16" t="str">
        <f>TRIM(_xlfn.TEXTBEFORE(K3, ":"))</f>
        <v>아이템 종류</v>
      </c>
      <c r="M3" s="17" t="s">
        <v>6347</v>
      </c>
      <c r="N3" s="16" t="str">
        <f>TRIM(_xlfn.TEXTBEFORE(M3, ":"))</f>
        <v>Classe do Item</v>
      </c>
      <c r="O3" s="17" t="s">
        <v>6374</v>
      </c>
      <c r="P3" s="16" t="str">
        <f>TRIM(_xlfn.TEXTBEFORE(O3, ":"))</f>
        <v>Класс предмета</v>
      </c>
      <c r="Q3" s="17" t="s">
        <v>6401</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6321</v>
      </c>
      <c r="D5" s="16" t="str">
        <f>TRIM(_xlfn.TEXTBEFORE(C4, ":"))</f>
        <v>Seltenheit</v>
      </c>
      <c r="E5" s="18" t="s">
        <v>6427</v>
      </c>
      <c r="F5" s="16" t="str">
        <f>TRIM(_xlfn.TEXTBEFORE(E4, ":"))</f>
        <v>Rareza</v>
      </c>
      <c r="G5" s="18" t="s">
        <v>6280</v>
      </c>
      <c r="H5" s="16" t="str">
        <f>TRIM(_xlfn.TEXTBEFORE(G4, ":"))</f>
        <v>Rareté</v>
      </c>
      <c r="I5" s="18" t="s">
        <v>6481</v>
      </c>
      <c r="J5" s="16" t="str">
        <f>TRIM(_xlfn.TEXTBEFORE(I4, ":"))</f>
        <v>レアリティ</v>
      </c>
      <c r="K5" s="18" t="s">
        <v>6454</v>
      </c>
      <c r="L5" s="16" t="str">
        <f>TRIM(_xlfn.TEXTBEFORE(K4, ":"))</f>
        <v>아이템 희귀도</v>
      </c>
      <c r="M5" s="18" t="s">
        <v>6348</v>
      </c>
      <c r="N5" s="16" t="str">
        <f>TRIM(_xlfn.TEXTBEFORE(M4, ":"))</f>
        <v>Raridade</v>
      </c>
      <c r="O5" s="18" t="s">
        <v>6375</v>
      </c>
      <c r="P5" s="16" t="str">
        <f>TRIM(_xlfn.TEXTBEFORE(O4, ":"))</f>
        <v>Редкость</v>
      </c>
      <c r="Q5" s="18" t="s">
        <v>6402</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6322</v>
      </c>
      <c r="D7" s="16"/>
      <c r="E7" s="18" t="s">
        <v>6428</v>
      </c>
      <c r="F7" s="16"/>
      <c r="G7" s="18" t="s">
        <v>6281</v>
      </c>
      <c r="H7" s="16"/>
      <c r="I7" s="18" t="s">
        <v>6482</v>
      </c>
      <c r="J7" s="16"/>
      <c r="K7" s="18" t="s">
        <v>6455</v>
      </c>
      <c r="L7" s="16"/>
      <c r="M7" s="18" t="s">
        <v>6349</v>
      </c>
      <c r="N7" s="16"/>
      <c r="O7" s="18" t="s">
        <v>6376</v>
      </c>
      <c r="P7" s="16"/>
      <c r="Q7" s="18" t="s">
        <v>6403</v>
      </c>
      <c r="R7" s="16"/>
      <c r="S7" s="18"/>
      <c r="T7" s="20"/>
    </row>
    <row r="8" spans="1:20" ht="15.95" customHeight="1" x14ac:dyDescent="0.25">
      <c r="A8" s="18" t="s">
        <v>6257</v>
      </c>
      <c r="B8" s="16"/>
      <c r="C8" s="18" t="s">
        <v>6323</v>
      </c>
      <c r="D8" s="16"/>
      <c r="E8" s="18" t="s">
        <v>6429</v>
      </c>
      <c r="F8" s="16"/>
      <c r="G8" s="18" t="s">
        <v>6282</v>
      </c>
      <c r="H8" s="16"/>
      <c r="I8" s="18" t="s">
        <v>6483</v>
      </c>
      <c r="J8" s="16"/>
      <c r="K8" s="18" t="s">
        <v>6456</v>
      </c>
      <c r="L8" s="16"/>
      <c r="M8" s="18" t="s">
        <v>6350</v>
      </c>
      <c r="N8" s="16"/>
      <c r="O8" s="18" t="s">
        <v>6377</v>
      </c>
      <c r="P8" s="16"/>
      <c r="Q8" s="18" t="s">
        <v>6404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6324</v>
      </c>
      <c r="D11" s="16"/>
      <c r="E11" s="18" t="s">
        <v>6430</v>
      </c>
      <c r="F11" s="16"/>
      <c r="G11" s="18" t="s">
        <v>6283</v>
      </c>
      <c r="H11" s="16"/>
      <c r="I11" s="18" t="s">
        <v>6484</v>
      </c>
      <c r="J11" s="16"/>
      <c r="K11" s="18" t="s">
        <v>6457</v>
      </c>
      <c r="L11" s="16"/>
      <c r="M11" s="18" t="s">
        <v>6351</v>
      </c>
      <c r="N11" s="16"/>
      <c r="O11" s="18" t="s">
        <v>6378</v>
      </c>
      <c r="P11" s="16"/>
      <c r="Q11" s="18" t="s">
        <v>6405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6325</v>
      </c>
      <c r="D15" s="16"/>
      <c r="E15" s="18" t="s">
        <v>6431</v>
      </c>
      <c r="F15" s="16"/>
      <c r="G15" s="18" t="s">
        <v>6284</v>
      </c>
      <c r="H15" s="16"/>
      <c r="I15" s="18" t="s">
        <v>6485</v>
      </c>
      <c r="J15" s="16"/>
      <c r="K15" s="18" t="s">
        <v>6458</v>
      </c>
      <c r="L15" s="16"/>
      <c r="M15" s="18" t="s">
        <v>6352</v>
      </c>
      <c r="N15" s="16"/>
      <c r="O15" s="18" t="s">
        <v>6379</v>
      </c>
      <c r="P15" s="16"/>
      <c r="Q15" s="18" t="s">
        <v>6406</v>
      </c>
      <c r="R15" s="16"/>
      <c r="S15" s="18"/>
      <c r="T15" s="20"/>
    </row>
    <row r="16" spans="1:20" ht="15.95" customHeight="1" x14ac:dyDescent="0.25">
      <c r="A16" s="18" t="s">
        <v>6260</v>
      </c>
      <c r="B16" s="16"/>
      <c r="C16" s="18" t="s">
        <v>6326</v>
      </c>
      <c r="D16" s="16"/>
      <c r="E16" s="18" t="s">
        <v>6432</v>
      </c>
      <c r="F16" s="16"/>
      <c r="G16" s="18" t="s">
        <v>6285</v>
      </c>
      <c r="H16" s="16"/>
      <c r="I16" s="18" t="s">
        <v>6486</v>
      </c>
      <c r="J16" s="16"/>
      <c r="K16" s="18" t="s">
        <v>6459</v>
      </c>
      <c r="L16" s="16"/>
      <c r="M16" s="18" t="s">
        <v>6353</v>
      </c>
      <c r="N16" s="16"/>
      <c r="O16" s="18" t="s">
        <v>6380</v>
      </c>
      <c r="P16" s="16"/>
      <c r="Q16" s="18" t="s">
        <v>6407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6327</v>
      </c>
      <c r="D18" s="16"/>
      <c r="E18" s="18" t="s">
        <v>6433</v>
      </c>
      <c r="F18" s="16"/>
      <c r="G18" s="18" t="s">
        <v>6286</v>
      </c>
      <c r="H18" s="16"/>
      <c r="I18" s="18" t="s">
        <v>6487</v>
      </c>
      <c r="J18" s="16"/>
      <c r="K18" s="18" t="s">
        <v>6460</v>
      </c>
      <c r="L18" s="16"/>
      <c r="M18" s="18" t="s">
        <v>6354</v>
      </c>
      <c r="N18" s="16"/>
      <c r="O18" s="18" t="s">
        <v>6381</v>
      </c>
      <c r="P18" s="16"/>
      <c r="Q18" s="18" t="s">
        <v>6408</v>
      </c>
      <c r="R18" s="16"/>
      <c r="S18" s="18"/>
      <c r="T18" s="20"/>
    </row>
    <row r="19" spans="1:20" ht="15.95" customHeight="1" x14ac:dyDescent="0.25">
      <c r="A19" s="18" t="s">
        <v>6262</v>
      </c>
      <c r="B19" s="16"/>
      <c r="C19" s="18" t="s">
        <v>6328</v>
      </c>
      <c r="D19" s="16"/>
      <c r="E19" s="18" t="s">
        <v>6434</v>
      </c>
      <c r="F19" s="16"/>
      <c r="G19" s="18" t="s">
        <v>6287</v>
      </c>
      <c r="H19" s="16"/>
      <c r="I19" s="18" t="s">
        <v>6488</v>
      </c>
      <c r="J19" s="16"/>
      <c r="K19" s="18" t="s">
        <v>6461</v>
      </c>
      <c r="L19" s="16"/>
      <c r="M19" s="18" t="s">
        <v>6355</v>
      </c>
      <c r="N19" s="16"/>
      <c r="O19" s="18" t="s">
        <v>6382</v>
      </c>
      <c r="P19" s="16"/>
      <c r="Q19" s="18" t="s">
        <v>6409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6329</v>
      </c>
      <c r="D21" s="16"/>
      <c r="E21" s="18" t="s">
        <v>6435</v>
      </c>
      <c r="F21" s="16"/>
      <c r="G21" s="18" t="s">
        <v>6288</v>
      </c>
      <c r="H21" s="16"/>
      <c r="I21" s="18" t="s">
        <v>6489</v>
      </c>
      <c r="J21" s="16"/>
      <c r="K21" s="18" t="s">
        <v>6462</v>
      </c>
      <c r="L21" s="16"/>
      <c r="M21" s="18" t="s">
        <v>6356</v>
      </c>
      <c r="N21" s="16"/>
      <c r="O21" s="18" t="s">
        <v>6383</v>
      </c>
      <c r="P21" s="16"/>
      <c r="Q21" s="18" t="s">
        <v>6410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53" priority="29" stopIfTrue="1">
      <formula>NOT(ISERROR(A3))</formula>
    </cfRule>
  </conditionalFormatting>
  <conditionalFormatting sqref="A3:B4 A5:T51">
    <cfRule type="notContainsBlanks" dxfId="252" priority="30">
      <formula>LEN(TRIM(A3))&gt;0</formula>
    </cfRule>
  </conditionalFormatting>
  <conditionalFormatting sqref="A3:T51">
    <cfRule type="containsErrors" dxfId="251" priority="1" stopIfTrue="1">
      <formula>ISERROR(A3)</formula>
    </cfRule>
  </conditionalFormatting>
  <conditionalFormatting sqref="C3:C51">
    <cfRule type="notContainsErrors" dxfId="250" priority="26" stopIfTrue="1">
      <formula>NOT(ISERROR(C3))</formula>
    </cfRule>
  </conditionalFormatting>
  <conditionalFormatting sqref="C3:D4">
    <cfRule type="notContainsBlanks" dxfId="249" priority="27">
      <formula>LEN(TRIM(C3))&gt;0</formula>
    </cfRule>
  </conditionalFormatting>
  <conditionalFormatting sqref="E3:E51">
    <cfRule type="notContainsErrors" dxfId="248" priority="23" stopIfTrue="1">
      <formula>NOT(ISERROR(E3))</formula>
    </cfRule>
  </conditionalFormatting>
  <conditionalFormatting sqref="E3:F4">
    <cfRule type="notContainsBlanks" dxfId="247" priority="24">
      <formula>LEN(TRIM(E3))&gt;0</formula>
    </cfRule>
  </conditionalFormatting>
  <conditionalFormatting sqref="G3:G51">
    <cfRule type="notContainsErrors" dxfId="246" priority="20" stopIfTrue="1">
      <formula>NOT(ISERROR(G3))</formula>
    </cfRule>
  </conditionalFormatting>
  <conditionalFormatting sqref="G3:H4">
    <cfRule type="notContainsBlanks" dxfId="245" priority="21">
      <formula>LEN(TRIM(G3))&gt;0</formula>
    </cfRule>
  </conditionalFormatting>
  <conditionalFormatting sqref="I3:I51">
    <cfRule type="notContainsErrors" dxfId="244" priority="17" stopIfTrue="1">
      <formula>NOT(ISERROR(I3))</formula>
    </cfRule>
  </conditionalFormatting>
  <conditionalFormatting sqref="I3:J4">
    <cfRule type="notContainsBlanks" dxfId="243" priority="18">
      <formula>LEN(TRIM(I3))&gt;0</formula>
    </cfRule>
  </conditionalFormatting>
  <conditionalFormatting sqref="K3:K51">
    <cfRule type="notContainsErrors" dxfId="242" priority="14" stopIfTrue="1">
      <formula>NOT(ISERROR(K3))</formula>
    </cfRule>
  </conditionalFormatting>
  <conditionalFormatting sqref="K3:L4">
    <cfRule type="notContainsBlanks" dxfId="241" priority="15">
      <formula>LEN(TRIM(K3))&gt;0</formula>
    </cfRule>
  </conditionalFormatting>
  <conditionalFormatting sqref="M3:M51">
    <cfRule type="notContainsErrors" dxfId="240" priority="11" stopIfTrue="1">
      <formula>NOT(ISERROR(M3))</formula>
    </cfRule>
  </conditionalFormatting>
  <conditionalFormatting sqref="M3:N4">
    <cfRule type="notContainsBlanks" dxfId="239" priority="12">
      <formula>LEN(TRIM(M3))&gt;0</formula>
    </cfRule>
  </conditionalFormatting>
  <conditionalFormatting sqref="O3:O51">
    <cfRule type="notContainsErrors" dxfId="238" priority="8" stopIfTrue="1">
      <formula>NOT(ISERROR(O3))</formula>
    </cfRule>
  </conditionalFormatting>
  <conditionalFormatting sqref="O3:P4">
    <cfRule type="notContainsBlanks" dxfId="237" priority="9">
      <formula>LEN(TRIM(O3))&gt;0</formula>
    </cfRule>
  </conditionalFormatting>
  <conditionalFormatting sqref="Q3:Q51">
    <cfRule type="notContainsErrors" dxfId="236" priority="5" stopIfTrue="1">
      <formula>NOT(ISERROR(Q3))</formula>
    </cfRule>
  </conditionalFormatting>
  <conditionalFormatting sqref="Q3:R4">
    <cfRule type="notContainsBlanks" dxfId="235" priority="6">
      <formula>LEN(TRIM(Q3))&gt;0</formula>
    </cfRule>
  </conditionalFormatting>
  <conditionalFormatting sqref="S3:S51">
    <cfRule type="notContainsErrors" dxfId="234" priority="2" stopIfTrue="1">
      <formula>NOT(ISERROR(S3))</formula>
    </cfRule>
  </conditionalFormatting>
  <conditionalFormatting sqref="S3:T4">
    <cfRule type="notContainsBlanks" dxfId="233"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6330</v>
      </c>
      <c r="D3" s="16" t="str">
        <f>TRIM(_xlfn.TEXTBEFORE(C3, ":"))</f>
        <v>Gegenstandsklasse</v>
      </c>
      <c r="E3" s="17" t="s">
        <v>6436</v>
      </c>
      <c r="F3" s="16" t="str">
        <f>TRIM(_xlfn.TEXTBEFORE(E3, ":"))</f>
        <v>Clase de objeto</v>
      </c>
      <c r="G3" s="17" t="s">
        <v>6289</v>
      </c>
      <c r="H3" s="16" t="str">
        <f>TRIM(_xlfn.TEXTBEFORE(G3, ":"))</f>
        <v>Classe d'objet</v>
      </c>
      <c r="I3" s="17" t="s">
        <v>6490</v>
      </c>
      <c r="J3" s="16" t="str">
        <f>TRIM(_xlfn.TEXTBEFORE(I3, ":"))</f>
        <v>アイテムクラス</v>
      </c>
      <c r="K3" s="17" t="s">
        <v>6463</v>
      </c>
      <c r="L3" s="16" t="str">
        <f>TRIM(_xlfn.TEXTBEFORE(K3, ":"))</f>
        <v>아이템 종류</v>
      </c>
      <c r="M3" s="17" t="s">
        <v>6357</v>
      </c>
      <c r="N3" s="16" t="str">
        <f>TRIM(_xlfn.TEXTBEFORE(M3, ":"))</f>
        <v>Classe do Item</v>
      </c>
      <c r="O3" s="17" t="s">
        <v>6384</v>
      </c>
      <c r="P3" s="16" t="str">
        <f>TRIM(_xlfn.TEXTBEFORE(O3, ":"))</f>
        <v>Класс предмета</v>
      </c>
      <c r="Q3" s="17" t="s">
        <v>6411</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6331</v>
      </c>
      <c r="D5" s="16" t="str">
        <f>TRIM(_xlfn.TEXTBEFORE(C4, ":"))</f>
        <v>Seltenheit</v>
      </c>
      <c r="E5" s="18" t="s">
        <v>6437</v>
      </c>
      <c r="F5" s="16" t="str">
        <f>TRIM(_xlfn.TEXTBEFORE(E4, ":"))</f>
        <v>Rareza</v>
      </c>
      <c r="G5" s="18" t="s">
        <v>6290</v>
      </c>
      <c r="H5" s="16" t="str">
        <f>TRIM(_xlfn.TEXTBEFORE(G4, ":"))</f>
        <v>Rareté</v>
      </c>
      <c r="I5" s="18" t="s">
        <v>6491</v>
      </c>
      <c r="J5" s="16" t="str">
        <f>TRIM(_xlfn.TEXTBEFORE(I4, ":"))</f>
        <v>レアリティ</v>
      </c>
      <c r="K5" s="18" t="s">
        <v>6464</v>
      </c>
      <c r="L5" s="16" t="str">
        <f>TRIM(_xlfn.TEXTBEFORE(K4, ":"))</f>
        <v>아이템 희귀도</v>
      </c>
      <c r="M5" s="18" t="s">
        <v>6358</v>
      </c>
      <c r="N5" s="16" t="str">
        <f>TRIM(_xlfn.TEXTBEFORE(M4, ":"))</f>
        <v>Raridade</v>
      </c>
      <c r="O5" s="18" t="s">
        <v>6385</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6332</v>
      </c>
      <c r="D6" s="16" t="str">
        <f>TRIM(_xlfn.TEXTAFTER(C4,":"))</f>
        <v>Einzigartig</v>
      </c>
      <c r="E6" s="18" t="s">
        <v>6438</v>
      </c>
      <c r="F6" s="16" t="str">
        <f>TRIM(_xlfn.TEXTAFTER(E4,":"))</f>
        <v>Único</v>
      </c>
      <c r="G6" s="18" t="s">
        <v>6291</v>
      </c>
      <c r="H6" s="16" t="str">
        <f>TRIM(_xlfn.TEXTAFTER(G4,":"))</f>
        <v>Unique</v>
      </c>
      <c r="I6" s="18" t="s">
        <v>6492</v>
      </c>
      <c r="J6" s="16" t="str">
        <f>TRIM(_xlfn.TEXTAFTER(I4,":"))</f>
        <v>ユニーク</v>
      </c>
      <c r="K6" s="18" t="s">
        <v>6465</v>
      </c>
      <c r="L6" s="16" t="str">
        <f>TRIM(_xlfn.TEXTAFTER(K4,":"))</f>
        <v>고유</v>
      </c>
      <c r="M6" s="18" t="s">
        <v>6359</v>
      </c>
      <c r="N6" s="16" t="str">
        <f>TRIM(_xlfn.TEXTAFTER(M4,":"))</f>
        <v>Único</v>
      </c>
      <c r="O6" s="18" t="s">
        <v>6386</v>
      </c>
      <c r="P6" s="16" t="str">
        <f>TRIM(_xlfn.TEXTAFTER(O4,":"))</f>
        <v>Уникальный</v>
      </c>
      <c r="Q6" s="18" t="s">
        <v>6412</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6333</v>
      </c>
      <c r="D10" s="16"/>
      <c r="E10" s="18" t="s">
        <v>6439</v>
      </c>
      <c r="F10" s="16"/>
      <c r="G10" s="18" t="s">
        <v>6292</v>
      </c>
      <c r="H10" s="16"/>
      <c r="I10" s="18" t="s">
        <v>6493</v>
      </c>
      <c r="J10" s="16"/>
      <c r="K10" s="18" t="s">
        <v>6466</v>
      </c>
      <c r="L10" s="16"/>
      <c r="M10" s="18" t="s">
        <v>6360</v>
      </c>
      <c r="N10" s="16"/>
      <c r="O10" s="18" t="s">
        <v>6387</v>
      </c>
      <c r="P10" s="16"/>
      <c r="Q10" s="18" t="s">
        <v>6413</v>
      </c>
      <c r="R10" s="16"/>
      <c r="S10" s="18"/>
      <c r="T10" s="20"/>
    </row>
    <row r="11" spans="1:20" ht="15.95" customHeight="1" x14ac:dyDescent="0.25">
      <c r="A11" s="18" t="s">
        <v>6268</v>
      </c>
      <c r="B11" s="16"/>
      <c r="C11" s="18" t="s">
        <v>6334</v>
      </c>
      <c r="D11" s="16"/>
      <c r="E11" s="18" t="s">
        <v>6440</v>
      </c>
      <c r="F11" s="16"/>
      <c r="G11" s="18" t="s">
        <v>6293</v>
      </c>
      <c r="H11" s="16"/>
      <c r="I11" s="18" t="s">
        <v>6494</v>
      </c>
      <c r="J11" s="16"/>
      <c r="K11" s="18" t="s">
        <v>6467</v>
      </c>
      <c r="L11" s="16"/>
      <c r="M11" s="18" t="s">
        <v>6361</v>
      </c>
      <c r="N11" s="16"/>
      <c r="O11" s="18" t="s">
        <v>6388</v>
      </c>
      <c r="P11" s="16"/>
      <c r="Q11" s="18" t="s">
        <v>6414</v>
      </c>
      <c r="R11" s="16"/>
      <c r="S11" s="18"/>
      <c r="T11" s="20"/>
    </row>
    <row r="12" spans="1:20" ht="15.95" customHeight="1" x14ac:dyDescent="0.25">
      <c r="A12" s="18" t="s">
        <v>6269</v>
      </c>
      <c r="B12" s="16"/>
      <c r="C12" s="18" t="s">
        <v>6335</v>
      </c>
      <c r="D12" s="16"/>
      <c r="E12" s="18" t="s">
        <v>6441</v>
      </c>
      <c r="F12" s="16"/>
      <c r="G12" s="18" t="s">
        <v>6294</v>
      </c>
      <c r="H12" s="16"/>
      <c r="I12" s="18" t="s">
        <v>6495</v>
      </c>
      <c r="J12" s="16"/>
      <c r="K12" s="18" t="s">
        <v>6468</v>
      </c>
      <c r="L12" s="16"/>
      <c r="M12" s="18" t="s">
        <v>6362</v>
      </c>
      <c r="N12" s="16"/>
      <c r="O12" s="18" t="s">
        <v>6389</v>
      </c>
      <c r="P12" s="16"/>
      <c r="Q12" s="18" t="s">
        <v>6415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6336</v>
      </c>
      <c r="D14" s="16"/>
      <c r="E14" s="18" t="s">
        <v>6442</v>
      </c>
      <c r="F14" s="16"/>
      <c r="G14" s="18" t="s">
        <v>6295</v>
      </c>
      <c r="H14" s="16"/>
      <c r="I14" s="18" t="s">
        <v>6496</v>
      </c>
      <c r="J14" s="16"/>
      <c r="K14" s="18" t="s">
        <v>6469</v>
      </c>
      <c r="L14" s="16"/>
      <c r="M14" s="18" t="s">
        <v>6363</v>
      </c>
      <c r="N14" s="16"/>
      <c r="O14" s="18" t="s">
        <v>6390</v>
      </c>
      <c r="P14" s="16"/>
      <c r="Q14" s="18" t="s">
        <v>6416</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6337</v>
      </c>
      <c r="D16" s="16"/>
      <c r="E16" s="18" t="s">
        <v>6443</v>
      </c>
      <c r="F16" s="16"/>
      <c r="G16" s="18" t="s">
        <v>6297</v>
      </c>
      <c r="H16" s="16"/>
      <c r="I16" s="18" t="s">
        <v>6497</v>
      </c>
      <c r="J16" s="16"/>
      <c r="K16" s="18" t="s">
        <v>6470</v>
      </c>
      <c r="L16" s="16"/>
      <c r="M16" s="18" t="s">
        <v>6364</v>
      </c>
      <c r="N16" s="16"/>
      <c r="O16" s="18" t="s">
        <v>6391</v>
      </c>
      <c r="P16" s="16"/>
      <c r="Q16" s="18" t="s">
        <v>6417</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2" priority="2" stopIfTrue="1">
      <formula>NOT(ISERROR(A3))</formula>
    </cfRule>
  </conditionalFormatting>
  <conditionalFormatting sqref="A3:T51">
    <cfRule type="containsErrors" dxfId="231" priority="1" stopIfTrue="1">
      <formula>ISERROR(A3)</formula>
    </cfRule>
    <cfRule type="notContainsBlanks" dxfId="230"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6338</v>
      </c>
      <c r="D3" s="16" t="str">
        <f>TRIM(_xlfn.TEXTBEFORE(C3, ":"))</f>
        <v>Gegenstandsklasse</v>
      </c>
      <c r="E3" s="17" t="s">
        <v>6444</v>
      </c>
      <c r="F3" s="16" t="str">
        <f>TRIM(_xlfn.TEXTBEFORE(E3, ":"))</f>
        <v>Clase de objeto</v>
      </c>
      <c r="G3" s="17" t="s">
        <v>6300</v>
      </c>
      <c r="H3" s="16" t="str">
        <f>TRIM(_xlfn.TEXTBEFORE(G3, ":"))</f>
        <v>Classe d'objet</v>
      </c>
      <c r="I3" s="17" t="s">
        <v>6498</v>
      </c>
      <c r="J3" s="16" t="str">
        <f>TRIM(_xlfn.TEXTBEFORE(I3, ":"))</f>
        <v>アイテムクラス</v>
      </c>
      <c r="K3" s="17" t="s">
        <v>6471</v>
      </c>
      <c r="L3" s="16" t="str">
        <f>TRIM(_xlfn.TEXTBEFORE(K3, ":"))</f>
        <v>아이템 종류</v>
      </c>
      <c r="M3" s="17" t="s">
        <v>6365</v>
      </c>
      <c r="N3" s="16" t="str">
        <f>TRIM(_xlfn.TEXTBEFORE(M3, ":"))</f>
        <v>Classe do Item</v>
      </c>
      <c r="O3" s="17" t="s">
        <v>6392</v>
      </c>
      <c r="P3" s="16" t="str">
        <f>TRIM(_xlfn.TEXTBEFORE(O3, ":"))</f>
        <v>Класс предмета</v>
      </c>
      <c r="Q3" s="17" t="s">
        <v>6418</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6339</v>
      </c>
      <c r="D5" s="16" t="str">
        <f>TRIM(_xlfn.TEXTBEFORE(C4, ":"))</f>
        <v>Seltenheit</v>
      </c>
      <c r="E5" s="18" t="s">
        <v>6445</v>
      </c>
      <c r="F5" s="16" t="str">
        <f>TRIM(_xlfn.TEXTBEFORE(E4, ":"))</f>
        <v>Rareza</v>
      </c>
      <c r="G5" s="18" t="s">
        <v>6301</v>
      </c>
      <c r="H5" s="16" t="str">
        <f>TRIM(_xlfn.TEXTBEFORE(G4, ":"))</f>
        <v>Rareté</v>
      </c>
      <c r="I5" s="18" t="s">
        <v>6499</v>
      </c>
      <c r="J5" s="16" t="str">
        <f>TRIM(_xlfn.TEXTBEFORE(I4, ":"))</f>
        <v>レアリティ</v>
      </c>
      <c r="K5" s="18" t="s">
        <v>6472</v>
      </c>
      <c r="L5" s="16" t="str">
        <f>TRIM(_xlfn.TEXTBEFORE(K4, ":"))</f>
        <v>아이템 희귀도</v>
      </c>
      <c r="M5" s="18" t="s">
        <v>6366</v>
      </c>
      <c r="N5" s="16" t="str">
        <f>TRIM(_xlfn.TEXTBEFORE(M4, ":"))</f>
        <v>Raridade</v>
      </c>
      <c r="O5" s="18" t="s">
        <v>6393</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6340</v>
      </c>
      <c r="D7" s="16"/>
      <c r="E7" s="18" t="s">
        <v>6446</v>
      </c>
      <c r="F7" s="16"/>
      <c r="G7" s="18" t="s">
        <v>6302</v>
      </c>
      <c r="H7" s="16"/>
      <c r="I7" s="18" t="s">
        <v>6500</v>
      </c>
      <c r="J7" s="16"/>
      <c r="K7" s="18" t="s">
        <v>6473</v>
      </c>
      <c r="L7" s="16"/>
      <c r="M7" s="18" t="s">
        <v>6367</v>
      </c>
      <c r="N7" s="16"/>
      <c r="O7" s="18" t="s">
        <v>6394</v>
      </c>
      <c r="P7" s="16"/>
      <c r="Q7" s="18" t="s">
        <v>6419</v>
      </c>
      <c r="R7" s="16"/>
      <c r="S7" s="18"/>
      <c r="T7" s="20"/>
    </row>
    <row r="8" spans="1:20" ht="15.95" customHeight="1" x14ac:dyDescent="0.25">
      <c r="A8" s="18" t="s">
        <v>6274</v>
      </c>
      <c r="B8" s="16"/>
      <c r="C8" s="18" t="s">
        <v>6341</v>
      </c>
      <c r="D8" s="16"/>
      <c r="E8" s="18" t="s">
        <v>6447</v>
      </c>
      <c r="F8" s="16"/>
      <c r="G8" s="18" t="s">
        <v>6303</v>
      </c>
      <c r="H8" s="16"/>
      <c r="I8" s="18" t="s">
        <v>6501</v>
      </c>
      <c r="J8" s="16"/>
      <c r="K8" s="18" t="s">
        <v>6474</v>
      </c>
      <c r="L8" s="16"/>
      <c r="M8" s="18" t="s">
        <v>6368</v>
      </c>
      <c r="N8" s="16"/>
      <c r="O8" s="18" t="s">
        <v>6395</v>
      </c>
      <c r="P8" s="16"/>
      <c r="Q8" s="18" t="s">
        <v>6420</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6342</v>
      </c>
      <c r="D12" s="16"/>
      <c r="E12" s="18" t="s">
        <v>6448</v>
      </c>
      <c r="F12" s="16"/>
      <c r="G12" s="18" t="s">
        <v>6304</v>
      </c>
      <c r="H12" s="16"/>
      <c r="I12" s="18" t="s">
        <v>6502</v>
      </c>
      <c r="J12" s="16"/>
      <c r="K12" s="18" t="s">
        <v>6475</v>
      </c>
      <c r="L12" s="16"/>
      <c r="M12" s="18" t="s">
        <v>6369</v>
      </c>
      <c r="N12" s="16"/>
      <c r="O12" s="18" t="s">
        <v>6396</v>
      </c>
      <c r="P12" s="16"/>
      <c r="Q12" s="18" t="s">
        <v>6421</v>
      </c>
      <c r="R12" s="16"/>
      <c r="S12" s="18"/>
      <c r="T12" s="20"/>
    </row>
    <row r="13" spans="1:20" ht="15.95" customHeight="1" x14ac:dyDescent="0.25">
      <c r="A13" s="18" t="s">
        <v>6276</v>
      </c>
      <c r="B13" s="16"/>
      <c r="C13" s="18" t="s">
        <v>6343</v>
      </c>
      <c r="D13" s="16"/>
      <c r="E13" s="18" t="s">
        <v>6449</v>
      </c>
      <c r="F13" s="16"/>
      <c r="G13" s="18" t="s">
        <v>6305</v>
      </c>
      <c r="H13" s="16"/>
      <c r="I13" s="18" t="s">
        <v>6503</v>
      </c>
      <c r="J13" s="16"/>
      <c r="K13" s="18" t="s">
        <v>6476</v>
      </c>
      <c r="L13" s="16"/>
      <c r="M13" s="18" t="s">
        <v>6370</v>
      </c>
      <c r="N13" s="16"/>
      <c r="O13" s="18" t="s">
        <v>6397</v>
      </c>
      <c r="P13" s="16"/>
      <c r="Q13" s="18" t="s">
        <v>6422</v>
      </c>
      <c r="R13" s="16"/>
      <c r="S13" s="18"/>
      <c r="T13" s="20"/>
    </row>
    <row r="14" spans="1:20" ht="15.95" customHeight="1" x14ac:dyDescent="0.25">
      <c r="A14" s="18" t="s">
        <v>6277</v>
      </c>
      <c r="B14" s="16"/>
      <c r="C14" s="18" t="s">
        <v>6344</v>
      </c>
      <c r="D14" s="16"/>
      <c r="E14" s="18" t="s">
        <v>6450</v>
      </c>
      <c r="F14" s="16"/>
      <c r="G14" s="18" t="s">
        <v>6306</v>
      </c>
      <c r="H14" s="16"/>
      <c r="I14" s="18" t="s">
        <v>6504</v>
      </c>
      <c r="J14" s="16"/>
      <c r="K14" s="18" t="s">
        <v>6477</v>
      </c>
      <c r="L14" s="16"/>
      <c r="M14" s="18" t="s">
        <v>6371</v>
      </c>
      <c r="N14" s="16"/>
      <c r="O14" s="18" t="s">
        <v>6398</v>
      </c>
      <c r="P14" s="16"/>
      <c r="Q14" s="18" t="s">
        <v>6423</v>
      </c>
      <c r="R14" s="16"/>
      <c r="S14" s="18"/>
      <c r="T14" s="20"/>
    </row>
    <row r="15" spans="1:20" ht="15.95" customHeight="1" x14ac:dyDescent="0.25">
      <c r="A15" s="18" t="s">
        <v>6278</v>
      </c>
      <c r="B15" s="16"/>
      <c r="C15" s="18" t="s">
        <v>6345</v>
      </c>
      <c r="D15" s="16"/>
      <c r="E15" s="18" t="s">
        <v>6451</v>
      </c>
      <c r="F15" s="16"/>
      <c r="G15" s="18" t="s">
        <v>6307</v>
      </c>
      <c r="H15" s="16"/>
      <c r="I15" s="18" t="s">
        <v>6505</v>
      </c>
      <c r="J15" s="16"/>
      <c r="K15" s="18" t="s">
        <v>6478</v>
      </c>
      <c r="L15" s="16"/>
      <c r="M15" s="18" t="s">
        <v>6372</v>
      </c>
      <c r="N15" s="16"/>
      <c r="O15" s="18" t="s">
        <v>6399</v>
      </c>
      <c r="P15" s="16"/>
      <c r="Q15" s="18" t="s">
        <v>6424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6346</v>
      </c>
      <c r="D17" s="16"/>
      <c r="E17" s="18" t="s">
        <v>6452</v>
      </c>
      <c r="F17" s="16"/>
      <c r="G17" s="18" t="s">
        <v>6308</v>
      </c>
      <c r="H17" s="16"/>
      <c r="I17" s="18" t="s">
        <v>6506</v>
      </c>
      <c r="J17" s="16"/>
      <c r="K17" s="18" t="s">
        <v>6479</v>
      </c>
      <c r="L17" s="16"/>
      <c r="M17" s="18" t="s">
        <v>6373</v>
      </c>
      <c r="N17" s="16"/>
      <c r="O17" s="18" t="s">
        <v>6400</v>
      </c>
      <c r="P17" s="16"/>
      <c r="Q17" s="18" t="s">
        <v>6425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29" priority="29" stopIfTrue="1">
      <formula>NOT(ISERROR(A3))</formula>
    </cfRule>
  </conditionalFormatting>
  <conditionalFormatting sqref="A3:B4 A5:T51">
    <cfRule type="notContainsBlanks" dxfId="228" priority="30">
      <formula>LEN(TRIM(A3))&gt;0</formula>
    </cfRule>
  </conditionalFormatting>
  <conditionalFormatting sqref="A3:T51">
    <cfRule type="containsErrors" dxfId="227" priority="1" stopIfTrue="1">
      <formula>ISERROR(A3)</formula>
    </cfRule>
  </conditionalFormatting>
  <conditionalFormatting sqref="C3:C4">
    <cfRule type="notContainsBlanks" dxfId="226" priority="3">
      <formula>LEN(TRIM(C3))&gt;0</formula>
    </cfRule>
  </conditionalFormatting>
  <conditionalFormatting sqref="C3:C51">
    <cfRule type="notContainsErrors" dxfId="225" priority="2" stopIfTrue="1">
      <formula>NOT(ISERROR(C3))</formula>
    </cfRule>
  </conditionalFormatting>
  <conditionalFormatting sqref="D3:E4">
    <cfRule type="notContainsBlanks" dxfId="224" priority="6">
      <formula>LEN(TRIM(D3))&gt;0</formula>
    </cfRule>
  </conditionalFormatting>
  <conditionalFormatting sqref="E3:E51">
    <cfRule type="notContainsErrors" dxfId="223" priority="5" stopIfTrue="1">
      <formula>NOT(ISERROR(E3))</formula>
    </cfRule>
  </conditionalFormatting>
  <conditionalFormatting sqref="F3:G4">
    <cfRule type="notContainsBlanks" dxfId="222" priority="9">
      <formula>LEN(TRIM(F3))&gt;0</formula>
    </cfRule>
  </conditionalFormatting>
  <conditionalFormatting sqref="G3:G51">
    <cfRule type="notContainsErrors" dxfId="221" priority="8" stopIfTrue="1">
      <formula>NOT(ISERROR(G3))</formula>
    </cfRule>
  </conditionalFormatting>
  <conditionalFormatting sqref="H3:I4">
    <cfRule type="notContainsBlanks" dxfId="220" priority="12">
      <formula>LEN(TRIM(H3))&gt;0</formula>
    </cfRule>
  </conditionalFormatting>
  <conditionalFormatting sqref="I3:I51">
    <cfRule type="notContainsErrors" dxfId="219" priority="11" stopIfTrue="1">
      <formula>NOT(ISERROR(I3))</formula>
    </cfRule>
  </conditionalFormatting>
  <conditionalFormatting sqref="J3:K4">
    <cfRule type="notContainsBlanks" dxfId="218" priority="15">
      <formula>LEN(TRIM(J3))&gt;0</formula>
    </cfRule>
  </conditionalFormatting>
  <conditionalFormatting sqref="K3:K51">
    <cfRule type="notContainsErrors" dxfId="217" priority="14" stopIfTrue="1">
      <formula>NOT(ISERROR(K3))</formula>
    </cfRule>
  </conditionalFormatting>
  <conditionalFormatting sqref="L3:M4">
    <cfRule type="notContainsBlanks" dxfId="216" priority="18">
      <formula>LEN(TRIM(L3))&gt;0</formula>
    </cfRule>
  </conditionalFormatting>
  <conditionalFormatting sqref="M3:M51">
    <cfRule type="notContainsErrors" dxfId="215" priority="17" stopIfTrue="1">
      <formula>NOT(ISERROR(M3))</formula>
    </cfRule>
  </conditionalFormatting>
  <conditionalFormatting sqref="N3:O4">
    <cfRule type="notContainsBlanks" dxfId="214" priority="21">
      <formula>LEN(TRIM(N3))&gt;0</formula>
    </cfRule>
  </conditionalFormatting>
  <conditionalFormatting sqref="O3:O51">
    <cfRule type="notContainsErrors" dxfId="213" priority="20" stopIfTrue="1">
      <formula>NOT(ISERROR(O3))</formula>
    </cfRule>
  </conditionalFormatting>
  <conditionalFormatting sqref="P3:Q4">
    <cfRule type="notContainsBlanks" dxfId="212" priority="24">
      <formula>LEN(TRIM(P3))&gt;0</formula>
    </cfRule>
  </conditionalFormatting>
  <conditionalFormatting sqref="Q3:Q51">
    <cfRule type="notContainsErrors" dxfId="211" priority="23" stopIfTrue="1">
      <formula>NOT(ISERROR(Q3))</formula>
    </cfRule>
  </conditionalFormatting>
  <conditionalFormatting sqref="R3:T4">
    <cfRule type="notContainsBlanks" dxfId="210" priority="27">
      <formula>LEN(TRIM(R3))&gt;0</formula>
    </cfRule>
  </conditionalFormatting>
  <conditionalFormatting sqref="S3:S51">
    <cfRule type="notContainsErrors" dxfId="209"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7199</v>
      </c>
      <c r="T4" s="20" t="str">
        <f>TRIM(_xlfn.TEXTAFTER(S3, ":"))</f>
        <v>弓</v>
      </c>
    </row>
    <row r="5" spans="1:20" ht="15.95" customHeight="1" x14ac:dyDescent="0.25">
      <c r="A5" s="18" t="s">
        <v>6507</v>
      </c>
      <c r="B5" s="16" t="str">
        <f>TRIM(_xlfn.TEXTBEFORE(A4, ":"))</f>
        <v>Rarity</v>
      </c>
      <c r="C5" s="18" t="s">
        <v>6565</v>
      </c>
      <c r="D5" s="16" t="str">
        <f>TRIM(_xlfn.TEXTBEFORE(C4, ":"))</f>
        <v>Seltenheit</v>
      </c>
      <c r="E5" s="18" t="s">
        <v>6675</v>
      </c>
      <c r="F5" s="16" t="str">
        <f>TRIM(_xlfn.TEXTBEFORE(E4, ":"))</f>
        <v>Rareza</v>
      </c>
      <c r="G5" s="18" t="s">
        <v>6538</v>
      </c>
      <c r="H5" s="16" t="str">
        <f>TRIM(_xlfn.TEXTBEFORE(G4, ":"))</f>
        <v>Rareté</v>
      </c>
      <c r="I5" s="18" t="s">
        <v>6733</v>
      </c>
      <c r="J5" s="16" t="str">
        <f>TRIM(_xlfn.TEXTBEFORE(I4, ":"))</f>
        <v>レアリティ</v>
      </c>
      <c r="K5" s="18" t="s">
        <v>6702</v>
      </c>
      <c r="L5" s="16" t="str">
        <f>TRIM(_xlfn.TEXTBEFORE(K4, ":"))</f>
        <v>아이템 희귀도</v>
      </c>
      <c r="M5" s="18" t="s">
        <v>6594</v>
      </c>
      <c r="N5" s="16" t="str">
        <f>TRIM(_xlfn.TEXTBEFORE(M4, ":"))</f>
        <v>Raridade</v>
      </c>
      <c r="O5" s="18" t="s">
        <v>6623</v>
      </c>
      <c r="P5" s="16" t="str">
        <f>TRIM(_xlfn.TEXTBEFORE(O4, ":"))</f>
        <v>Редкость</v>
      </c>
      <c r="Q5" s="18" t="s">
        <v>6507</v>
      </c>
      <c r="R5" s="16" t="str">
        <f>TRIM(_xlfn.TEXTBEFORE(Q4, ":"))</f>
        <v>ความหายาก</v>
      </c>
      <c r="S5" s="18" t="s">
        <v>7512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6508</v>
      </c>
      <c r="B7" s="16"/>
      <c r="C7" s="18" t="s">
        <v>6566</v>
      </c>
      <c r="D7" s="16"/>
      <c r="E7" s="18" t="s">
        <v>6676</v>
      </c>
      <c r="F7" s="16"/>
      <c r="G7" s="18" t="s">
        <v>6539</v>
      </c>
      <c r="H7" s="16"/>
      <c r="I7" s="18" t="s">
        <v>6734</v>
      </c>
      <c r="J7" s="16"/>
      <c r="K7" s="18" t="s">
        <v>6703</v>
      </c>
      <c r="L7" s="16"/>
      <c r="M7" s="18" t="s">
        <v>6595</v>
      </c>
      <c r="N7" s="16"/>
      <c r="O7" s="18" t="s">
        <v>6624</v>
      </c>
      <c r="P7" s="16"/>
      <c r="Q7" s="18" t="s">
        <v>6653</v>
      </c>
      <c r="R7" s="16"/>
      <c r="S7" s="18" t="s">
        <v>7513</v>
      </c>
      <c r="T7" s="20"/>
    </row>
    <row r="8" spans="1:20" ht="15.95" customHeight="1" x14ac:dyDescent="0.25">
      <c r="A8" s="18" t="s">
        <v>6509</v>
      </c>
      <c r="B8" s="16" t="str">
        <f>TRIM(_xlfn.TEXTBEFORE(A8,":"))</f>
        <v>Fire Damage</v>
      </c>
      <c r="C8" s="18" t="s">
        <v>6567</v>
      </c>
      <c r="D8" s="16" t="str">
        <f>TRIM(_xlfn.TEXTBEFORE(C8,":"))</f>
        <v>Feuerschaden</v>
      </c>
      <c r="E8" s="18" t="s">
        <v>6677</v>
      </c>
      <c r="F8" s="16" t="str">
        <f>TRIM(_xlfn.TEXTBEFORE(E8,":"))</f>
        <v>Daño de fuego</v>
      </c>
      <c r="G8" s="18" t="s">
        <v>6540</v>
      </c>
      <c r="H8" s="16" t="str">
        <f>TRIM(_xlfn.TEXTBEFORE(G8,":"))</f>
        <v>Dégâts de feu</v>
      </c>
      <c r="I8" s="18" t="s">
        <v>6735</v>
      </c>
      <c r="J8" s="16" t="str">
        <f>TRIM(_xlfn.TEXTBEFORE(I8,":"))</f>
        <v>火ダメージ</v>
      </c>
      <c r="K8" s="18" t="s">
        <v>6704</v>
      </c>
      <c r="L8" s="16" t="str">
        <f>TRIM(_xlfn.TEXTBEFORE(K8,":"))</f>
        <v>화염 피해</v>
      </c>
      <c r="M8" s="18" t="s">
        <v>6596</v>
      </c>
      <c r="N8" s="16" t="str">
        <f>TRIM(_xlfn.TEXTBEFORE(M8,":"))</f>
        <v>Dano de Fogo</v>
      </c>
      <c r="O8" s="18" t="s">
        <v>6625</v>
      </c>
      <c r="P8" s="16" t="str">
        <f>TRIM(_xlfn.TEXTBEFORE(O8,":"))</f>
        <v>Урон от огня</v>
      </c>
      <c r="Q8" s="18" t="s">
        <v>6654</v>
      </c>
      <c r="R8" s="16" t="str">
        <f>TRIM(_xlfn.TEXTBEFORE(Q8,":"))</f>
        <v>ความเสียหายไฟ</v>
      </c>
      <c r="S8" s="18" t="s">
        <v>7514</v>
      </c>
      <c r="T8" s="16" t="str">
        <f>TRIM(_xlfn.TEXTBEFORE(S8,":"))</f>
        <v>火焰傷害</v>
      </c>
    </row>
    <row r="9" spans="1:20" ht="15.95" customHeight="1" x14ac:dyDescent="0.25">
      <c r="A9" s="18" t="s">
        <v>6510</v>
      </c>
      <c r="B9" s="16" t="str">
        <f>TRIM(_xlfn.TEXTBEFORE(A9,":"))</f>
        <v>Critical Hit Chance</v>
      </c>
      <c r="C9" s="18" t="s">
        <v>2013</v>
      </c>
      <c r="D9" s="16" t="str">
        <f>TRIM(_xlfn.TEXTBEFORE(C9,":"))</f>
        <v>Kritische Trefferchance</v>
      </c>
      <c r="E9" s="18" t="s">
        <v>6678</v>
      </c>
      <c r="F9" s="16" t="str">
        <f>TRIM(_xlfn.TEXTBEFORE(E9,":"))</f>
        <v>Probabilidad de impacto crítico</v>
      </c>
      <c r="G9" s="18" t="s">
        <v>6541</v>
      </c>
      <c r="H9" s="16" t="str">
        <f>TRIM(_xlfn.TEXTBEFORE(G9,":"))</f>
        <v>Chances de Touche critique</v>
      </c>
      <c r="I9" s="18" t="s">
        <v>6736</v>
      </c>
      <c r="J9" s="16" t="str">
        <f>TRIM(_xlfn.TEXTBEFORE(I9,":"))</f>
        <v>クリティカルヒット率</v>
      </c>
      <c r="K9" s="18" t="s">
        <v>6705</v>
      </c>
      <c r="L9" s="16" t="str">
        <f>TRIM(_xlfn.TEXTBEFORE(K9,":"))</f>
        <v>치명타 명중 확률</v>
      </c>
      <c r="M9" s="18" t="s">
        <v>6597</v>
      </c>
      <c r="N9" s="16" t="str">
        <f>TRIM(_xlfn.TEXTBEFORE(M9,":"))</f>
        <v>Chance de Acerto Crítico</v>
      </c>
      <c r="O9" s="18" t="s">
        <v>6626</v>
      </c>
      <c r="P9" s="16" t="str">
        <f>TRIM(_xlfn.TEXTBEFORE(O9,":"))</f>
        <v>Шанс крит. попадания</v>
      </c>
      <c r="Q9" s="18" t="s">
        <v>6655</v>
      </c>
      <c r="R9" s="16" t="str">
        <f>TRIM(_xlfn.TEXTBEFORE(Q9,":"))</f>
        <v>โอกาสปะทะคริติคอล</v>
      </c>
      <c r="S9" s="18" t="s">
        <v>7243</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7515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6511</v>
      </c>
      <c r="B14" s="16"/>
      <c r="C14" s="18" t="s">
        <v>6568</v>
      </c>
      <c r="D14" s="16"/>
      <c r="E14" s="18" t="s">
        <v>6598</v>
      </c>
      <c r="F14" s="16"/>
      <c r="G14" s="18" t="s">
        <v>6511</v>
      </c>
      <c r="H14" s="16"/>
      <c r="I14" s="18" t="s">
        <v>6737</v>
      </c>
      <c r="J14" s="16"/>
      <c r="K14" s="18" t="s">
        <v>6706</v>
      </c>
      <c r="L14" s="16"/>
      <c r="M14" s="18" t="s">
        <v>6598</v>
      </c>
      <c r="N14" s="16"/>
      <c r="O14" s="18" t="s">
        <v>6627</v>
      </c>
      <c r="P14" s="16"/>
      <c r="Q14" s="18" t="s">
        <v>6511</v>
      </c>
      <c r="R14" s="16"/>
      <c r="S14" s="18" t="s">
        <v>7517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6512</v>
      </c>
      <c r="B16" s="16"/>
      <c r="C16" s="18" t="s">
        <v>6569</v>
      </c>
      <c r="D16" s="16"/>
      <c r="E16" s="18" t="s">
        <v>6679</v>
      </c>
      <c r="F16" s="16"/>
      <c r="G16" s="18" t="s">
        <v>6542</v>
      </c>
      <c r="H16" s="16"/>
      <c r="I16" s="18" t="s">
        <v>6738</v>
      </c>
      <c r="J16" s="16"/>
      <c r="K16" s="18" t="s">
        <v>6707</v>
      </c>
      <c r="L16" s="16"/>
      <c r="M16" s="18" t="s">
        <v>6599</v>
      </c>
      <c r="N16" s="16"/>
      <c r="O16" s="18" t="s">
        <v>6628</v>
      </c>
      <c r="P16" s="16"/>
      <c r="Q16" s="18" t="s">
        <v>6656</v>
      </c>
      <c r="R16" s="16"/>
      <c r="S16" s="18" t="s">
        <v>7518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6513</v>
      </c>
      <c r="B18" s="16"/>
      <c r="C18" s="18" t="s">
        <v>6570</v>
      </c>
      <c r="D18" s="16"/>
      <c r="E18" s="18" t="s">
        <v>6680</v>
      </c>
      <c r="F18" s="16"/>
      <c r="G18" s="18" t="s">
        <v>6543</v>
      </c>
      <c r="H18" s="16"/>
      <c r="I18" s="18" t="s">
        <v>6739</v>
      </c>
      <c r="J18" s="16"/>
      <c r="K18" s="18" t="s">
        <v>6708</v>
      </c>
      <c r="L18" s="16"/>
      <c r="M18" s="18" t="s">
        <v>6600</v>
      </c>
      <c r="N18" s="16"/>
      <c r="O18" s="18" t="s">
        <v>6629</v>
      </c>
      <c r="P18" s="16"/>
      <c r="Q18" s="18" t="s">
        <v>6657</v>
      </c>
      <c r="R18" s="16"/>
      <c r="S18" s="18" t="s">
        <v>7519</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6514</v>
      </c>
      <c r="B20" s="16"/>
      <c r="C20" s="18" t="s">
        <v>6571</v>
      </c>
      <c r="D20" s="16"/>
      <c r="E20" s="18" t="s">
        <v>6681</v>
      </c>
      <c r="F20" s="16"/>
      <c r="G20" s="18" t="s">
        <v>6544</v>
      </c>
      <c r="H20" s="16"/>
      <c r="I20" s="18" t="s">
        <v>6740</v>
      </c>
      <c r="J20" s="16"/>
      <c r="K20" s="18" t="s">
        <v>6709</v>
      </c>
      <c r="L20" s="16"/>
      <c r="M20" s="18" t="s">
        <v>6601</v>
      </c>
      <c r="N20" s="16"/>
      <c r="O20" s="18" t="s">
        <v>6630</v>
      </c>
      <c r="P20" s="16"/>
      <c r="Q20" s="18" t="s">
        <v>6658</v>
      </c>
      <c r="R20" s="16"/>
      <c r="S20" s="18" t="s">
        <v>7520</v>
      </c>
      <c r="T20" s="20"/>
    </row>
    <row r="21" spans="1:20" ht="15.95" customHeight="1" x14ac:dyDescent="0.25">
      <c r="A21" s="18" t="s">
        <v>6515</v>
      </c>
      <c r="B21" s="16"/>
      <c r="C21" s="18" t="s">
        <v>6572</v>
      </c>
      <c r="D21" s="16"/>
      <c r="E21" s="18" t="s">
        <v>6682</v>
      </c>
      <c r="F21" s="16"/>
      <c r="G21" s="18" t="s">
        <v>6545</v>
      </c>
      <c r="H21" s="16"/>
      <c r="I21" s="18" t="s">
        <v>6741</v>
      </c>
      <c r="J21" s="16"/>
      <c r="K21" s="18" t="s">
        <v>6710</v>
      </c>
      <c r="L21" s="16"/>
      <c r="M21" s="18" t="s">
        <v>6602</v>
      </c>
      <c r="N21" s="16"/>
      <c r="O21" s="18" t="s">
        <v>6631</v>
      </c>
      <c r="P21" s="16"/>
      <c r="Q21" s="18" t="s">
        <v>6659</v>
      </c>
      <c r="R21" s="16"/>
      <c r="S21" s="18" t="s">
        <v>7521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08" priority="51" stopIfTrue="1">
      <formula>NOT(ISERROR(A3))</formula>
    </cfRule>
  </conditionalFormatting>
  <conditionalFormatting sqref="A3:R3 A4:T7 A8:A9 C8:C9 E8:E9 G8:G9 I8:I9 K8:K9 M8:M9 O8:O9 Q8:Q9 S8:S9 A10:T51 T3">
    <cfRule type="notContainsBlanks" dxfId="207" priority="52">
      <formula>LEN(TRIM(A3))&gt;0</formula>
    </cfRule>
  </conditionalFormatting>
  <conditionalFormatting sqref="A4:T8 A3:R3 T3">
    <cfRule type="containsErrors" dxfId="206" priority="32" stopIfTrue="1">
      <formula>ISERROR(A3)</formula>
    </cfRule>
  </conditionalFormatting>
  <conditionalFormatting sqref="A9:T51">
    <cfRule type="containsErrors" dxfId="205" priority="1" stopIfTrue="1">
      <formula>ISERROR(A9)</formula>
    </cfRule>
  </conditionalFormatting>
  <conditionalFormatting sqref="B8">
    <cfRule type="notContainsBlanks" dxfId="204" priority="49">
      <formula>LEN(TRIM(B8))&gt;0</formula>
    </cfRule>
  </conditionalFormatting>
  <conditionalFormatting sqref="B9">
    <cfRule type="notContainsBlanks" dxfId="203" priority="31">
      <formula>LEN(TRIM(B9))&gt;0</formula>
    </cfRule>
  </conditionalFormatting>
  <conditionalFormatting sqref="D8">
    <cfRule type="notContainsBlanks" dxfId="202" priority="47">
      <formula>LEN(TRIM(D8))&gt;0</formula>
    </cfRule>
  </conditionalFormatting>
  <conditionalFormatting sqref="D9">
    <cfRule type="notContainsBlanks" dxfId="201" priority="29">
      <formula>LEN(TRIM(D9))&gt;0</formula>
    </cfRule>
  </conditionalFormatting>
  <conditionalFormatting sqref="F8">
    <cfRule type="notContainsBlanks" dxfId="200" priority="45">
      <formula>LEN(TRIM(F8))&gt;0</formula>
    </cfRule>
  </conditionalFormatting>
  <conditionalFormatting sqref="F9">
    <cfRule type="notContainsBlanks" dxfId="199" priority="27">
      <formula>LEN(TRIM(F9))&gt;0</formula>
    </cfRule>
  </conditionalFormatting>
  <conditionalFormatting sqref="H8">
    <cfRule type="notContainsBlanks" dxfId="198" priority="43">
      <formula>LEN(TRIM(H8))&gt;0</formula>
    </cfRule>
  </conditionalFormatting>
  <conditionalFormatting sqref="H9">
    <cfRule type="notContainsBlanks" dxfId="197" priority="25">
      <formula>LEN(TRIM(H9))&gt;0</formula>
    </cfRule>
  </conditionalFormatting>
  <conditionalFormatting sqref="J8">
    <cfRule type="notContainsBlanks" dxfId="196" priority="41">
      <formula>LEN(TRIM(J8))&gt;0</formula>
    </cfRule>
  </conditionalFormatting>
  <conditionalFormatting sqref="J9">
    <cfRule type="notContainsBlanks" dxfId="195" priority="23">
      <formula>LEN(TRIM(J9))&gt;0</formula>
    </cfRule>
  </conditionalFormatting>
  <conditionalFormatting sqref="L8">
    <cfRule type="notContainsBlanks" dxfId="194" priority="39">
      <formula>LEN(TRIM(L8))&gt;0</formula>
    </cfRule>
  </conditionalFormatting>
  <conditionalFormatting sqref="L9">
    <cfRule type="notContainsBlanks" dxfId="193" priority="21">
      <formula>LEN(TRIM(L9))&gt;0</formula>
    </cfRule>
  </conditionalFormatting>
  <conditionalFormatting sqref="N8">
    <cfRule type="notContainsBlanks" dxfId="192" priority="37">
      <formula>LEN(TRIM(N8))&gt;0</formula>
    </cfRule>
  </conditionalFormatting>
  <conditionalFormatting sqref="N9">
    <cfRule type="notContainsBlanks" dxfId="191" priority="19">
      <formula>LEN(TRIM(N9))&gt;0</formula>
    </cfRule>
  </conditionalFormatting>
  <conditionalFormatting sqref="P8">
    <cfRule type="notContainsBlanks" dxfId="190" priority="35">
      <formula>LEN(TRIM(P8))&gt;0</formula>
    </cfRule>
  </conditionalFormatting>
  <conditionalFormatting sqref="P9">
    <cfRule type="notContainsBlanks" dxfId="189" priority="17">
      <formula>LEN(TRIM(P9))&gt;0</formula>
    </cfRule>
  </conditionalFormatting>
  <conditionalFormatting sqref="R8">
    <cfRule type="notContainsBlanks" dxfId="188" priority="33">
      <formula>LEN(TRIM(R8))&gt;0</formula>
    </cfRule>
  </conditionalFormatting>
  <conditionalFormatting sqref="R9">
    <cfRule type="notContainsBlanks" dxfId="187" priority="15">
      <formula>LEN(TRIM(R9))&gt;0</formula>
    </cfRule>
  </conditionalFormatting>
  <conditionalFormatting sqref="S3">
    <cfRule type="containsErrors" dxfId="186" priority="4" stopIfTrue="1">
      <formula>ISERROR(S3)</formula>
    </cfRule>
    <cfRule type="containsBlanks" dxfId="185" priority="5" stopIfTrue="1">
      <formula>LEN(TRIM(S3))=0</formula>
    </cfRule>
    <cfRule type="cellIs" dxfId="184" priority="6" stopIfTrue="1" operator="equal">
      <formula>"-"</formula>
    </cfRule>
    <cfRule type="cellIs" dxfId="183" priority="7" operator="between">
      <formula>"(Lowest value)"</formula>
      <formula>0</formula>
    </cfRule>
    <cfRule type="notContainsBlanks" dxfId="182" priority="8">
      <formula>LEN(TRIM(S3))&gt;0</formula>
    </cfRule>
  </conditionalFormatting>
  <conditionalFormatting sqref="T8:T9">
    <cfRule type="notContainsBlanks" dxfId="181"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6517</v>
      </c>
      <c r="B5" s="16" t="str">
        <f>TRIM(_xlfn.TEXTBEFORE(A4, ":"))</f>
        <v>Rarity</v>
      </c>
      <c r="C5" s="18" t="s">
        <v>6574</v>
      </c>
      <c r="D5" s="16" t="str">
        <f>TRIM(_xlfn.TEXTBEFORE(C4, ":"))</f>
        <v>Seltenheit</v>
      </c>
      <c r="E5" s="18" t="s">
        <v>6684</v>
      </c>
      <c r="F5" s="16" t="str">
        <f>TRIM(_xlfn.TEXTBEFORE(E4, ":"))</f>
        <v>Rareza</v>
      </c>
      <c r="G5" s="18" t="s">
        <v>6547</v>
      </c>
      <c r="H5" s="16" t="str">
        <f>TRIM(_xlfn.TEXTBEFORE(G4, ":"))</f>
        <v>Rareté</v>
      </c>
      <c r="I5" s="18" t="s">
        <v>6743</v>
      </c>
      <c r="J5" s="16" t="str">
        <f>TRIM(_xlfn.TEXTBEFORE(I4, ":"))</f>
        <v>レアリティ</v>
      </c>
      <c r="K5" s="18" t="s">
        <v>6712</v>
      </c>
      <c r="L5" s="16" t="str">
        <f>TRIM(_xlfn.TEXTBEFORE(K4, ":"))</f>
        <v>아이템 희귀도</v>
      </c>
      <c r="M5" s="18" t="s">
        <v>6603</v>
      </c>
      <c r="N5" s="16" t="str">
        <f>TRIM(_xlfn.TEXTBEFORE(M4, ":"))</f>
        <v>Raridade</v>
      </c>
      <c r="O5" s="18" t="s">
        <v>6633</v>
      </c>
      <c r="P5" s="16" t="str">
        <f>TRIM(_xlfn.TEXTBEFORE(O4, ":"))</f>
        <v>Редкость</v>
      </c>
      <c r="Q5" s="18" t="s">
        <v>6517</v>
      </c>
      <c r="R5" s="16" t="str">
        <f>TRIM(_xlfn.TEXTBEFORE(Q4, ":"))</f>
        <v>ความหายาก</v>
      </c>
      <c r="S5" s="18" t="s">
        <v>7522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6518</v>
      </c>
      <c r="B7" s="16"/>
      <c r="C7" s="18" t="s">
        <v>6575</v>
      </c>
      <c r="D7" s="16"/>
      <c r="E7" s="18" t="s">
        <v>6685</v>
      </c>
      <c r="F7" s="16"/>
      <c r="G7" s="18" t="s">
        <v>6548</v>
      </c>
      <c r="H7" s="16"/>
      <c r="I7" s="18" t="s">
        <v>6744</v>
      </c>
      <c r="J7" s="16"/>
      <c r="K7" s="18" t="s">
        <v>6713</v>
      </c>
      <c r="L7" s="16"/>
      <c r="M7" s="18" t="s">
        <v>6604</v>
      </c>
      <c r="N7" s="16"/>
      <c r="O7" s="18" t="s">
        <v>6634</v>
      </c>
      <c r="P7" s="16"/>
      <c r="Q7" s="18" t="s">
        <v>6661</v>
      </c>
      <c r="R7" s="16"/>
      <c r="S7" s="18" t="s">
        <v>7523</v>
      </c>
      <c r="T7" s="20"/>
    </row>
    <row r="8" spans="1:20" ht="15.95" customHeight="1" x14ac:dyDescent="0.25">
      <c r="A8" s="18" t="s">
        <v>6519</v>
      </c>
      <c r="B8" s="16" t="str">
        <f>TRIM(_xlfn.TEXTBEFORE(A8,":"))</f>
        <v>Cold Damage</v>
      </c>
      <c r="C8" s="18" t="s">
        <v>6576</v>
      </c>
      <c r="D8" s="16" t="str">
        <f>TRIM(_xlfn.TEXTBEFORE(C8,":"))</f>
        <v>Kälteschaden</v>
      </c>
      <c r="E8" s="18" t="s">
        <v>6686</v>
      </c>
      <c r="F8" s="16" t="str">
        <f>TRIM(_xlfn.TEXTBEFORE(E8,":"))</f>
        <v>Daño de hielo</v>
      </c>
      <c r="G8" s="18" t="s">
        <v>6549</v>
      </c>
      <c r="H8" s="16" t="str">
        <f>TRIM(_xlfn.TEXTBEFORE(G8,":"))</f>
        <v>Dégâts de froid</v>
      </c>
      <c r="I8" s="18" t="s">
        <v>6745</v>
      </c>
      <c r="J8" s="16" t="str">
        <f>TRIM(_xlfn.TEXTBEFORE(I8,":"))</f>
        <v>冷気ダメージ</v>
      </c>
      <c r="K8" s="18" t="s">
        <v>6714</v>
      </c>
      <c r="L8" s="16" t="str">
        <f>TRIM(_xlfn.TEXTBEFORE(K8,":"))</f>
        <v>냉기 피해</v>
      </c>
      <c r="M8" s="18" t="s">
        <v>6605</v>
      </c>
      <c r="N8" s="16" t="str">
        <f>TRIM(_xlfn.TEXTBEFORE(M8,":"))</f>
        <v>Dano de Gelo</v>
      </c>
      <c r="O8" s="18" t="s">
        <v>6635</v>
      </c>
      <c r="P8" s="16" t="str">
        <f>TRIM(_xlfn.TEXTBEFORE(O8,":"))</f>
        <v>Урон от холода</v>
      </c>
      <c r="Q8" s="18" t="s">
        <v>6662</v>
      </c>
      <c r="R8" s="16" t="str">
        <f>TRIM(_xlfn.TEXTBEFORE(Q8,":"))</f>
        <v>ความเสียหายน้ำแข็ง</v>
      </c>
      <c r="S8" s="18" t="s">
        <v>7524</v>
      </c>
      <c r="T8" s="16" t="str">
        <f>TRIM(_xlfn.TEXTBEFORE(S8,":"))</f>
        <v>冰冷傷害</v>
      </c>
    </row>
    <row r="9" spans="1:20" ht="15.95" customHeight="1" x14ac:dyDescent="0.25">
      <c r="A9" s="18" t="s">
        <v>6520</v>
      </c>
      <c r="B9" s="16"/>
      <c r="C9" s="18" t="s">
        <v>6577</v>
      </c>
      <c r="D9" s="16"/>
      <c r="E9" s="18" t="s">
        <v>6687</v>
      </c>
      <c r="F9" s="16"/>
      <c r="G9" s="18" t="s">
        <v>6550</v>
      </c>
      <c r="H9" s="16"/>
      <c r="I9" s="18" t="s">
        <v>6746</v>
      </c>
      <c r="J9" s="16"/>
      <c r="K9" s="18" t="s">
        <v>6715</v>
      </c>
      <c r="L9" s="16"/>
      <c r="M9" s="18" t="s">
        <v>6606</v>
      </c>
      <c r="N9" s="16"/>
      <c r="O9" s="18" t="s">
        <v>6636</v>
      </c>
      <c r="P9" s="16"/>
      <c r="Q9" s="18" t="s">
        <v>6663</v>
      </c>
      <c r="R9" s="16"/>
      <c r="S9" s="18" t="s">
        <v>7256</v>
      </c>
      <c r="T9" s="20"/>
    </row>
    <row r="10" spans="1:20" ht="15.95" customHeight="1" x14ac:dyDescent="0.25">
      <c r="A10" s="18" t="s">
        <v>6521</v>
      </c>
      <c r="B10" s="16"/>
      <c r="C10" s="18" t="s">
        <v>6578</v>
      </c>
      <c r="D10" s="16"/>
      <c r="E10" s="18" t="s">
        <v>6688</v>
      </c>
      <c r="F10" s="16"/>
      <c r="G10" s="18" t="s">
        <v>6551</v>
      </c>
      <c r="H10" s="16"/>
      <c r="I10" s="18" t="s">
        <v>6747</v>
      </c>
      <c r="J10" s="16"/>
      <c r="K10" s="18" t="s">
        <v>6716</v>
      </c>
      <c r="L10" s="16"/>
      <c r="M10" s="18" t="s">
        <v>6607</v>
      </c>
      <c r="N10" s="16"/>
      <c r="O10" s="18" t="s">
        <v>6637</v>
      </c>
      <c r="P10" s="16"/>
      <c r="Q10" s="18" t="s">
        <v>6664</v>
      </c>
      <c r="R10" s="16"/>
      <c r="S10" s="18" t="s">
        <v>7257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7516</v>
      </c>
      <c r="T13" s="20"/>
    </row>
    <row r="14" spans="1:20" ht="15.95" customHeight="1" x14ac:dyDescent="0.25">
      <c r="A14" s="18" t="s">
        <v>6522</v>
      </c>
      <c r="B14" s="16"/>
      <c r="C14" s="18" t="s">
        <v>6579</v>
      </c>
      <c r="D14" s="16"/>
      <c r="E14" s="18" t="s">
        <v>6608</v>
      </c>
      <c r="F14" s="16"/>
      <c r="G14" s="18" t="s">
        <v>6522</v>
      </c>
      <c r="H14" s="16"/>
      <c r="I14" s="18" t="s">
        <v>6748</v>
      </c>
      <c r="J14" s="16"/>
      <c r="K14" s="18" t="s">
        <v>6717</v>
      </c>
      <c r="L14" s="16"/>
      <c r="M14" s="18" t="s">
        <v>6608</v>
      </c>
      <c r="N14" s="16"/>
      <c r="O14" s="18" t="s">
        <v>6638</v>
      </c>
      <c r="P14" s="16"/>
      <c r="Q14" s="18" t="s">
        <v>6522</v>
      </c>
      <c r="R14" s="16"/>
      <c r="S14" s="18" t="s">
        <v>7525</v>
      </c>
      <c r="T14" s="20"/>
    </row>
    <row r="15" spans="1:20" ht="15.95" customHeight="1" x14ac:dyDescent="0.25">
      <c r="A15" s="18" t="s">
        <v>6523</v>
      </c>
      <c r="B15" s="16"/>
      <c r="C15" s="18" t="s">
        <v>6523</v>
      </c>
      <c r="D15" s="16"/>
      <c r="E15" s="18" t="s">
        <v>6523</v>
      </c>
      <c r="F15" s="16"/>
      <c r="G15" s="18" t="s">
        <v>6523</v>
      </c>
      <c r="H15" s="16"/>
      <c r="I15" s="18" t="s">
        <v>6749</v>
      </c>
      <c r="J15" s="16"/>
      <c r="K15" s="18" t="s">
        <v>6718</v>
      </c>
      <c r="L15" s="16"/>
      <c r="M15" s="18" t="s">
        <v>6523</v>
      </c>
      <c r="N15" s="16"/>
      <c r="O15" s="18" t="s">
        <v>6639</v>
      </c>
      <c r="P15" s="16"/>
      <c r="Q15" s="18" t="s">
        <v>6523</v>
      </c>
      <c r="R15" s="16"/>
      <c r="S15" s="18" t="s">
        <v>7526</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6512</v>
      </c>
      <c r="B17" s="16"/>
      <c r="C17" s="18" t="s">
        <v>6569</v>
      </c>
      <c r="D17" s="16"/>
      <c r="E17" s="18" t="s">
        <v>6679</v>
      </c>
      <c r="F17" s="16"/>
      <c r="G17" s="18" t="s">
        <v>6542</v>
      </c>
      <c r="H17" s="16"/>
      <c r="I17" s="18" t="s">
        <v>6738</v>
      </c>
      <c r="J17" s="16"/>
      <c r="K17" s="18" t="s">
        <v>6707</v>
      </c>
      <c r="L17" s="16"/>
      <c r="M17" s="18" t="s">
        <v>6599</v>
      </c>
      <c r="N17" s="16"/>
      <c r="O17" s="18" t="s">
        <v>6628</v>
      </c>
      <c r="P17" s="16"/>
      <c r="Q17" s="18" t="s">
        <v>6656</v>
      </c>
      <c r="R17" s="16"/>
      <c r="S17" s="18" t="s">
        <v>7518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6524</v>
      </c>
      <c r="B19" s="16"/>
      <c r="C19" s="18" t="s">
        <v>6580</v>
      </c>
      <c r="D19" s="16"/>
      <c r="E19" s="18" t="s">
        <v>6689</v>
      </c>
      <c r="F19" s="16"/>
      <c r="G19" s="18" t="s">
        <v>6552</v>
      </c>
      <c r="H19" s="16"/>
      <c r="I19" s="18" t="s">
        <v>6750</v>
      </c>
      <c r="J19" s="16"/>
      <c r="K19" s="18" t="s">
        <v>6719</v>
      </c>
      <c r="L19" s="16"/>
      <c r="M19" s="18" t="s">
        <v>6609</v>
      </c>
      <c r="N19" s="16"/>
      <c r="O19" s="18" t="s">
        <v>6640</v>
      </c>
      <c r="P19" s="16"/>
      <c r="Q19" s="18" t="s">
        <v>6665</v>
      </c>
      <c r="R19" s="16"/>
      <c r="S19" s="18" t="s">
        <v>7527</v>
      </c>
      <c r="T19" s="20"/>
    </row>
    <row r="20" spans="1:20" ht="15.95" customHeight="1" x14ac:dyDescent="0.25">
      <c r="A20" s="18" t="s">
        <v>6525</v>
      </c>
      <c r="B20" s="16"/>
      <c r="C20" s="18" t="s">
        <v>6581</v>
      </c>
      <c r="D20" s="16"/>
      <c r="E20" s="18" t="s">
        <v>6690</v>
      </c>
      <c r="F20" s="16"/>
      <c r="G20" s="18" t="s">
        <v>6553</v>
      </c>
      <c r="H20" s="16"/>
      <c r="I20" s="18" t="s">
        <v>6751</v>
      </c>
      <c r="J20" s="16"/>
      <c r="K20" s="18" t="s">
        <v>6720</v>
      </c>
      <c r="L20" s="16"/>
      <c r="M20" s="18" t="s">
        <v>6610</v>
      </c>
      <c r="N20" s="16"/>
      <c r="O20" s="18" t="s">
        <v>6641</v>
      </c>
      <c r="P20" s="16"/>
      <c r="Q20" s="18" t="s">
        <v>6666</v>
      </c>
      <c r="R20" s="16"/>
      <c r="S20" s="18" t="s">
        <v>7528</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0" priority="21" stopIfTrue="1">
      <formula>NOT(ISERROR(A3))</formula>
    </cfRule>
  </conditionalFormatting>
  <conditionalFormatting sqref="A3:T7 A8 C8 E8 G8 I8 K8 M8 O8 Q8 S8:T8 A9:T51">
    <cfRule type="notContainsBlanks" dxfId="179" priority="22">
      <formula>LEN(TRIM(A3))&gt;0</formula>
    </cfRule>
  </conditionalFormatting>
  <conditionalFormatting sqref="A3:T51">
    <cfRule type="containsErrors" dxfId="178" priority="2" stopIfTrue="1">
      <formula>ISERROR(A3)</formula>
    </cfRule>
  </conditionalFormatting>
  <conditionalFormatting sqref="B8">
    <cfRule type="notContainsBlanks" dxfId="177" priority="19">
      <formula>LEN(TRIM(B8))&gt;0</formula>
    </cfRule>
  </conditionalFormatting>
  <conditionalFormatting sqref="D8">
    <cfRule type="notContainsBlanks" dxfId="176" priority="17">
      <formula>LEN(TRIM(D8))&gt;0</formula>
    </cfRule>
  </conditionalFormatting>
  <conditionalFormatting sqref="F8">
    <cfRule type="notContainsBlanks" dxfId="175" priority="15">
      <formula>LEN(TRIM(F8))&gt;0</formula>
    </cfRule>
  </conditionalFormatting>
  <conditionalFormatting sqref="H8">
    <cfRule type="notContainsBlanks" dxfId="174" priority="13">
      <formula>LEN(TRIM(H8))&gt;0</formula>
    </cfRule>
  </conditionalFormatting>
  <conditionalFormatting sqref="J8">
    <cfRule type="notContainsBlanks" dxfId="173" priority="11">
      <formula>LEN(TRIM(J8))&gt;0</formula>
    </cfRule>
  </conditionalFormatting>
  <conditionalFormatting sqref="L8">
    <cfRule type="notContainsBlanks" dxfId="172" priority="9">
      <formula>LEN(TRIM(L8))&gt;0</formula>
    </cfRule>
  </conditionalFormatting>
  <conditionalFormatting sqref="N8">
    <cfRule type="notContainsBlanks" dxfId="171" priority="7">
      <formula>LEN(TRIM(N8))&gt;0</formula>
    </cfRule>
  </conditionalFormatting>
  <conditionalFormatting sqref="P8">
    <cfRule type="notContainsBlanks" dxfId="170" priority="5">
      <formula>LEN(TRIM(P8))&gt;0</formula>
    </cfRule>
  </conditionalFormatting>
  <conditionalFormatting sqref="R8">
    <cfRule type="notContainsBlanks" dxfId="169" priority="3">
      <formula>LEN(TRIM(R8))&gt;0</formula>
    </cfRule>
  </conditionalFormatting>
  <conditionalFormatting sqref="T8">
    <cfRule type="notContainsBlanks" dxfId="168"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7511</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7264</v>
      </c>
      <c r="T4" s="20" t="str">
        <f>TRIM(_xlfn.TEXTAFTER(S3, ":"))</f>
        <v>弓</v>
      </c>
    </row>
    <row r="5" spans="1:20" ht="15.95" customHeight="1" x14ac:dyDescent="0.25">
      <c r="A5" s="18" t="s">
        <v>6526</v>
      </c>
      <c r="B5" s="16" t="str">
        <f>TRIM(_xlfn.TEXTBEFORE(A4, ":"))</f>
        <v>Rarity</v>
      </c>
      <c r="C5" s="18" t="s">
        <v>6582</v>
      </c>
      <c r="D5" s="16" t="str">
        <f>TRIM(_xlfn.TEXTBEFORE(C4, ":"))</f>
        <v>Seltenheit</v>
      </c>
      <c r="E5" s="18" t="s">
        <v>6691</v>
      </c>
      <c r="F5" s="16" t="str">
        <f>TRIM(_xlfn.TEXTBEFORE(E4, ":"))</f>
        <v>Rareza</v>
      </c>
      <c r="G5" s="18" t="s">
        <v>6554</v>
      </c>
      <c r="H5" s="16" t="str">
        <f>TRIM(_xlfn.TEXTBEFORE(G4, ":"))</f>
        <v>Rareté</v>
      </c>
      <c r="I5" s="18" t="s">
        <v>6752</v>
      </c>
      <c r="J5" s="16" t="str">
        <f>TRIM(_xlfn.TEXTBEFORE(I4, ":"))</f>
        <v>レアリティ</v>
      </c>
      <c r="K5" s="18" t="s">
        <v>6721</v>
      </c>
      <c r="L5" s="16" t="str">
        <f>TRIM(_xlfn.TEXTBEFORE(K4, ":"))</f>
        <v>아이템 희귀도</v>
      </c>
      <c r="M5" s="18" t="s">
        <v>6611</v>
      </c>
      <c r="N5" s="16" t="str">
        <f>TRIM(_xlfn.TEXTBEFORE(M4, ":"))</f>
        <v>Raridade</v>
      </c>
      <c r="O5" s="18" t="s">
        <v>6642</v>
      </c>
      <c r="P5" s="16" t="str">
        <f>TRIM(_xlfn.TEXTBEFORE(O4, ":"))</f>
        <v>Редкость</v>
      </c>
      <c r="Q5" s="18" t="s">
        <v>6526</v>
      </c>
      <c r="R5" s="16" t="str">
        <f>TRIM(_xlfn.TEXTBEFORE(Q4, ":"))</f>
        <v>ความหายาก</v>
      </c>
      <c r="S5" s="18" t="s">
        <v>7529</v>
      </c>
      <c r="T5" s="20" t="str">
        <f>TRIM(_xlfn.TEXTBEFORE(S4, ":"))</f>
        <v>稀有度</v>
      </c>
    </row>
    <row r="6" spans="1:20" ht="15.95" customHeight="1" x14ac:dyDescent="0.25">
      <c r="A6" s="18" t="s">
        <v>6527</v>
      </c>
      <c r="B6" s="16" t="str">
        <f>TRIM(_xlfn.TEXTAFTER(A4,":"))</f>
        <v>Rare</v>
      </c>
      <c r="C6" s="18" t="s">
        <v>6583</v>
      </c>
      <c r="D6" s="16" t="str">
        <f>TRIM(_xlfn.TEXTAFTER(C4,":"))</f>
        <v>Selten</v>
      </c>
      <c r="E6" s="18" t="s">
        <v>6692</v>
      </c>
      <c r="F6" s="16" t="str">
        <f>TRIM(_xlfn.TEXTAFTER(E4,":"))</f>
        <v>Raro</v>
      </c>
      <c r="G6" s="18" t="s">
        <v>6555</v>
      </c>
      <c r="H6" s="16" t="str">
        <f>TRIM(_xlfn.TEXTAFTER(G4,":"))</f>
        <v>Rare</v>
      </c>
      <c r="I6" s="18" t="s">
        <v>6753</v>
      </c>
      <c r="J6" s="16" t="str">
        <f>TRIM(_xlfn.TEXTAFTER(I4,":"))</f>
        <v>レア</v>
      </c>
      <c r="K6" s="18" t="s">
        <v>6722</v>
      </c>
      <c r="L6" s="16" t="str">
        <f>TRIM(_xlfn.TEXTAFTER(K4,":"))</f>
        <v>희귀</v>
      </c>
      <c r="M6" s="18" t="s">
        <v>6612</v>
      </c>
      <c r="N6" s="16" t="str">
        <f>TRIM(_xlfn.TEXTAFTER(M4,":"))</f>
        <v>Raro</v>
      </c>
      <c r="O6" s="18" t="s">
        <v>6527</v>
      </c>
      <c r="P6" s="16" t="str">
        <f>TRIM(_xlfn.TEXTAFTER(O4,":"))</f>
        <v>Редкий</v>
      </c>
      <c r="Q6" s="18" t="s">
        <v>6527</v>
      </c>
      <c r="R6" s="16" t="str">
        <f>TRIM(_xlfn.TEXTAFTER(Q4,":"))</f>
        <v>แรร์</v>
      </c>
      <c r="S6" s="18" t="s">
        <v>7530</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6508</v>
      </c>
      <c r="B8" s="16"/>
      <c r="C8" s="18" t="s">
        <v>6566</v>
      </c>
      <c r="D8" s="16"/>
      <c r="E8" s="18" t="s">
        <v>6676</v>
      </c>
      <c r="F8" s="16"/>
      <c r="G8" s="18" t="s">
        <v>6539</v>
      </c>
      <c r="H8" s="16"/>
      <c r="I8" s="18" t="s">
        <v>6734</v>
      </c>
      <c r="J8" s="16"/>
      <c r="K8" s="18" t="s">
        <v>6703</v>
      </c>
      <c r="L8" s="16"/>
      <c r="M8" s="18" t="s">
        <v>6595</v>
      </c>
      <c r="N8" s="16"/>
      <c r="O8" s="18" t="s">
        <v>6624</v>
      </c>
      <c r="P8" s="16"/>
      <c r="Q8" s="18" t="s">
        <v>6653</v>
      </c>
      <c r="R8" s="16"/>
      <c r="S8" s="18" t="s">
        <v>7513</v>
      </c>
      <c r="T8" s="20"/>
    </row>
    <row r="9" spans="1:20" ht="15.95" customHeight="1" x14ac:dyDescent="0.25">
      <c r="A9" s="18" t="s">
        <v>6528</v>
      </c>
      <c r="B9" s="16" t="str">
        <f>TRIM(_xlfn.TEXTBEFORE(A9,":"))</f>
        <v>Lightning Damage</v>
      </c>
      <c r="C9" s="18" t="s">
        <v>6584</v>
      </c>
      <c r="D9" s="16" t="str">
        <f>TRIM(_xlfn.TEXTBEFORE(C9,":"))</f>
        <v>Blitzschaden</v>
      </c>
      <c r="E9" s="18" t="s">
        <v>6693</v>
      </c>
      <c r="F9" s="16" t="str">
        <f>TRIM(_xlfn.TEXTBEFORE(E9,":"))</f>
        <v>Daño de rayo</v>
      </c>
      <c r="G9" s="18" t="s">
        <v>6556</v>
      </c>
      <c r="H9" s="16" t="str">
        <f>TRIM(_xlfn.TEXTBEFORE(G9,":"))</f>
        <v>Dégâts de foudre</v>
      </c>
      <c r="I9" s="18" t="s">
        <v>6754</v>
      </c>
      <c r="J9" s="16" t="str">
        <f>TRIM(_xlfn.TEXTBEFORE(I9,":"))</f>
        <v>雷ダメージ</v>
      </c>
      <c r="K9" s="18" t="s">
        <v>6723</v>
      </c>
      <c r="L9" s="16" t="str">
        <f>TRIM(_xlfn.TEXTBEFORE(K9,":"))</f>
        <v>번개 피해</v>
      </c>
      <c r="M9" s="18" t="s">
        <v>6613</v>
      </c>
      <c r="N9" s="16" t="str">
        <f>TRIM(_xlfn.TEXTBEFORE(M9,":"))</f>
        <v>Dano de Raio</v>
      </c>
      <c r="O9" s="18" t="s">
        <v>6643</v>
      </c>
      <c r="P9" s="16" t="str">
        <f>TRIM(_xlfn.TEXTBEFORE(O9,":"))</f>
        <v>Урон от молнии</v>
      </c>
      <c r="Q9" s="18" t="s">
        <v>6667</v>
      </c>
      <c r="R9" s="16" t="str">
        <f>TRIM(_xlfn.TEXTBEFORE(Q9,":"))</f>
        <v>ความเสียหายน้ำสายฟ้า</v>
      </c>
      <c r="S9" s="18" t="s">
        <v>7531</v>
      </c>
      <c r="T9" s="16" t="str">
        <f>TRIM(_xlfn.TEXTBEFORE(S9,":"))</f>
        <v>閃電傷害</v>
      </c>
    </row>
    <row r="10" spans="1:20" ht="15.95" customHeight="1" x14ac:dyDescent="0.25">
      <c r="A10" s="18" t="s">
        <v>6510</v>
      </c>
      <c r="B10" s="16"/>
      <c r="C10" s="18" t="s">
        <v>2013</v>
      </c>
      <c r="D10" s="16"/>
      <c r="E10" s="18" t="s">
        <v>6678</v>
      </c>
      <c r="F10" s="16"/>
      <c r="G10" s="18" t="s">
        <v>6541</v>
      </c>
      <c r="H10" s="16"/>
      <c r="I10" s="18" t="s">
        <v>6736</v>
      </c>
      <c r="J10" s="16"/>
      <c r="K10" s="18" t="s">
        <v>6705</v>
      </c>
      <c r="L10" s="16"/>
      <c r="M10" s="18" t="s">
        <v>6597</v>
      </c>
      <c r="N10" s="16"/>
      <c r="O10" s="18" t="s">
        <v>6626</v>
      </c>
      <c r="P10" s="16"/>
      <c r="Q10" s="18" t="s">
        <v>6655</v>
      </c>
      <c r="R10" s="16"/>
      <c r="S10" s="18" t="s">
        <v>7243</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7532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7202</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7516</v>
      </c>
      <c r="T14" s="20"/>
    </row>
    <row r="15" spans="1:20" ht="15.95" customHeight="1" x14ac:dyDescent="0.25">
      <c r="A15" s="18" t="s">
        <v>6511</v>
      </c>
      <c r="B15" s="16"/>
      <c r="C15" s="18" t="s">
        <v>6568</v>
      </c>
      <c r="D15" s="16"/>
      <c r="E15" s="18" t="s">
        <v>6598</v>
      </c>
      <c r="F15" s="16"/>
      <c r="G15" s="18" t="s">
        <v>6511</v>
      </c>
      <c r="H15" s="16"/>
      <c r="I15" s="18" t="s">
        <v>6737</v>
      </c>
      <c r="J15" s="16"/>
      <c r="K15" s="18" t="s">
        <v>6706</v>
      </c>
      <c r="L15" s="16"/>
      <c r="M15" s="18" t="s">
        <v>6598</v>
      </c>
      <c r="N15" s="16"/>
      <c r="O15" s="18" t="s">
        <v>6627</v>
      </c>
      <c r="P15" s="16"/>
      <c r="Q15" s="18" t="s">
        <v>6511</v>
      </c>
      <c r="R15" s="16"/>
      <c r="S15" s="18" t="s">
        <v>7517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7230</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6513</v>
      </c>
      <c r="B19" s="16"/>
      <c r="C19" s="18" t="s">
        <v>6570</v>
      </c>
      <c r="D19" s="16"/>
      <c r="E19" s="18" t="s">
        <v>6680</v>
      </c>
      <c r="F19" s="16"/>
      <c r="G19" s="18" t="s">
        <v>6543</v>
      </c>
      <c r="H19" s="16"/>
      <c r="I19" s="18" t="s">
        <v>6739</v>
      </c>
      <c r="J19" s="16"/>
      <c r="K19" s="18" t="s">
        <v>6708</v>
      </c>
      <c r="L19" s="16"/>
      <c r="M19" s="18" t="s">
        <v>6600</v>
      </c>
      <c r="N19" s="16"/>
      <c r="O19" s="18" t="s">
        <v>6629</v>
      </c>
      <c r="P19" s="16"/>
      <c r="Q19" s="18" t="s">
        <v>6657</v>
      </c>
      <c r="R19" s="16"/>
      <c r="S19" s="18" t="s">
        <v>7519</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6529</v>
      </c>
      <c r="B21" s="16"/>
      <c r="C21" s="18" t="s">
        <v>6585</v>
      </c>
      <c r="D21" s="16"/>
      <c r="E21" s="18" t="s">
        <v>6694</v>
      </c>
      <c r="F21" s="16"/>
      <c r="G21" s="18" t="s">
        <v>6557</v>
      </c>
      <c r="H21" s="16"/>
      <c r="I21" s="18" t="s">
        <v>6755</v>
      </c>
      <c r="J21" s="16"/>
      <c r="K21" s="18" t="s">
        <v>6724</v>
      </c>
      <c r="L21" s="16"/>
      <c r="M21" s="18" t="s">
        <v>6614</v>
      </c>
      <c r="N21" s="16"/>
      <c r="O21" s="18" t="s">
        <v>6644</v>
      </c>
      <c r="P21" s="16"/>
      <c r="Q21" s="18" t="s">
        <v>6668</v>
      </c>
      <c r="R21" s="16"/>
      <c r="S21" s="18" t="s">
        <v>7533</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7534</v>
      </c>
      <c r="T22" s="20"/>
    </row>
    <row r="23" spans="1:20" ht="15.95" customHeight="1" x14ac:dyDescent="0.25">
      <c r="A23" s="18" t="s">
        <v>6530</v>
      </c>
      <c r="B23" s="16"/>
      <c r="C23" s="18" t="s">
        <v>6586</v>
      </c>
      <c r="D23" s="16"/>
      <c r="E23" s="18" t="s">
        <v>6695</v>
      </c>
      <c r="F23" s="16"/>
      <c r="G23" s="18" t="s">
        <v>6558</v>
      </c>
      <c r="H23" s="16"/>
      <c r="I23" s="18" t="s">
        <v>6756</v>
      </c>
      <c r="J23" s="16"/>
      <c r="K23" s="18" t="s">
        <v>6725</v>
      </c>
      <c r="L23" s="16"/>
      <c r="M23" s="18" t="s">
        <v>6615</v>
      </c>
      <c r="N23" s="16"/>
      <c r="O23" s="18" t="s">
        <v>6645</v>
      </c>
      <c r="P23" s="16"/>
      <c r="Q23" s="18" t="s">
        <v>6669</v>
      </c>
      <c r="R23" s="16"/>
      <c r="S23" s="18" t="s">
        <v>7535</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7" priority="21" stopIfTrue="1">
      <formula>NOT(ISERROR(A3))</formula>
    </cfRule>
  </conditionalFormatting>
  <conditionalFormatting sqref="A3:T8 A9 C9 E9 G9 I9 K9 M9 O9 Q9 S9:T9 A10:T51">
    <cfRule type="notContainsBlanks" dxfId="166" priority="22">
      <formula>LEN(TRIM(A3))&gt;0</formula>
    </cfRule>
  </conditionalFormatting>
  <conditionalFormatting sqref="A3:T51">
    <cfRule type="containsErrors" dxfId="165" priority="2" stopIfTrue="1">
      <formula>ISERROR(A3)</formula>
    </cfRule>
  </conditionalFormatting>
  <conditionalFormatting sqref="B9">
    <cfRule type="notContainsBlanks" dxfId="164" priority="19">
      <formula>LEN(TRIM(B9))&gt;0</formula>
    </cfRule>
  </conditionalFormatting>
  <conditionalFormatting sqref="D9">
    <cfRule type="notContainsBlanks" dxfId="163" priority="17">
      <formula>LEN(TRIM(D9))&gt;0</formula>
    </cfRule>
  </conditionalFormatting>
  <conditionalFormatting sqref="F9">
    <cfRule type="notContainsBlanks" dxfId="162" priority="15">
      <formula>LEN(TRIM(F9))&gt;0</formula>
    </cfRule>
  </conditionalFormatting>
  <conditionalFormatting sqref="H9">
    <cfRule type="notContainsBlanks" dxfId="161" priority="13">
      <formula>LEN(TRIM(H9))&gt;0</formula>
    </cfRule>
  </conditionalFormatting>
  <conditionalFormatting sqref="J9">
    <cfRule type="notContainsBlanks" dxfId="160" priority="11">
      <formula>LEN(TRIM(J9))&gt;0</formula>
    </cfRule>
  </conditionalFormatting>
  <conditionalFormatting sqref="L9">
    <cfRule type="notContainsBlanks" dxfId="159" priority="9">
      <formula>LEN(TRIM(L9))&gt;0</formula>
    </cfRule>
  </conditionalFormatting>
  <conditionalFormatting sqref="N9">
    <cfRule type="notContainsBlanks" dxfId="158" priority="7">
      <formula>LEN(TRIM(N9))&gt;0</formula>
    </cfRule>
  </conditionalFormatting>
  <conditionalFormatting sqref="P9">
    <cfRule type="notContainsBlanks" dxfId="157" priority="5">
      <formula>LEN(TRIM(P9))&gt;0</formula>
    </cfRule>
  </conditionalFormatting>
  <conditionalFormatting sqref="R9">
    <cfRule type="notContainsBlanks" dxfId="156" priority="3">
      <formula>LEN(TRIM(R9))&gt;0</formula>
    </cfRule>
  </conditionalFormatting>
  <conditionalFormatting sqref="T9">
    <cfRule type="notContainsBlanks" dxfId="155"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7511</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7199</v>
      </c>
      <c r="T4" s="20" t="str">
        <f>TRIM(_xlfn.TEXTAFTER(S3, ":"))</f>
        <v>弓</v>
      </c>
    </row>
    <row r="5" spans="1:20" ht="15.95" customHeight="1" x14ac:dyDescent="0.25">
      <c r="A5" s="18" t="s">
        <v>6531</v>
      </c>
      <c r="B5" s="16" t="str">
        <f>TRIM(_xlfn.TEXTBEFORE(A4, ":"))</f>
        <v>Rarity</v>
      </c>
      <c r="C5" s="18" t="s">
        <v>6587</v>
      </c>
      <c r="D5" s="16" t="str">
        <f>TRIM(_xlfn.TEXTBEFORE(C4, ":"))</f>
        <v>Seltenheit</v>
      </c>
      <c r="E5" s="18" t="s">
        <v>6696</v>
      </c>
      <c r="F5" s="16" t="str">
        <f>TRIM(_xlfn.TEXTBEFORE(E4, ":"))</f>
        <v>Rareza</v>
      </c>
      <c r="G5" s="18" t="s">
        <v>6559</v>
      </c>
      <c r="H5" s="16" t="str">
        <f>TRIM(_xlfn.TEXTBEFORE(G4, ":"))</f>
        <v>Rareté</v>
      </c>
      <c r="I5" s="18" t="s">
        <v>6757</v>
      </c>
      <c r="J5" s="16" t="str">
        <f>TRIM(_xlfn.TEXTBEFORE(I4, ":"))</f>
        <v>レアリティ</v>
      </c>
      <c r="K5" s="18" t="s">
        <v>6726</v>
      </c>
      <c r="L5" s="16" t="str">
        <f>TRIM(_xlfn.TEXTBEFORE(K4, ":"))</f>
        <v>아이템 희귀도</v>
      </c>
      <c r="M5" s="18" t="s">
        <v>6616</v>
      </c>
      <c r="N5" s="16" t="str">
        <f>TRIM(_xlfn.TEXTBEFORE(M4, ":"))</f>
        <v>Raridade</v>
      </c>
      <c r="O5" s="18" t="s">
        <v>6646</v>
      </c>
      <c r="P5" s="16" t="str">
        <f>TRIM(_xlfn.TEXTBEFORE(O4, ":"))</f>
        <v>Редкость</v>
      </c>
      <c r="Q5" s="18" t="s">
        <v>6531</v>
      </c>
      <c r="R5" s="16" t="str">
        <f>TRIM(_xlfn.TEXTBEFORE(Q4, ":"))</f>
        <v>ความหายาก</v>
      </c>
      <c r="S5" s="18" t="s">
        <v>7536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6532</v>
      </c>
      <c r="B7" s="16" t="str">
        <f>TRIM(_xlfn.TEXTBEFORE(A7,":"))</f>
        <v>Chaos Damage</v>
      </c>
      <c r="C7" s="18" t="s">
        <v>6588</v>
      </c>
      <c r="D7" s="16" t="str">
        <f>TRIM(_xlfn.TEXTBEFORE(C7,":"))</f>
        <v>Chaosschaden</v>
      </c>
      <c r="E7" s="18" t="s">
        <v>6697</v>
      </c>
      <c r="F7" s="16" t="str">
        <f>TRIM(_xlfn.TEXTBEFORE(E7,":"))</f>
        <v>Daño de caos</v>
      </c>
      <c r="G7" s="18" t="s">
        <v>6560</v>
      </c>
      <c r="H7" s="16" t="str">
        <f>TRIM(_xlfn.TEXTBEFORE(G7,":"))</f>
        <v>Dégâts de Chaos</v>
      </c>
      <c r="I7" s="18" t="s">
        <v>6758</v>
      </c>
      <c r="J7" s="16" t="str">
        <f>TRIM(_xlfn.TEXTBEFORE(I7,":"))</f>
        <v>混沌ダメージ</v>
      </c>
      <c r="K7" s="18" t="s">
        <v>6727</v>
      </c>
      <c r="L7" s="16" t="str">
        <f>TRIM(_xlfn.TEXTBEFORE(K7,":"))</f>
        <v>카오스 피해</v>
      </c>
      <c r="M7" s="18" t="s">
        <v>6617</v>
      </c>
      <c r="N7" s="16" t="str">
        <f>TRIM(_xlfn.TEXTBEFORE(M7,":"))</f>
        <v>Dano de Caos</v>
      </c>
      <c r="O7" s="18" t="s">
        <v>6647</v>
      </c>
      <c r="P7" s="16" t="str">
        <f>TRIM(_xlfn.TEXTBEFORE(O7,":"))</f>
        <v>Урон хаосом</v>
      </c>
      <c r="Q7" s="18" t="s">
        <v>6670</v>
      </c>
      <c r="R7" s="16" t="str">
        <f>TRIM(_xlfn.TEXTBEFORE(Q7,":"))</f>
        <v>ความเสียหายเคออส</v>
      </c>
      <c r="S7" s="18" t="s">
        <v>7537</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6533</v>
      </c>
      <c r="B12" s="16"/>
      <c r="C12" s="18" t="s">
        <v>6589</v>
      </c>
      <c r="D12" s="16"/>
      <c r="E12" s="18" t="s">
        <v>6698</v>
      </c>
      <c r="F12" s="16"/>
      <c r="G12" s="18" t="s">
        <v>6561</v>
      </c>
      <c r="H12" s="16"/>
      <c r="I12" s="18" t="s">
        <v>6759</v>
      </c>
      <c r="J12" s="16"/>
      <c r="K12" s="18" t="s">
        <v>6728</v>
      </c>
      <c r="L12" s="16"/>
      <c r="M12" s="18" t="s">
        <v>6618</v>
      </c>
      <c r="N12" s="16"/>
      <c r="O12" s="18" t="s">
        <v>6648</v>
      </c>
      <c r="P12" s="16"/>
      <c r="Q12" s="18" t="s">
        <v>6671</v>
      </c>
      <c r="R12" s="16"/>
      <c r="S12" s="18" t="s">
        <v>7270</v>
      </c>
      <c r="T12" s="20"/>
    </row>
    <row r="13" spans="1:20" ht="15.95" customHeight="1" x14ac:dyDescent="0.25">
      <c r="A13" s="18" t="s">
        <v>6534</v>
      </c>
      <c r="B13" s="16"/>
      <c r="C13" s="18" t="s">
        <v>6590</v>
      </c>
      <c r="D13" s="16"/>
      <c r="E13" s="18" t="s">
        <v>6619</v>
      </c>
      <c r="F13" s="16"/>
      <c r="G13" s="18" t="s">
        <v>6534</v>
      </c>
      <c r="H13" s="16"/>
      <c r="I13" s="18" t="s">
        <v>6760</v>
      </c>
      <c r="J13" s="16"/>
      <c r="K13" s="18" t="s">
        <v>6729</v>
      </c>
      <c r="L13" s="16"/>
      <c r="M13" s="18" t="s">
        <v>6619</v>
      </c>
      <c r="N13" s="16"/>
      <c r="O13" s="18" t="s">
        <v>6649</v>
      </c>
      <c r="P13" s="16"/>
      <c r="Q13" s="18" t="s">
        <v>6534</v>
      </c>
      <c r="R13" s="16"/>
      <c r="S13" s="18" t="s">
        <v>7538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6512</v>
      </c>
      <c r="B15" s="16"/>
      <c r="C15" s="18" t="s">
        <v>6569</v>
      </c>
      <c r="D15" s="16"/>
      <c r="E15" s="18" t="s">
        <v>6679</v>
      </c>
      <c r="F15" s="16"/>
      <c r="G15" s="18" t="s">
        <v>6542</v>
      </c>
      <c r="H15" s="16"/>
      <c r="I15" s="18" t="s">
        <v>6738</v>
      </c>
      <c r="J15" s="16"/>
      <c r="K15" s="18" t="s">
        <v>6707</v>
      </c>
      <c r="L15" s="16"/>
      <c r="M15" s="18" t="s">
        <v>6599</v>
      </c>
      <c r="N15" s="16"/>
      <c r="O15" s="18" t="s">
        <v>6628</v>
      </c>
      <c r="P15" s="16"/>
      <c r="Q15" s="18" t="s">
        <v>6656</v>
      </c>
      <c r="R15" s="16"/>
      <c r="S15" s="18" t="s">
        <v>7518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6535</v>
      </c>
      <c r="B17" s="16"/>
      <c r="C17" s="18" t="s">
        <v>6591</v>
      </c>
      <c r="D17" s="16"/>
      <c r="E17" s="18" t="s">
        <v>6699</v>
      </c>
      <c r="F17" s="16"/>
      <c r="G17" s="18" t="s">
        <v>6562</v>
      </c>
      <c r="H17" s="16"/>
      <c r="I17" s="18" t="s">
        <v>6761</v>
      </c>
      <c r="J17" s="16"/>
      <c r="K17" s="18" t="s">
        <v>6730</v>
      </c>
      <c r="L17" s="16"/>
      <c r="M17" s="18" t="s">
        <v>6620</v>
      </c>
      <c r="N17" s="16"/>
      <c r="O17" s="18" t="s">
        <v>6650</v>
      </c>
      <c r="P17" s="16"/>
      <c r="Q17" s="18" t="s">
        <v>6672</v>
      </c>
      <c r="R17" s="16"/>
      <c r="S17" s="18" t="s">
        <v>7539</v>
      </c>
      <c r="T17" s="20"/>
    </row>
    <row r="18" spans="1:20" ht="15.95" customHeight="1" x14ac:dyDescent="0.25">
      <c r="A18" s="18" t="s">
        <v>6536</v>
      </c>
      <c r="B18" s="16"/>
      <c r="C18" s="18" t="s">
        <v>6592</v>
      </c>
      <c r="D18" s="16"/>
      <c r="E18" s="18" t="s">
        <v>6700</v>
      </c>
      <c r="F18" s="16"/>
      <c r="G18" s="18" t="s">
        <v>6563</v>
      </c>
      <c r="H18" s="16"/>
      <c r="I18" s="18" t="s">
        <v>6762</v>
      </c>
      <c r="J18" s="16"/>
      <c r="K18" s="18" t="s">
        <v>6731</v>
      </c>
      <c r="L18" s="16"/>
      <c r="M18" s="18" t="s">
        <v>6621</v>
      </c>
      <c r="N18" s="16"/>
      <c r="O18" s="18" t="s">
        <v>6651</v>
      </c>
      <c r="P18" s="16"/>
      <c r="Q18" s="18" t="s">
        <v>6673</v>
      </c>
      <c r="R18" s="16"/>
      <c r="S18" s="18" t="s">
        <v>7540</v>
      </c>
      <c r="T18" s="20"/>
    </row>
    <row r="19" spans="1:20" ht="15.95" customHeight="1" x14ac:dyDescent="0.25">
      <c r="A19" s="18" t="s">
        <v>6537</v>
      </c>
      <c r="B19" s="16"/>
      <c r="C19" s="18" t="s">
        <v>6593</v>
      </c>
      <c r="D19" s="16"/>
      <c r="E19" s="18" t="s">
        <v>6701</v>
      </c>
      <c r="F19" s="16"/>
      <c r="G19" s="18" t="s">
        <v>6564</v>
      </c>
      <c r="H19" s="16"/>
      <c r="I19" s="18" t="s">
        <v>6763</v>
      </c>
      <c r="J19" s="16"/>
      <c r="K19" s="18" t="s">
        <v>6732</v>
      </c>
      <c r="L19" s="16"/>
      <c r="M19" s="18" t="s">
        <v>6622</v>
      </c>
      <c r="N19" s="16"/>
      <c r="O19" s="18" t="s">
        <v>6652</v>
      </c>
      <c r="P19" s="16"/>
      <c r="Q19" s="18" t="s">
        <v>6674</v>
      </c>
      <c r="R19" s="16"/>
      <c r="S19" s="18" t="s">
        <v>7541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54" priority="28" stopIfTrue="1">
      <formula>NOT(ISERROR(A3))</formula>
    </cfRule>
  </conditionalFormatting>
  <conditionalFormatting sqref="A3:R4 A5:T6 A7 C7 E7 G7 I7 K7 M7 O7 Q7 S7:T7 A8:T51">
    <cfRule type="notContainsBlanks" dxfId="153" priority="29">
      <formula>LEN(TRIM(A3))&gt;0</formula>
    </cfRule>
  </conditionalFormatting>
  <conditionalFormatting sqref="A3:T51">
    <cfRule type="containsErrors" dxfId="152" priority="1" stopIfTrue="1">
      <formula>ISERROR(A3)</formula>
    </cfRule>
  </conditionalFormatting>
  <conditionalFormatting sqref="B7">
    <cfRule type="notContainsBlanks" dxfId="151" priority="26">
      <formula>LEN(TRIM(B7))&gt;0</formula>
    </cfRule>
  </conditionalFormatting>
  <conditionalFormatting sqref="D7">
    <cfRule type="notContainsBlanks" dxfId="150" priority="24">
      <formula>LEN(TRIM(D7))&gt;0</formula>
    </cfRule>
  </conditionalFormatting>
  <conditionalFormatting sqref="F7">
    <cfRule type="notContainsBlanks" dxfId="149" priority="22">
      <formula>LEN(TRIM(F7))&gt;0</formula>
    </cfRule>
  </conditionalFormatting>
  <conditionalFormatting sqref="H7">
    <cfRule type="notContainsBlanks" dxfId="148" priority="20">
      <formula>LEN(TRIM(H7))&gt;0</formula>
    </cfRule>
  </conditionalFormatting>
  <conditionalFormatting sqref="J7">
    <cfRule type="notContainsBlanks" dxfId="147" priority="18">
      <formula>LEN(TRIM(J7))&gt;0</formula>
    </cfRule>
  </conditionalFormatting>
  <conditionalFormatting sqref="L7">
    <cfRule type="notContainsBlanks" dxfId="146" priority="16">
      <formula>LEN(TRIM(L7))&gt;0</formula>
    </cfRule>
  </conditionalFormatting>
  <conditionalFormatting sqref="N7">
    <cfRule type="notContainsBlanks" dxfId="145" priority="14">
      <formula>LEN(TRIM(N7))&gt;0</formula>
    </cfRule>
  </conditionalFormatting>
  <conditionalFormatting sqref="P7">
    <cfRule type="notContainsBlanks" dxfId="144" priority="12">
      <formula>LEN(TRIM(P7))&gt;0</formula>
    </cfRule>
  </conditionalFormatting>
  <conditionalFormatting sqref="R7">
    <cfRule type="notContainsBlanks" dxfId="143" priority="10">
      <formula>LEN(TRIM(R7))&gt;0</formula>
    </cfRule>
  </conditionalFormatting>
  <conditionalFormatting sqref="S3:T4">
    <cfRule type="notContainsBlanks" dxfId="142"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6772</v>
      </c>
      <c r="B3" s="16" t="str">
        <f>TRIM(_xlfn.TEXTBEFORE(A3, ":"))</f>
        <v>Item Class</v>
      </c>
      <c r="C3" s="17" t="s">
        <v>6928</v>
      </c>
      <c r="D3" s="16" t="str">
        <f>TRIM(_xlfn.TEXTBEFORE(C3, ":"))</f>
        <v>Gegenstandsklasse</v>
      </c>
      <c r="E3" s="17" t="s">
        <v>7291</v>
      </c>
      <c r="F3" s="16" t="str">
        <f>TRIM(_xlfn.TEXTBEFORE(E3, ":"))</f>
        <v>Clase de objeto</v>
      </c>
      <c r="G3" s="17" t="s">
        <v>6857</v>
      </c>
      <c r="H3" s="16" t="str">
        <f>TRIM(_xlfn.TEXTBEFORE(G3, ":"))</f>
        <v>Classe d'objet</v>
      </c>
      <c r="I3" s="17" t="s">
        <v>7435</v>
      </c>
      <c r="J3" s="16" t="str">
        <f>TRIM(_xlfn.TEXTBEFORE(I3, ":"))</f>
        <v>アイテムクラス</v>
      </c>
      <c r="K3" s="17" t="s">
        <v>7360</v>
      </c>
      <c r="L3" s="16" t="str">
        <f>TRIM(_xlfn.TEXTBEFORE(K3, ":"))</f>
        <v>아이템 종류</v>
      </c>
      <c r="M3" s="17" t="s">
        <v>6996</v>
      </c>
      <c r="N3" s="16" t="str">
        <f>TRIM(_xlfn.TEXTBEFORE(M3, ":"))</f>
        <v>Classe do Item</v>
      </c>
      <c r="O3" s="17" t="s">
        <v>7064</v>
      </c>
      <c r="P3" s="16" t="str">
        <f>TRIM(_xlfn.TEXTBEFORE(O3, ":"))</f>
        <v>Класс предмета</v>
      </c>
      <c r="Q3" s="17" t="s">
        <v>7136</v>
      </c>
      <c r="R3" s="16" t="str">
        <f>TRIM(_xlfn.TEXTBEFORE(Q3, ":"))</f>
        <v>ชนิดไอเทม</v>
      </c>
      <c r="S3" s="17" t="s">
        <v>7198</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7199</v>
      </c>
      <c r="T4" s="20" t="str">
        <f>TRIM(_xlfn.TEXTAFTER(S3, ":"))</f>
        <v>法器</v>
      </c>
    </row>
    <row r="5" spans="1:20" ht="15.95" customHeight="1" x14ac:dyDescent="0.25">
      <c r="A5" s="18" t="s">
        <v>6773</v>
      </c>
      <c r="B5" s="16" t="str">
        <f>TRIM(_xlfn.TEXTBEFORE(A4, ":"))</f>
        <v>Rarity</v>
      </c>
      <c r="C5" s="18" t="s">
        <v>6929</v>
      </c>
      <c r="D5" s="16" t="str">
        <f>TRIM(_xlfn.TEXTBEFORE(C4, ":"))</f>
        <v>Seltenheit</v>
      </c>
      <c r="E5" s="18" t="s">
        <v>7292</v>
      </c>
      <c r="F5" s="16" t="str">
        <f>TRIM(_xlfn.TEXTBEFORE(E4, ":"))</f>
        <v>Rareza</v>
      </c>
      <c r="G5" s="18" t="s">
        <v>6858</v>
      </c>
      <c r="H5" s="16" t="str">
        <f>TRIM(_xlfn.TEXTBEFORE(G4, ":"))</f>
        <v>Rareté</v>
      </c>
      <c r="I5" s="18" t="s">
        <v>7436</v>
      </c>
      <c r="J5" s="16" t="str">
        <f>TRIM(_xlfn.TEXTBEFORE(I4, ":"))</f>
        <v>レアリティ</v>
      </c>
      <c r="K5" s="18" t="s">
        <v>7361</v>
      </c>
      <c r="L5" s="16" t="str">
        <f>TRIM(_xlfn.TEXTBEFORE(K4, ":"))</f>
        <v>아이템 희귀도</v>
      </c>
      <c r="M5" s="18" t="s">
        <v>6997</v>
      </c>
      <c r="N5" s="16" t="str">
        <f>TRIM(_xlfn.TEXTBEFORE(M4, ":"))</f>
        <v>Raridade</v>
      </c>
      <c r="O5" s="18" t="s">
        <v>7065</v>
      </c>
      <c r="P5" s="16" t="str">
        <f>TRIM(_xlfn.TEXTBEFORE(O4, ":"))</f>
        <v>Редкость</v>
      </c>
      <c r="Q5" s="18" t="s">
        <v>6773</v>
      </c>
      <c r="R5" s="16" t="str">
        <f>TRIM(_xlfn.TEXTBEFORE(Q4, ":"))</f>
        <v>ความหายาก</v>
      </c>
      <c r="S5" s="18" t="s">
        <v>7200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6774</v>
      </c>
      <c r="B7" s="16"/>
      <c r="C7" s="18" t="s">
        <v>6930</v>
      </c>
      <c r="D7" s="16"/>
      <c r="E7" s="18" t="s">
        <v>7293</v>
      </c>
      <c r="F7" s="16"/>
      <c r="G7" s="18" t="s">
        <v>6859</v>
      </c>
      <c r="H7" s="16"/>
      <c r="I7" s="18" t="s">
        <v>7437</v>
      </c>
      <c r="J7" s="16"/>
      <c r="K7" s="18" t="s">
        <v>7362</v>
      </c>
      <c r="L7" s="16"/>
      <c r="M7" s="18" t="s">
        <v>6998</v>
      </c>
      <c r="N7" s="16"/>
      <c r="O7" s="18" t="s">
        <v>7066</v>
      </c>
      <c r="P7" s="16"/>
      <c r="Q7" s="18" t="s">
        <v>7137</v>
      </c>
      <c r="R7" s="16"/>
      <c r="S7" s="18" t="s">
        <v>7201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7202</v>
      </c>
      <c r="T9" s="20"/>
    </row>
    <row r="10" spans="1:20" ht="15.95" customHeight="1" x14ac:dyDescent="0.25">
      <c r="A10" s="18" t="s">
        <v>6775</v>
      </c>
      <c r="B10" s="16"/>
      <c r="C10" s="18" t="s">
        <v>6931</v>
      </c>
      <c r="D10" s="16"/>
      <c r="E10" s="18" t="s">
        <v>7294</v>
      </c>
      <c r="F10" s="16"/>
      <c r="G10" s="18" t="s">
        <v>6860</v>
      </c>
      <c r="H10" s="16"/>
      <c r="I10" s="18" t="s">
        <v>7438</v>
      </c>
      <c r="J10" s="16"/>
      <c r="K10" s="18" t="s">
        <v>7363</v>
      </c>
      <c r="L10" s="16"/>
      <c r="M10" s="18" t="s">
        <v>6999</v>
      </c>
      <c r="N10" s="16"/>
      <c r="O10" s="18" t="s">
        <v>7067</v>
      </c>
      <c r="P10" s="16"/>
      <c r="Q10" s="18" t="s">
        <v>7138</v>
      </c>
      <c r="R10" s="16"/>
      <c r="S10" s="18" t="s">
        <v>7203</v>
      </c>
      <c r="T10" s="20"/>
    </row>
    <row r="11" spans="1:20" ht="15.95" customHeight="1" x14ac:dyDescent="0.25">
      <c r="A11" s="18" t="s">
        <v>6776</v>
      </c>
      <c r="B11" s="16"/>
      <c r="C11" s="18" t="s">
        <v>6776</v>
      </c>
      <c r="D11" s="16"/>
      <c r="E11" s="18" t="s">
        <v>6776</v>
      </c>
      <c r="F11" s="16"/>
      <c r="G11" s="18" t="s">
        <v>6776</v>
      </c>
      <c r="H11" s="16"/>
      <c r="I11" s="18" t="s">
        <v>7439</v>
      </c>
      <c r="J11" s="16"/>
      <c r="K11" s="18" t="s">
        <v>7364</v>
      </c>
      <c r="L11" s="16"/>
      <c r="M11" s="18" t="s">
        <v>6776</v>
      </c>
      <c r="N11" s="16"/>
      <c r="O11" s="18" t="s">
        <v>7068</v>
      </c>
      <c r="P11" s="16"/>
      <c r="Q11" s="18" t="s">
        <v>6776</v>
      </c>
      <c r="R11" s="16"/>
      <c r="S11" s="18" t="s">
        <v>7204</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7205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6777</v>
      </c>
      <c r="B15" s="16"/>
      <c r="C15" s="18" t="s">
        <v>6932</v>
      </c>
      <c r="D15" s="16"/>
      <c r="E15" s="18" t="s">
        <v>7295</v>
      </c>
      <c r="F15" s="16"/>
      <c r="G15" s="18" t="s">
        <v>6861</v>
      </c>
      <c r="H15" s="16"/>
      <c r="I15" s="18" t="s">
        <v>7440</v>
      </c>
      <c r="J15" s="16"/>
      <c r="K15" s="18" t="s">
        <v>7365</v>
      </c>
      <c r="L15" s="16"/>
      <c r="M15" s="18" t="s">
        <v>7000</v>
      </c>
      <c r="N15" s="16"/>
      <c r="O15" s="18" t="s">
        <v>7069</v>
      </c>
      <c r="P15" s="16"/>
      <c r="Q15" s="18" t="s">
        <v>7139</v>
      </c>
      <c r="R15" s="16"/>
      <c r="S15" s="18" t="s">
        <v>7206</v>
      </c>
      <c r="T15" s="20"/>
    </row>
    <row r="16" spans="1:20" ht="15.95" customHeight="1" x14ac:dyDescent="0.25">
      <c r="A16" s="18" t="s">
        <v>6778</v>
      </c>
      <c r="B16" s="16"/>
      <c r="C16" s="18" t="s">
        <v>6933</v>
      </c>
      <c r="D16" s="16"/>
      <c r="E16" s="18" t="s">
        <v>7296</v>
      </c>
      <c r="F16" s="16"/>
      <c r="G16" s="18" t="s">
        <v>6862</v>
      </c>
      <c r="H16" s="16"/>
      <c r="I16" s="18" t="s">
        <v>7441</v>
      </c>
      <c r="J16" s="16"/>
      <c r="K16" s="18" t="s">
        <v>7366</v>
      </c>
      <c r="L16" s="16"/>
      <c r="M16" s="18" t="s">
        <v>7001</v>
      </c>
      <c r="N16" s="16"/>
      <c r="O16" s="18" t="s">
        <v>7070</v>
      </c>
      <c r="P16" s="16"/>
      <c r="Q16" s="18" t="s">
        <v>7140</v>
      </c>
      <c r="R16" s="16"/>
      <c r="S16" s="18" t="s">
        <v>7207</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6813</v>
      </c>
      <c r="B3" s="16" t="str">
        <f>TRIM(_xlfn.TEXTBEFORE(A3, ":"))</f>
        <v>Item Class</v>
      </c>
      <c r="C3" s="17" t="s">
        <v>6934</v>
      </c>
      <c r="D3" s="16" t="str">
        <f>TRIM(_xlfn.TEXTBEFORE(C3, ":"))</f>
        <v>Gegenstandsklasse</v>
      </c>
      <c r="E3" s="17" t="s">
        <v>7297</v>
      </c>
      <c r="F3" s="16" t="str">
        <f>TRIM(_xlfn.TEXTBEFORE(E3, ":"))</f>
        <v>Clase de objeto</v>
      </c>
      <c r="G3" s="17" t="s">
        <v>6863</v>
      </c>
      <c r="H3" s="16" t="str">
        <f>TRIM(_xlfn.TEXTBEFORE(G3, ":"))</f>
        <v>Classe d'objet</v>
      </c>
      <c r="I3" s="17" t="s">
        <v>7442</v>
      </c>
      <c r="J3" s="16" t="str">
        <f>TRIM(_xlfn.TEXTBEFORE(I3, ":"))</f>
        <v>アイテムクラス</v>
      </c>
      <c r="K3" s="17" t="s">
        <v>7367</v>
      </c>
      <c r="L3" s="16" t="str">
        <f>TRIM(_xlfn.TEXTBEFORE(K3, ":"))</f>
        <v>아이템 종류</v>
      </c>
      <c r="M3" s="17" t="s">
        <v>7002</v>
      </c>
      <c r="N3" s="16" t="str">
        <f>TRIM(_xlfn.TEXTBEFORE(M3, ":"))</f>
        <v>Classe do Item</v>
      </c>
      <c r="O3" s="17" t="s">
        <v>7071</v>
      </c>
      <c r="P3" s="16" t="str">
        <f>TRIM(_xlfn.TEXTBEFORE(O3, ":"))</f>
        <v>Класс предмета</v>
      </c>
      <c r="Q3" s="17" t="s">
        <v>7141</v>
      </c>
      <c r="R3" s="16" t="str">
        <f>TRIM(_xlfn.TEXTBEFORE(Q3, ":"))</f>
        <v>ชนิดไอเทม</v>
      </c>
      <c r="S3" s="17" t="s">
        <v>7208</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7209</v>
      </c>
      <c r="T4" s="20" t="str">
        <f>TRIM(_xlfn.TEXTAFTER(S3, ":"))</f>
        <v>可鑲嵌</v>
      </c>
    </row>
    <row r="5" spans="1:20" ht="15.95" customHeight="1" x14ac:dyDescent="0.25">
      <c r="A5" s="18" t="s">
        <v>6814</v>
      </c>
      <c r="B5" s="16" t="str">
        <f>TRIM(_xlfn.TEXTBEFORE(A4, ":"))</f>
        <v>Rarity</v>
      </c>
      <c r="C5" s="18" t="s">
        <v>6935</v>
      </c>
      <c r="D5" s="16" t="str">
        <f>TRIM(_xlfn.TEXTBEFORE(C4, ":"))</f>
        <v>Seltenheit</v>
      </c>
      <c r="E5" s="18" t="s">
        <v>7298</v>
      </c>
      <c r="F5" s="16" t="str">
        <f>TRIM(_xlfn.TEXTBEFORE(E4, ":"))</f>
        <v>Rareza</v>
      </c>
      <c r="G5" s="18" t="s">
        <v>6864</v>
      </c>
      <c r="H5" s="16" t="str">
        <f>TRIM(_xlfn.TEXTBEFORE(G4, ":"))</f>
        <v>Rareté</v>
      </c>
      <c r="I5" s="18" t="s">
        <v>7443</v>
      </c>
      <c r="J5" s="16" t="str">
        <f>TRIM(_xlfn.TEXTBEFORE(I4, ":"))</f>
        <v>レアリティ</v>
      </c>
      <c r="K5" s="18" t="s">
        <v>7368</v>
      </c>
      <c r="L5" s="16" t="str">
        <f>TRIM(_xlfn.TEXTBEFORE(K4, ":"))</f>
        <v>아이템 희귀도</v>
      </c>
      <c r="M5" s="18" t="s">
        <v>7003</v>
      </c>
      <c r="N5" s="16" t="str">
        <f>TRIM(_xlfn.TEXTBEFORE(M4, ":"))</f>
        <v>Raridade</v>
      </c>
      <c r="O5" s="18" t="s">
        <v>7072</v>
      </c>
      <c r="P5" s="16" t="str">
        <f>TRIM(_xlfn.TEXTBEFORE(O4, ":"))</f>
        <v>Редкость</v>
      </c>
      <c r="Q5" s="18" t="s">
        <v>7142</v>
      </c>
      <c r="R5" s="16" t="str">
        <f>TRIM(_xlfn.TEXTBEFORE(Q4, ":"))</f>
        <v>ความหายาก</v>
      </c>
      <c r="S5" s="18" t="s">
        <v>7210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7211</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6815</v>
      </c>
      <c r="B9" s="16"/>
      <c r="C9" s="18" t="s">
        <v>6936</v>
      </c>
      <c r="D9" s="16"/>
      <c r="E9" s="18" t="s">
        <v>7299</v>
      </c>
      <c r="F9" s="16"/>
      <c r="G9" s="18" t="s">
        <v>6865</v>
      </c>
      <c r="H9" s="16"/>
      <c r="I9" s="18" t="s">
        <v>7444</v>
      </c>
      <c r="J9" s="16"/>
      <c r="K9" s="18" t="s">
        <v>7369</v>
      </c>
      <c r="L9" s="16"/>
      <c r="M9" s="18" t="s">
        <v>7004</v>
      </c>
      <c r="N9" s="16"/>
      <c r="O9" s="18" t="s">
        <v>7073</v>
      </c>
      <c r="P9" s="16"/>
      <c r="Q9" s="18" t="s">
        <v>7143</v>
      </c>
      <c r="R9" s="16"/>
      <c r="S9" s="18" t="s">
        <v>7212</v>
      </c>
      <c r="T9" s="20"/>
    </row>
    <row r="10" spans="1:20" ht="15.95" customHeight="1" x14ac:dyDescent="0.25">
      <c r="A10" s="18" t="s">
        <v>6816</v>
      </c>
      <c r="B10" s="16"/>
      <c r="C10" s="18" t="s">
        <v>6937</v>
      </c>
      <c r="D10" s="16"/>
      <c r="E10" s="18" t="s">
        <v>7300</v>
      </c>
      <c r="F10" s="16"/>
      <c r="G10" s="18" t="s">
        <v>6866</v>
      </c>
      <c r="H10" s="16"/>
      <c r="I10" s="18" t="s">
        <v>7445</v>
      </c>
      <c r="J10" s="16"/>
      <c r="K10" s="18" t="s">
        <v>7370</v>
      </c>
      <c r="L10" s="16"/>
      <c r="M10" s="18" t="s">
        <v>7005</v>
      </c>
      <c r="N10" s="16"/>
      <c r="O10" s="18" t="s">
        <v>7074</v>
      </c>
      <c r="P10" s="16"/>
      <c r="Q10" s="18" t="s">
        <v>7144</v>
      </c>
      <c r="R10" s="16"/>
      <c r="S10" s="18" t="s">
        <v>7213</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6817</v>
      </c>
      <c r="B12" s="16"/>
      <c r="C12" s="18" t="s">
        <v>6938</v>
      </c>
      <c r="D12" s="16"/>
      <c r="E12" s="18" t="s">
        <v>7301</v>
      </c>
      <c r="F12" s="16"/>
      <c r="G12" s="18" t="s">
        <v>6867</v>
      </c>
      <c r="H12" s="16"/>
      <c r="I12" s="18" t="s">
        <v>7446</v>
      </c>
      <c r="J12" s="16"/>
      <c r="K12" s="18" t="s">
        <v>7371</v>
      </c>
      <c r="L12" s="16"/>
      <c r="M12" s="18" t="s">
        <v>7006</v>
      </c>
      <c r="N12" s="16"/>
      <c r="O12" s="18" t="s">
        <v>7075</v>
      </c>
      <c r="P12" s="16"/>
      <c r="Q12" s="18" t="s">
        <v>7145</v>
      </c>
      <c r="R12" s="16"/>
      <c r="S12" s="18" t="s">
        <v>7214</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6796</v>
      </c>
      <c r="B3" s="16" t="str">
        <f>TRIM(_xlfn.TEXTBEFORE(A3, ":"))</f>
        <v>Item Class</v>
      </c>
      <c r="C3" s="17" t="s">
        <v>6939</v>
      </c>
      <c r="D3" s="16" t="str">
        <f>TRIM(_xlfn.TEXTBEFORE(C3, ":"))</f>
        <v>Gegenstandsklasse</v>
      </c>
      <c r="E3" s="17" t="s">
        <v>7302</v>
      </c>
      <c r="F3" s="16" t="str">
        <f>TRIM(_xlfn.TEXTBEFORE(E3, ":"))</f>
        <v>Clase de objeto</v>
      </c>
      <c r="G3" s="17" t="s">
        <v>6868</v>
      </c>
      <c r="H3" s="16" t="str">
        <f>TRIM(_xlfn.TEXTBEFORE(G3, ":"))</f>
        <v>Classe d'objet</v>
      </c>
      <c r="I3" s="17" t="s">
        <v>7447</v>
      </c>
      <c r="J3" s="16" t="str">
        <f>TRIM(_xlfn.TEXTBEFORE(I3, ":"))</f>
        <v>アイテムクラス</v>
      </c>
      <c r="K3" s="17" t="s">
        <v>7372</v>
      </c>
      <c r="L3" s="16" t="str">
        <f>TRIM(_xlfn.TEXTBEFORE(K3, ":"))</f>
        <v>아이템 종류</v>
      </c>
      <c r="M3" s="17" t="s">
        <v>8364</v>
      </c>
      <c r="N3" s="16" t="str">
        <f>TRIM(_xlfn.TEXTBEFORE(M3, ":"))</f>
        <v>Classe do Item</v>
      </c>
      <c r="O3" s="17" t="s">
        <v>7076</v>
      </c>
      <c r="P3" s="16" t="str">
        <f>TRIM(_xlfn.TEXTBEFORE(O3, ":"))</f>
        <v>Класс предмета</v>
      </c>
      <c r="Q3" s="17" t="s">
        <v>7146</v>
      </c>
      <c r="R3" s="16" t="str">
        <f>TRIM(_xlfn.TEXTBEFORE(Q3, ":"))</f>
        <v>ชนิดไอเทม</v>
      </c>
      <c r="S3" s="17" t="s">
        <v>7215</v>
      </c>
      <c r="T3" s="20" t="str">
        <f>TRIM(_xlfn.TEXTBEFORE(S3, ":"))</f>
        <v>物品種類</v>
      </c>
    </row>
    <row r="4" spans="1:20" ht="15.95" customHeight="1" x14ac:dyDescent="0.25">
      <c r="A4" s="18" t="s">
        <v>481</v>
      </c>
      <c r="B4" s="16" t="str">
        <f>TRIM(_xlfn.TEXTAFTER(A3, ":"))</f>
        <v>Waystones</v>
      </c>
      <c r="C4" s="18" t="s">
        <v>1755</v>
      </c>
      <c r="D4" s="16" t="str">
        <f>TRIM(_xlfn.TEXTAFTER(C3, ":"))</f>
        <v>Wegsteine</v>
      </c>
      <c r="E4" s="18" t="s">
        <v>2443</v>
      </c>
      <c r="F4" s="16" t="str">
        <f>TRIM(_xlfn.TEXTAFTER(E3, ":"))</f>
        <v>Piedras guía</v>
      </c>
      <c r="G4" s="18" t="s">
        <v>1049</v>
      </c>
      <c r="H4" s="16" t="str">
        <f>TRIM(_xlfn.TEXTAFTER(G3, ":"))</f>
        <v>Pierres de téléportation</v>
      </c>
      <c r="I4" s="18" t="s">
        <v>3134</v>
      </c>
      <c r="J4" s="16" t="str">
        <f>TRIM(_xlfn.TEXTAFTER(I3, ":"))</f>
        <v>ウェイストーン</v>
      </c>
      <c r="K4" s="18" t="s">
        <v>3848</v>
      </c>
      <c r="L4" s="16" t="str">
        <f>TRIM(_xlfn.TEXTAFTER(K3, ":"))</f>
        <v>경로석</v>
      </c>
      <c r="M4" s="18" t="s">
        <v>4539</v>
      </c>
      <c r="N4" s="16" t="str">
        <f>TRIM(_xlfn.TEXTAFTER(M3, ":"))</f>
        <v>Dreno de Mana</v>
      </c>
      <c r="O4" s="18" t="s">
        <v>5201</v>
      </c>
      <c r="P4" s="16" t="str">
        <f>TRIM(_xlfn.TEXTAFTER(O3, ":"))</f>
        <v>Путевые камни</v>
      </c>
      <c r="Q4" s="18" t="s">
        <v>5884</v>
      </c>
      <c r="R4" s="16" t="str">
        <f>TRIM(_xlfn.TEXTAFTER(Q3, ":"))</f>
        <v>ศิลานำทาง</v>
      </c>
      <c r="S4" s="18" t="s">
        <v>7264</v>
      </c>
      <c r="T4" s="20" t="str">
        <f>TRIM(_xlfn.TEXTAFTER(S3, ":"))</f>
        <v>換界石</v>
      </c>
    </row>
    <row r="5" spans="1:20" ht="15.95" customHeight="1" x14ac:dyDescent="0.25">
      <c r="A5" s="18" t="s">
        <v>8322</v>
      </c>
      <c r="B5" s="16" t="str">
        <f>TRIM(_xlfn.TEXTBEFORE(A4, ":"))</f>
        <v>Rarity</v>
      </c>
      <c r="C5" s="18" t="s">
        <v>8345</v>
      </c>
      <c r="D5" s="16" t="str">
        <f>TRIM(_xlfn.TEXTBEFORE(C4, ":"))</f>
        <v>Seltenheit</v>
      </c>
      <c r="E5" s="18" t="s">
        <v>8442</v>
      </c>
      <c r="F5" s="16" t="str">
        <f>TRIM(_xlfn.TEXTBEFORE(E4, ":"))</f>
        <v>Rareza</v>
      </c>
      <c r="G5" s="18" t="s">
        <v>8303</v>
      </c>
      <c r="H5" s="16" t="str">
        <f>TRIM(_xlfn.TEXTBEFORE(G4, ":"))</f>
        <v>Rareté</v>
      </c>
      <c r="I5" s="18" t="s">
        <v>8480</v>
      </c>
      <c r="J5" s="16" t="str">
        <f>TRIM(_xlfn.TEXTBEFORE(I4, ":"))</f>
        <v>レアリティ</v>
      </c>
      <c r="K5" s="18" t="s">
        <v>8461</v>
      </c>
      <c r="L5" s="16" t="str">
        <f>TRIM(_xlfn.TEXTBEFORE(K4, ":"))</f>
        <v>아이템 희귀도</v>
      </c>
      <c r="M5" s="18" t="s">
        <v>8365</v>
      </c>
      <c r="N5" s="16" t="str">
        <f>TRIM(_xlfn.TEXTBEFORE(M4, ":"))</f>
        <v>Raridade</v>
      </c>
      <c r="O5" s="18" t="s">
        <v>8385</v>
      </c>
      <c r="P5" s="16" t="str">
        <f>TRIM(_xlfn.TEXTBEFORE(O4, ":"))</f>
        <v>Редкость</v>
      </c>
      <c r="Q5" s="18" t="s">
        <v>8322</v>
      </c>
      <c r="R5" s="16" t="str">
        <f>TRIM(_xlfn.TEXTBEFORE(Q4, ":"))</f>
        <v>ความหายาก</v>
      </c>
      <c r="S5" s="18" t="s">
        <v>8423</v>
      </c>
      <c r="T5" s="20" t="str">
        <f>TRIM(_xlfn.TEXTBEFORE(S4, ":"))</f>
        <v>稀有度</v>
      </c>
    </row>
    <row r="6" spans="1:20" ht="15.95" customHeight="1" x14ac:dyDescent="0.25">
      <c r="A6" s="18" t="s">
        <v>8323</v>
      </c>
      <c r="B6" s="16" t="str">
        <f>TRIM(_xlfn.TEXTAFTER(A4,":"))</f>
        <v>Rare</v>
      </c>
      <c r="C6" s="18" t="s">
        <v>8346</v>
      </c>
      <c r="D6" s="16" t="str">
        <f>TRIM(_xlfn.TEXTAFTER(C4,":"))</f>
        <v>Selten</v>
      </c>
      <c r="E6" s="18" t="s">
        <v>8443</v>
      </c>
      <c r="F6" s="16" t="str">
        <f>TRIM(_xlfn.TEXTAFTER(E4,":"))</f>
        <v>Raro</v>
      </c>
      <c r="G6" s="18" t="s">
        <v>8304</v>
      </c>
      <c r="H6" s="16" t="str">
        <f>TRIM(_xlfn.TEXTAFTER(G4,":"))</f>
        <v>Rare</v>
      </c>
      <c r="I6" s="18" t="s">
        <v>8481</v>
      </c>
      <c r="J6" s="16" t="str">
        <f>TRIM(_xlfn.TEXTAFTER(I4,":"))</f>
        <v>レア</v>
      </c>
      <c r="K6" s="18" t="s">
        <v>8462</v>
      </c>
      <c r="L6" s="16" t="str">
        <f>TRIM(_xlfn.TEXTAFTER(K4,":"))</f>
        <v>희귀</v>
      </c>
      <c r="M6" s="18" t="s">
        <v>8366</v>
      </c>
      <c r="N6" s="16" t="str">
        <f>TRIM(_xlfn.TEXTAFTER(M4,":"))</f>
        <v>Raro</v>
      </c>
      <c r="O6" s="18" t="s">
        <v>8386</v>
      </c>
      <c r="P6" s="16" t="str">
        <f>TRIM(_xlfn.TEXTAFTER(O4,":"))</f>
        <v>Редкий</v>
      </c>
      <c r="Q6" s="18" t="s">
        <v>8404</v>
      </c>
      <c r="R6" s="16" t="str">
        <f>TRIM(_xlfn.TEXTAFTER(Q4,":"))</f>
        <v>แรร์</v>
      </c>
      <c r="S6" s="18" t="s">
        <v>8424</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8338</v>
      </c>
      <c r="B8" s="16"/>
      <c r="C8" s="18" t="s">
        <v>8347</v>
      </c>
      <c r="D8" s="16"/>
      <c r="E8" s="18" t="s">
        <v>8444</v>
      </c>
      <c r="F8" s="16"/>
      <c r="G8" s="18" t="s">
        <v>8305</v>
      </c>
      <c r="H8" s="16"/>
      <c r="I8" s="18" t="s">
        <v>8482</v>
      </c>
      <c r="J8" s="16"/>
      <c r="K8" s="18" t="s">
        <v>8463</v>
      </c>
      <c r="L8" s="16"/>
      <c r="M8" s="18" t="s">
        <v>8367</v>
      </c>
      <c r="N8" s="16"/>
      <c r="O8" s="18" t="s">
        <v>8387</v>
      </c>
      <c r="P8" s="16"/>
      <c r="Q8" s="18" t="s">
        <v>8405</v>
      </c>
      <c r="R8" s="16"/>
      <c r="S8" s="18" t="s">
        <v>8425</v>
      </c>
      <c r="T8" s="20"/>
    </row>
    <row r="9" spans="1:20" ht="15.95" customHeight="1" x14ac:dyDescent="0.25">
      <c r="A9" s="18" t="s">
        <v>8339</v>
      </c>
      <c r="B9" s="16" t="str">
        <f t="shared" ref="B9:B14" si="0">TRIM(_xlfn.TEXTBEFORE(A9, ":"))</f>
        <v>Revives Available</v>
      </c>
      <c r="C9" s="18" t="s">
        <v>8348</v>
      </c>
      <c r="D9" s="16" t="str">
        <f t="shared" ref="D9:D14" si="1">TRIM(_xlfn.TEXTBEFORE(C9, ":"))</f>
        <v>Wiederbelebungen verfügbar</v>
      </c>
      <c r="E9" s="18" t="s">
        <v>8445</v>
      </c>
      <c r="F9" s="16" t="str">
        <f t="shared" ref="F9:F14" si="2">TRIM(_xlfn.TEXTBEFORE(E9, ":"))</f>
        <v>Resurrecciones disponibles</v>
      </c>
      <c r="G9" s="18" t="s">
        <v>8306</v>
      </c>
      <c r="H9" s="16" t="str">
        <f t="shared" ref="H9:H14" si="3">TRIM(_xlfn.TEXTBEFORE(G9, ":"))</f>
        <v>Résurrections disponibles</v>
      </c>
      <c r="I9" s="18" t="s">
        <v>8483</v>
      </c>
      <c r="J9" s="16" t="str">
        <f t="shared" ref="J9:J14" si="4">TRIM(_xlfn.TEXTBEFORE(I9, ":"))</f>
        <v>復活が利用可能</v>
      </c>
      <c r="K9" s="18" t="s">
        <v>8464</v>
      </c>
      <c r="L9" s="16" t="str">
        <f t="shared" ref="L9:L14" si="5">TRIM(_xlfn.TEXTBEFORE(K9, ":"))</f>
        <v>부활 횟수</v>
      </c>
      <c r="M9" s="18" t="s">
        <v>8368</v>
      </c>
      <c r="N9" s="16" t="str">
        <f t="shared" ref="N9:N14" si="6">TRIM(_xlfn.TEXTBEFORE(M9, ":"))</f>
        <v>Ressurreições</v>
      </c>
      <c r="O9" s="18" t="s">
        <v>8388</v>
      </c>
      <c r="P9" s="16" t="str">
        <f t="shared" ref="P9:P14" si="7">TRIM(_xlfn.TEXTBEFORE(O9, ":"))</f>
        <v>Доступно возрождений</v>
      </c>
      <c r="Q9" s="18" t="s">
        <v>8406</v>
      </c>
      <c r="R9" s="16" t="str">
        <f t="shared" ref="R9:R14" si="8">TRIM(_xlfn.TEXTBEFORE(Q9, ":"))</f>
        <v>จำนวนสิทธิ์คืนชีพ</v>
      </c>
      <c r="S9" s="18" t="s">
        <v>8426</v>
      </c>
      <c r="T9" s="16" t="str">
        <f t="shared" ref="T9:T14" si="9">TRIM(_xlfn.TEXTBEFORE(S9, ":"))</f>
        <v>可用的復活數</v>
      </c>
    </row>
    <row r="10" spans="1:20" ht="15.95" customHeight="1" x14ac:dyDescent="0.25">
      <c r="A10" s="18" t="s">
        <v>8340</v>
      </c>
      <c r="B10" s="16" t="str">
        <f t="shared" si="0"/>
        <v>Monster Pack Size</v>
      </c>
      <c r="C10" s="18" t="s">
        <v>8349</v>
      </c>
      <c r="D10" s="16" t="str">
        <f t="shared" si="1"/>
        <v>Monstergruppengröße</v>
      </c>
      <c r="E10" s="18" t="s">
        <v>8446</v>
      </c>
      <c r="F10" s="16" t="str">
        <f t="shared" si="2"/>
        <v>Tamaño de los grupos de monstruos</v>
      </c>
      <c r="G10" s="18" t="s">
        <v>8307</v>
      </c>
      <c r="H10" s="16" t="str">
        <f t="shared" si="3"/>
        <v>Taille des groupes de monstres</v>
      </c>
      <c r="I10" s="18" t="s">
        <v>8484</v>
      </c>
      <c r="J10" s="16" t="str">
        <f t="shared" si="4"/>
        <v>モンスターパックサイズ</v>
      </c>
      <c r="K10" s="18" t="s">
        <v>8465</v>
      </c>
      <c r="L10" s="16" t="str">
        <f t="shared" si="5"/>
        <v>몬스터 무리 규모</v>
      </c>
      <c r="M10" s="18" t="s">
        <v>8369</v>
      </c>
      <c r="N10" s="16" t="str">
        <f t="shared" si="6"/>
        <v>Tamanho do Grupo de Monstros</v>
      </c>
      <c r="O10" s="18" t="s">
        <v>8389</v>
      </c>
      <c r="P10" s="16" t="str">
        <f t="shared" si="7"/>
        <v>Размер групп монстров</v>
      </c>
      <c r="Q10" s="18" t="s">
        <v>8407</v>
      </c>
      <c r="R10" s="16" t="str">
        <f t="shared" si="8"/>
        <v>ขนาดของกองมอนสเตอร์</v>
      </c>
      <c r="S10" s="18" t="s">
        <v>8427</v>
      </c>
      <c r="T10" s="16" t="str">
        <f t="shared" si="9"/>
        <v>怪物群大小</v>
      </c>
    </row>
    <row r="11" spans="1:20" ht="15.95" customHeight="1" x14ac:dyDescent="0.25">
      <c r="A11" s="18" t="s">
        <v>8341</v>
      </c>
      <c r="B11" s="16" t="str">
        <f t="shared" si="0"/>
        <v>Magic Monsters</v>
      </c>
      <c r="C11" s="18" t="s">
        <v>8350</v>
      </c>
      <c r="D11" s="16" t="str">
        <f t="shared" si="1"/>
        <v>Magische Monster</v>
      </c>
      <c r="E11" s="18" t="s">
        <v>8447</v>
      </c>
      <c r="F11" s="16" t="str">
        <f t="shared" si="2"/>
        <v>Monstruos mágicos</v>
      </c>
      <c r="G11" s="18" t="s">
        <v>8308</v>
      </c>
      <c r="H11" s="16" t="str">
        <f t="shared" si="3"/>
        <v>Monstres magiques</v>
      </c>
      <c r="I11" s="18" t="s">
        <v>8485</v>
      </c>
      <c r="J11" s="16" t="str">
        <f t="shared" si="4"/>
        <v>マジックモンスター</v>
      </c>
      <c r="K11" s="18" t="s">
        <v>8466</v>
      </c>
      <c r="L11" s="16" t="str">
        <f t="shared" si="5"/>
        <v>마법 몬스터</v>
      </c>
      <c r="M11" s="18" t="s">
        <v>8370</v>
      </c>
      <c r="N11" s="16" t="str">
        <f t="shared" si="6"/>
        <v>Monstros Mágicos</v>
      </c>
      <c r="O11" s="18" t="s">
        <v>8390</v>
      </c>
      <c r="P11" s="16" t="str">
        <f t="shared" si="7"/>
        <v>Волшебные монстры</v>
      </c>
      <c r="Q11" s="18" t="s">
        <v>8408</v>
      </c>
      <c r="R11" s="16" t="str">
        <f t="shared" si="8"/>
        <v>มอนสเตอร์เมจิก</v>
      </c>
      <c r="S11" s="18" t="s">
        <v>8428</v>
      </c>
      <c r="T11" s="16" t="str">
        <f t="shared" si="9"/>
        <v>魔法怪物</v>
      </c>
    </row>
    <row r="12" spans="1:20" ht="15.95" customHeight="1" x14ac:dyDescent="0.25">
      <c r="A12" s="18" t="s">
        <v>8342</v>
      </c>
      <c r="B12" s="16" t="str">
        <f t="shared" si="0"/>
        <v>Rare Monsters</v>
      </c>
      <c r="C12" s="18" t="s">
        <v>8351</v>
      </c>
      <c r="D12" s="16" t="str">
        <f t="shared" si="1"/>
        <v>Seltene Monster</v>
      </c>
      <c r="E12" s="18" t="s">
        <v>8448</v>
      </c>
      <c r="F12" s="16" t="str">
        <f t="shared" si="2"/>
        <v>Monstruos raros</v>
      </c>
      <c r="G12" s="18" t="s">
        <v>8309</v>
      </c>
      <c r="H12" s="16" t="str">
        <f t="shared" si="3"/>
        <v>Monstres rares</v>
      </c>
      <c r="I12" s="18" t="s">
        <v>8486</v>
      </c>
      <c r="J12" s="16" t="str">
        <f t="shared" si="4"/>
        <v>レアモンスター</v>
      </c>
      <c r="K12" s="18" t="s">
        <v>8467</v>
      </c>
      <c r="L12" s="16" t="str">
        <f t="shared" si="5"/>
        <v>희귀 몬스터</v>
      </c>
      <c r="M12" s="18" t="s">
        <v>8371</v>
      </c>
      <c r="N12" s="16" t="str">
        <f t="shared" si="6"/>
        <v>Monstros Raros</v>
      </c>
      <c r="O12" s="18" t="s">
        <v>8391</v>
      </c>
      <c r="P12" s="16" t="str">
        <f t="shared" si="7"/>
        <v>Редкие монстры</v>
      </c>
      <c r="Q12" s="18" t="s">
        <v>8409</v>
      </c>
      <c r="R12" s="16" t="str">
        <f t="shared" si="8"/>
        <v>มอนสเตอร์แรร์</v>
      </c>
      <c r="S12" s="18" t="s">
        <v>8429</v>
      </c>
      <c r="T12" s="16" t="str">
        <f t="shared" si="9"/>
        <v>稀有怪物</v>
      </c>
    </row>
    <row r="13" spans="1:20" ht="15.95" customHeight="1" x14ac:dyDescent="0.25">
      <c r="A13" s="18" t="s">
        <v>8343</v>
      </c>
      <c r="B13" s="16" t="str">
        <f t="shared" si="0"/>
        <v>Item Rarity</v>
      </c>
      <c r="C13" s="18" t="s">
        <v>8352</v>
      </c>
      <c r="D13" s="16" t="str">
        <f t="shared" si="1"/>
        <v>Gegenstandsseltenheit</v>
      </c>
      <c r="E13" s="18" t="s">
        <v>8449</v>
      </c>
      <c r="F13" s="16" t="str">
        <f t="shared" si="2"/>
        <v>Rareza de objetos</v>
      </c>
      <c r="G13" s="18" t="s">
        <v>8310</v>
      </c>
      <c r="H13" s="16" t="str">
        <f t="shared" si="3"/>
        <v>Rareté des objets</v>
      </c>
      <c r="I13" s="18" t="s">
        <v>8487</v>
      </c>
      <c r="J13" s="16" t="str">
        <f t="shared" si="4"/>
        <v>アイテムレアリティ</v>
      </c>
      <c r="K13" s="18" t="s">
        <v>8468</v>
      </c>
      <c r="L13" s="16" t="str">
        <f t="shared" si="5"/>
        <v>아이템 희귀도</v>
      </c>
      <c r="M13" s="18" t="s">
        <v>8372</v>
      </c>
      <c r="N13" s="16" t="str">
        <f t="shared" si="6"/>
        <v>Raridade de Itens</v>
      </c>
      <c r="O13" s="18" t="s">
        <v>8392</v>
      </c>
      <c r="P13" s="16" t="str">
        <f t="shared" si="7"/>
        <v>Редкость предметов</v>
      </c>
      <c r="Q13" s="18" t="s">
        <v>8410</v>
      </c>
      <c r="R13" s="16" t="str">
        <f t="shared" si="8"/>
        <v>ระดับความหายากของไอเทม</v>
      </c>
      <c r="S13" s="18" t="s">
        <v>8430</v>
      </c>
      <c r="T13" s="16" t="str">
        <f t="shared" si="9"/>
        <v>物品稀有度</v>
      </c>
    </row>
    <row r="14" spans="1:20" ht="15.95" customHeight="1" x14ac:dyDescent="0.25">
      <c r="A14" s="18" t="s">
        <v>8344</v>
      </c>
      <c r="B14" s="16" t="str">
        <f t="shared" si="0"/>
        <v>Waystone Drop Chance</v>
      </c>
      <c r="C14" s="18" t="s">
        <v>8353</v>
      </c>
      <c r="D14" s="16" t="str">
        <f t="shared" si="1"/>
        <v>Chance auf fallen gelassene Wegsteine</v>
      </c>
      <c r="E14" s="18" t="s">
        <v>8450</v>
      </c>
      <c r="F14" s="16" t="str">
        <f t="shared" si="2"/>
        <v>Probabilidad de botín de piedra guía</v>
      </c>
      <c r="G14" s="18" t="s">
        <v>8311</v>
      </c>
      <c r="H14" s="16" t="str">
        <f t="shared" si="3"/>
        <v>Chances de trouver des Pierres de téléportation</v>
      </c>
      <c r="I14" s="18" t="s">
        <v>8488</v>
      </c>
      <c r="J14" s="16" t="str">
        <f t="shared" si="4"/>
        <v>ウェイストーンドロップ確率</v>
      </c>
      <c r="K14" s="18" t="s">
        <v>8469</v>
      </c>
      <c r="L14" s="16" t="str">
        <f t="shared" si="5"/>
        <v>경로석 출현 확률</v>
      </c>
      <c r="M14" s="18" t="s">
        <v>8373</v>
      </c>
      <c r="N14" s="16" t="str">
        <f t="shared" si="6"/>
        <v>Chance de Queda de Pedra Guia</v>
      </c>
      <c r="O14" s="18" t="s">
        <v>8393</v>
      </c>
      <c r="P14" s="16" t="str">
        <f t="shared" si="7"/>
        <v>Шанс выпадения путевого камня</v>
      </c>
      <c r="Q14" s="18" t="s">
        <v>8411</v>
      </c>
      <c r="R14" s="16" t="str">
        <f t="shared" si="8"/>
        <v>โอกาสดรอปศิลานำทาง</v>
      </c>
      <c r="S14" s="18" t="s">
        <v>8431</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8324</v>
      </c>
      <c r="B16" s="16"/>
      <c r="C16" s="18" t="s">
        <v>8354</v>
      </c>
      <c r="D16" s="16"/>
      <c r="E16" s="18" t="s">
        <v>8451</v>
      </c>
      <c r="F16" s="16"/>
      <c r="G16" s="18" t="s">
        <v>8312</v>
      </c>
      <c r="H16" s="16"/>
      <c r="I16" s="18" t="s">
        <v>8489</v>
      </c>
      <c r="J16" s="16"/>
      <c r="K16" s="18" t="s">
        <v>8470</v>
      </c>
      <c r="L16" s="16"/>
      <c r="M16" s="18" t="s">
        <v>8374</v>
      </c>
      <c r="N16" s="16"/>
      <c r="O16" s="18" t="s">
        <v>8394</v>
      </c>
      <c r="P16" s="16"/>
      <c r="Q16" s="18" t="s">
        <v>8412</v>
      </c>
      <c r="R16" s="16"/>
      <c r="S16" s="18" t="s">
        <v>8432</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8325</v>
      </c>
      <c r="B18" s="16"/>
      <c r="C18" s="18" t="s">
        <v>8355</v>
      </c>
      <c r="D18" s="16"/>
      <c r="E18" s="18" t="s">
        <v>8452</v>
      </c>
      <c r="F18" s="16"/>
      <c r="G18" s="18" t="s">
        <v>8313</v>
      </c>
      <c r="H18" s="16"/>
      <c r="I18" s="18" t="s">
        <v>8490</v>
      </c>
      <c r="J18" s="16"/>
      <c r="K18" s="18" t="s">
        <v>8471</v>
      </c>
      <c r="L18" s="16"/>
      <c r="M18" s="18" t="s">
        <v>8375</v>
      </c>
      <c r="N18" s="16"/>
      <c r="O18" s="18" t="s">
        <v>8395</v>
      </c>
      <c r="P18" s="16"/>
      <c r="Q18" s="18" t="s">
        <v>8413</v>
      </c>
      <c r="R18" s="16"/>
      <c r="S18" s="18" t="s">
        <v>8433</v>
      </c>
      <c r="T18" s="20"/>
    </row>
    <row r="19" spans="1:20" ht="15.95" customHeight="1" x14ac:dyDescent="0.25">
      <c r="A19" s="18" t="s">
        <v>8326</v>
      </c>
      <c r="B19" s="16"/>
      <c r="C19" s="18" t="s">
        <v>8356</v>
      </c>
      <c r="D19" s="16"/>
      <c r="E19" s="18" t="s">
        <v>8453</v>
      </c>
      <c r="F19" s="16"/>
      <c r="G19" s="18" t="s">
        <v>8314</v>
      </c>
      <c r="H19" s="16"/>
      <c r="I19" s="18" t="s">
        <v>8491</v>
      </c>
      <c r="J19" s="16"/>
      <c r="K19" s="18" t="s">
        <v>8472</v>
      </c>
      <c r="L19" s="16"/>
      <c r="M19" s="18" t="s">
        <v>8376</v>
      </c>
      <c r="N19" s="16"/>
      <c r="O19" s="18" t="s">
        <v>8396</v>
      </c>
      <c r="P19" s="16"/>
      <c r="Q19" s="18" t="s">
        <v>8414</v>
      </c>
      <c r="R19" s="16"/>
      <c r="S19" s="18" t="s">
        <v>8434</v>
      </c>
      <c r="T19" s="20"/>
    </row>
    <row r="20" spans="1:20" ht="15.95" customHeight="1" x14ac:dyDescent="0.25">
      <c r="A20" s="18" t="s">
        <v>8327</v>
      </c>
      <c r="B20" s="16"/>
      <c r="C20" s="18" t="s">
        <v>8357</v>
      </c>
      <c r="D20" s="16"/>
      <c r="E20" s="18" t="s">
        <v>8454</v>
      </c>
      <c r="F20" s="16"/>
      <c r="G20" s="18" t="s">
        <v>8315</v>
      </c>
      <c r="H20" s="16"/>
      <c r="I20" s="18" t="s">
        <v>8492</v>
      </c>
      <c r="J20" s="16"/>
      <c r="K20" s="18" t="s">
        <v>8473</v>
      </c>
      <c r="L20" s="16"/>
      <c r="M20" s="18" t="s">
        <v>8377</v>
      </c>
      <c r="N20" s="16"/>
      <c r="O20" s="18" t="s">
        <v>8397</v>
      </c>
      <c r="P20" s="16"/>
      <c r="Q20" s="18" t="s">
        <v>8415</v>
      </c>
      <c r="R20" s="16"/>
      <c r="S20" s="18" t="s">
        <v>8435</v>
      </c>
      <c r="T20" s="20"/>
    </row>
    <row r="21" spans="1:20" ht="15.95" customHeight="1" x14ac:dyDescent="0.25">
      <c r="A21" s="18" t="s">
        <v>8328</v>
      </c>
      <c r="B21" s="16"/>
      <c r="C21" s="18" t="s">
        <v>8358</v>
      </c>
      <c r="D21" s="16"/>
      <c r="E21" s="18" t="s">
        <v>8455</v>
      </c>
      <c r="F21" s="16"/>
      <c r="G21" s="18" t="s">
        <v>8316</v>
      </c>
      <c r="H21" s="16"/>
      <c r="I21" s="18" t="s">
        <v>8493</v>
      </c>
      <c r="J21" s="16"/>
      <c r="K21" s="18" t="s">
        <v>8474</v>
      </c>
      <c r="L21" s="16"/>
      <c r="M21" s="18" t="s">
        <v>8378</v>
      </c>
      <c r="N21" s="16"/>
      <c r="O21" s="18" t="s">
        <v>8398</v>
      </c>
      <c r="P21" s="16"/>
      <c r="Q21" s="18" t="s">
        <v>8416</v>
      </c>
      <c r="R21" s="16"/>
      <c r="S21" s="18" t="s">
        <v>8436</v>
      </c>
      <c r="T21" s="20"/>
    </row>
    <row r="22" spans="1:20" ht="15.95" customHeight="1" x14ac:dyDescent="0.25">
      <c r="A22" s="18" t="s">
        <v>8329</v>
      </c>
      <c r="B22" s="16"/>
      <c r="C22" s="18" t="s">
        <v>8359</v>
      </c>
      <c r="D22" s="16"/>
      <c r="E22" s="18" t="s">
        <v>8456</v>
      </c>
      <c r="F22" s="16"/>
      <c r="G22" s="18" t="s">
        <v>8317</v>
      </c>
      <c r="H22" s="16"/>
      <c r="I22" s="18" t="s">
        <v>8494</v>
      </c>
      <c r="J22" s="16"/>
      <c r="K22" s="18" t="s">
        <v>8475</v>
      </c>
      <c r="L22" s="16"/>
      <c r="M22" s="18" t="s">
        <v>8379</v>
      </c>
      <c r="N22" s="16"/>
      <c r="O22" s="18" t="s">
        <v>8399</v>
      </c>
      <c r="P22" s="16"/>
      <c r="Q22" s="18" t="s">
        <v>8417</v>
      </c>
      <c r="R22" s="16"/>
      <c r="S22" s="18" t="s">
        <v>8437</v>
      </c>
      <c r="T22" s="20"/>
    </row>
    <row r="23" spans="1:20" ht="15.95" customHeight="1" x14ac:dyDescent="0.25">
      <c r="A23" s="18" t="s">
        <v>8330</v>
      </c>
      <c r="B23" s="16"/>
      <c r="C23" s="18" t="s">
        <v>8360</v>
      </c>
      <c r="D23" s="16"/>
      <c r="E23" s="18" t="s">
        <v>8457</v>
      </c>
      <c r="F23" s="16"/>
      <c r="G23" s="18" t="s">
        <v>8318</v>
      </c>
      <c r="H23" s="16"/>
      <c r="I23" s="18" t="s">
        <v>8495</v>
      </c>
      <c r="J23" s="16"/>
      <c r="K23" s="18" t="s">
        <v>8476</v>
      </c>
      <c r="L23" s="16"/>
      <c r="M23" s="18" t="s">
        <v>8380</v>
      </c>
      <c r="N23" s="16"/>
      <c r="O23" s="18" t="s">
        <v>8400</v>
      </c>
      <c r="P23" s="16"/>
      <c r="Q23" s="18" t="s">
        <v>8418</v>
      </c>
      <c r="R23" s="16"/>
      <c r="S23" s="18" t="s">
        <v>8438</v>
      </c>
      <c r="T23" s="20"/>
    </row>
    <row r="24" spans="1:20" ht="15.95" customHeight="1" x14ac:dyDescent="0.25">
      <c r="A24" s="18" t="s">
        <v>8331</v>
      </c>
      <c r="B24" s="16"/>
      <c r="C24" s="18" t="s">
        <v>8361</v>
      </c>
      <c r="D24" s="16"/>
      <c r="E24" s="18" t="s">
        <v>8458</v>
      </c>
      <c r="F24" s="16"/>
      <c r="G24" s="18" t="s">
        <v>8319</v>
      </c>
      <c r="H24" s="16"/>
      <c r="I24" s="18" t="s">
        <v>8496</v>
      </c>
      <c r="J24" s="16"/>
      <c r="K24" s="18" t="s">
        <v>8477</v>
      </c>
      <c r="L24" s="16"/>
      <c r="M24" s="18" t="s">
        <v>8381</v>
      </c>
      <c r="N24" s="16"/>
      <c r="O24" s="18" t="s">
        <v>8401</v>
      </c>
      <c r="P24" s="16"/>
      <c r="Q24" s="18" t="s">
        <v>8419</v>
      </c>
      <c r="R24" s="16"/>
      <c r="S24" s="18" t="s">
        <v>8439</v>
      </c>
      <c r="T24" s="20"/>
    </row>
    <row r="25" spans="1:20" ht="15.95" customHeight="1" x14ac:dyDescent="0.25">
      <c r="A25" s="18" t="s">
        <v>8332</v>
      </c>
      <c r="B25" s="16"/>
      <c r="C25" s="18" t="s">
        <v>8362</v>
      </c>
      <c r="D25" s="16"/>
      <c r="E25" s="18" t="s">
        <v>8459</v>
      </c>
      <c r="F25" s="16"/>
      <c r="G25" s="18" t="s">
        <v>8320</v>
      </c>
      <c r="H25" s="16"/>
      <c r="I25" s="18" t="s">
        <v>8497</v>
      </c>
      <c r="J25" s="16"/>
      <c r="K25" s="18" t="s">
        <v>8478</v>
      </c>
      <c r="L25" s="16"/>
      <c r="M25" s="18" t="s">
        <v>8382</v>
      </c>
      <c r="N25" s="16"/>
      <c r="O25" s="18" t="s">
        <v>8402</v>
      </c>
      <c r="P25" s="16"/>
      <c r="Q25" s="18" t="s">
        <v>8420</v>
      </c>
      <c r="R25" s="16"/>
      <c r="S25" s="18" t="s">
        <v>8440</v>
      </c>
      <c r="T25" s="20"/>
    </row>
    <row r="26" spans="1:20" ht="15.95" customHeight="1" x14ac:dyDescent="0.25">
      <c r="A26" s="18" t="s">
        <v>8333</v>
      </c>
      <c r="B26" s="16"/>
      <c r="C26" s="18" t="s">
        <v>8363</v>
      </c>
      <c r="D26" s="16"/>
      <c r="E26" s="18" t="s">
        <v>8460</v>
      </c>
      <c r="F26" s="16"/>
      <c r="G26" s="18" t="s">
        <v>8321</v>
      </c>
      <c r="H26" s="16"/>
      <c r="I26" s="18" t="s">
        <v>8498</v>
      </c>
      <c r="J26" s="16"/>
      <c r="K26" s="18" t="s">
        <v>8479</v>
      </c>
      <c r="L26" s="16"/>
      <c r="M26" s="18" t="s">
        <v>8383</v>
      </c>
      <c r="N26" s="16"/>
      <c r="O26" s="18" t="s">
        <v>8403</v>
      </c>
      <c r="P26" s="16"/>
      <c r="Q26" s="18" t="s">
        <v>8421</v>
      </c>
      <c r="R26" s="16"/>
      <c r="S26" s="18" t="s">
        <v>8441</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6797</v>
      </c>
      <c r="B28" s="16"/>
      <c r="C28" s="18" t="s">
        <v>6940</v>
      </c>
      <c r="D28" s="16"/>
      <c r="E28" s="18" t="s">
        <v>7303</v>
      </c>
      <c r="F28" s="16"/>
      <c r="G28" s="18" t="s">
        <v>6869</v>
      </c>
      <c r="H28" s="16"/>
      <c r="I28" s="18" t="s">
        <v>7448</v>
      </c>
      <c r="J28" s="16"/>
      <c r="K28" s="18" t="s">
        <v>7373</v>
      </c>
      <c r="L28" s="16"/>
      <c r="M28" s="18" t="s">
        <v>8384</v>
      </c>
      <c r="N28" s="16"/>
      <c r="O28" s="18" t="s">
        <v>7077</v>
      </c>
      <c r="P28" s="16"/>
      <c r="Q28" s="18" t="s">
        <v>8422</v>
      </c>
      <c r="R28" s="16"/>
      <c r="S28" s="18" t="s">
        <v>7217</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2" priority="5" stopIfTrue="1">
      <formula>NOT(ISERROR(A3))</formula>
    </cfRule>
  </conditionalFormatting>
  <conditionalFormatting sqref="A3:B12 D3:T12 A13:T51 B9:B14 D9:D14 F9:F14 J9:J14 L9:L14 N9:N14 P9:P14 R9:R14 T9:T14">
    <cfRule type="notContainsBlanks" dxfId="131" priority="6">
      <formula>LEN(TRIM(A3))&gt;0</formula>
    </cfRule>
  </conditionalFormatting>
  <conditionalFormatting sqref="A3:T51">
    <cfRule type="containsErrors" dxfId="130" priority="1" stopIfTrue="1">
      <formula>ISERROR(A3)</formula>
    </cfRule>
  </conditionalFormatting>
  <conditionalFormatting sqref="C3:C12">
    <cfRule type="notContainsBlanks" dxfId="129" priority="3">
      <formula>LEN(TRIM(C3))&gt;0</formula>
    </cfRule>
  </conditionalFormatting>
  <conditionalFormatting sqref="C3:C51">
    <cfRule type="notContainsErrors" dxfId="128"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6798</v>
      </c>
      <c r="B3" s="16" t="str">
        <f>TRIM(_xlfn.TEXTBEFORE(A3, ":"))</f>
        <v>Item Class</v>
      </c>
      <c r="C3" s="17" t="s">
        <v>6941</v>
      </c>
      <c r="D3" s="16" t="str">
        <f>TRIM(_xlfn.TEXTBEFORE(C3, ":"))</f>
        <v>Gegenstandsklasse</v>
      </c>
      <c r="E3" s="17" t="s">
        <v>7304</v>
      </c>
      <c r="F3" s="16" t="str">
        <f>TRIM(_xlfn.TEXTBEFORE(E3, ":"))</f>
        <v>Clase de objeto</v>
      </c>
      <c r="G3" s="17" t="s">
        <v>6870</v>
      </c>
      <c r="H3" s="16" t="str">
        <f>TRIM(_xlfn.TEXTBEFORE(G3, ":"))</f>
        <v>Classe d'objet</v>
      </c>
      <c r="I3" s="17" t="s">
        <v>7449</v>
      </c>
      <c r="J3" s="16" t="str">
        <f>TRIM(_xlfn.TEXTBEFORE(I3, ":"))</f>
        <v>アイテムクラス</v>
      </c>
      <c r="K3" s="17" t="s">
        <v>7374</v>
      </c>
      <c r="L3" s="16" t="str">
        <f>TRIM(_xlfn.TEXTBEFORE(K3, ":"))</f>
        <v>아이템 종류</v>
      </c>
      <c r="M3" s="17" t="s">
        <v>7007</v>
      </c>
      <c r="N3" s="16" t="str">
        <f>TRIM(_xlfn.TEXTBEFORE(M3, ":"))</f>
        <v>Classe do Item</v>
      </c>
      <c r="O3" s="17" t="s">
        <v>7078</v>
      </c>
      <c r="P3" s="16" t="str">
        <f>TRIM(_xlfn.TEXTBEFORE(O3, ":"))</f>
        <v>Класс предмета</v>
      </c>
      <c r="Q3" s="17" t="s">
        <v>7147</v>
      </c>
      <c r="R3" s="16" t="str">
        <f>TRIM(_xlfn.TEXTBEFORE(Q3, ":"))</f>
        <v>ชนิดไอเทม</v>
      </c>
      <c r="S3" s="17" t="s">
        <v>7218</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7209</v>
      </c>
      <c r="T4" s="20" t="str">
        <f>TRIM(_xlfn.TEXTAFTER(S3, ":"))</f>
        <v>試煉代幣</v>
      </c>
    </row>
    <row r="5" spans="1:20" ht="15.95" customHeight="1" x14ac:dyDescent="0.25">
      <c r="A5" s="18" t="s">
        <v>6799</v>
      </c>
      <c r="B5" s="16" t="str">
        <f>TRIM(_xlfn.TEXTBEFORE(A4, ":"))</f>
        <v>Rarity</v>
      </c>
      <c r="C5" s="18" t="s">
        <v>6942</v>
      </c>
      <c r="D5" s="16" t="str">
        <f>TRIM(_xlfn.TEXTBEFORE(C4, ":"))</f>
        <v>Seltenheit</v>
      </c>
      <c r="E5" s="18" t="s">
        <v>7305</v>
      </c>
      <c r="F5" s="16" t="str">
        <f>TRIM(_xlfn.TEXTBEFORE(E4, ":"))</f>
        <v>Rareza</v>
      </c>
      <c r="G5" s="18" t="s">
        <v>6871</v>
      </c>
      <c r="H5" s="16" t="str">
        <f>TRIM(_xlfn.TEXTBEFORE(G4, ":"))</f>
        <v>Rareté</v>
      </c>
      <c r="I5" s="18" t="s">
        <v>7450</v>
      </c>
      <c r="J5" s="16" t="str">
        <f>TRIM(_xlfn.TEXTBEFORE(I4, ":"))</f>
        <v>レアリティ</v>
      </c>
      <c r="K5" s="18" t="s">
        <v>7375</v>
      </c>
      <c r="L5" s="16" t="str">
        <f>TRIM(_xlfn.TEXTBEFORE(K4, ":"))</f>
        <v>아이템 희귀도</v>
      </c>
      <c r="M5" s="18" t="s">
        <v>7008</v>
      </c>
      <c r="N5" s="16" t="str">
        <f>TRIM(_xlfn.TEXTBEFORE(M4, ":"))</f>
        <v>Raridade</v>
      </c>
      <c r="O5" s="18" t="s">
        <v>7079</v>
      </c>
      <c r="P5" s="16" t="str">
        <f>TRIM(_xlfn.TEXTBEFORE(O4, ":"))</f>
        <v>Редкость</v>
      </c>
      <c r="Q5" s="18" t="s">
        <v>7148</v>
      </c>
      <c r="R5" s="16" t="str">
        <f>TRIM(_xlfn.TEXTBEFORE(Q4, ":"))</f>
        <v>ความหายาก</v>
      </c>
      <c r="S5" s="18" t="s">
        <v>7219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6800</v>
      </c>
      <c r="B7" s="16"/>
      <c r="C7" s="18" t="s">
        <v>6943</v>
      </c>
      <c r="D7" s="16"/>
      <c r="E7" s="18" t="s">
        <v>7306</v>
      </c>
      <c r="F7" s="16"/>
      <c r="G7" s="18" t="s">
        <v>6872</v>
      </c>
      <c r="H7" s="16"/>
      <c r="I7" s="18" t="s">
        <v>7451</v>
      </c>
      <c r="J7" s="16"/>
      <c r="K7" s="18" t="s">
        <v>7376</v>
      </c>
      <c r="L7" s="16"/>
      <c r="M7" s="18" t="s">
        <v>7009</v>
      </c>
      <c r="N7" s="16"/>
      <c r="O7" s="18" t="s">
        <v>7080</v>
      </c>
      <c r="P7" s="16"/>
      <c r="Q7" s="18" t="s">
        <v>7149</v>
      </c>
      <c r="R7" s="16"/>
      <c r="S7" s="18" t="s">
        <v>7220</v>
      </c>
      <c r="T7" s="20"/>
    </row>
    <row r="8" spans="1:20" ht="15.95" customHeight="1" x14ac:dyDescent="0.25">
      <c r="A8" s="18" t="s">
        <v>6801</v>
      </c>
      <c r="B8" s="16"/>
      <c r="C8" s="18" t="s">
        <v>6944</v>
      </c>
      <c r="D8" s="16"/>
      <c r="E8" s="18" t="s">
        <v>7307</v>
      </c>
      <c r="F8" s="16"/>
      <c r="G8" s="18" t="s">
        <v>6873</v>
      </c>
      <c r="H8" s="16"/>
      <c r="I8" s="18" t="s">
        <v>7452</v>
      </c>
      <c r="J8" s="16"/>
      <c r="K8" s="18" t="s">
        <v>7377</v>
      </c>
      <c r="L8" s="16"/>
      <c r="M8" s="18" t="s">
        <v>7010</v>
      </c>
      <c r="N8" s="16"/>
      <c r="O8" s="18" t="s">
        <v>7081</v>
      </c>
      <c r="P8" s="16"/>
      <c r="Q8" s="18" t="s">
        <v>7150</v>
      </c>
      <c r="R8" s="16"/>
      <c r="S8" s="18" t="s">
        <v>7221</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6802</v>
      </c>
      <c r="B10" s="16"/>
      <c r="C10" s="18" t="s">
        <v>6945</v>
      </c>
      <c r="D10" s="16"/>
      <c r="E10" s="18" t="s">
        <v>7308</v>
      </c>
      <c r="F10" s="16"/>
      <c r="G10" s="18" t="s">
        <v>6874</v>
      </c>
      <c r="H10" s="16"/>
      <c r="I10" s="18" t="s">
        <v>7453</v>
      </c>
      <c r="J10" s="16"/>
      <c r="K10" s="18" t="s">
        <v>7378</v>
      </c>
      <c r="L10" s="16"/>
      <c r="M10" s="18" t="s">
        <v>7011</v>
      </c>
      <c r="N10" s="16"/>
      <c r="O10" s="18" t="s">
        <v>7082</v>
      </c>
      <c r="P10" s="16"/>
      <c r="Q10" s="18" t="s">
        <v>7151</v>
      </c>
      <c r="R10" s="16"/>
      <c r="S10" s="18" t="s">
        <v>7222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6803</v>
      </c>
      <c r="B12" s="16"/>
      <c r="C12" s="18" t="s">
        <v>6946</v>
      </c>
      <c r="D12" s="16"/>
      <c r="E12" s="18" t="s">
        <v>7309</v>
      </c>
      <c r="F12" s="16"/>
      <c r="G12" s="18" t="s">
        <v>6875</v>
      </c>
      <c r="H12" s="16"/>
      <c r="I12" s="18" t="s">
        <v>7454</v>
      </c>
      <c r="J12" s="16"/>
      <c r="K12" s="18" t="s">
        <v>7379</v>
      </c>
      <c r="L12" s="16"/>
      <c r="M12" s="18" t="s">
        <v>7012</v>
      </c>
      <c r="N12" s="16"/>
      <c r="O12" s="18" t="s">
        <v>7083</v>
      </c>
      <c r="P12" s="16"/>
      <c r="Q12" s="18" t="s">
        <v>7152</v>
      </c>
      <c r="R12" s="16"/>
      <c r="S12" s="18" t="s">
        <v>7223</v>
      </c>
      <c r="T12" s="20"/>
    </row>
    <row r="13" spans="1:20" ht="15.95" customHeight="1" x14ac:dyDescent="0.25">
      <c r="A13" s="18" t="s">
        <v>4</v>
      </c>
      <c r="B13" s="16"/>
      <c r="C13" s="18" t="s">
        <v>4</v>
      </c>
      <c r="D13" s="16"/>
      <c r="E13" s="18" t="s">
        <v>4</v>
      </c>
      <c r="F13" s="16"/>
      <c r="G13" s="18" t="s">
        <v>6876</v>
      </c>
      <c r="H13" s="16"/>
      <c r="I13" s="18" t="s">
        <v>7455</v>
      </c>
      <c r="J13" s="16"/>
      <c r="K13" s="18" t="s">
        <v>4</v>
      </c>
      <c r="L13" s="16"/>
      <c r="M13" s="18" t="s">
        <v>4</v>
      </c>
      <c r="N13" s="16"/>
      <c r="O13" s="18" t="s">
        <v>7084</v>
      </c>
      <c r="P13" s="16"/>
      <c r="Q13" s="18" t="s">
        <v>4</v>
      </c>
      <c r="R13" s="16"/>
      <c r="S13" s="18" t="s">
        <v>7224</v>
      </c>
      <c r="T13" s="20"/>
    </row>
    <row r="14" spans="1:20" ht="15.95" customHeight="1" x14ac:dyDescent="0.25">
      <c r="A14" s="18" t="s">
        <v>6804</v>
      </c>
      <c r="B14" s="16"/>
      <c r="C14" s="18" t="s">
        <v>6947</v>
      </c>
      <c r="D14" s="16"/>
      <c r="E14" s="18" t="s">
        <v>7310</v>
      </c>
      <c r="F14" s="16"/>
      <c r="G14" s="18" t="s">
        <v>4</v>
      </c>
      <c r="H14" s="16"/>
      <c r="I14" s="18" t="s">
        <v>4</v>
      </c>
      <c r="J14" s="16"/>
      <c r="K14" s="18" t="s">
        <v>7380</v>
      </c>
      <c r="L14" s="16"/>
      <c r="M14" s="18" t="s">
        <v>7013</v>
      </c>
      <c r="N14" s="16"/>
      <c r="O14" s="18" t="s">
        <v>4</v>
      </c>
      <c r="P14" s="16"/>
      <c r="Q14" s="18" t="s">
        <v>7153</v>
      </c>
      <c r="R14" s="16"/>
      <c r="S14" s="18" t="s">
        <v>4</v>
      </c>
      <c r="T14" s="20"/>
    </row>
    <row r="15" spans="1:20" ht="15.95" customHeight="1" x14ac:dyDescent="0.25">
      <c r="A15" s="18"/>
      <c r="B15" s="16"/>
      <c r="C15" s="18"/>
      <c r="D15" s="16"/>
      <c r="E15" s="18"/>
      <c r="F15" s="16"/>
      <c r="G15" s="18" t="s">
        <v>6877</v>
      </c>
      <c r="H15" s="16"/>
      <c r="I15" s="18" t="s">
        <v>7456</v>
      </c>
      <c r="J15" s="16"/>
      <c r="K15" s="18"/>
      <c r="L15" s="16"/>
      <c r="M15" s="18"/>
      <c r="N15" s="16"/>
      <c r="O15" s="18" t="s">
        <v>7085</v>
      </c>
      <c r="P15" s="16"/>
      <c r="Q15" s="18"/>
      <c r="R15" s="16"/>
      <c r="S15" s="18" t="s">
        <v>7225</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7" priority="5" stopIfTrue="1">
      <formula>NOT(ISERROR(A3))</formula>
    </cfRule>
  </conditionalFormatting>
  <conditionalFormatting sqref="A3:B12 D3:T12 A13:T51">
    <cfRule type="notContainsBlanks" dxfId="126" priority="6">
      <formula>LEN(TRIM(A3))&gt;0</formula>
    </cfRule>
  </conditionalFormatting>
  <conditionalFormatting sqref="A3:T51">
    <cfRule type="containsErrors" dxfId="125" priority="1" stopIfTrue="1">
      <formula>ISERROR(A3)</formula>
    </cfRule>
  </conditionalFormatting>
  <conditionalFormatting sqref="C3:C12">
    <cfRule type="notContainsBlanks" dxfId="124" priority="3">
      <formula>LEN(TRIM(C3))&gt;0</formula>
    </cfRule>
  </conditionalFormatting>
  <conditionalFormatting sqref="C3:C51">
    <cfRule type="notContainsErrors" dxfId="123"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6805</v>
      </c>
      <c r="B3" s="16" t="str">
        <f>TRIM(_xlfn.TEXTBEFORE(A3, ":"))</f>
        <v>Item Class</v>
      </c>
      <c r="C3" s="17" t="s">
        <v>6948</v>
      </c>
      <c r="D3" s="16" t="str">
        <f>TRIM(_xlfn.TEXTBEFORE(C3, ":"))</f>
        <v>Gegenstandsklasse</v>
      </c>
      <c r="E3" s="17" t="s">
        <v>7311</v>
      </c>
      <c r="F3" s="16" t="str">
        <f>TRIM(_xlfn.TEXTBEFORE(E3, ":"))</f>
        <v>Clase de objeto</v>
      </c>
      <c r="G3" s="17" t="s">
        <v>6878</v>
      </c>
      <c r="H3" s="16" t="str">
        <f>TRIM(_xlfn.TEXTBEFORE(G3, ":"))</f>
        <v>Classe d'objet</v>
      </c>
      <c r="I3" s="17" t="s">
        <v>7457</v>
      </c>
      <c r="J3" s="16" t="str">
        <f>TRIM(_xlfn.TEXTBEFORE(I3, ":"))</f>
        <v>アイテムクラス</v>
      </c>
      <c r="K3" s="17" t="s">
        <v>7381</v>
      </c>
      <c r="L3" s="16" t="str">
        <f>TRIM(_xlfn.TEXTBEFORE(K3, ":"))</f>
        <v>아이템 종류</v>
      </c>
      <c r="M3" s="17" t="s">
        <v>7014</v>
      </c>
      <c r="N3" s="16" t="str">
        <f>TRIM(_xlfn.TEXTBEFORE(M3, ":"))</f>
        <v>Classe do Item</v>
      </c>
      <c r="O3" s="17" t="s">
        <v>7086</v>
      </c>
      <c r="P3" s="16" t="str">
        <f>TRIM(_xlfn.TEXTBEFORE(O3, ":"))</f>
        <v>Класс предмета</v>
      </c>
      <c r="Q3" s="17" t="s">
        <v>7154</v>
      </c>
      <c r="R3" s="16" t="str">
        <f>TRIM(_xlfn.TEXTBEFORE(Q3, ":"))</f>
        <v>ชนิดไอเทม</v>
      </c>
      <c r="S3" s="17" t="s">
        <v>7226</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7209</v>
      </c>
      <c r="T4" s="20" t="str">
        <f>TRIM(_xlfn.TEXTAFTER(S3, ":"))</f>
        <v>最後通牒雕刻</v>
      </c>
    </row>
    <row r="5" spans="1:20" ht="15.95" customHeight="1" x14ac:dyDescent="0.25">
      <c r="A5" s="18" t="s">
        <v>6806</v>
      </c>
      <c r="B5" s="16" t="str">
        <f>TRIM(_xlfn.TEXTBEFORE(A4, ":"))</f>
        <v>Rarity</v>
      </c>
      <c r="C5" s="18" t="s">
        <v>6949</v>
      </c>
      <c r="D5" s="16" t="str">
        <f>TRIM(_xlfn.TEXTBEFORE(C4, ":"))</f>
        <v>Seltenheit</v>
      </c>
      <c r="E5" s="18" t="s">
        <v>7312</v>
      </c>
      <c r="F5" s="16" t="str">
        <f>TRIM(_xlfn.TEXTBEFORE(E4, ":"))</f>
        <v>Rareza</v>
      </c>
      <c r="G5" s="18" t="s">
        <v>6879</v>
      </c>
      <c r="H5" s="16" t="str">
        <f>TRIM(_xlfn.TEXTBEFORE(G4, ":"))</f>
        <v>Rareté</v>
      </c>
      <c r="I5" s="18" t="s">
        <v>7458</v>
      </c>
      <c r="J5" s="16" t="str">
        <f>TRIM(_xlfn.TEXTBEFORE(I4, ":"))</f>
        <v>レアリティ</v>
      </c>
      <c r="K5" s="18" t="s">
        <v>7382</v>
      </c>
      <c r="L5" s="16" t="str">
        <f>TRIM(_xlfn.TEXTBEFORE(K4, ":"))</f>
        <v>아이템 희귀도</v>
      </c>
      <c r="M5" s="18" t="s">
        <v>7015</v>
      </c>
      <c r="N5" s="16" t="str">
        <f>TRIM(_xlfn.TEXTBEFORE(M4, ":"))</f>
        <v>Raridade</v>
      </c>
      <c r="O5" s="18" t="s">
        <v>6806</v>
      </c>
      <c r="P5" s="16" t="str">
        <f>TRIM(_xlfn.TEXTBEFORE(O4, ":"))</f>
        <v>Редкость</v>
      </c>
      <c r="Q5" s="18" t="s">
        <v>7155</v>
      </c>
      <c r="R5" s="16" t="str">
        <f>TRIM(_xlfn.TEXTBEFORE(Q4, ":"))</f>
        <v>ความหายาก</v>
      </c>
      <c r="S5" s="18" t="s">
        <v>7227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6807</v>
      </c>
      <c r="B7" s="16"/>
      <c r="C7" s="18" t="s">
        <v>6950</v>
      </c>
      <c r="D7" s="16"/>
      <c r="E7" s="18" t="s">
        <v>7313</v>
      </c>
      <c r="F7" s="16"/>
      <c r="G7" s="18" t="s">
        <v>6880</v>
      </c>
      <c r="H7" s="16"/>
      <c r="I7" s="18" t="s">
        <v>7459</v>
      </c>
      <c r="J7" s="16"/>
      <c r="K7" s="18" t="s">
        <v>7383</v>
      </c>
      <c r="L7" s="16"/>
      <c r="M7" s="18" t="s">
        <v>7016</v>
      </c>
      <c r="N7" s="16"/>
      <c r="O7" s="18" t="s">
        <v>7087</v>
      </c>
      <c r="P7" s="16"/>
      <c r="Q7" s="18" t="s">
        <v>7156</v>
      </c>
      <c r="R7" s="16"/>
      <c r="S7" s="18" t="s">
        <v>7228</v>
      </c>
      <c r="T7" s="20"/>
    </row>
    <row r="8" spans="1:20" ht="15.95" customHeight="1" x14ac:dyDescent="0.25">
      <c r="A8" s="18" t="s">
        <v>6808</v>
      </c>
      <c r="B8" s="16"/>
      <c r="C8" s="18" t="s">
        <v>6951</v>
      </c>
      <c r="D8" s="16"/>
      <c r="E8" s="18" t="s">
        <v>7314</v>
      </c>
      <c r="F8" s="16"/>
      <c r="G8" s="18" t="s">
        <v>6881</v>
      </c>
      <c r="H8" s="16"/>
      <c r="I8" s="18" t="s">
        <v>7460</v>
      </c>
      <c r="J8" s="16"/>
      <c r="K8" s="18" t="s">
        <v>7384</v>
      </c>
      <c r="L8" s="16"/>
      <c r="M8" s="18" t="s">
        <v>7017</v>
      </c>
      <c r="N8" s="16"/>
      <c r="O8" s="18" t="s">
        <v>7088</v>
      </c>
      <c r="P8" s="16"/>
      <c r="Q8" s="18" t="s">
        <v>7157</v>
      </c>
      <c r="R8" s="16"/>
      <c r="S8" s="18" t="s">
        <v>7229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7230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6809</v>
      </c>
      <c r="B12" s="16"/>
      <c r="C12" s="18" t="s">
        <v>6952</v>
      </c>
      <c r="D12" s="16"/>
      <c r="E12" s="18" t="s">
        <v>7315</v>
      </c>
      <c r="F12" s="16"/>
      <c r="G12" s="18" t="s">
        <v>6882</v>
      </c>
      <c r="H12" s="16"/>
      <c r="I12" s="18" t="s">
        <v>7461</v>
      </c>
      <c r="J12" s="16"/>
      <c r="K12" s="18" t="s">
        <v>7385</v>
      </c>
      <c r="L12" s="16"/>
      <c r="M12" s="18" t="s">
        <v>7018</v>
      </c>
      <c r="N12" s="16"/>
      <c r="O12" s="18" t="s">
        <v>7089</v>
      </c>
      <c r="P12" s="16"/>
      <c r="Q12" s="18" t="s">
        <v>7158</v>
      </c>
      <c r="R12" s="16"/>
      <c r="S12" s="18" t="s">
        <v>7231</v>
      </c>
      <c r="T12" s="20"/>
    </row>
    <row r="13" spans="1:20" ht="15.95" customHeight="1" x14ac:dyDescent="0.25">
      <c r="A13" s="18" t="s">
        <v>6810</v>
      </c>
      <c r="B13" s="16"/>
      <c r="C13" s="18" t="s">
        <v>4</v>
      </c>
      <c r="D13" s="16"/>
      <c r="E13" s="18" t="s">
        <v>7316</v>
      </c>
      <c r="F13" s="16"/>
      <c r="G13" s="18" t="s">
        <v>6883</v>
      </c>
      <c r="H13" s="16"/>
      <c r="I13" s="18" t="s">
        <v>7462</v>
      </c>
      <c r="J13" s="16"/>
      <c r="K13" s="18" t="s">
        <v>7386</v>
      </c>
      <c r="L13" s="16"/>
      <c r="M13" s="18" t="s">
        <v>4</v>
      </c>
      <c r="N13" s="16"/>
      <c r="O13" s="18" t="s">
        <v>7090</v>
      </c>
      <c r="P13" s="16"/>
      <c r="Q13" s="18" t="s">
        <v>7159</v>
      </c>
      <c r="R13" s="16"/>
      <c r="S13" s="18" t="s">
        <v>7232</v>
      </c>
      <c r="T13" s="20"/>
    </row>
    <row r="14" spans="1:20" ht="15.95" customHeight="1" x14ac:dyDescent="0.25">
      <c r="A14" s="18" t="s">
        <v>6811</v>
      </c>
      <c r="B14" s="16"/>
      <c r="C14" s="18" t="s">
        <v>6953</v>
      </c>
      <c r="D14" s="16"/>
      <c r="E14" s="18" t="s">
        <v>7317</v>
      </c>
      <c r="F14" s="16"/>
      <c r="G14" s="18" t="s">
        <v>6884</v>
      </c>
      <c r="H14" s="16"/>
      <c r="I14" s="18" t="s">
        <v>7463</v>
      </c>
      <c r="J14" s="16"/>
      <c r="K14" s="18" t="s">
        <v>7387</v>
      </c>
      <c r="L14" s="16"/>
      <c r="M14" s="18" t="s">
        <v>7019</v>
      </c>
      <c r="N14" s="16"/>
      <c r="O14" s="18" t="s">
        <v>7091</v>
      </c>
      <c r="P14" s="16"/>
      <c r="Q14" s="18" t="s">
        <v>7160</v>
      </c>
      <c r="R14" s="16"/>
      <c r="S14" s="18" t="s">
        <v>7233</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6812</v>
      </c>
      <c r="B16" s="16"/>
      <c r="C16" s="18"/>
      <c r="D16" s="16"/>
      <c r="E16" s="18" t="s">
        <v>7318</v>
      </c>
      <c r="F16" s="16"/>
      <c r="G16" s="18" t="s">
        <v>6885</v>
      </c>
      <c r="H16" s="16"/>
      <c r="I16" s="18" t="s">
        <v>4</v>
      </c>
      <c r="J16" s="16"/>
      <c r="K16" s="18" t="s">
        <v>7388</v>
      </c>
      <c r="L16" s="16"/>
      <c r="M16" s="18"/>
      <c r="N16" s="16"/>
      <c r="O16" s="18" t="s">
        <v>7092</v>
      </c>
      <c r="P16" s="16"/>
      <c r="Q16" s="18" t="s">
        <v>7161</v>
      </c>
      <c r="R16" s="16"/>
      <c r="S16" s="18" t="s">
        <v>7234</v>
      </c>
      <c r="T16" s="20"/>
    </row>
    <row r="17" spans="1:20" ht="15.95" customHeight="1" x14ac:dyDescent="0.25">
      <c r="A17" s="18"/>
      <c r="B17" s="16"/>
      <c r="C17" s="18"/>
      <c r="D17" s="16"/>
      <c r="E17" s="18"/>
      <c r="F17" s="16"/>
      <c r="G17" s="18"/>
      <c r="H17" s="16"/>
      <c r="I17" s="18" t="s">
        <v>7464</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2" priority="5" stopIfTrue="1">
      <formula>NOT(ISERROR(A3))</formula>
    </cfRule>
  </conditionalFormatting>
  <conditionalFormatting sqref="A3:B12 D3:T12 A13:T51">
    <cfRule type="notContainsBlanks" dxfId="121" priority="6">
      <formula>LEN(TRIM(A3))&gt;0</formula>
    </cfRule>
  </conditionalFormatting>
  <conditionalFormatting sqref="A3:T51">
    <cfRule type="containsErrors" dxfId="120" priority="1" stopIfTrue="1">
      <formula>ISERROR(A3)</formula>
    </cfRule>
  </conditionalFormatting>
  <conditionalFormatting sqref="C3:C12">
    <cfRule type="notContainsBlanks" dxfId="119" priority="3">
      <formula>LEN(TRIM(C3))&gt;0</formula>
    </cfRule>
  </conditionalFormatting>
  <conditionalFormatting sqref="C3:C51">
    <cfRule type="notContainsErrors" dxfId="118"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6818</v>
      </c>
      <c r="B3" s="16" t="str">
        <f>TRIM(_xlfn.TEXTBEFORE(A3, ":"))</f>
        <v>Item Class</v>
      </c>
      <c r="C3" s="17" t="s">
        <v>6954</v>
      </c>
      <c r="D3" s="16" t="str">
        <f>TRIM(_xlfn.TEXTBEFORE(C3, ":"))</f>
        <v>Gegenstandsklasse</v>
      </c>
      <c r="E3" s="17" t="s">
        <v>7319</v>
      </c>
      <c r="F3" s="16" t="str">
        <f>TRIM(_xlfn.TEXTBEFORE(E3, ":"))</f>
        <v>Clase de objeto</v>
      </c>
      <c r="G3" s="17" t="s">
        <v>6886</v>
      </c>
      <c r="H3" s="16" t="str">
        <f>TRIM(_xlfn.TEXTBEFORE(G3, ":"))</f>
        <v>Classe d'objet</v>
      </c>
      <c r="I3" s="17" t="s">
        <v>7465</v>
      </c>
      <c r="J3" s="16" t="str">
        <f>TRIM(_xlfn.TEXTBEFORE(I3, ":"))</f>
        <v>アイテムクラス</v>
      </c>
      <c r="K3" s="17" t="s">
        <v>7389</v>
      </c>
      <c r="L3" s="16" t="str">
        <f>TRIM(_xlfn.TEXTBEFORE(K3, ":"))</f>
        <v>아이템 종류</v>
      </c>
      <c r="M3" s="17" t="s">
        <v>7020</v>
      </c>
      <c r="N3" s="16" t="str">
        <f>TRIM(_xlfn.TEXTBEFORE(M3, ":"))</f>
        <v>Classe do Item</v>
      </c>
      <c r="O3" s="17" t="s">
        <v>7093</v>
      </c>
      <c r="P3" s="16" t="str">
        <f>TRIM(_xlfn.TEXTBEFORE(O3, ":"))</f>
        <v>Класс предмета</v>
      </c>
      <c r="Q3" s="17" t="s">
        <v>7162</v>
      </c>
      <c r="R3" s="16" t="str">
        <f>TRIM(_xlfn.TEXTBEFORE(Q3, ":"))</f>
        <v>ชนิดไอเทม</v>
      </c>
      <c r="S3" s="17" t="s">
        <v>7235</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7216</v>
      </c>
      <c r="T4" s="20" t="str">
        <f>TRIM(_xlfn.TEXTAFTER(S3, ":"))</f>
        <v>面板</v>
      </c>
    </row>
    <row r="5" spans="1:20" ht="15.95" customHeight="1" x14ac:dyDescent="0.25">
      <c r="A5" s="18" t="s">
        <v>6819</v>
      </c>
      <c r="B5" s="16" t="str">
        <f>TRIM(_xlfn.TEXTBEFORE(A4, ":"))</f>
        <v>Rarity</v>
      </c>
      <c r="C5" s="18" t="s">
        <v>6955</v>
      </c>
      <c r="D5" s="16" t="str">
        <f>TRIM(_xlfn.TEXTBEFORE(C4, ":"))</f>
        <v>Seltenheit</v>
      </c>
      <c r="E5" s="18" t="s">
        <v>7320</v>
      </c>
      <c r="F5" s="16" t="str">
        <f>TRIM(_xlfn.TEXTBEFORE(E4, ":"))</f>
        <v>Rareza</v>
      </c>
      <c r="G5" s="18" t="s">
        <v>6887</v>
      </c>
      <c r="H5" s="16" t="str">
        <f>TRIM(_xlfn.TEXTBEFORE(G4, ":"))</f>
        <v>Rareté</v>
      </c>
      <c r="I5" s="18" t="s">
        <v>7466</v>
      </c>
      <c r="J5" s="16" t="str">
        <f>TRIM(_xlfn.TEXTBEFORE(I4, ":"))</f>
        <v>レアリティ</v>
      </c>
      <c r="K5" s="18" t="s">
        <v>7390</v>
      </c>
      <c r="L5" s="16" t="str">
        <f>TRIM(_xlfn.TEXTBEFORE(K4, ":"))</f>
        <v>아이템 희귀도</v>
      </c>
      <c r="M5" s="18" t="s">
        <v>7021</v>
      </c>
      <c r="N5" s="16" t="str">
        <f>TRIM(_xlfn.TEXTBEFORE(M4, ":"))</f>
        <v>Raridade</v>
      </c>
      <c r="O5" s="18" t="s">
        <v>7094</v>
      </c>
      <c r="P5" s="16" t="str">
        <f>TRIM(_xlfn.TEXTBEFORE(O4, ":"))</f>
        <v>Редкость</v>
      </c>
      <c r="Q5" s="18" t="s">
        <v>7163</v>
      </c>
      <c r="R5" s="16" t="str">
        <f>TRIM(_xlfn.TEXTBEFORE(Q4, ":"))</f>
        <v>ความหายาก</v>
      </c>
      <c r="S5" s="18" t="s">
        <v>7236</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7237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6820</v>
      </c>
      <c r="B9" s="16"/>
      <c r="C9" s="18" t="s">
        <v>6956</v>
      </c>
      <c r="D9" s="16"/>
      <c r="E9" s="18" t="s">
        <v>7321</v>
      </c>
      <c r="F9" s="16"/>
      <c r="G9" s="18" t="s">
        <v>6888</v>
      </c>
      <c r="H9" s="16"/>
      <c r="I9" s="18" t="s">
        <v>7467</v>
      </c>
      <c r="J9" s="16"/>
      <c r="K9" s="18" t="s">
        <v>7391</v>
      </c>
      <c r="L9" s="16"/>
      <c r="M9" s="18" t="s">
        <v>7022</v>
      </c>
      <c r="N9" s="16"/>
      <c r="O9" s="18" t="s">
        <v>7095</v>
      </c>
      <c r="P9" s="16"/>
      <c r="Q9" s="18" t="s">
        <v>7164</v>
      </c>
      <c r="R9" s="16"/>
      <c r="S9" s="18" t="s">
        <v>7238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6821</v>
      </c>
      <c r="B11" s="16"/>
      <c r="C11" s="18" t="s">
        <v>6957</v>
      </c>
      <c r="D11" s="16"/>
      <c r="E11" s="18" t="s">
        <v>7322</v>
      </c>
      <c r="F11" s="16"/>
      <c r="G11" s="18" t="s">
        <v>6889</v>
      </c>
      <c r="H11" s="16"/>
      <c r="I11" s="18" t="s">
        <v>7468</v>
      </c>
      <c r="J11" s="16"/>
      <c r="K11" s="18" t="s">
        <v>7392</v>
      </c>
      <c r="L11" s="16"/>
      <c r="M11" s="18" t="s">
        <v>7023</v>
      </c>
      <c r="N11" s="16"/>
      <c r="O11" s="18" t="s">
        <v>7096</v>
      </c>
      <c r="P11" s="16"/>
      <c r="Q11" s="18" t="s">
        <v>7165</v>
      </c>
      <c r="R11" s="16"/>
      <c r="S11" s="18" t="s">
        <v>7239</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7" priority="5" stopIfTrue="1">
      <formula>NOT(ISERROR(A3))</formula>
    </cfRule>
  </conditionalFormatting>
  <conditionalFormatting sqref="A3:B12 D3:T12 A13:T51">
    <cfRule type="notContainsBlanks" dxfId="116" priority="6">
      <formula>LEN(TRIM(A3))&gt;0</formula>
    </cfRule>
  </conditionalFormatting>
  <conditionalFormatting sqref="A3:T51">
    <cfRule type="containsErrors" dxfId="115" priority="1" stopIfTrue="1">
      <formula>ISERROR(A3)</formula>
    </cfRule>
  </conditionalFormatting>
  <conditionalFormatting sqref="C3:C12">
    <cfRule type="notContainsBlanks" dxfId="114" priority="3">
      <formula>LEN(TRIM(C3))&gt;0</formula>
    </cfRule>
  </conditionalFormatting>
  <conditionalFormatting sqref="C3:C51">
    <cfRule type="notContainsErrors" dxfId="113"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6779</v>
      </c>
      <c r="B3" s="16" t="str">
        <f>TRIM(_xlfn.TEXTBEFORE(A3, ":"))</f>
        <v>Item Class</v>
      </c>
      <c r="C3" s="17" t="s">
        <v>6958</v>
      </c>
      <c r="D3" s="16" t="str">
        <f>TRIM(_xlfn.TEXTBEFORE(C3, ":"))</f>
        <v>Gegenstandsklasse</v>
      </c>
      <c r="E3" s="17" t="s">
        <v>7323</v>
      </c>
      <c r="F3" s="16" t="str">
        <f>TRIM(_xlfn.TEXTBEFORE(E3, ":"))</f>
        <v>Clase de objeto</v>
      </c>
      <c r="G3" s="17" t="s">
        <v>6890</v>
      </c>
      <c r="H3" s="16" t="str">
        <f>TRIM(_xlfn.TEXTBEFORE(G3, ":"))</f>
        <v>Classe d'objet</v>
      </c>
      <c r="I3" s="17" t="s">
        <v>7469</v>
      </c>
      <c r="J3" s="16" t="str">
        <f>TRIM(_xlfn.TEXTBEFORE(I3, ":"))</f>
        <v>アイテムクラス</v>
      </c>
      <c r="K3" s="17" t="s">
        <v>7393</v>
      </c>
      <c r="L3" s="16" t="str">
        <f>TRIM(_xlfn.TEXTBEFORE(K3, ":"))</f>
        <v>아이템 종류</v>
      </c>
      <c r="M3" s="17" t="s">
        <v>7024</v>
      </c>
      <c r="N3" s="16" t="str">
        <f>TRIM(_xlfn.TEXTBEFORE(M3, ":"))</f>
        <v>Classe do Item</v>
      </c>
      <c r="O3" s="17" t="s">
        <v>7097</v>
      </c>
      <c r="P3" s="16" t="str">
        <f>TRIM(_xlfn.TEXTBEFORE(O3, ":"))</f>
        <v>Класс предмета</v>
      </c>
      <c r="Q3" s="17" t="s">
        <v>7166</v>
      </c>
      <c r="R3" s="16" t="str">
        <f>TRIM(_xlfn.TEXTBEFORE(Q3, ":"))</f>
        <v>ชนิดไอเทม</v>
      </c>
      <c r="S3" s="17" t="s">
        <v>7240</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7199</v>
      </c>
      <c r="T4" s="20" t="str">
        <f>TRIM(_xlfn.TEXTAFTER(S3, ":"))</f>
        <v>十字弓</v>
      </c>
    </row>
    <row r="5" spans="1:20" ht="15.95" customHeight="1" x14ac:dyDescent="0.25">
      <c r="A5" s="18" t="s">
        <v>6780</v>
      </c>
      <c r="B5" s="16" t="str">
        <f>TRIM(_xlfn.TEXTBEFORE(A4, ":"))</f>
        <v>Rarity</v>
      </c>
      <c r="C5" s="18" t="s">
        <v>6959</v>
      </c>
      <c r="D5" s="16" t="str">
        <f>TRIM(_xlfn.TEXTBEFORE(C4, ":"))</f>
        <v>Seltenheit</v>
      </c>
      <c r="E5" s="18" t="s">
        <v>7324</v>
      </c>
      <c r="F5" s="16" t="str">
        <f>TRIM(_xlfn.TEXTBEFORE(E4, ":"))</f>
        <v>Rareza</v>
      </c>
      <c r="G5" s="18" t="s">
        <v>6891</v>
      </c>
      <c r="H5" s="16" t="str">
        <f>TRIM(_xlfn.TEXTBEFORE(G4, ":"))</f>
        <v>Rareté</v>
      </c>
      <c r="I5" s="18" t="s">
        <v>7470</v>
      </c>
      <c r="J5" s="16" t="str">
        <f>TRIM(_xlfn.TEXTBEFORE(I4, ":"))</f>
        <v>レアリティ</v>
      </c>
      <c r="K5" s="18" t="s">
        <v>7394</v>
      </c>
      <c r="L5" s="16" t="str">
        <f>TRIM(_xlfn.TEXTBEFORE(K4, ":"))</f>
        <v>아이템 희귀도</v>
      </c>
      <c r="M5" s="18" t="s">
        <v>7025</v>
      </c>
      <c r="N5" s="16" t="str">
        <f>TRIM(_xlfn.TEXTBEFORE(M4, ":"))</f>
        <v>Raridade</v>
      </c>
      <c r="O5" s="18" t="s">
        <v>7098</v>
      </c>
      <c r="P5" s="16" t="str">
        <f>TRIM(_xlfn.TEXTBEFORE(O4, ":"))</f>
        <v>Редкость</v>
      </c>
      <c r="Q5" s="18" t="s">
        <v>6780</v>
      </c>
      <c r="R5" s="16" t="str">
        <f>TRIM(_xlfn.TEXTBEFORE(Q4, ":"))</f>
        <v>ความหายาก</v>
      </c>
      <c r="S5" s="18" t="s">
        <v>7241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6781</v>
      </c>
      <c r="B7" s="16"/>
      <c r="C7" s="18" t="s">
        <v>6960</v>
      </c>
      <c r="D7" s="16"/>
      <c r="E7" s="18" t="s">
        <v>7325</v>
      </c>
      <c r="F7" s="16"/>
      <c r="G7" s="18" t="s">
        <v>6892</v>
      </c>
      <c r="H7" s="16"/>
      <c r="I7" s="18" t="s">
        <v>7471</v>
      </c>
      <c r="J7" s="16"/>
      <c r="K7" s="18" t="s">
        <v>7395</v>
      </c>
      <c r="L7" s="16"/>
      <c r="M7" s="18" t="s">
        <v>7026</v>
      </c>
      <c r="N7" s="16"/>
      <c r="O7" s="18" t="s">
        <v>7099</v>
      </c>
      <c r="P7" s="16"/>
      <c r="Q7" s="18" t="s">
        <v>7167</v>
      </c>
      <c r="R7" s="16"/>
      <c r="S7" s="18" t="s">
        <v>7242</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6783</v>
      </c>
      <c r="B10" s="16"/>
      <c r="C10" s="18" t="s">
        <v>6962</v>
      </c>
      <c r="D10" s="16"/>
      <c r="E10" s="18" t="s">
        <v>7327</v>
      </c>
      <c r="F10" s="16"/>
      <c r="G10" s="18" t="s">
        <v>6894</v>
      </c>
      <c r="H10" s="16"/>
      <c r="I10" s="18" t="s">
        <v>7473</v>
      </c>
      <c r="J10" s="16"/>
      <c r="K10" s="18" t="s">
        <v>7397</v>
      </c>
      <c r="L10" s="16"/>
      <c r="M10" s="18" t="s">
        <v>7028</v>
      </c>
      <c r="N10" s="16"/>
      <c r="O10" s="18" t="s">
        <v>7101</v>
      </c>
      <c r="P10" s="16"/>
      <c r="Q10" s="18" t="s">
        <v>7169</v>
      </c>
      <c r="R10" s="16"/>
      <c r="S10" s="18" t="s">
        <v>7245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t="str">
        <f>TRIM(_xlfn.TEXTBEFORE(A12, ":"))</f>
        <v>Requirements</v>
      </c>
      <c r="C12" s="18" t="s">
        <v>1523</v>
      </c>
      <c r="D12" s="16" t="str">
        <f>TRIM(_xlfn.TEXTBEFORE(C12, ":"))</f>
        <v>Anforderungen</v>
      </c>
      <c r="E12" s="18" t="s">
        <v>2207</v>
      </c>
      <c r="F12" s="16" t="str">
        <f>TRIM(_xlfn.TEXTBEFORE(E12, ":"))</f>
        <v>Requisitos</v>
      </c>
      <c r="G12" s="18" t="s">
        <v>5</v>
      </c>
      <c r="H12" s="16" t="str">
        <f>TRIM(_xlfn.TEXTBEFORE(G12, ":"))</f>
        <v>Prérequis</v>
      </c>
      <c r="I12" s="18" t="s">
        <v>2887</v>
      </c>
      <c r="J12" s="16" t="str">
        <f>TRIM(_xlfn.TEXTBEFORE(I12, ":"))</f>
        <v>装備要求</v>
      </c>
      <c r="K12" s="18" t="s">
        <v>3608</v>
      </c>
      <c r="L12" s="16" t="str">
        <f>TRIM(_xlfn.TEXTBEFORE(K12, ":"))</f>
        <v>요구사항</v>
      </c>
      <c r="M12" s="18" t="s">
        <v>2207</v>
      </c>
      <c r="N12" s="16" t="str">
        <f>TRIM(_xlfn.TEXTBEFORE(M12, ":"))</f>
        <v>Requisitos</v>
      </c>
      <c r="O12" s="18" t="s">
        <v>4958</v>
      </c>
      <c r="P12" s="16" t="str">
        <f>TRIM(_xlfn.TEXTBEFORE(O12, ":"))</f>
        <v>Требования</v>
      </c>
      <c r="Q12" s="18" t="s">
        <v>5672</v>
      </c>
      <c r="R12" s="16" t="str">
        <f>TRIM(_xlfn.TEXTBEFORE(Q12, ":"))</f>
        <v>เงื่อนไข</v>
      </c>
      <c r="S12" s="18" t="s">
        <v>7202</v>
      </c>
      <c r="T12" s="16" t="str">
        <f>TRIM(_xlfn.TEXTBEFORE(S12, ":"))</f>
        <v>需求</v>
      </c>
    </row>
    <row r="13" spans="1:20" ht="15.95" customHeight="1" x14ac:dyDescent="0.25">
      <c r="A13" s="18" t="s">
        <v>104</v>
      </c>
      <c r="B13" s="16" t="str">
        <f t="shared" ref="B13:B15" si="0">TRIM(_xlfn.TEXTBEFORE(A13, ":"))</f>
        <v>Level</v>
      </c>
      <c r="C13" s="18" t="s">
        <v>1524</v>
      </c>
      <c r="D13" s="16" t="str">
        <f t="shared" ref="D13:D15" si="1">TRIM(_xlfn.TEXTBEFORE(C13, ":"))</f>
        <v>Stufe</v>
      </c>
      <c r="E13" s="18" t="s">
        <v>2219</v>
      </c>
      <c r="F13" s="16" t="str">
        <f t="shared" ref="F13:F15" si="2">TRIM(_xlfn.TEXTBEFORE(E13, ":"))</f>
        <v>Nivel</v>
      </c>
      <c r="G13" s="18" t="s">
        <v>829</v>
      </c>
      <c r="H13" s="16" t="str">
        <f t="shared" ref="H13:H15" si="3">TRIM(_xlfn.TEXTBEFORE(G13, ":"))</f>
        <v>Niveau</v>
      </c>
      <c r="I13" s="18" t="s">
        <v>2900</v>
      </c>
      <c r="J13" s="16" t="str">
        <f t="shared" ref="J13:J15" si="4">TRIM(_xlfn.TEXTBEFORE(I13, ":"))</f>
        <v>レベル</v>
      </c>
      <c r="K13" s="18" t="s">
        <v>3620</v>
      </c>
      <c r="L13" s="16" t="str">
        <f t="shared" ref="L13:L15" si="5">TRIM(_xlfn.TEXTBEFORE(K13, ":"))</f>
        <v>레벨</v>
      </c>
      <c r="M13" s="18" t="s">
        <v>4318</v>
      </c>
      <c r="N13" s="16" t="str">
        <f t="shared" ref="N13:N15" si="6">TRIM(_xlfn.TEXTBEFORE(M13, ":"))</f>
        <v>Nível</v>
      </c>
      <c r="O13" s="18" t="s">
        <v>4970</v>
      </c>
      <c r="P13" s="16" t="str">
        <f t="shared" ref="P13:P15" si="7">TRIM(_xlfn.TEXTBEFORE(O13, ":"))</f>
        <v>Уровень</v>
      </c>
      <c r="Q13" s="18" t="s">
        <v>5684</v>
      </c>
      <c r="R13" s="16" t="str">
        <f t="shared" ref="R13:R15" si="8">TRIM(_xlfn.TEXTBEFORE(Q13, ":"))</f>
        <v>เลเวล</v>
      </c>
      <c r="S13" s="18" t="s">
        <v>7246</v>
      </c>
      <c r="T13" s="16" t="str">
        <f t="shared" ref="T13:T15" si="9">TRIM(_xlfn.TEXTBEFORE(S13, ":"))</f>
        <v>等級</v>
      </c>
    </row>
    <row r="14" spans="1:20" ht="15.95" customHeight="1" x14ac:dyDescent="0.25">
      <c r="A14" s="18" t="s">
        <v>6784</v>
      </c>
      <c r="B14" s="16" t="str">
        <f t="shared" si="0"/>
        <v>Str</v>
      </c>
      <c r="C14" s="18" t="s">
        <v>6784</v>
      </c>
      <c r="D14" s="16" t="str">
        <f t="shared" si="1"/>
        <v>Str</v>
      </c>
      <c r="E14" s="18" t="s">
        <v>7328</v>
      </c>
      <c r="F14" s="16" t="str">
        <f t="shared" si="2"/>
        <v>Fue</v>
      </c>
      <c r="G14" s="18" t="s">
        <v>6895</v>
      </c>
      <c r="H14" s="16" t="str">
        <f t="shared" si="3"/>
        <v>For</v>
      </c>
      <c r="I14" s="18" t="s">
        <v>7474</v>
      </c>
      <c r="J14" s="16" t="str">
        <f t="shared" si="4"/>
        <v>筋力</v>
      </c>
      <c r="K14" s="18" t="s">
        <v>7398</v>
      </c>
      <c r="L14" s="16" t="str">
        <f t="shared" si="5"/>
        <v>힘</v>
      </c>
      <c r="M14" s="18" t="s">
        <v>6895</v>
      </c>
      <c r="N14" s="16" t="str">
        <f t="shared" si="6"/>
        <v>For</v>
      </c>
      <c r="O14" s="18" t="s">
        <v>7102</v>
      </c>
      <c r="P14" s="16" t="str">
        <f t="shared" si="7"/>
        <v>Сила</v>
      </c>
      <c r="Q14" s="18" t="s">
        <v>6784</v>
      </c>
      <c r="R14" s="16" t="str">
        <f t="shared" si="8"/>
        <v>Str</v>
      </c>
      <c r="S14" s="18" t="s">
        <v>7247</v>
      </c>
      <c r="T14" s="16" t="str">
        <f t="shared" si="9"/>
        <v>力量</v>
      </c>
    </row>
    <row r="15" spans="1:20" ht="15.95" customHeight="1" x14ac:dyDescent="0.25">
      <c r="A15" s="18" t="s">
        <v>6785</v>
      </c>
      <c r="B15" s="16" t="str">
        <f t="shared" si="0"/>
        <v>Dex</v>
      </c>
      <c r="C15" s="18" t="s">
        <v>6963</v>
      </c>
      <c r="D15" s="16" t="str">
        <f t="shared" si="1"/>
        <v>Ges</v>
      </c>
      <c r="E15" s="18" t="s">
        <v>7029</v>
      </c>
      <c r="F15" s="16" t="str">
        <f t="shared" si="2"/>
        <v>Des</v>
      </c>
      <c r="G15" s="18" t="s">
        <v>6785</v>
      </c>
      <c r="H15" s="16" t="str">
        <f t="shared" si="3"/>
        <v>Dex</v>
      </c>
      <c r="I15" s="18" t="s">
        <v>7475</v>
      </c>
      <c r="J15" s="16" t="str">
        <f t="shared" si="4"/>
        <v>器用さ</v>
      </c>
      <c r="K15" s="18" t="s">
        <v>7399</v>
      </c>
      <c r="L15" s="16" t="str">
        <f t="shared" si="5"/>
        <v>민첩</v>
      </c>
      <c r="M15" s="18" t="s">
        <v>7029</v>
      </c>
      <c r="N15" s="16" t="str">
        <f t="shared" si="6"/>
        <v>Des</v>
      </c>
      <c r="O15" s="18" t="s">
        <v>7103</v>
      </c>
      <c r="P15" s="16" t="str">
        <f t="shared" si="7"/>
        <v>Ловк</v>
      </c>
      <c r="Q15" s="18" t="s">
        <v>6785</v>
      </c>
      <c r="R15" s="16" t="str">
        <f t="shared" si="8"/>
        <v>Dex</v>
      </c>
      <c r="S15" s="18" t="s">
        <v>7248</v>
      </c>
      <c r="T15" s="16" t="str">
        <f t="shared" si="9"/>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7249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6786</v>
      </c>
      <c r="B19" s="16"/>
      <c r="C19" s="18" t="s">
        <v>6964</v>
      </c>
      <c r="D19" s="16"/>
      <c r="E19" s="18" t="s">
        <v>7329</v>
      </c>
      <c r="F19" s="16"/>
      <c r="G19" s="18" t="s">
        <v>6896</v>
      </c>
      <c r="H19" s="16"/>
      <c r="I19" s="18" t="s">
        <v>7476</v>
      </c>
      <c r="J19" s="16"/>
      <c r="K19" s="18" t="s">
        <v>7400</v>
      </c>
      <c r="L19" s="16"/>
      <c r="M19" s="18" t="s">
        <v>7030</v>
      </c>
      <c r="N19" s="16"/>
      <c r="O19" s="18" t="s">
        <v>7104</v>
      </c>
      <c r="P19" s="16"/>
      <c r="Q19" s="18" t="s">
        <v>7170</v>
      </c>
      <c r="R19" s="16"/>
      <c r="S19" s="18" t="s">
        <v>7250</v>
      </c>
      <c r="T19" s="20"/>
    </row>
    <row r="20" spans="1:20" ht="15.95" customHeight="1" x14ac:dyDescent="0.25">
      <c r="A20" s="18" t="s">
        <v>6787</v>
      </c>
      <c r="B20" s="16"/>
      <c r="C20" s="18" t="s">
        <v>6965</v>
      </c>
      <c r="D20" s="16"/>
      <c r="E20" s="18" t="s">
        <v>7330</v>
      </c>
      <c r="F20" s="16"/>
      <c r="G20" s="18" t="s">
        <v>6897</v>
      </c>
      <c r="H20" s="16"/>
      <c r="I20" s="18" t="s">
        <v>7477</v>
      </c>
      <c r="J20" s="16"/>
      <c r="K20" s="18" t="s">
        <v>7401</v>
      </c>
      <c r="L20" s="16"/>
      <c r="M20" s="18" t="s">
        <v>7031</v>
      </c>
      <c r="N20" s="16"/>
      <c r="O20" s="18" t="s">
        <v>7105</v>
      </c>
      <c r="P20" s="16"/>
      <c r="Q20" s="18" t="s">
        <v>7171</v>
      </c>
      <c r="R20" s="16"/>
      <c r="S20" s="18" t="s">
        <v>7251</v>
      </c>
      <c r="T20" s="20"/>
    </row>
    <row r="21" spans="1:20" ht="15.95" customHeight="1" x14ac:dyDescent="0.25">
      <c r="A21" s="18" t="s">
        <v>6788</v>
      </c>
      <c r="B21" s="16"/>
      <c r="C21" s="18" t="s">
        <v>6966</v>
      </c>
      <c r="D21" s="16"/>
      <c r="E21" s="18" t="s">
        <v>7331</v>
      </c>
      <c r="F21" s="16"/>
      <c r="G21" s="18" t="s">
        <v>6898</v>
      </c>
      <c r="H21" s="16"/>
      <c r="I21" s="18" t="s">
        <v>7478</v>
      </c>
      <c r="J21" s="16"/>
      <c r="K21" s="18" t="s">
        <v>7402</v>
      </c>
      <c r="L21" s="16"/>
      <c r="M21" s="18" t="s">
        <v>7032</v>
      </c>
      <c r="N21" s="16"/>
      <c r="O21" s="18" t="s">
        <v>7106</v>
      </c>
      <c r="P21" s="16"/>
      <c r="Q21" s="18" t="s">
        <v>7172</v>
      </c>
      <c r="R21" s="16"/>
      <c r="S21" s="18" t="s">
        <v>7252</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2" priority="5" stopIfTrue="1">
      <formula>NOT(ISERROR(A3))</formula>
    </cfRule>
  </conditionalFormatting>
  <conditionalFormatting sqref="A3:B12 D3:T12 A13:T51">
    <cfRule type="notContainsBlanks" dxfId="111" priority="6">
      <formula>LEN(TRIM(A3))&gt;0</formula>
    </cfRule>
  </conditionalFormatting>
  <conditionalFormatting sqref="A3:T51">
    <cfRule type="containsErrors" dxfId="110" priority="1" stopIfTrue="1">
      <formula>ISERROR(A3)</formula>
    </cfRule>
  </conditionalFormatting>
  <conditionalFormatting sqref="C3:C12">
    <cfRule type="notContainsBlanks" dxfId="109" priority="3">
      <formula>LEN(TRIM(C3))&gt;0</formula>
    </cfRule>
  </conditionalFormatting>
  <conditionalFormatting sqref="C3:C51">
    <cfRule type="notContainsErrors" dxfId="108"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6516</v>
      </c>
      <c r="B3" s="16" t="str">
        <f>TRIM(_xlfn.TEXTBEFORE(A3, ":"))</f>
        <v>Item Class</v>
      </c>
      <c r="C3" s="17" t="s">
        <v>6573</v>
      </c>
      <c r="D3" s="16" t="str">
        <f>TRIM(_xlfn.TEXTBEFORE(C3, ":"))</f>
        <v>Gegenstandsklasse</v>
      </c>
      <c r="E3" s="17" t="s">
        <v>6683</v>
      </c>
      <c r="F3" s="16" t="str">
        <f>TRIM(_xlfn.TEXTBEFORE(E3, ":"))</f>
        <v>Clase de objeto</v>
      </c>
      <c r="G3" s="17" t="s">
        <v>6546</v>
      </c>
      <c r="H3" s="16" t="str">
        <f>TRIM(_xlfn.TEXTBEFORE(G3, ":"))</f>
        <v>Classe d'objet</v>
      </c>
      <c r="I3" s="17" t="s">
        <v>6742</v>
      </c>
      <c r="J3" s="16" t="str">
        <f>TRIM(_xlfn.TEXTBEFORE(I3, ":"))</f>
        <v>アイテムクラス</v>
      </c>
      <c r="K3" s="17" t="s">
        <v>6711</v>
      </c>
      <c r="L3" s="16" t="str">
        <f>TRIM(_xlfn.TEXTBEFORE(K3, ":"))</f>
        <v>아이템 종류</v>
      </c>
      <c r="M3" s="17" t="s">
        <v>4716</v>
      </c>
      <c r="N3" s="16" t="str">
        <f>TRIM(_xlfn.TEXTBEFORE(M3, ":"))</f>
        <v>Classe do Item</v>
      </c>
      <c r="O3" s="17" t="s">
        <v>6632</v>
      </c>
      <c r="P3" s="16" t="str">
        <f>TRIM(_xlfn.TEXTBEFORE(O3, ":"))</f>
        <v>Класс предмета</v>
      </c>
      <c r="Q3" s="17" t="s">
        <v>6660</v>
      </c>
      <c r="R3" s="16" t="str">
        <f>TRIM(_xlfn.TEXTBEFORE(Q3, ":"))</f>
        <v>ชนิดไอเทม</v>
      </c>
      <c r="S3" s="17" t="s">
        <v>7253</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7199</v>
      </c>
      <c r="T4" s="20" t="str">
        <f>TRIM(_xlfn.TEXTAFTER(S3, ":"))</f>
        <v>征戰長杖</v>
      </c>
    </row>
    <row r="5" spans="1:20" ht="15.95" customHeight="1" x14ac:dyDescent="0.25">
      <c r="A5" s="18" t="s">
        <v>6789</v>
      </c>
      <c r="B5" s="16" t="str">
        <f>TRIM(_xlfn.TEXTBEFORE(A4, ":"))</f>
        <v>Rarity</v>
      </c>
      <c r="C5" s="18" t="s">
        <v>6967</v>
      </c>
      <c r="D5" s="16" t="str">
        <f>TRIM(_xlfn.TEXTBEFORE(C4, ":"))</f>
        <v>Seltenheit</v>
      </c>
      <c r="E5" s="18" t="s">
        <v>7332</v>
      </c>
      <c r="F5" s="16" t="str">
        <f>TRIM(_xlfn.TEXTBEFORE(E4, ":"))</f>
        <v>Rareza</v>
      </c>
      <c r="G5" s="18" t="s">
        <v>6899</v>
      </c>
      <c r="H5" s="16" t="str">
        <f>TRIM(_xlfn.TEXTBEFORE(G4, ":"))</f>
        <v>Rareté</v>
      </c>
      <c r="I5" s="18" t="s">
        <v>7479</v>
      </c>
      <c r="J5" s="16" t="str">
        <f>TRIM(_xlfn.TEXTBEFORE(I4, ":"))</f>
        <v>レアリティ</v>
      </c>
      <c r="K5" s="18" t="s">
        <v>7403</v>
      </c>
      <c r="L5" s="16" t="str">
        <f>TRIM(_xlfn.TEXTBEFORE(K4, ":"))</f>
        <v>아이템 희귀도</v>
      </c>
      <c r="M5" s="18" t="s">
        <v>7033</v>
      </c>
      <c r="N5" s="16" t="str">
        <f>TRIM(_xlfn.TEXTBEFORE(M4, ":"))</f>
        <v>Raridade</v>
      </c>
      <c r="O5" s="18" t="s">
        <v>7107</v>
      </c>
      <c r="P5" s="16" t="str">
        <f>TRIM(_xlfn.TEXTBEFORE(O4, ":"))</f>
        <v>Редкость</v>
      </c>
      <c r="Q5" s="18" t="s">
        <v>6789</v>
      </c>
      <c r="R5" s="16" t="str">
        <f>TRIM(_xlfn.TEXTBEFORE(Q4, ":"))</f>
        <v>ความหายาก</v>
      </c>
      <c r="S5" s="18" t="s">
        <v>7254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6790</v>
      </c>
      <c r="B7" s="16"/>
      <c r="C7" s="18" t="s">
        <v>6968</v>
      </c>
      <c r="D7" s="16"/>
      <c r="E7" s="18" t="s">
        <v>7333</v>
      </c>
      <c r="F7" s="16"/>
      <c r="G7" s="18" t="s">
        <v>6900</v>
      </c>
      <c r="H7" s="16"/>
      <c r="I7" s="18" t="s">
        <v>7480</v>
      </c>
      <c r="J7" s="16"/>
      <c r="K7" s="18" t="s">
        <v>7404</v>
      </c>
      <c r="L7" s="16"/>
      <c r="M7" s="18" t="s">
        <v>7034</v>
      </c>
      <c r="N7" s="16"/>
      <c r="O7" s="18" t="s">
        <v>7108</v>
      </c>
      <c r="P7" s="16"/>
      <c r="Q7" s="18" t="s">
        <v>7173</v>
      </c>
      <c r="R7" s="16"/>
      <c r="S7" s="18" t="s">
        <v>7255</v>
      </c>
      <c r="T7" s="20"/>
    </row>
    <row r="8" spans="1:20" ht="15.95" customHeight="1" x14ac:dyDescent="0.25">
      <c r="A8" s="18" t="s">
        <v>6520</v>
      </c>
      <c r="B8" s="16"/>
      <c r="C8" s="18" t="s">
        <v>6577</v>
      </c>
      <c r="D8" s="16"/>
      <c r="E8" s="18" t="s">
        <v>6687</v>
      </c>
      <c r="F8" s="16"/>
      <c r="G8" s="18" t="s">
        <v>6550</v>
      </c>
      <c r="H8" s="16"/>
      <c r="I8" s="18" t="s">
        <v>6746</v>
      </c>
      <c r="J8" s="16"/>
      <c r="K8" s="18" t="s">
        <v>6715</v>
      </c>
      <c r="L8" s="16"/>
      <c r="M8" s="18" t="s">
        <v>6606</v>
      </c>
      <c r="N8" s="16"/>
      <c r="O8" s="18" t="s">
        <v>6636</v>
      </c>
      <c r="P8" s="16"/>
      <c r="Q8" s="18" t="s">
        <v>6663</v>
      </c>
      <c r="R8" s="16"/>
      <c r="S8" s="18" t="s">
        <v>7256</v>
      </c>
      <c r="T8" s="20"/>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7257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7202</v>
      </c>
      <c r="T11" s="20"/>
    </row>
    <row r="12" spans="1:20" ht="15.95" customHeight="1" x14ac:dyDescent="0.25">
      <c r="A12" s="18" t="s">
        <v>6791</v>
      </c>
      <c r="B12" s="16"/>
      <c r="C12" s="18" t="s">
        <v>6969</v>
      </c>
      <c r="D12" s="16"/>
      <c r="E12" s="18" t="s">
        <v>7334</v>
      </c>
      <c r="F12" s="16"/>
      <c r="G12" s="18" t="s">
        <v>6901</v>
      </c>
      <c r="H12" s="16"/>
      <c r="I12" s="18" t="s">
        <v>7481</v>
      </c>
      <c r="J12" s="16"/>
      <c r="K12" s="18" t="s">
        <v>7405</v>
      </c>
      <c r="L12" s="16"/>
      <c r="M12" s="18" t="s">
        <v>7035</v>
      </c>
      <c r="N12" s="16"/>
      <c r="O12" s="18" t="s">
        <v>7109</v>
      </c>
      <c r="P12" s="16"/>
      <c r="Q12" s="18" t="s">
        <v>7174</v>
      </c>
      <c r="R12" s="16"/>
      <c r="S12" s="18" t="s">
        <v>7258</v>
      </c>
      <c r="T12" s="20"/>
    </row>
    <row r="13" spans="1:20" ht="15.95" customHeight="1" x14ac:dyDescent="0.25">
      <c r="A13" s="18" t="s">
        <v>6792</v>
      </c>
      <c r="B13" s="16"/>
      <c r="C13" s="18" t="s">
        <v>6970</v>
      </c>
      <c r="D13" s="16"/>
      <c r="E13" s="18" t="s">
        <v>7036</v>
      </c>
      <c r="F13" s="16"/>
      <c r="G13" s="18" t="s">
        <v>6792</v>
      </c>
      <c r="H13" s="16"/>
      <c r="I13" s="18" t="s">
        <v>7482</v>
      </c>
      <c r="J13" s="16"/>
      <c r="K13" s="18" t="s">
        <v>7406</v>
      </c>
      <c r="L13" s="16"/>
      <c r="M13" s="18" t="s">
        <v>7036</v>
      </c>
      <c r="N13" s="16"/>
      <c r="O13" s="18" t="s">
        <v>7110</v>
      </c>
      <c r="P13" s="16"/>
      <c r="Q13" s="18" t="s">
        <v>6792</v>
      </c>
      <c r="R13" s="16"/>
      <c r="S13" s="18" t="s">
        <v>7259</v>
      </c>
      <c r="T13" s="20"/>
    </row>
    <row r="14" spans="1:20" ht="15.95" customHeight="1" x14ac:dyDescent="0.25">
      <c r="A14" s="18" t="s">
        <v>6793</v>
      </c>
      <c r="B14" s="16" t="str">
        <f>TRIM(_xlfn.TEXTBEFORE(A14, ":"))</f>
        <v>Int</v>
      </c>
      <c r="C14" s="18" t="s">
        <v>6793</v>
      </c>
      <c r="D14" s="16" t="str">
        <f>TRIM(_xlfn.TEXTBEFORE(C14, ":"))</f>
        <v>Int</v>
      </c>
      <c r="E14" s="18" t="s">
        <v>6793</v>
      </c>
      <c r="F14" s="16" t="str">
        <f>TRIM(_xlfn.TEXTBEFORE(E14, ":"))</f>
        <v>Int</v>
      </c>
      <c r="G14" s="18" t="s">
        <v>6793</v>
      </c>
      <c r="H14" s="16" t="str">
        <f>TRIM(_xlfn.TEXTBEFORE(G14, ":"))</f>
        <v>Int</v>
      </c>
      <c r="I14" s="18" t="s">
        <v>7483</v>
      </c>
      <c r="J14" s="16" t="str">
        <f>TRIM(_xlfn.TEXTBEFORE(I14, ":"))</f>
        <v>知性</v>
      </c>
      <c r="K14" s="18" t="s">
        <v>7407</v>
      </c>
      <c r="L14" s="16" t="str">
        <f>TRIM(_xlfn.TEXTBEFORE(K14, ":"))</f>
        <v>지능</v>
      </c>
      <c r="M14" s="18" t="s">
        <v>6793</v>
      </c>
      <c r="N14" s="16" t="str">
        <f>TRIM(_xlfn.TEXTBEFORE(M14, ":"))</f>
        <v>Int</v>
      </c>
      <c r="O14" s="18" t="s">
        <v>7111</v>
      </c>
      <c r="P14" s="16" t="str">
        <f>TRIM(_xlfn.TEXTBEFORE(O14, ":"))</f>
        <v>Инт</v>
      </c>
      <c r="Q14" s="18" t="s">
        <v>6793</v>
      </c>
      <c r="R14" s="16" t="str">
        <f>TRIM(_xlfn.TEXTBEFORE(Q14, ":"))</f>
        <v>Int</v>
      </c>
      <c r="S14" s="18" t="s">
        <v>7260</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7249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6794</v>
      </c>
      <c r="B18" s="16"/>
      <c r="C18" s="18" t="s">
        <v>6971</v>
      </c>
      <c r="D18" s="16"/>
      <c r="E18" s="18" t="s">
        <v>7335</v>
      </c>
      <c r="F18" s="16"/>
      <c r="G18" s="18" t="s">
        <v>6902</v>
      </c>
      <c r="H18" s="16"/>
      <c r="I18" s="18" t="s">
        <v>7484</v>
      </c>
      <c r="J18" s="16"/>
      <c r="K18" s="18" t="s">
        <v>7408</v>
      </c>
      <c r="L18" s="16"/>
      <c r="M18" s="18" t="s">
        <v>7037</v>
      </c>
      <c r="N18" s="16"/>
      <c r="O18" s="18" t="s">
        <v>7112</v>
      </c>
      <c r="P18" s="16"/>
      <c r="Q18" s="18" t="s">
        <v>7175</v>
      </c>
      <c r="R18" s="16"/>
      <c r="S18" s="18" t="s">
        <v>7261</v>
      </c>
      <c r="T18" s="20"/>
    </row>
    <row r="19" spans="1:20" ht="15.95" customHeight="1" x14ac:dyDescent="0.25">
      <c r="A19" s="18" t="s">
        <v>6795</v>
      </c>
      <c r="B19" s="16"/>
      <c r="C19" s="18" t="s">
        <v>6972</v>
      </c>
      <c r="D19" s="16"/>
      <c r="E19" s="18" t="s">
        <v>7336</v>
      </c>
      <c r="F19" s="16"/>
      <c r="G19" s="18" t="s">
        <v>6903</v>
      </c>
      <c r="H19" s="16"/>
      <c r="I19" s="18" t="s">
        <v>7485</v>
      </c>
      <c r="J19" s="16"/>
      <c r="K19" s="18" t="s">
        <v>7409</v>
      </c>
      <c r="L19" s="16"/>
      <c r="M19" s="18" t="s">
        <v>7038</v>
      </c>
      <c r="N19" s="16"/>
      <c r="O19" s="18" t="s">
        <v>7113</v>
      </c>
      <c r="P19" s="16"/>
      <c r="Q19" s="18" t="s">
        <v>7176</v>
      </c>
      <c r="R19" s="16"/>
      <c r="S19" s="18" t="s">
        <v>7262</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07" priority="8" stopIfTrue="1">
      <formula>NOT(ISERROR(A3))</formula>
    </cfRule>
  </conditionalFormatting>
  <conditionalFormatting sqref="A3:B12 D3:T12 A13:T51">
    <cfRule type="notContainsBlanks" dxfId="106" priority="9">
      <formula>LEN(TRIM(A3))&gt;0</formula>
    </cfRule>
  </conditionalFormatting>
  <conditionalFormatting sqref="A3:T51">
    <cfRule type="containsErrors" dxfId="105" priority="1" stopIfTrue="1">
      <formula>ISERROR(A3)</formula>
    </cfRule>
  </conditionalFormatting>
  <conditionalFormatting sqref="C3:C12">
    <cfRule type="notContainsBlanks" dxfId="104" priority="3">
      <formula>LEN(TRIM(C3))&gt;0</formula>
    </cfRule>
  </conditionalFormatting>
  <conditionalFormatting sqref="C3:C51">
    <cfRule type="notContainsErrors" dxfId="103"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7263</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7264</v>
      </c>
      <c r="T4" s="20" t="str">
        <f>TRIM(_xlfn.TEXTAFTER(S3, ":"))</f>
        <v>盾</v>
      </c>
    </row>
    <row r="5" spans="1:20" ht="15.95" customHeight="1" x14ac:dyDescent="0.25">
      <c r="A5" s="18" t="s">
        <v>6828</v>
      </c>
      <c r="B5" s="16" t="str">
        <f>TRIM(_xlfn.TEXTBEFORE(A4, ":"))</f>
        <v>Rarity</v>
      </c>
      <c r="C5" s="18" t="s">
        <v>6973</v>
      </c>
      <c r="D5" s="16" t="str">
        <f>TRIM(_xlfn.TEXTBEFORE(C4, ":"))</f>
        <v>Seltenheit</v>
      </c>
      <c r="E5" s="18" t="s">
        <v>7337</v>
      </c>
      <c r="F5" s="16" t="str">
        <f>TRIM(_xlfn.TEXTBEFORE(E4, ":"))</f>
        <v>Rareza</v>
      </c>
      <c r="G5" s="18" t="s">
        <v>6904</v>
      </c>
      <c r="H5" s="16" t="str">
        <f>TRIM(_xlfn.TEXTBEFORE(G4, ":"))</f>
        <v>Rareté</v>
      </c>
      <c r="I5" s="18" t="s">
        <v>7486</v>
      </c>
      <c r="J5" s="16" t="str">
        <f>TRIM(_xlfn.TEXTBEFORE(I4, ":"))</f>
        <v>レアリティ</v>
      </c>
      <c r="K5" s="18" t="s">
        <v>7410</v>
      </c>
      <c r="L5" s="16" t="str">
        <f>TRIM(_xlfn.TEXTBEFORE(K4, ":"))</f>
        <v>아이템 희귀도</v>
      </c>
      <c r="M5" s="18" t="s">
        <v>7039</v>
      </c>
      <c r="N5" s="16" t="str">
        <f>TRIM(_xlfn.TEXTBEFORE(M4, ":"))</f>
        <v>Raridade</v>
      </c>
      <c r="O5" s="18" t="s">
        <v>7114</v>
      </c>
      <c r="P5" s="16" t="str">
        <f>TRIM(_xlfn.TEXTBEFORE(O4, ":"))</f>
        <v>Редкость</v>
      </c>
      <c r="Q5" s="18" t="s">
        <v>6828</v>
      </c>
      <c r="R5" s="16" t="str">
        <f>TRIM(_xlfn.TEXTBEFORE(Q4, ":"))</f>
        <v>ความหายาก</v>
      </c>
      <c r="S5" s="18" t="s">
        <v>7265</v>
      </c>
      <c r="T5" s="20" t="str">
        <f>TRIM(_xlfn.TEXTBEFORE(S4, ":"))</f>
        <v>稀有度</v>
      </c>
    </row>
    <row r="6" spans="1:20" ht="15.95" customHeight="1" x14ac:dyDescent="0.25">
      <c r="A6" s="18" t="s">
        <v>6829</v>
      </c>
      <c r="B6" s="16" t="str">
        <f>TRIM(_xlfn.TEXTAFTER(A4,":"))</f>
        <v>Rare</v>
      </c>
      <c r="C6" s="18" t="s">
        <v>6974</v>
      </c>
      <c r="D6" s="16" t="str">
        <f>TRIM(_xlfn.TEXTAFTER(C4,":"))</f>
        <v>Selten</v>
      </c>
      <c r="E6" s="18" t="s">
        <v>7338</v>
      </c>
      <c r="F6" s="16" t="str">
        <f>TRIM(_xlfn.TEXTAFTER(E4,":"))</f>
        <v>Raro</v>
      </c>
      <c r="G6" s="18" t="s">
        <v>6905</v>
      </c>
      <c r="H6" s="16" t="str">
        <f>TRIM(_xlfn.TEXTAFTER(G4,":"))</f>
        <v>Rare</v>
      </c>
      <c r="I6" s="18" t="s">
        <v>7487</v>
      </c>
      <c r="J6" s="16" t="str">
        <f>TRIM(_xlfn.TEXTAFTER(I4,":"))</f>
        <v>レア</v>
      </c>
      <c r="K6" s="18" t="s">
        <v>7411</v>
      </c>
      <c r="L6" s="16" t="str">
        <f>TRIM(_xlfn.TEXTAFTER(K4,":"))</f>
        <v>희귀</v>
      </c>
      <c r="M6" s="18" t="s">
        <v>7040</v>
      </c>
      <c r="N6" s="16" t="str">
        <f>TRIM(_xlfn.TEXTAFTER(M4,":"))</f>
        <v>Raro</v>
      </c>
      <c r="O6" s="18" t="s">
        <v>6829</v>
      </c>
      <c r="P6" s="16" t="str">
        <f>TRIM(_xlfn.TEXTAFTER(O4,":"))</f>
        <v>Редкий</v>
      </c>
      <c r="Q6" s="18" t="s">
        <v>6829</v>
      </c>
      <c r="R6" s="16" t="str">
        <f>TRIM(_xlfn.TEXTAFTER(Q4,":"))</f>
        <v>แรร์</v>
      </c>
      <c r="S6" s="18" t="s">
        <v>7266</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6830</v>
      </c>
      <c r="B8" s="16" t="str">
        <f>TRIM(_xlfn.TEXTBEFORE(A8,":"))</f>
        <v>Block chance</v>
      </c>
      <c r="C8" s="18" t="s">
        <v>6975</v>
      </c>
      <c r="D8" s="16" t="str">
        <f>TRIM(_xlfn.TEXTBEFORE(C8,":"))</f>
        <v>Blockchance</v>
      </c>
      <c r="E8" s="18" t="s">
        <v>7339</v>
      </c>
      <c r="F8" s="16" t="str">
        <f>TRIM(_xlfn.TEXTBEFORE(E8,":"))</f>
        <v>Probabilidad de bloqueo</v>
      </c>
      <c r="G8" s="18" t="s">
        <v>6906</v>
      </c>
      <c r="H8" s="16" t="str">
        <f>TRIM(_xlfn.TEXTBEFORE(G8,":"))</f>
        <v>Chances de Blocage</v>
      </c>
      <c r="I8" s="18" t="s">
        <v>7488</v>
      </c>
      <c r="J8" s="16" t="str">
        <f>TRIM(_xlfn.TEXTBEFORE(I8,":"))</f>
        <v>ブロック率</v>
      </c>
      <c r="K8" s="18" t="s">
        <v>7412</v>
      </c>
      <c r="L8" s="16" t="str">
        <f>TRIM(_xlfn.TEXTBEFORE(K8,":"))</f>
        <v>막기 확률</v>
      </c>
      <c r="M8" s="18" t="s">
        <v>7041</v>
      </c>
      <c r="N8" s="16" t="str">
        <f>TRIM(_xlfn.TEXTBEFORE(M8,":"))</f>
        <v>Chance de Bloqueio</v>
      </c>
      <c r="O8" s="18" t="s">
        <v>7115</v>
      </c>
      <c r="P8" s="16" t="str">
        <f>TRIM(_xlfn.TEXTBEFORE(O8,":"))</f>
        <v>Шанс блока</v>
      </c>
      <c r="Q8" s="18" t="s">
        <v>7177</v>
      </c>
      <c r="R8" s="16" t="str">
        <f>TRIM(_xlfn.TEXTBEFORE(Q8,":"))</f>
        <v>โอกาสบล็อค</v>
      </c>
      <c r="S8" s="18" t="s">
        <v>7267</v>
      </c>
      <c r="T8" s="16" t="str">
        <f>TRIM(_xlfn.TEXTBEFORE(S8,":"))</f>
        <v>格擋機率</v>
      </c>
    </row>
    <row r="9" spans="1:20" ht="15.95" customHeight="1" x14ac:dyDescent="0.25">
      <c r="A9" s="18" t="s">
        <v>6831</v>
      </c>
      <c r="B9" s="16"/>
      <c r="C9" s="18" t="s">
        <v>6976</v>
      </c>
      <c r="D9" s="16"/>
      <c r="E9" s="18" t="s">
        <v>7042</v>
      </c>
      <c r="F9" s="16"/>
      <c r="G9" s="18" t="s">
        <v>6907</v>
      </c>
      <c r="H9" s="16"/>
      <c r="I9" s="18" t="s">
        <v>7489</v>
      </c>
      <c r="J9" s="16"/>
      <c r="K9" s="18" t="s">
        <v>7413</v>
      </c>
      <c r="L9" s="16"/>
      <c r="M9" s="18" t="s">
        <v>7042</v>
      </c>
      <c r="N9" s="16"/>
      <c r="O9" s="18" t="s">
        <v>7116</v>
      </c>
      <c r="P9" s="16"/>
      <c r="Q9" s="18" t="s">
        <v>7178</v>
      </c>
      <c r="R9" s="16"/>
      <c r="S9" s="18" t="s">
        <v>7268</v>
      </c>
      <c r="T9" s="20"/>
    </row>
    <row r="10" spans="1:20" ht="15.95" customHeight="1" x14ac:dyDescent="0.25">
      <c r="A10" s="18" t="s">
        <v>6832</v>
      </c>
      <c r="B10" s="16"/>
      <c r="C10" s="18" t="s">
        <v>6977</v>
      </c>
      <c r="D10" s="16"/>
      <c r="E10" s="18" t="s">
        <v>7340</v>
      </c>
      <c r="F10" s="16"/>
      <c r="G10" s="18" t="s">
        <v>6908</v>
      </c>
      <c r="H10" s="16"/>
      <c r="I10" s="18" t="s">
        <v>7490</v>
      </c>
      <c r="J10" s="16"/>
      <c r="K10" s="18" t="s">
        <v>7414</v>
      </c>
      <c r="L10" s="16"/>
      <c r="M10" s="18" t="s">
        <v>7043</v>
      </c>
      <c r="N10" s="16"/>
      <c r="O10" s="18" t="s">
        <v>7117</v>
      </c>
      <c r="P10" s="16"/>
      <c r="Q10" s="18" t="s">
        <v>7179</v>
      </c>
      <c r="R10" s="16"/>
      <c r="S10" s="18" t="s">
        <v>7269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7202</v>
      </c>
      <c r="T12" s="20"/>
    </row>
    <row r="13" spans="1:20" ht="15.95" customHeight="1" x14ac:dyDescent="0.25">
      <c r="A13" s="18" t="s">
        <v>6533</v>
      </c>
      <c r="B13" s="16"/>
      <c r="C13" s="18" t="s">
        <v>6589</v>
      </c>
      <c r="D13" s="16"/>
      <c r="E13" s="18" t="s">
        <v>6698</v>
      </c>
      <c r="F13" s="16"/>
      <c r="G13" s="18" t="s">
        <v>6561</v>
      </c>
      <c r="H13" s="16"/>
      <c r="I13" s="18" t="s">
        <v>6759</v>
      </c>
      <c r="J13" s="16"/>
      <c r="K13" s="18" t="s">
        <v>6728</v>
      </c>
      <c r="L13" s="16"/>
      <c r="M13" s="18" t="s">
        <v>6618</v>
      </c>
      <c r="N13" s="16"/>
      <c r="O13" s="18" t="s">
        <v>6648</v>
      </c>
      <c r="P13" s="16"/>
      <c r="Q13" s="18" t="s">
        <v>6671</v>
      </c>
      <c r="R13" s="16"/>
      <c r="S13" s="18" t="s">
        <v>7270</v>
      </c>
      <c r="T13" s="20"/>
    </row>
    <row r="14" spans="1:20" ht="15.95" customHeight="1" x14ac:dyDescent="0.25">
      <c r="A14" s="18" t="s">
        <v>6833</v>
      </c>
      <c r="B14" s="16"/>
      <c r="C14" s="18" t="s">
        <v>6833</v>
      </c>
      <c r="D14" s="16"/>
      <c r="E14" s="18" t="s">
        <v>7341</v>
      </c>
      <c r="F14" s="16"/>
      <c r="G14" s="18" t="s">
        <v>6909</v>
      </c>
      <c r="H14" s="16"/>
      <c r="I14" s="18" t="s">
        <v>7491</v>
      </c>
      <c r="J14" s="16"/>
      <c r="K14" s="18" t="s">
        <v>7415</v>
      </c>
      <c r="L14" s="16"/>
      <c r="M14" s="18" t="s">
        <v>6909</v>
      </c>
      <c r="N14" s="16"/>
      <c r="O14" s="18" t="s">
        <v>7118</v>
      </c>
      <c r="P14" s="16"/>
      <c r="Q14" s="18" t="s">
        <v>6833</v>
      </c>
      <c r="R14" s="16"/>
      <c r="S14" s="18" t="s">
        <v>7271</v>
      </c>
      <c r="T14" s="20"/>
    </row>
    <row r="15" spans="1:20" ht="15.95" customHeight="1" x14ac:dyDescent="0.25">
      <c r="A15" s="18" t="s">
        <v>6834</v>
      </c>
      <c r="B15" s="16"/>
      <c r="C15" s="18" t="s">
        <v>6978</v>
      </c>
      <c r="D15" s="16"/>
      <c r="E15" s="18" t="s">
        <v>7044</v>
      </c>
      <c r="F15" s="16"/>
      <c r="G15" s="18" t="s">
        <v>6834</v>
      </c>
      <c r="H15" s="16"/>
      <c r="I15" s="18" t="s">
        <v>7492</v>
      </c>
      <c r="J15" s="16"/>
      <c r="K15" s="18" t="s">
        <v>7416</v>
      </c>
      <c r="L15" s="16"/>
      <c r="M15" s="18" t="s">
        <v>7044</v>
      </c>
      <c r="N15" s="16"/>
      <c r="O15" s="18" t="s">
        <v>7119</v>
      </c>
      <c r="P15" s="16"/>
      <c r="Q15" s="18" t="s">
        <v>6834</v>
      </c>
      <c r="R15" s="16"/>
      <c r="S15" s="18" t="s">
        <v>7272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7205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6835</v>
      </c>
      <c r="B19" s="16"/>
      <c r="C19" s="18" t="s">
        <v>6979</v>
      </c>
      <c r="D19" s="16"/>
      <c r="E19" s="18" t="s">
        <v>7342</v>
      </c>
      <c r="F19" s="16"/>
      <c r="G19" s="18" t="s">
        <v>6910</v>
      </c>
      <c r="H19" s="16"/>
      <c r="I19" s="18" t="s">
        <v>7493</v>
      </c>
      <c r="J19" s="16"/>
      <c r="K19" s="18" t="s">
        <v>7417</v>
      </c>
      <c r="L19" s="16"/>
      <c r="M19" s="18" t="s">
        <v>7045</v>
      </c>
      <c r="N19" s="16"/>
      <c r="O19" s="18" t="s">
        <v>7120</v>
      </c>
      <c r="P19" s="16"/>
      <c r="Q19" s="18" t="s">
        <v>7180</v>
      </c>
      <c r="R19" s="16"/>
      <c r="S19" s="18" t="s">
        <v>7273</v>
      </c>
      <c r="T19" s="20"/>
    </row>
    <row r="20" spans="1:20" ht="15.95" customHeight="1" x14ac:dyDescent="0.25">
      <c r="A20" s="18" t="s">
        <v>6836</v>
      </c>
      <c r="B20" s="16"/>
      <c r="C20" s="18" t="s">
        <v>6980</v>
      </c>
      <c r="D20" s="16"/>
      <c r="E20" s="18" t="s">
        <v>7343</v>
      </c>
      <c r="F20" s="16"/>
      <c r="G20" s="18" t="s">
        <v>6911</v>
      </c>
      <c r="H20" s="16"/>
      <c r="I20" s="18" t="s">
        <v>7494</v>
      </c>
      <c r="J20" s="16"/>
      <c r="K20" s="18" t="s">
        <v>7418</v>
      </c>
      <c r="L20" s="16"/>
      <c r="M20" s="18" t="s">
        <v>7046</v>
      </c>
      <c r="N20" s="16"/>
      <c r="O20" s="18" t="s">
        <v>7121</v>
      </c>
      <c r="P20" s="16"/>
      <c r="Q20" s="18" t="s">
        <v>7181</v>
      </c>
      <c r="R20" s="16"/>
      <c r="S20" s="18" t="s">
        <v>7274</v>
      </c>
      <c r="T20" s="20"/>
    </row>
    <row r="21" spans="1:20" ht="15.95" customHeight="1" x14ac:dyDescent="0.25">
      <c r="A21" s="18" t="s">
        <v>6837</v>
      </c>
      <c r="B21" s="16"/>
      <c r="C21" s="18" t="s">
        <v>6981</v>
      </c>
      <c r="D21" s="16"/>
      <c r="E21" s="18" t="s">
        <v>7344</v>
      </c>
      <c r="F21" s="16"/>
      <c r="G21" s="18" t="s">
        <v>6912</v>
      </c>
      <c r="H21" s="16"/>
      <c r="I21" s="18" t="s">
        <v>7495</v>
      </c>
      <c r="J21" s="16"/>
      <c r="K21" s="18" t="s">
        <v>7419</v>
      </c>
      <c r="L21" s="16"/>
      <c r="M21" s="18" t="s">
        <v>7047</v>
      </c>
      <c r="N21" s="16"/>
      <c r="O21" s="18" t="s">
        <v>7122</v>
      </c>
      <c r="P21" s="16"/>
      <c r="Q21" s="18" t="s">
        <v>7182</v>
      </c>
      <c r="R21" s="16"/>
      <c r="S21" s="18" t="s">
        <v>7275</v>
      </c>
      <c r="T21" s="20"/>
    </row>
    <row r="22" spans="1:20" ht="15.95" customHeight="1" x14ac:dyDescent="0.25">
      <c r="A22" s="18" t="s">
        <v>6838</v>
      </c>
      <c r="B22" s="16"/>
      <c r="C22" s="18" t="s">
        <v>6982</v>
      </c>
      <c r="D22" s="16"/>
      <c r="E22" s="18" t="s">
        <v>7345</v>
      </c>
      <c r="F22" s="16"/>
      <c r="G22" s="18" t="s">
        <v>6913</v>
      </c>
      <c r="H22" s="16"/>
      <c r="I22" s="18" t="s">
        <v>7496</v>
      </c>
      <c r="J22" s="16"/>
      <c r="K22" s="18" t="s">
        <v>7420</v>
      </c>
      <c r="L22" s="16"/>
      <c r="M22" s="18" t="s">
        <v>7048</v>
      </c>
      <c r="N22" s="16"/>
      <c r="O22" s="18" t="s">
        <v>7123</v>
      </c>
      <c r="P22" s="16"/>
      <c r="Q22" s="18" t="s">
        <v>7183</v>
      </c>
      <c r="R22" s="16"/>
      <c r="S22" s="18" t="s">
        <v>7276</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4" stopIfTrue="1">
      <formula>NOT(ISERROR(A3))</formula>
    </cfRule>
  </conditionalFormatting>
  <conditionalFormatting sqref="A3:T7 A8 C8 E8 G8 I8 K8 M8 O8 Q8 S8 A9:T51">
    <cfRule type="notContainsBlanks" dxfId="101" priority="25">
      <formula>LEN(TRIM(A3))&gt;0</formula>
    </cfRule>
  </conditionalFormatting>
  <conditionalFormatting sqref="A3:T51">
    <cfRule type="containsErrors" dxfId="100" priority="1" stopIfTrue="1">
      <formula>ISERROR(A3)</formula>
    </cfRule>
  </conditionalFormatting>
  <conditionalFormatting sqref="B8">
    <cfRule type="notContainsBlanks" dxfId="99" priority="22">
      <formula>LEN(TRIM(B8))&gt;0</formula>
    </cfRule>
  </conditionalFormatting>
  <conditionalFormatting sqref="D8">
    <cfRule type="notContainsBlanks" dxfId="98" priority="20">
      <formula>LEN(TRIM(D8))&gt;0</formula>
    </cfRule>
  </conditionalFormatting>
  <conditionalFormatting sqref="F8">
    <cfRule type="notContainsBlanks" dxfId="97" priority="18">
      <formula>LEN(TRIM(F8))&gt;0</formula>
    </cfRule>
  </conditionalFormatting>
  <conditionalFormatting sqref="H8">
    <cfRule type="notContainsBlanks" dxfId="96" priority="16">
      <formula>LEN(TRIM(H8))&gt;0</formula>
    </cfRule>
  </conditionalFormatting>
  <conditionalFormatting sqref="J8">
    <cfRule type="notContainsBlanks" dxfId="95" priority="14">
      <formula>LEN(TRIM(J8))&gt;0</formula>
    </cfRule>
  </conditionalFormatting>
  <conditionalFormatting sqref="L8">
    <cfRule type="notContainsBlanks" dxfId="94" priority="12">
      <formula>LEN(TRIM(L8))&gt;0</formula>
    </cfRule>
  </conditionalFormatting>
  <conditionalFormatting sqref="N8">
    <cfRule type="notContainsBlanks" dxfId="93" priority="10">
      <formula>LEN(TRIM(N8))&gt;0</formula>
    </cfRule>
  </conditionalFormatting>
  <conditionalFormatting sqref="P8">
    <cfRule type="notContainsBlanks" dxfId="92" priority="8">
      <formula>LEN(TRIM(P8))&gt;0</formula>
    </cfRule>
  </conditionalFormatting>
  <conditionalFormatting sqref="R8">
    <cfRule type="notContainsBlanks" dxfId="91" priority="6">
      <formula>LEN(TRIM(R8))&gt;0</formula>
    </cfRule>
  </conditionalFormatting>
  <conditionalFormatting sqref="T8">
    <cfRule type="notContainsBlanks" dxfId="90"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6840</v>
      </c>
      <c r="B3" s="16" t="str">
        <f>TRIM(_xlfn.TEXTBEFORE(A3, ":"))</f>
        <v>Item Class</v>
      </c>
      <c r="C3" s="17" t="s">
        <v>6983</v>
      </c>
      <c r="D3" s="16" t="str">
        <f>TRIM(_xlfn.TEXTBEFORE(C3, ":"))</f>
        <v>Gegenstandsklasse</v>
      </c>
      <c r="E3" s="17" t="s">
        <v>7346</v>
      </c>
      <c r="F3" s="16" t="str">
        <f>TRIM(_xlfn.TEXTBEFORE(E3, ":"))</f>
        <v>Clase de objeto</v>
      </c>
      <c r="G3" s="17" t="s">
        <v>6914</v>
      </c>
      <c r="H3" s="16" t="str">
        <f>TRIM(_xlfn.TEXTBEFORE(G3, ":"))</f>
        <v>Classe d'objet</v>
      </c>
      <c r="I3" s="17" t="s">
        <v>7497</v>
      </c>
      <c r="J3" s="16" t="str">
        <f>TRIM(_xlfn.TEXTBEFORE(I3, ":"))</f>
        <v>アイテムクラス</v>
      </c>
      <c r="K3" s="17" t="s">
        <v>7421</v>
      </c>
      <c r="L3" s="16" t="str">
        <f>TRIM(_xlfn.TEXTBEFORE(K3, ":"))</f>
        <v>아이템 종류</v>
      </c>
      <c r="M3" s="17" t="s">
        <v>7049</v>
      </c>
      <c r="N3" s="16" t="str">
        <f>TRIM(_xlfn.TEXTBEFORE(M3, ":"))</f>
        <v>Classe do Item</v>
      </c>
      <c r="O3" s="17" t="s">
        <v>7124</v>
      </c>
      <c r="P3" s="16" t="str">
        <f>TRIM(_xlfn.TEXTBEFORE(O3, ":"))</f>
        <v>Класс предмета</v>
      </c>
      <c r="Q3" s="17" t="s">
        <v>7184</v>
      </c>
      <c r="R3" s="16" t="str">
        <f>TRIM(_xlfn.TEXTBEFORE(Q3, ":"))</f>
        <v>ชนิดไอเทม</v>
      </c>
      <c r="S3" s="17" t="s">
        <v>7277</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7216</v>
      </c>
      <c r="T4" s="20" t="str">
        <f>TRIM(_xlfn.TEXTAFTER(S3, ":"))</f>
        <v>裂痕石</v>
      </c>
    </row>
    <row r="5" spans="1:20" ht="15.95" customHeight="1" x14ac:dyDescent="0.25">
      <c r="A5" s="18" t="s">
        <v>6841</v>
      </c>
      <c r="B5" s="16" t="str">
        <f>TRIM(_xlfn.TEXTBEFORE(A4, ":"))</f>
        <v>Rarity</v>
      </c>
      <c r="C5" s="18" t="s">
        <v>6984</v>
      </c>
      <c r="D5" s="16" t="str">
        <f>TRIM(_xlfn.TEXTBEFORE(C4, ":"))</f>
        <v>Seltenheit</v>
      </c>
      <c r="E5" s="18" t="s">
        <v>7347</v>
      </c>
      <c r="F5" s="16" t="str">
        <f>TRIM(_xlfn.TEXTBEFORE(E4, ":"))</f>
        <v>Rareza</v>
      </c>
      <c r="G5" s="18" t="s">
        <v>6915</v>
      </c>
      <c r="H5" s="16" t="str">
        <f>TRIM(_xlfn.TEXTBEFORE(G4, ":"))</f>
        <v>Rareté</v>
      </c>
      <c r="I5" s="18" t="s">
        <v>7498</v>
      </c>
      <c r="J5" s="16" t="str">
        <f>TRIM(_xlfn.TEXTBEFORE(I4, ":"))</f>
        <v>レアリティ</v>
      </c>
      <c r="K5" s="18" t="s">
        <v>7422</v>
      </c>
      <c r="L5" s="16" t="str">
        <f>TRIM(_xlfn.TEXTBEFORE(K4, ":"))</f>
        <v>아이템 희귀도</v>
      </c>
      <c r="M5" s="18" t="s">
        <v>7050</v>
      </c>
      <c r="N5" s="16" t="str">
        <f>TRIM(_xlfn.TEXTBEFORE(M4, ":"))</f>
        <v>Raridade</v>
      </c>
      <c r="O5" s="18" t="s">
        <v>7125</v>
      </c>
      <c r="P5" s="16" t="str">
        <f>TRIM(_xlfn.TEXTBEFORE(O4, ":"))</f>
        <v>Редкость</v>
      </c>
      <c r="Q5" s="18" t="s">
        <v>7185</v>
      </c>
      <c r="R5" s="16" t="str">
        <f>TRIM(_xlfn.TEXTBEFORE(Q4, ":"))</f>
        <v>ความหายาก</v>
      </c>
      <c r="S5" s="18" t="s">
        <v>7278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6842</v>
      </c>
      <c r="B7" s="16"/>
      <c r="C7" s="18" t="s">
        <v>6985</v>
      </c>
      <c r="D7" s="16"/>
      <c r="E7" s="18" t="s">
        <v>7348</v>
      </c>
      <c r="F7" s="16"/>
      <c r="G7" s="18" t="s">
        <v>6916</v>
      </c>
      <c r="H7" s="16"/>
      <c r="I7" s="18" t="s">
        <v>7499</v>
      </c>
      <c r="J7" s="16"/>
      <c r="K7" s="18" t="s">
        <v>7423</v>
      </c>
      <c r="L7" s="16"/>
      <c r="M7" s="18" t="s">
        <v>7051</v>
      </c>
      <c r="N7" s="16"/>
      <c r="O7" s="18" t="s">
        <v>7126</v>
      </c>
      <c r="P7" s="16"/>
      <c r="Q7" s="18" t="s">
        <v>7186</v>
      </c>
      <c r="R7" s="16"/>
      <c r="S7" s="18" t="s">
        <v>7279</v>
      </c>
      <c r="T7" s="20"/>
    </row>
    <row r="8" spans="1:20" ht="15.95" customHeight="1" x14ac:dyDescent="0.25">
      <c r="A8" s="18" t="s">
        <v>6843</v>
      </c>
      <c r="B8" s="16"/>
      <c r="C8" s="18" t="s">
        <v>4</v>
      </c>
      <c r="D8" s="16"/>
      <c r="E8" s="18" t="s">
        <v>7349</v>
      </c>
      <c r="F8" s="16"/>
      <c r="G8" s="18" t="s">
        <v>6917</v>
      </c>
      <c r="H8" s="16"/>
      <c r="I8" s="18" t="s">
        <v>7500</v>
      </c>
      <c r="J8" s="16"/>
      <c r="K8" s="18" t="s">
        <v>7424</v>
      </c>
      <c r="L8" s="16"/>
      <c r="M8" s="18" t="s">
        <v>7052</v>
      </c>
      <c r="N8" s="16"/>
      <c r="O8" s="18" t="s">
        <v>7127</v>
      </c>
      <c r="P8" s="16"/>
      <c r="Q8" s="18" t="s">
        <v>7187</v>
      </c>
      <c r="R8" s="16"/>
      <c r="S8" s="18" t="s">
        <v>7280</v>
      </c>
      <c r="T8" s="20"/>
    </row>
    <row r="9" spans="1:20" ht="15.95" customHeight="1" x14ac:dyDescent="0.25">
      <c r="A9" s="18" t="s">
        <v>4</v>
      </c>
      <c r="B9" s="16"/>
      <c r="C9" s="18" t="s">
        <v>6986</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6844</v>
      </c>
      <c r="B10" s="16"/>
      <c r="C10" s="18"/>
      <c r="D10" s="16"/>
      <c r="E10" s="18" t="s">
        <v>7350</v>
      </c>
      <c r="F10" s="16"/>
      <c r="G10" s="18" t="s">
        <v>6918</v>
      </c>
      <c r="H10" s="16"/>
      <c r="I10" s="18" t="s">
        <v>7501</v>
      </c>
      <c r="J10" s="16"/>
      <c r="K10" s="18" t="s">
        <v>7425</v>
      </c>
      <c r="L10" s="16"/>
      <c r="M10" s="18" t="s">
        <v>7053</v>
      </c>
      <c r="N10" s="16"/>
      <c r="O10" s="18" t="s">
        <v>7128</v>
      </c>
      <c r="P10" s="16"/>
      <c r="Q10" s="18" t="s">
        <v>7188</v>
      </c>
      <c r="R10" s="16"/>
      <c r="S10" s="18" t="s">
        <v>7281</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6845</v>
      </c>
      <c r="B3" s="16" t="str">
        <f>TRIM(_xlfn.TEXTBEFORE(A3, ":"))</f>
        <v>Item Class</v>
      </c>
      <c r="C3" s="17" t="s">
        <v>6987</v>
      </c>
      <c r="D3" s="16" t="str">
        <f>TRIM(_xlfn.TEXTBEFORE(C3, ":"))</f>
        <v>Gegenstandsklasse</v>
      </c>
      <c r="E3" s="17" t="s">
        <v>7351</v>
      </c>
      <c r="F3" s="16" t="str">
        <f>TRIM(_xlfn.TEXTBEFORE(E3, ":"))</f>
        <v>Clase de objeto</v>
      </c>
      <c r="G3" s="17" t="s">
        <v>6919</v>
      </c>
      <c r="H3" s="16" t="str">
        <f>TRIM(_xlfn.TEXTBEFORE(G3, ":"))</f>
        <v>Classe d'objet</v>
      </c>
      <c r="I3" s="17" t="s">
        <v>7502</v>
      </c>
      <c r="J3" s="16" t="str">
        <f>TRIM(_xlfn.TEXTBEFORE(I3, ":"))</f>
        <v>アイテムクラス</v>
      </c>
      <c r="K3" s="17" t="s">
        <v>7426</v>
      </c>
      <c r="L3" s="16" t="str">
        <f>TRIM(_xlfn.TEXTBEFORE(K3, ":"))</f>
        <v>아이템 종류</v>
      </c>
      <c r="M3" s="17" t="s">
        <v>7054</v>
      </c>
      <c r="N3" s="16" t="str">
        <f>TRIM(_xlfn.TEXTBEFORE(M3, ":"))</f>
        <v>Classe do Item</v>
      </c>
      <c r="O3" s="17" t="s">
        <v>7129</v>
      </c>
      <c r="P3" s="16" t="str">
        <f>TRIM(_xlfn.TEXTBEFORE(O3, ":"))</f>
        <v>Класс предмета</v>
      </c>
      <c r="Q3" s="17" t="s">
        <v>7189</v>
      </c>
      <c r="R3" s="16" t="str">
        <f>TRIM(_xlfn.TEXTBEFORE(Q3, ":"))</f>
        <v>ชนิดไอเทม</v>
      </c>
      <c r="S3" s="17" t="s">
        <v>7282</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7209</v>
      </c>
      <c r="T4" s="20" t="str">
        <f>TRIM(_xlfn.TEXTAFTER(S3, ":"))</f>
        <v>巔峰鑰匙</v>
      </c>
    </row>
    <row r="5" spans="1:20" ht="15.95" customHeight="1" x14ac:dyDescent="0.25">
      <c r="A5" s="18" t="s">
        <v>6846</v>
      </c>
      <c r="B5" s="16" t="str">
        <f>TRIM(_xlfn.TEXTBEFORE(A4, ":"))</f>
        <v>Rarity</v>
      </c>
      <c r="C5" s="18" t="s">
        <v>6988</v>
      </c>
      <c r="D5" s="16" t="str">
        <f>TRIM(_xlfn.TEXTBEFORE(C4, ":"))</f>
        <v>Seltenheit</v>
      </c>
      <c r="E5" s="18" t="s">
        <v>7352</v>
      </c>
      <c r="F5" s="16" t="str">
        <f>TRIM(_xlfn.TEXTBEFORE(E4, ":"))</f>
        <v>Rareza</v>
      </c>
      <c r="G5" s="18" t="s">
        <v>6920</v>
      </c>
      <c r="H5" s="16" t="str">
        <f>TRIM(_xlfn.TEXTBEFORE(G4, ":"))</f>
        <v>Rareté</v>
      </c>
      <c r="I5" s="18" t="s">
        <v>7503</v>
      </c>
      <c r="J5" s="16" t="str">
        <f>TRIM(_xlfn.TEXTBEFORE(I4, ":"))</f>
        <v>レアリティ</v>
      </c>
      <c r="K5" s="18" t="s">
        <v>7427</v>
      </c>
      <c r="L5" s="16" t="str">
        <f>TRIM(_xlfn.TEXTBEFORE(K4, ":"))</f>
        <v>아이템 희귀도</v>
      </c>
      <c r="M5" s="18" t="s">
        <v>7055</v>
      </c>
      <c r="N5" s="16" t="str">
        <f>TRIM(_xlfn.TEXTBEFORE(M4, ":"))</f>
        <v>Raridade</v>
      </c>
      <c r="O5" s="18" t="s">
        <v>6846</v>
      </c>
      <c r="P5" s="16" t="str">
        <f>TRIM(_xlfn.TEXTBEFORE(O4, ":"))</f>
        <v>Редкость</v>
      </c>
      <c r="Q5" s="18" t="s">
        <v>7190</v>
      </c>
      <c r="R5" s="16" t="str">
        <f>TRIM(_xlfn.TEXTBEFORE(Q4, ":"))</f>
        <v>ความหายาก</v>
      </c>
      <c r="S5" s="18" t="s">
        <v>7283</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6847</v>
      </c>
      <c r="B7" s="16"/>
      <c r="C7" s="18" t="s">
        <v>6989</v>
      </c>
      <c r="D7" s="16"/>
      <c r="E7" s="18" t="s">
        <v>7353</v>
      </c>
      <c r="F7" s="16"/>
      <c r="G7" s="18" t="s">
        <v>6921</v>
      </c>
      <c r="H7" s="16"/>
      <c r="I7" s="18" t="s">
        <v>7504</v>
      </c>
      <c r="J7" s="16"/>
      <c r="K7" s="18" t="s">
        <v>7428</v>
      </c>
      <c r="L7" s="16"/>
      <c r="M7" s="18" t="s">
        <v>7056</v>
      </c>
      <c r="N7" s="16"/>
      <c r="O7" s="18" t="s">
        <v>7130</v>
      </c>
      <c r="P7" s="16"/>
      <c r="Q7" s="18" t="s">
        <v>7191</v>
      </c>
      <c r="R7" s="16"/>
      <c r="S7" s="18" t="s">
        <v>7284</v>
      </c>
      <c r="T7" s="20"/>
    </row>
    <row r="8" spans="1:20" ht="15.95" customHeight="1" x14ac:dyDescent="0.25">
      <c r="A8" s="18" t="s">
        <v>4</v>
      </c>
      <c r="B8" s="16"/>
      <c r="C8" s="18" t="s">
        <v>4</v>
      </c>
      <c r="D8" s="16"/>
      <c r="E8" s="18" t="s">
        <v>4</v>
      </c>
      <c r="F8" s="16"/>
      <c r="G8" s="18" t="s">
        <v>4</v>
      </c>
      <c r="H8" s="16"/>
      <c r="I8" s="18" t="s">
        <v>4</v>
      </c>
      <c r="J8" s="16"/>
      <c r="K8" s="18" t="s">
        <v>4</v>
      </c>
      <c r="L8" s="16"/>
      <c r="M8" s="18" t="s">
        <v>7057</v>
      </c>
      <c r="N8" s="16"/>
      <c r="O8" s="18" t="s">
        <v>4</v>
      </c>
      <c r="P8" s="16"/>
      <c r="Q8" s="18" t="s">
        <v>4</v>
      </c>
      <c r="R8" s="16"/>
      <c r="S8" s="18" t="s">
        <v>4</v>
      </c>
      <c r="T8" s="20"/>
    </row>
    <row r="9" spans="1:20" ht="15.95" customHeight="1" x14ac:dyDescent="0.25">
      <c r="A9" s="18" t="s">
        <v>6848</v>
      </c>
      <c r="B9" s="16"/>
      <c r="C9" s="18" t="s">
        <v>6990</v>
      </c>
      <c r="D9" s="16"/>
      <c r="E9" s="18" t="s">
        <v>7354</v>
      </c>
      <c r="F9" s="16"/>
      <c r="G9" s="18" t="s">
        <v>6922</v>
      </c>
      <c r="H9" s="16"/>
      <c r="I9" s="18" t="s">
        <v>7505</v>
      </c>
      <c r="J9" s="16"/>
      <c r="K9" s="18" t="s">
        <v>7429</v>
      </c>
      <c r="L9" s="16"/>
      <c r="M9" s="18" t="s">
        <v>4</v>
      </c>
      <c r="N9" s="16"/>
      <c r="O9" s="18" t="s">
        <v>7131</v>
      </c>
      <c r="P9" s="16"/>
      <c r="Q9" s="18" t="s">
        <v>7192</v>
      </c>
      <c r="R9" s="16"/>
      <c r="S9" s="18" t="s">
        <v>7285</v>
      </c>
      <c r="T9" s="20"/>
    </row>
    <row r="10" spans="1:20" ht="15.95" customHeight="1" x14ac:dyDescent="0.25">
      <c r="A10" s="18"/>
      <c r="B10" s="16"/>
      <c r="C10" s="18"/>
      <c r="D10" s="16"/>
      <c r="E10" s="18"/>
      <c r="F10" s="16"/>
      <c r="G10" s="18"/>
      <c r="H10" s="16"/>
      <c r="I10" s="18"/>
      <c r="J10" s="16"/>
      <c r="K10" s="18"/>
      <c r="L10" s="16"/>
      <c r="M10" s="18" t="s">
        <v>7058</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 stopIfTrue="1">
      <formula>NOT(ISERROR(A3))</formula>
    </cfRule>
  </conditionalFormatting>
  <conditionalFormatting sqref="A3:T51">
    <cfRule type="containsErrors" dxfId="85" priority="1" stopIfTrue="1">
      <formula>ISERROR(A3)</formula>
    </cfRule>
    <cfRule type="notContainsBlanks" dxfId="84"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6849</v>
      </c>
      <c r="B3" s="16" t="str">
        <f>TRIM(_xlfn.TEXTBEFORE(A3, ":"))</f>
        <v>Item Class</v>
      </c>
      <c r="C3" s="17" t="s">
        <v>6991</v>
      </c>
      <c r="D3" s="16" t="str">
        <f>TRIM(_xlfn.TEXTBEFORE(C3, ":"))</f>
        <v>Gegenstandsklasse</v>
      </c>
      <c r="E3" s="17" t="s">
        <v>7355</v>
      </c>
      <c r="F3" s="16" t="str">
        <f>TRIM(_xlfn.TEXTBEFORE(E3, ":"))</f>
        <v>Clase de objeto</v>
      </c>
      <c r="G3" s="17" t="s">
        <v>6923</v>
      </c>
      <c r="H3" s="16" t="str">
        <f>TRIM(_xlfn.TEXTBEFORE(G3, ":"))</f>
        <v>Classe d'objet</v>
      </c>
      <c r="I3" s="17" t="s">
        <v>7506</v>
      </c>
      <c r="J3" s="16" t="str">
        <f>TRIM(_xlfn.TEXTBEFORE(I3, ":"))</f>
        <v>アイテムクラス</v>
      </c>
      <c r="K3" s="17" t="s">
        <v>7430</v>
      </c>
      <c r="L3" s="16" t="str">
        <f>TRIM(_xlfn.TEXTBEFORE(K3, ":"))</f>
        <v>아이템 종류</v>
      </c>
      <c r="M3" s="17" t="s">
        <v>7059</v>
      </c>
      <c r="N3" s="16" t="str">
        <f>TRIM(_xlfn.TEXTBEFORE(M3, ":"))</f>
        <v>Classe do Item</v>
      </c>
      <c r="O3" s="17" t="s">
        <v>7132</v>
      </c>
      <c r="P3" s="16" t="str">
        <f>TRIM(_xlfn.TEXTBEFORE(O3, ":"))</f>
        <v>Класс предмета</v>
      </c>
      <c r="Q3" s="17" t="s">
        <v>7193</v>
      </c>
      <c r="R3" s="16" t="str">
        <f>TRIM(_xlfn.TEXTBEFORE(Q3, ":"))</f>
        <v>ชนิดไอเทม</v>
      </c>
      <c r="S3" s="17" t="s">
        <v>7286</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7209</v>
      </c>
      <c r="T4" s="20" t="str">
        <f>TRIM(_xlfn.TEXTAFTER(S3, ":"))</f>
        <v>預兆</v>
      </c>
    </row>
    <row r="5" spans="1:20" ht="15.95" customHeight="1" x14ac:dyDescent="0.25">
      <c r="A5" s="18" t="s">
        <v>6850</v>
      </c>
      <c r="B5" s="16" t="str">
        <f>TRIM(_xlfn.TEXTBEFORE(A4, ":"))</f>
        <v>Rarity</v>
      </c>
      <c r="C5" s="18" t="s">
        <v>6992</v>
      </c>
      <c r="D5" s="16" t="str">
        <f>TRIM(_xlfn.TEXTBEFORE(C4, ":"))</f>
        <v>Seltenheit</v>
      </c>
      <c r="E5" s="18" t="s">
        <v>7356</v>
      </c>
      <c r="F5" s="16" t="str">
        <f>TRIM(_xlfn.TEXTBEFORE(E4, ":"))</f>
        <v>Rareza</v>
      </c>
      <c r="G5" s="18" t="s">
        <v>6924</v>
      </c>
      <c r="H5" s="16" t="str">
        <f>TRIM(_xlfn.TEXTBEFORE(G4, ":"))</f>
        <v>Rareté</v>
      </c>
      <c r="I5" s="18" t="s">
        <v>7507</v>
      </c>
      <c r="J5" s="16" t="str">
        <f>TRIM(_xlfn.TEXTBEFORE(I4, ":"))</f>
        <v>レアリティ</v>
      </c>
      <c r="K5" s="18" t="s">
        <v>7431</v>
      </c>
      <c r="L5" s="16" t="str">
        <f>TRIM(_xlfn.TEXTBEFORE(K4, ":"))</f>
        <v>아이템 희귀도</v>
      </c>
      <c r="M5" s="18" t="s">
        <v>7060</v>
      </c>
      <c r="N5" s="16" t="str">
        <f>TRIM(_xlfn.TEXTBEFORE(M4, ":"))</f>
        <v>Raridade</v>
      </c>
      <c r="O5" s="18" t="s">
        <v>6850</v>
      </c>
      <c r="P5" s="16" t="str">
        <f>TRIM(_xlfn.TEXTBEFORE(O4, ":"))</f>
        <v>Редкость</v>
      </c>
      <c r="Q5" s="18" t="s">
        <v>7194</v>
      </c>
      <c r="R5" s="16" t="str">
        <f>TRIM(_xlfn.TEXTBEFORE(Q4, ":"))</f>
        <v>ความหายาก</v>
      </c>
      <c r="S5" s="18" t="s">
        <v>7287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6851</v>
      </c>
      <c r="B7" s="16"/>
      <c r="C7" s="18" t="s">
        <v>6993</v>
      </c>
      <c r="D7" s="16"/>
      <c r="E7" s="18" t="s">
        <v>7357</v>
      </c>
      <c r="F7" s="16"/>
      <c r="G7" s="18" t="s">
        <v>6925</v>
      </c>
      <c r="H7" s="16"/>
      <c r="I7" s="18" t="s">
        <v>7508</v>
      </c>
      <c r="J7" s="16"/>
      <c r="K7" s="18" t="s">
        <v>7432</v>
      </c>
      <c r="L7" s="16"/>
      <c r="M7" s="18" t="s">
        <v>7061</v>
      </c>
      <c r="N7" s="16"/>
      <c r="O7" s="18" t="s">
        <v>7133</v>
      </c>
      <c r="P7" s="16"/>
      <c r="Q7" s="18" t="s">
        <v>7195</v>
      </c>
      <c r="R7" s="16"/>
      <c r="S7" s="18" t="s">
        <v>7288</v>
      </c>
      <c r="T7" s="20"/>
    </row>
    <row r="8" spans="1:20" ht="15.95" customHeight="1" x14ac:dyDescent="0.25">
      <c r="A8" s="18" t="s">
        <v>6852</v>
      </c>
      <c r="B8" s="16"/>
      <c r="C8" s="18" t="s">
        <v>6994</v>
      </c>
      <c r="D8" s="16"/>
      <c r="E8" s="18" t="s">
        <v>7358</v>
      </c>
      <c r="F8" s="16"/>
      <c r="G8" s="18" t="s">
        <v>6926</v>
      </c>
      <c r="H8" s="16"/>
      <c r="I8" s="18" t="s">
        <v>7509</v>
      </c>
      <c r="J8" s="16"/>
      <c r="K8" s="18" t="s">
        <v>7433</v>
      </c>
      <c r="L8" s="16"/>
      <c r="M8" s="18" t="s">
        <v>7062</v>
      </c>
      <c r="N8" s="16"/>
      <c r="O8" s="18" t="s">
        <v>7134</v>
      </c>
      <c r="P8" s="16"/>
      <c r="Q8" s="18" t="s">
        <v>7196</v>
      </c>
      <c r="R8" s="16"/>
      <c r="S8" s="18" t="s">
        <v>7289</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6853</v>
      </c>
      <c r="B10" s="16"/>
      <c r="C10" s="18" t="s">
        <v>6995</v>
      </c>
      <c r="D10" s="16"/>
      <c r="E10" s="18" t="s">
        <v>7359</v>
      </c>
      <c r="F10" s="16"/>
      <c r="G10" s="18" t="s">
        <v>6927</v>
      </c>
      <c r="H10" s="16"/>
      <c r="I10" s="18" t="s">
        <v>7510</v>
      </c>
      <c r="J10" s="16"/>
      <c r="K10" s="18" t="s">
        <v>7434</v>
      </c>
      <c r="L10" s="16"/>
      <c r="M10" s="18" t="s">
        <v>7063</v>
      </c>
      <c r="N10" s="16"/>
      <c r="O10" s="18" t="s">
        <v>7135</v>
      </c>
      <c r="P10" s="16"/>
      <c r="Q10" s="18" t="s">
        <v>7197</v>
      </c>
      <c r="R10" s="16"/>
      <c r="S10" s="18" t="s">
        <v>7290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2" stopIfTrue="1">
      <formula>NOT(ISERROR(A3))</formula>
    </cfRule>
  </conditionalFormatting>
  <conditionalFormatting sqref="A3:T51">
    <cfRule type="containsErrors" dxfId="82" priority="1" stopIfTrue="1">
      <formula>ISERROR(A3)</formula>
    </cfRule>
    <cfRule type="notContainsBlanks" dxfId="81"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7542</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7554</v>
      </c>
      <c r="P5" s="16" t="str">
        <f>TRIM(_xlfn.TEXTBEFORE(O4, ":"))</f>
        <v>Редкость</v>
      </c>
      <c r="Q5" s="18"/>
      <c r="R5" s="16" t="e">
        <f>TRIM(_xlfn.TEXTBEFORE(Q4, ":"))</f>
        <v>#N/A</v>
      </c>
      <c r="S5" s="18"/>
      <c r="T5" s="20" t="e">
        <f>TRIM(_xlfn.TEXTBEFORE(S4, ":"))</f>
        <v>#N/A</v>
      </c>
    </row>
    <row r="6" spans="1:20" ht="15.95" customHeight="1" x14ac:dyDescent="0.25">
      <c r="A6" s="18" t="s">
        <v>7543</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7555</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7544</v>
      </c>
      <c r="B9" s="16" t="str">
        <f>TRIM(_xlfn.TEXTBEFORE(A9,":"))</f>
        <v>Energy Shield</v>
      </c>
      <c r="C9" s="18"/>
      <c r="D9" s="16" t="str">
        <f>""</f>
        <v/>
      </c>
      <c r="E9" s="18"/>
      <c r="F9" s="16" t="str">
        <f>""</f>
        <v/>
      </c>
      <c r="G9" s="18"/>
      <c r="H9" s="16" t="str">
        <f>""</f>
        <v/>
      </c>
      <c r="I9" s="18"/>
      <c r="J9" s="16" t="str">
        <f>""</f>
        <v/>
      </c>
      <c r="K9" s="18"/>
      <c r="L9" s="16" t="str">
        <f>""</f>
        <v/>
      </c>
      <c r="M9" s="18"/>
      <c r="N9" s="16" t="str">
        <f>""</f>
        <v/>
      </c>
      <c r="O9" s="18" t="s">
        <v>7556</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7545</v>
      </c>
      <c r="B13" s="16"/>
      <c r="C13" s="18"/>
      <c r="D13" s="16"/>
      <c r="E13" s="18"/>
      <c r="F13" s="16"/>
      <c r="G13" s="18"/>
      <c r="H13" s="16"/>
      <c r="I13" s="18"/>
      <c r="J13" s="16"/>
      <c r="K13" s="18"/>
      <c r="L13" s="16"/>
      <c r="M13" s="18"/>
      <c r="N13" s="16"/>
      <c r="O13" s="18" t="s">
        <v>7557</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7546</v>
      </c>
      <c r="B15" s="16"/>
      <c r="C15" s="18"/>
      <c r="D15" s="16"/>
      <c r="E15" s="18"/>
      <c r="F15" s="16"/>
      <c r="G15" s="18"/>
      <c r="H15" s="16"/>
      <c r="I15" s="18"/>
      <c r="J15" s="16"/>
      <c r="K15" s="18"/>
      <c r="L15" s="16"/>
      <c r="M15" s="18"/>
      <c r="N15" s="16"/>
      <c r="O15" s="18" t="s">
        <v>7558</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7547</v>
      </c>
      <c r="B19" s="16"/>
      <c r="C19" s="18"/>
      <c r="D19" s="16"/>
      <c r="E19" s="18"/>
      <c r="F19" s="16"/>
      <c r="G19" s="18"/>
      <c r="H19" s="16"/>
      <c r="I19" s="18"/>
      <c r="J19" s="16"/>
      <c r="K19" s="18"/>
      <c r="L19" s="16"/>
      <c r="M19" s="18"/>
      <c r="N19" s="16"/>
      <c r="O19" s="18" t="s">
        <v>7559</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7548</v>
      </c>
      <c r="B21" s="16"/>
      <c r="C21" s="18"/>
      <c r="D21" s="16"/>
      <c r="E21" s="18"/>
      <c r="F21" s="16"/>
      <c r="G21" s="18"/>
      <c r="H21" s="16"/>
      <c r="I21" s="18"/>
      <c r="J21" s="16"/>
      <c r="K21" s="18"/>
      <c r="L21" s="16"/>
      <c r="M21" s="18"/>
      <c r="N21" s="16"/>
      <c r="O21" s="18" t="s">
        <v>7560</v>
      </c>
      <c r="P21" s="16"/>
      <c r="Q21" s="18"/>
      <c r="R21" s="16"/>
      <c r="S21" s="18"/>
      <c r="T21" s="20"/>
    </row>
    <row r="22" spans="1:20" ht="15.95" customHeight="1" x14ac:dyDescent="0.25">
      <c r="A22" s="18" t="s">
        <v>7549</v>
      </c>
      <c r="B22" s="16"/>
      <c r="C22" s="18"/>
      <c r="D22" s="16"/>
      <c r="E22" s="18"/>
      <c r="F22" s="16"/>
      <c r="G22" s="18"/>
      <c r="H22" s="16"/>
      <c r="I22" s="18"/>
      <c r="J22" s="16"/>
      <c r="K22" s="18"/>
      <c r="L22" s="16"/>
      <c r="M22" s="18"/>
      <c r="N22" s="16"/>
      <c r="O22" s="18" t="s">
        <v>7561</v>
      </c>
      <c r="P22" s="16"/>
      <c r="Q22" s="18"/>
      <c r="R22" s="16"/>
      <c r="S22" s="18"/>
      <c r="T22" s="20"/>
    </row>
    <row r="23" spans="1:20" ht="15.95" customHeight="1" x14ac:dyDescent="0.25">
      <c r="A23" s="18" t="s">
        <v>7550</v>
      </c>
      <c r="B23" s="16"/>
      <c r="C23" s="18"/>
      <c r="D23" s="16"/>
      <c r="E23" s="18"/>
      <c r="F23" s="16"/>
      <c r="G23" s="18"/>
      <c r="H23" s="16"/>
      <c r="I23" s="18"/>
      <c r="J23" s="16"/>
      <c r="K23" s="18"/>
      <c r="L23" s="16"/>
      <c r="M23" s="18"/>
      <c r="N23" s="16"/>
      <c r="O23" s="18" t="s">
        <v>7562</v>
      </c>
      <c r="P23" s="16"/>
      <c r="Q23" s="18"/>
      <c r="R23" s="16"/>
      <c r="S23" s="18"/>
      <c r="T23" s="20"/>
    </row>
    <row r="24" spans="1:20" ht="15.95" customHeight="1" x14ac:dyDescent="0.25">
      <c r="A24" s="18" t="s">
        <v>7551</v>
      </c>
      <c r="B24" s="16"/>
      <c r="C24" s="18"/>
      <c r="D24" s="16"/>
      <c r="E24" s="18"/>
      <c r="F24" s="16"/>
      <c r="G24" s="18"/>
      <c r="H24" s="16"/>
      <c r="I24" s="18"/>
      <c r="J24" s="16"/>
      <c r="K24" s="18"/>
      <c r="L24" s="16"/>
      <c r="M24" s="18"/>
      <c r="N24" s="16"/>
      <c r="O24" s="18" t="s">
        <v>7563</v>
      </c>
      <c r="P24" s="16"/>
      <c r="Q24" s="18"/>
      <c r="R24" s="16"/>
      <c r="S24" s="18"/>
      <c r="T24" s="20"/>
    </row>
    <row r="25" spans="1:20" ht="15.95" customHeight="1" x14ac:dyDescent="0.25">
      <c r="A25" s="18" t="s">
        <v>7552</v>
      </c>
      <c r="B25" s="16"/>
      <c r="C25" s="18"/>
      <c r="D25" s="16"/>
      <c r="E25" s="18"/>
      <c r="F25" s="16"/>
      <c r="G25" s="18"/>
      <c r="H25" s="16"/>
      <c r="I25" s="18"/>
      <c r="J25" s="16"/>
      <c r="K25" s="18"/>
      <c r="L25" s="16"/>
      <c r="M25" s="18"/>
      <c r="N25" s="16"/>
      <c r="O25" s="18" t="s">
        <v>7564</v>
      </c>
      <c r="P25" s="16"/>
      <c r="Q25" s="18"/>
      <c r="R25" s="16"/>
      <c r="S25" s="18"/>
      <c r="T25" s="20"/>
    </row>
    <row r="26" spans="1:20" ht="15.95" customHeight="1" x14ac:dyDescent="0.25">
      <c r="A26" s="18" t="s">
        <v>7553</v>
      </c>
      <c r="B26" s="16"/>
      <c r="C26" s="18"/>
      <c r="D26" s="16"/>
      <c r="E26" s="18"/>
      <c r="F26" s="16"/>
      <c r="G26" s="18"/>
      <c r="H26" s="16"/>
      <c r="I26" s="18"/>
      <c r="J26" s="16"/>
      <c r="K26" s="18"/>
      <c r="L26" s="16"/>
      <c r="M26" s="18"/>
      <c r="N26" s="16"/>
      <c r="O26" s="18" t="s">
        <v>7565</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0" priority="6" stopIfTrue="1">
      <formula>NOT(ISERROR(A3))</formula>
    </cfRule>
  </conditionalFormatting>
  <conditionalFormatting sqref="A3:T8 A9 C9:O9 Q9:T9 A10:T51">
    <cfRule type="notContainsBlanks" dxfId="79" priority="7">
      <formula>LEN(TRIM(A3))&gt;0</formula>
    </cfRule>
  </conditionalFormatting>
  <conditionalFormatting sqref="A3:T51">
    <cfRule type="containsErrors" dxfId="78" priority="1" stopIfTrue="1">
      <formula>ISERROR(A3)</formula>
    </cfRule>
  </conditionalFormatting>
  <conditionalFormatting sqref="B9">
    <cfRule type="notContainsBlanks" dxfId="77" priority="4">
      <formula>LEN(TRIM(B9))&gt;0</formula>
    </cfRule>
  </conditionalFormatting>
  <conditionalFormatting sqref="P9">
    <cfRule type="notContainsBlanks" dxfId="76"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7592</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7199</v>
      </c>
      <c r="T4" s="20" t="str">
        <f>TRIM(_xlfn.TEXTAFTER(S3, ":"))</f>
        <v>權杖</v>
      </c>
    </row>
    <row r="5" spans="1:20" ht="15.95" customHeight="1" x14ac:dyDescent="0.25">
      <c r="A5" s="18" t="s">
        <v>7569</v>
      </c>
      <c r="B5" s="16" t="str">
        <f>TRIM(_xlfn.TEXTBEFORE(A4, ":"))</f>
        <v>Rarity</v>
      </c>
      <c r="C5" s="18" t="s">
        <v>7577</v>
      </c>
      <c r="D5" s="16" t="str">
        <f>TRIM(_xlfn.TEXTBEFORE(C4, ":"))</f>
        <v>Seltenheit</v>
      </c>
      <c r="E5" s="18" t="s">
        <v>7598</v>
      </c>
      <c r="F5" s="16" t="str">
        <f>TRIM(_xlfn.TEXTBEFORE(E4, ":"))</f>
        <v>Rareza</v>
      </c>
      <c r="G5" s="18" t="s">
        <v>7573</v>
      </c>
      <c r="H5" s="16" t="str">
        <f>TRIM(_xlfn.TEXTBEFORE(G4, ":"))</f>
        <v>Rareté</v>
      </c>
      <c r="I5" s="18" t="s">
        <v>7606</v>
      </c>
      <c r="J5" s="16" t="str">
        <f>TRIM(_xlfn.TEXTBEFORE(I4, ":"))</f>
        <v>レアリティ</v>
      </c>
      <c r="K5" s="18" t="s">
        <v>7602</v>
      </c>
      <c r="L5" s="16" t="str">
        <f>TRIM(_xlfn.TEXTBEFORE(K4, ":"))</f>
        <v>아이템 희귀도</v>
      </c>
      <c r="M5" s="18" t="s">
        <v>7581</v>
      </c>
      <c r="N5" s="16" t="str">
        <f>TRIM(_xlfn.TEXTBEFORE(M4, ":"))</f>
        <v>Raridade</v>
      </c>
      <c r="O5" s="18" t="s">
        <v>7585</v>
      </c>
      <c r="P5" s="16" t="str">
        <f>TRIM(_xlfn.TEXTBEFORE(O4, ":"))</f>
        <v>Редкость</v>
      </c>
      <c r="Q5" s="18" t="s">
        <v>7569</v>
      </c>
      <c r="R5" s="16" t="str">
        <f>TRIM(_xlfn.TEXTBEFORE(Q4, ":"))</f>
        <v>ความหายาก</v>
      </c>
      <c r="S5" s="18" t="s">
        <v>7593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7570</v>
      </c>
      <c r="B7" s="16" t="str">
        <f>TRIM(_xlfn.TEXTBEFORE(A7,":"))</f>
        <v>Spirit</v>
      </c>
      <c r="C7" s="18" t="s">
        <v>7578</v>
      </c>
      <c r="D7" s="16" t="str">
        <f>TRIM(_xlfn.TEXTBEFORE(C7,":"))</f>
        <v>Wille</v>
      </c>
      <c r="E7" s="18" t="s">
        <v>7599</v>
      </c>
      <c r="F7" s="16" t="str">
        <f>TRIM(_xlfn.TEXTBEFORE(E7,":"))</f>
        <v>Espíritu</v>
      </c>
      <c r="G7" s="18" t="s">
        <v>7574</v>
      </c>
      <c r="H7" s="16" t="str">
        <f>TRIM(_xlfn.TEXTBEFORE(G7,":"))</f>
        <v>Esprit</v>
      </c>
      <c r="I7" s="18" t="s">
        <v>7607</v>
      </c>
      <c r="J7" s="16" t="str">
        <f>TRIM(_xlfn.TEXTBEFORE(I7,":"))</f>
        <v>スピリット</v>
      </c>
      <c r="K7" s="18" t="s">
        <v>7603</v>
      </c>
      <c r="L7" s="16" t="str">
        <f>TRIM(_xlfn.TEXTBEFORE(K7,":"))</f>
        <v>정신력</v>
      </c>
      <c r="M7" s="18" t="s">
        <v>7582</v>
      </c>
      <c r="N7" s="16" t="str">
        <f>TRIM(_xlfn.TEXTBEFORE(M7,":"))</f>
        <v>Espírito</v>
      </c>
      <c r="O7" s="18" t="s">
        <v>7586</v>
      </c>
      <c r="P7" s="16" t="str">
        <f>TRIM(_xlfn.TEXTBEFORE(O7,":"))</f>
        <v>Дух</v>
      </c>
      <c r="Q7" s="18" t="s">
        <v>7589</v>
      </c>
      <c r="R7" s="16" t="str">
        <f>TRIM(_xlfn.TEXTBEFORE(Q7,":"))</f>
        <v>พลังวิญญาณ</v>
      </c>
      <c r="S7" s="18" t="s">
        <v>7594</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7571</v>
      </c>
      <c r="B9" s="16"/>
      <c r="C9" s="18" t="s">
        <v>7579</v>
      </c>
      <c r="D9" s="16"/>
      <c r="E9" s="18" t="s">
        <v>7600</v>
      </c>
      <c r="F9" s="16"/>
      <c r="G9" s="18" t="s">
        <v>7575</v>
      </c>
      <c r="H9" s="16"/>
      <c r="I9" s="18" t="s">
        <v>7608</v>
      </c>
      <c r="J9" s="16"/>
      <c r="K9" s="18" t="s">
        <v>7604</v>
      </c>
      <c r="L9" s="16"/>
      <c r="M9" s="18" t="s">
        <v>7583</v>
      </c>
      <c r="N9" s="16"/>
      <c r="O9" s="18" t="s">
        <v>7587</v>
      </c>
      <c r="P9" s="16"/>
      <c r="Q9" s="18" t="s">
        <v>7590</v>
      </c>
      <c r="R9" s="16"/>
      <c r="S9" s="18" t="s">
        <v>7595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7596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7572</v>
      </c>
      <c r="B13" s="16"/>
      <c r="C13" s="18" t="s">
        <v>7580</v>
      </c>
      <c r="D13" s="16"/>
      <c r="E13" s="18" t="s">
        <v>7601</v>
      </c>
      <c r="F13" s="16"/>
      <c r="G13" s="18" t="s">
        <v>7576</v>
      </c>
      <c r="H13" s="16"/>
      <c r="I13" s="18" t="s">
        <v>7609</v>
      </c>
      <c r="J13" s="16"/>
      <c r="K13" s="18" t="s">
        <v>7605</v>
      </c>
      <c r="L13" s="16"/>
      <c r="M13" s="18" t="s">
        <v>7584</v>
      </c>
      <c r="N13" s="16"/>
      <c r="O13" s="18" t="s">
        <v>7588</v>
      </c>
      <c r="P13" s="16"/>
      <c r="Q13" s="18" t="s">
        <v>7591</v>
      </c>
      <c r="R13" s="16"/>
      <c r="S13" s="18" t="s">
        <v>7597</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2" stopIfTrue="1">
      <formula>NOT(ISERROR(A3))</formula>
    </cfRule>
  </conditionalFormatting>
  <conditionalFormatting sqref="A3:T6 A7 C7 E7 G7 I7 K7 M7 O7 Q7 S7 A8:T51">
    <cfRule type="notContainsBlanks" dxfId="74" priority="23">
      <formula>LEN(TRIM(A3))&gt;0</formula>
    </cfRule>
  </conditionalFormatting>
  <conditionalFormatting sqref="A3:T51">
    <cfRule type="containsErrors" dxfId="73" priority="1" stopIfTrue="1">
      <formula>ISERROR(A3)</formula>
    </cfRule>
  </conditionalFormatting>
  <conditionalFormatting sqref="B7">
    <cfRule type="notContainsBlanks" dxfId="72" priority="20">
      <formula>LEN(TRIM(B7))&gt;0</formula>
    </cfRule>
  </conditionalFormatting>
  <conditionalFormatting sqref="D7">
    <cfRule type="notContainsBlanks" dxfId="71" priority="18">
      <formula>LEN(TRIM(D7))&gt;0</formula>
    </cfRule>
  </conditionalFormatting>
  <conditionalFormatting sqref="F7">
    <cfRule type="notContainsBlanks" dxfId="70" priority="16">
      <formula>LEN(TRIM(F7))&gt;0</formula>
    </cfRule>
  </conditionalFormatting>
  <conditionalFormatting sqref="H7">
    <cfRule type="notContainsBlanks" dxfId="69" priority="14">
      <formula>LEN(TRIM(H7))&gt;0</formula>
    </cfRule>
  </conditionalFormatting>
  <conditionalFormatting sqref="J7">
    <cfRule type="notContainsBlanks" dxfId="68" priority="12">
      <formula>LEN(TRIM(J7))&gt;0</formula>
    </cfRule>
  </conditionalFormatting>
  <conditionalFormatting sqref="L7">
    <cfRule type="notContainsBlanks" dxfId="67" priority="10">
      <formula>LEN(TRIM(L7))&gt;0</formula>
    </cfRule>
  </conditionalFormatting>
  <conditionalFormatting sqref="N7">
    <cfRule type="notContainsBlanks" dxfId="66" priority="8">
      <formula>LEN(TRIM(N7))&gt;0</formula>
    </cfRule>
  </conditionalFormatting>
  <conditionalFormatting sqref="P7">
    <cfRule type="notContainsBlanks" dxfId="65" priority="6">
      <formula>LEN(TRIM(P7))&gt;0</formula>
    </cfRule>
  </conditionalFormatting>
  <conditionalFormatting sqref="R7">
    <cfRule type="notContainsBlanks" dxfId="64" priority="4">
      <formula>LEN(TRIM(R7))&gt;0</formula>
    </cfRule>
  </conditionalFormatting>
  <conditionalFormatting sqref="T7">
    <cfRule type="notContainsBlanks" dxfId="63"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7699</v>
      </c>
      <c r="B5" s="16" t="str">
        <f>TRIM(_xlfn.TEXTBEFORE(A4, ":"))</f>
        <v>Rarity</v>
      </c>
      <c r="C5" s="18" t="s">
        <v>7744</v>
      </c>
      <c r="D5" s="16" t="str">
        <f>TRIM(_xlfn.TEXTBEFORE(C4, ":"))</f>
        <v>Seltenheit</v>
      </c>
      <c r="E5" s="18" t="s">
        <v>7831</v>
      </c>
      <c r="F5" s="16" t="str">
        <f>TRIM(_xlfn.TEXTBEFORE(E4, ":"))</f>
        <v>Rareza</v>
      </c>
      <c r="G5" s="18" t="s">
        <v>7722</v>
      </c>
      <c r="H5" s="16" t="str">
        <f>TRIM(_xlfn.TEXTBEFORE(G4, ":"))</f>
        <v>Rareté</v>
      </c>
      <c r="I5" s="18" t="s">
        <v>7874</v>
      </c>
      <c r="J5" s="16" t="str">
        <f>TRIM(_xlfn.TEXTBEFORE(I4, ":"))</f>
        <v>レアリティ</v>
      </c>
      <c r="K5" s="18" t="s">
        <v>7852</v>
      </c>
      <c r="L5" s="16" t="str">
        <f>TRIM(_xlfn.TEXTBEFORE(K4, ":"))</f>
        <v>아이템 희귀도</v>
      </c>
      <c r="M5" s="18" t="s">
        <v>7766</v>
      </c>
      <c r="N5" s="16" t="str">
        <f>TRIM(_xlfn.TEXTBEFORE(M4, ":"))</f>
        <v>Raridade</v>
      </c>
      <c r="O5" s="18" t="s">
        <v>7788</v>
      </c>
      <c r="P5" s="16" t="str">
        <f>TRIM(_xlfn.TEXTBEFORE(O4, ":"))</f>
        <v>Редкость</v>
      </c>
      <c r="Q5" s="18" t="s">
        <v>7699</v>
      </c>
      <c r="R5" s="16" t="str">
        <f>TRIM(_xlfn.TEXTBEFORE(Q4, ":"))</f>
        <v>ความหายาก</v>
      </c>
      <c r="S5" s="18"/>
      <c r="T5" s="20" t="e">
        <f>TRIM(_xlfn.TEXTBEFORE(S4, ":"))</f>
        <v>#N/A</v>
      </c>
    </row>
    <row r="6" spans="1:20" ht="15.95" customHeight="1" x14ac:dyDescent="0.25">
      <c r="A6" s="18" t="s">
        <v>7700</v>
      </c>
      <c r="B6" s="16" t="str">
        <f>TRIM(_xlfn.TEXTAFTER(A4,":"))</f>
        <v>Rare</v>
      </c>
      <c r="C6" s="18" t="s">
        <v>7745</v>
      </c>
      <c r="D6" s="16" t="str">
        <f>TRIM(_xlfn.TEXTAFTER(C4,":"))</f>
        <v>Selten</v>
      </c>
      <c r="E6" s="18" t="s">
        <v>7832</v>
      </c>
      <c r="F6" s="16" t="str">
        <f>TRIM(_xlfn.TEXTAFTER(E4,":"))</f>
        <v>Raro</v>
      </c>
      <c r="G6" s="18" t="s">
        <v>7723</v>
      </c>
      <c r="H6" s="16" t="str">
        <f>TRIM(_xlfn.TEXTAFTER(G4,":"))</f>
        <v>Rare</v>
      </c>
      <c r="I6" s="18" t="s">
        <v>7875</v>
      </c>
      <c r="J6" s="16" t="str">
        <f>TRIM(_xlfn.TEXTAFTER(I4,":"))</f>
        <v>レア</v>
      </c>
      <c r="K6" s="18" t="s">
        <v>7853</v>
      </c>
      <c r="L6" s="16" t="str">
        <f>TRIM(_xlfn.TEXTAFTER(K4,":"))</f>
        <v>희귀</v>
      </c>
      <c r="M6" s="18" t="s">
        <v>7767</v>
      </c>
      <c r="N6" s="16" t="str">
        <f>TRIM(_xlfn.TEXTAFTER(M4,":"))</f>
        <v>Raro</v>
      </c>
      <c r="O6" s="18" t="s">
        <v>7789</v>
      </c>
      <c r="P6" s="16" t="str">
        <f>TRIM(_xlfn.TEXTAFTER(O4,":"))</f>
        <v>Редкий</v>
      </c>
      <c r="Q6" s="18" t="s">
        <v>7700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7701</v>
      </c>
      <c r="B8" s="16"/>
      <c r="C8" s="18" t="s">
        <v>7746</v>
      </c>
      <c r="D8" s="16"/>
      <c r="E8" s="18" t="s">
        <v>7833</v>
      </c>
      <c r="F8" s="16"/>
      <c r="G8" s="18" t="s">
        <v>7724</v>
      </c>
      <c r="H8" s="16"/>
      <c r="I8" s="18" t="s">
        <v>7876</v>
      </c>
      <c r="J8" s="16"/>
      <c r="K8" s="18" t="s">
        <v>7854</v>
      </c>
      <c r="L8" s="16"/>
      <c r="M8" s="18" t="s">
        <v>7768</v>
      </c>
      <c r="N8" s="16"/>
      <c r="O8" s="18" t="s">
        <v>7790</v>
      </c>
      <c r="P8" s="16"/>
      <c r="Q8" s="18" t="s">
        <v>7810</v>
      </c>
      <c r="R8" s="16"/>
      <c r="S8" s="18"/>
      <c r="T8" s="20"/>
    </row>
    <row r="9" spans="1:20" ht="15.95" customHeight="1" x14ac:dyDescent="0.25">
      <c r="A9" s="18" t="s">
        <v>7702</v>
      </c>
      <c r="B9" s="16" t="str">
        <f>TRIM(_xlfn.TEXTBEFORE(A9,":"))</f>
        <v>Reward</v>
      </c>
      <c r="C9" s="18" t="s">
        <v>7747</v>
      </c>
      <c r="D9" s="16" t="str">
        <f>TRIM(_xlfn.TEXTBEFORE(C9,":"))</f>
        <v>Belohnung</v>
      </c>
      <c r="E9" s="18" t="s">
        <v>7834</v>
      </c>
      <c r="F9" s="16" t="str">
        <f>TRIM(_xlfn.TEXTBEFORE(E9,":"))</f>
        <v>Recompensa</v>
      </c>
      <c r="G9" s="18" t="s">
        <v>7725</v>
      </c>
      <c r="H9" s="16" t="str">
        <f>TRIM(_xlfn.TEXTBEFORE(G9,":"))</f>
        <v>Récompense</v>
      </c>
      <c r="I9" s="18" t="s">
        <v>7877</v>
      </c>
      <c r="J9" s="16" t="str">
        <f>TRIM(_xlfn.TEXTBEFORE(I9,":"))</f>
        <v>報酬</v>
      </c>
      <c r="K9" s="18" t="s">
        <v>7855</v>
      </c>
      <c r="L9" s="16" t="str">
        <f>TRIM(_xlfn.TEXTBEFORE(K9,":"))</f>
        <v>보상</v>
      </c>
      <c r="M9" s="18" t="s">
        <v>7769</v>
      </c>
      <c r="N9" s="16" t="str">
        <f>TRIM(_xlfn.TEXTBEFORE(M9,":"))</f>
        <v>Recompensa</v>
      </c>
      <c r="O9" s="18" t="s">
        <v>7791</v>
      </c>
      <c r="P9" s="16" t="str">
        <f>TRIM(_xlfn.TEXTBEFORE(O9,":"))</f>
        <v>Награда</v>
      </c>
      <c r="Q9" s="18" t="s">
        <v>7811</v>
      </c>
      <c r="R9" s="16" t="str">
        <f>TRIM(_xlfn.TEXTBEFORE(Q9,":"))</f>
        <v>ของรางวัล</v>
      </c>
      <c r="S9" s="18"/>
      <c r="T9" s="16" t="e">
        <f>TRIM(_xlfn.TEXTBEFORE(S9,":"))</f>
        <v>#N/A</v>
      </c>
    </row>
    <row r="10" spans="1:20" ht="15.95" customHeight="1" x14ac:dyDescent="0.25">
      <c r="A10" s="18" t="s">
        <v>7703</v>
      </c>
      <c r="B10" s="16"/>
      <c r="C10" s="18" t="s">
        <v>7748</v>
      </c>
      <c r="D10" s="16"/>
      <c r="E10" s="18" t="s">
        <v>7835</v>
      </c>
      <c r="F10" s="16"/>
      <c r="G10" s="18" t="s">
        <v>7726</v>
      </c>
      <c r="H10" s="16"/>
      <c r="I10" s="18" t="s">
        <v>7878</v>
      </c>
      <c r="J10" s="16"/>
      <c r="K10" s="18" t="s">
        <v>7856</v>
      </c>
      <c r="L10" s="16"/>
      <c r="M10" s="18" t="s">
        <v>7770</v>
      </c>
      <c r="N10" s="16"/>
      <c r="O10" s="18" t="s">
        <v>7792</v>
      </c>
      <c r="P10" s="16"/>
      <c r="Q10" s="18" t="s">
        <v>7812</v>
      </c>
      <c r="R10" s="16"/>
      <c r="S10" s="18"/>
      <c r="T10" s="20"/>
    </row>
    <row r="11" spans="1:20" ht="15.95" customHeight="1" x14ac:dyDescent="0.25">
      <c r="A11" s="18" t="s">
        <v>7704</v>
      </c>
      <c r="B11" s="16"/>
      <c r="C11" s="18" t="s">
        <v>7749</v>
      </c>
      <c r="D11" s="16"/>
      <c r="E11" s="18" t="s">
        <v>7836</v>
      </c>
      <c r="F11" s="16"/>
      <c r="G11" s="18" t="s">
        <v>7727</v>
      </c>
      <c r="H11" s="16"/>
      <c r="I11" s="18" t="s">
        <v>7879</v>
      </c>
      <c r="J11" s="16"/>
      <c r="K11" s="18" t="s">
        <v>7857</v>
      </c>
      <c r="L11" s="16"/>
      <c r="M11" s="18" t="s">
        <v>7771</v>
      </c>
      <c r="N11" s="16"/>
      <c r="O11" s="18" t="s">
        <v>7793</v>
      </c>
      <c r="P11" s="16"/>
      <c r="Q11" s="18" t="s">
        <v>7813</v>
      </c>
      <c r="R11" s="16"/>
      <c r="S11" s="18"/>
      <c r="T11" s="20"/>
    </row>
    <row r="12" spans="1:20" ht="15.95" customHeight="1" x14ac:dyDescent="0.25">
      <c r="A12" s="18" t="s">
        <v>7705</v>
      </c>
      <c r="B12" s="16"/>
      <c r="C12" s="18" t="s">
        <v>7750</v>
      </c>
      <c r="D12" s="16"/>
      <c r="E12" s="18" t="s">
        <v>7837</v>
      </c>
      <c r="F12" s="16"/>
      <c r="G12" s="18" t="s">
        <v>7728</v>
      </c>
      <c r="H12" s="16"/>
      <c r="I12" s="18" t="s">
        <v>7880</v>
      </c>
      <c r="J12" s="16"/>
      <c r="K12" s="18" t="s">
        <v>7858</v>
      </c>
      <c r="L12" s="16"/>
      <c r="M12" s="18" t="s">
        <v>7772</v>
      </c>
      <c r="N12" s="16"/>
      <c r="O12" s="18" t="s">
        <v>7794</v>
      </c>
      <c r="P12" s="16"/>
      <c r="Q12" s="18" t="s">
        <v>7814</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7706</v>
      </c>
      <c r="B15" s="16"/>
      <c r="C15" s="18" t="s">
        <v>7751</v>
      </c>
      <c r="D15" s="16"/>
      <c r="E15" s="18" t="s">
        <v>7838</v>
      </c>
      <c r="F15" s="16"/>
      <c r="G15" s="18" t="s">
        <v>7729</v>
      </c>
      <c r="H15" s="16"/>
      <c r="I15" s="18" t="s">
        <v>7881</v>
      </c>
      <c r="J15" s="16"/>
      <c r="K15" s="18" t="s">
        <v>7859</v>
      </c>
      <c r="L15" s="16"/>
      <c r="M15" s="18" t="s">
        <v>7773</v>
      </c>
      <c r="N15" s="16"/>
      <c r="O15" s="18" t="s">
        <v>7795</v>
      </c>
      <c r="P15" s="16"/>
      <c r="Q15" s="18" t="s">
        <v>7815</v>
      </c>
      <c r="R15" s="16"/>
      <c r="S15" s="18"/>
      <c r="T15" s="20"/>
    </row>
    <row r="16" spans="1:20" ht="15.95" customHeight="1" x14ac:dyDescent="0.25">
      <c r="A16" s="18" t="s">
        <v>7707</v>
      </c>
      <c r="B16" s="16"/>
      <c r="C16" s="18" t="s">
        <v>7752</v>
      </c>
      <c r="D16" s="16"/>
      <c r="E16" s="18" t="s">
        <v>7839</v>
      </c>
      <c r="F16" s="16"/>
      <c r="G16" s="18" t="s">
        <v>7730</v>
      </c>
      <c r="H16" s="16"/>
      <c r="I16" s="18" t="s">
        <v>7882</v>
      </c>
      <c r="J16" s="16"/>
      <c r="K16" s="18" t="s">
        <v>7860</v>
      </c>
      <c r="L16" s="16"/>
      <c r="M16" s="18" t="s">
        <v>7774</v>
      </c>
      <c r="N16" s="16"/>
      <c r="O16" s="18" t="s">
        <v>7796</v>
      </c>
      <c r="P16" s="16"/>
      <c r="Q16" s="18" t="s">
        <v>7816</v>
      </c>
      <c r="R16" s="16"/>
      <c r="S16" s="18"/>
      <c r="T16" s="20"/>
    </row>
    <row r="17" spans="1:20" ht="15.95" customHeight="1" x14ac:dyDescent="0.25">
      <c r="A17" s="18" t="s">
        <v>7708</v>
      </c>
      <c r="B17" s="16"/>
      <c r="C17" s="18" t="s">
        <v>7753</v>
      </c>
      <c r="D17" s="16"/>
      <c r="E17" s="18" t="s">
        <v>7840</v>
      </c>
      <c r="F17" s="16"/>
      <c r="G17" s="18" t="s">
        <v>7731</v>
      </c>
      <c r="H17" s="16"/>
      <c r="I17" s="18" t="s">
        <v>7883</v>
      </c>
      <c r="J17" s="16"/>
      <c r="K17" s="18" t="s">
        <v>7861</v>
      </c>
      <c r="L17" s="16"/>
      <c r="M17" s="18" t="s">
        <v>7775</v>
      </c>
      <c r="N17" s="16"/>
      <c r="O17" s="18" t="s">
        <v>7797</v>
      </c>
      <c r="P17" s="16"/>
      <c r="Q17" s="18" t="s">
        <v>7817</v>
      </c>
      <c r="R17" s="16"/>
      <c r="S17" s="18"/>
      <c r="T17" s="20"/>
    </row>
    <row r="18" spans="1:20" ht="15.95" customHeight="1" x14ac:dyDescent="0.25">
      <c r="A18" s="18" t="s">
        <v>7709</v>
      </c>
      <c r="B18" s="16"/>
      <c r="C18" s="18" t="s">
        <v>7754</v>
      </c>
      <c r="D18" s="16"/>
      <c r="E18" s="18" t="s">
        <v>7776</v>
      </c>
      <c r="F18" s="16"/>
      <c r="G18" s="18" t="s">
        <v>7732</v>
      </c>
      <c r="H18" s="16"/>
      <c r="I18" s="18" t="s">
        <v>7884</v>
      </c>
      <c r="J18" s="16"/>
      <c r="K18" s="18" t="s">
        <v>7862</v>
      </c>
      <c r="L18" s="16"/>
      <c r="M18" s="18" t="s">
        <v>7776</v>
      </c>
      <c r="N18" s="16"/>
      <c r="O18" s="18" t="s">
        <v>7798</v>
      </c>
      <c r="P18" s="16"/>
      <c r="Q18" s="18" t="s">
        <v>7818</v>
      </c>
      <c r="R18" s="16"/>
      <c r="S18" s="18"/>
      <c r="T18" s="20"/>
    </row>
    <row r="19" spans="1:20" ht="15.95" customHeight="1" x14ac:dyDescent="0.25">
      <c r="A19" s="18" t="s">
        <v>7710</v>
      </c>
      <c r="B19" s="16"/>
      <c r="C19" s="18" t="s">
        <v>7755</v>
      </c>
      <c r="D19" s="16"/>
      <c r="E19" s="18" t="s">
        <v>7841</v>
      </c>
      <c r="F19" s="16"/>
      <c r="G19" s="18" t="s">
        <v>7733</v>
      </c>
      <c r="H19" s="16"/>
      <c r="I19" s="18" t="s">
        <v>7885</v>
      </c>
      <c r="J19" s="16"/>
      <c r="K19" s="18" t="s">
        <v>7863</v>
      </c>
      <c r="L19" s="16"/>
      <c r="M19" s="18" t="s">
        <v>7777</v>
      </c>
      <c r="N19" s="16"/>
      <c r="O19" s="18" t="s">
        <v>7799</v>
      </c>
      <c r="P19" s="16"/>
      <c r="Q19" s="18" t="s">
        <v>7819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7711</v>
      </c>
      <c r="B23" s="16"/>
      <c r="C23" s="18" t="s">
        <v>7756</v>
      </c>
      <c r="D23" s="16"/>
      <c r="E23" s="18" t="s">
        <v>7842</v>
      </c>
      <c r="F23" s="16"/>
      <c r="G23" s="18" t="s">
        <v>7734</v>
      </c>
      <c r="H23" s="16"/>
      <c r="I23" s="18" t="s">
        <v>7886</v>
      </c>
      <c r="J23" s="16"/>
      <c r="K23" s="18" t="s">
        <v>7864</v>
      </c>
      <c r="L23" s="16"/>
      <c r="M23" s="18" t="s">
        <v>7778</v>
      </c>
      <c r="N23" s="16"/>
      <c r="O23" s="18" t="s">
        <v>7800</v>
      </c>
      <c r="P23" s="16"/>
      <c r="Q23" s="18" t="s">
        <v>7820</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7712</v>
      </c>
      <c r="B25" s="16"/>
      <c r="C25" s="18" t="s">
        <v>7757</v>
      </c>
      <c r="D25" s="16"/>
      <c r="E25" s="18" t="s">
        <v>7843</v>
      </c>
      <c r="F25" s="16"/>
      <c r="G25" s="18" t="s">
        <v>7735</v>
      </c>
      <c r="H25" s="16"/>
      <c r="I25" s="18" t="s">
        <v>7887</v>
      </c>
      <c r="J25" s="16"/>
      <c r="K25" s="18" t="s">
        <v>7865</v>
      </c>
      <c r="L25" s="16"/>
      <c r="M25" s="18" t="s">
        <v>7779</v>
      </c>
      <c r="N25" s="16"/>
      <c r="O25" s="18" t="s">
        <v>7801</v>
      </c>
      <c r="P25" s="16"/>
      <c r="Q25" s="18" t="s">
        <v>7821</v>
      </c>
      <c r="R25" s="16"/>
      <c r="S25" s="18"/>
      <c r="T25" s="20"/>
    </row>
    <row r="26" spans="1:20" ht="15.95" customHeight="1" x14ac:dyDescent="0.25">
      <c r="A26" s="18" t="s">
        <v>7713</v>
      </c>
      <c r="B26" s="16"/>
      <c r="C26" s="18" t="s">
        <v>7758</v>
      </c>
      <c r="D26" s="16"/>
      <c r="E26" s="18" t="s">
        <v>7844</v>
      </c>
      <c r="F26" s="16"/>
      <c r="G26" s="18" t="s">
        <v>7736</v>
      </c>
      <c r="H26" s="16"/>
      <c r="I26" s="18" t="s">
        <v>7888</v>
      </c>
      <c r="J26" s="16"/>
      <c r="K26" s="18" t="s">
        <v>7866</v>
      </c>
      <c r="L26" s="16"/>
      <c r="M26" s="18" t="s">
        <v>7780</v>
      </c>
      <c r="N26" s="16"/>
      <c r="O26" s="18" t="s">
        <v>7802</v>
      </c>
      <c r="P26" s="16"/>
      <c r="Q26" s="18" t="s">
        <v>7822</v>
      </c>
      <c r="R26" s="16"/>
      <c r="S26" s="18"/>
      <c r="T26" s="20"/>
    </row>
    <row r="27" spans="1:20" ht="15.95" customHeight="1" x14ac:dyDescent="0.25">
      <c r="A27" s="18" t="s">
        <v>7714</v>
      </c>
      <c r="B27" s="16"/>
      <c r="C27" s="18" t="s">
        <v>7759</v>
      </c>
      <c r="D27" s="16"/>
      <c r="E27" s="18" t="s">
        <v>7845</v>
      </c>
      <c r="F27" s="16"/>
      <c r="G27" s="18" t="s">
        <v>7737</v>
      </c>
      <c r="H27" s="16"/>
      <c r="I27" s="18" t="s">
        <v>7889</v>
      </c>
      <c r="J27" s="16"/>
      <c r="K27" s="18" t="s">
        <v>7867</v>
      </c>
      <c r="L27" s="16"/>
      <c r="M27" s="18" t="s">
        <v>7781</v>
      </c>
      <c r="N27" s="16"/>
      <c r="O27" s="18" t="s">
        <v>7803</v>
      </c>
      <c r="P27" s="16"/>
      <c r="Q27" s="18" t="s">
        <v>7823</v>
      </c>
      <c r="R27" s="16"/>
      <c r="S27" s="18"/>
      <c r="T27" s="20"/>
    </row>
    <row r="28" spans="1:20" ht="15.95" customHeight="1" x14ac:dyDescent="0.25">
      <c r="A28" s="18" t="s">
        <v>7715</v>
      </c>
      <c r="B28" s="16"/>
      <c r="C28" s="18" t="s">
        <v>7760</v>
      </c>
      <c r="D28" s="16"/>
      <c r="E28" s="18" t="s">
        <v>7846</v>
      </c>
      <c r="F28" s="16"/>
      <c r="G28" s="18" t="s">
        <v>7738</v>
      </c>
      <c r="H28" s="16"/>
      <c r="I28" s="18" t="s">
        <v>7890</v>
      </c>
      <c r="J28" s="16"/>
      <c r="K28" s="18" t="s">
        <v>7868</v>
      </c>
      <c r="L28" s="16"/>
      <c r="M28" s="18" t="s">
        <v>7782</v>
      </c>
      <c r="N28" s="16"/>
      <c r="O28" s="18" t="s">
        <v>7804</v>
      </c>
      <c r="P28" s="16"/>
      <c r="Q28" s="18" t="s">
        <v>7824</v>
      </c>
      <c r="R28" s="16"/>
      <c r="S28" s="18"/>
      <c r="T28" s="20"/>
    </row>
    <row r="29" spans="1:20" ht="15.95" customHeight="1" x14ac:dyDescent="0.25">
      <c r="A29" s="18" t="s">
        <v>7716</v>
      </c>
      <c r="B29" s="16"/>
      <c r="C29" s="18" t="s">
        <v>7761</v>
      </c>
      <c r="D29" s="16"/>
      <c r="E29" s="18" t="s">
        <v>7847</v>
      </c>
      <c r="F29" s="16"/>
      <c r="G29" s="18" t="s">
        <v>7739</v>
      </c>
      <c r="H29" s="16"/>
      <c r="I29" s="18" t="s">
        <v>7891</v>
      </c>
      <c r="J29" s="16"/>
      <c r="K29" s="18" t="s">
        <v>7869</v>
      </c>
      <c r="L29" s="16"/>
      <c r="M29" s="18" t="s">
        <v>7783</v>
      </c>
      <c r="N29" s="16"/>
      <c r="O29" s="18" t="s">
        <v>7805</v>
      </c>
      <c r="P29" s="16"/>
      <c r="Q29" s="18" t="s">
        <v>7825</v>
      </c>
      <c r="R29" s="16"/>
      <c r="S29" s="18"/>
      <c r="T29" s="20"/>
    </row>
    <row r="30" spans="1:20" ht="15.95" customHeight="1" x14ac:dyDescent="0.25">
      <c r="A30" s="18" t="s">
        <v>7717</v>
      </c>
      <c r="B30" s="16"/>
      <c r="C30" s="18" t="s">
        <v>7762</v>
      </c>
      <c r="D30" s="16"/>
      <c r="E30" s="18" t="s">
        <v>7848</v>
      </c>
      <c r="F30" s="16"/>
      <c r="G30" s="18" t="s">
        <v>7740</v>
      </c>
      <c r="H30" s="16"/>
      <c r="I30" s="18" t="s">
        <v>7892</v>
      </c>
      <c r="J30" s="16"/>
      <c r="K30" s="18" t="s">
        <v>7870</v>
      </c>
      <c r="L30" s="16"/>
      <c r="M30" s="18" t="s">
        <v>7784</v>
      </c>
      <c r="N30" s="16"/>
      <c r="O30" s="18" t="s">
        <v>7806</v>
      </c>
      <c r="P30" s="16"/>
      <c r="Q30" s="18" t="s">
        <v>7826</v>
      </c>
      <c r="R30" s="16"/>
      <c r="S30" s="18"/>
      <c r="T30" s="20"/>
    </row>
    <row r="31" spans="1:20" ht="15.95" customHeight="1" x14ac:dyDescent="0.25">
      <c r="A31" s="18" t="s">
        <v>7718</v>
      </c>
      <c r="B31" s="16"/>
      <c r="C31" s="18" t="s">
        <v>7763</v>
      </c>
      <c r="D31" s="16"/>
      <c r="E31" s="18" t="s">
        <v>7849</v>
      </c>
      <c r="F31" s="16"/>
      <c r="G31" s="18" t="s">
        <v>7741</v>
      </c>
      <c r="H31" s="16"/>
      <c r="I31" s="18" t="s">
        <v>7893</v>
      </c>
      <c r="J31" s="16"/>
      <c r="K31" s="18" t="s">
        <v>7871</v>
      </c>
      <c r="L31" s="16"/>
      <c r="M31" s="18" t="s">
        <v>7785</v>
      </c>
      <c r="N31" s="16"/>
      <c r="O31" s="18" t="s">
        <v>7807</v>
      </c>
      <c r="P31" s="16"/>
      <c r="Q31" s="18" t="s">
        <v>7827</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7719</v>
      </c>
      <c r="B33" s="16"/>
      <c r="C33" s="18" t="s">
        <v>7764</v>
      </c>
      <c r="D33" s="16"/>
      <c r="E33" s="18" t="s">
        <v>7850</v>
      </c>
      <c r="F33" s="16"/>
      <c r="G33" s="18" t="s">
        <v>7742</v>
      </c>
      <c r="H33" s="16"/>
      <c r="I33" s="18" t="s">
        <v>7894</v>
      </c>
      <c r="J33" s="16"/>
      <c r="K33" s="18" t="s">
        <v>7872</v>
      </c>
      <c r="L33" s="16"/>
      <c r="M33" s="18" t="s">
        <v>7786</v>
      </c>
      <c r="N33" s="16"/>
      <c r="O33" s="18" t="s">
        <v>7808</v>
      </c>
      <c r="P33" s="16"/>
      <c r="Q33" s="18" t="s">
        <v>7828</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7829</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7720</v>
      </c>
      <c r="B37" s="16"/>
      <c r="C37" s="18" t="s">
        <v>7765</v>
      </c>
      <c r="D37" s="16"/>
      <c r="E37" s="18" t="s">
        <v>7851</v>
      </c>
      <c r="F37" s="16"/>
      <c r="G37" s="18" t="s">
        <v>7743</v>
      </c>
      <c r="H37" s="16"/>
      <c r="I37" s="18" t="s">
        <v>7895</v>
      </c>
      <c r="J37" s="16"/>
      <c r="K37" s="18" t="s">
        <v>7873</v>
      </c>
      <c r="L37" s="16"/>
      <c r="M37" s="18" t="s">
        <v>7787</v>
      </c>
      <c r="N37" s="16"/>
      <c r="O37" s="18" t="s">
        <v>7809</v>
      </c>
      <c r="P37" s="16"/>
      <c r="Q37" s="18" t="s">
        <v>7830</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2" priority="22" stopIfTrue="1">
      <formula>NOT(ISERROR(A3))</formula>
    </cfRule>
  </conditionalFormatting>
  <conditionalFormatting sqref="A3:T8 A9 C9 E9 G9 I9 K9 M9 O9 Q9 S9 A10:T51">
    <cfRule type="notContainsBlanks" dxfId="61" priority="23">
      <formula>LEN(TRIM(A3))&gt;0</formula>
    </cfRule>
  </conditionalFormatting>
  <conditionalFormatting sqref="A3:T51">
    <cfRule type="containsErrors" dxfId="60" priority="1" stopIfTrue="1">
      <formula>ISERROR(A3)</formula>
    </cfRule>
  </conditionalFormatting>
  <conditionalFormatting sqref="B9">
    <cfRule type="notContainsBlanks" dxfId="59" priority="20">
      <formula>LEN(TRIM(B9))&gt;0</formula>
    </cfRule>
  </conditionalFormatting>
  <conditionalFormatting sqref="D9">
    <cfRule type="notContainsBlanks" dxfId="58" priority="18">
      <formula>LEN(TRIM(D9))&gt;0</formula>
    </cfRule>
  </conditionalFormatting>
  <conditionalFormatting sqref="F9">
    <cfRule type="notContainsBlanks" dxfId="57" priority="16">
      <formula>LEN(TRIM(F9))&gt;0</formula>
    </cfRule>
  </conditionalFormatting>
  <conditionalFormatting sqref="H9">
    <cfRule type="notContainsBlanks" dxfId="56" priority="14">
      <formula>LEN(TRIM(H9))&gt;0</formula>
    </cfRule>
  </conditionalFormatting>
  <conditionalFormatting sqref="J9">
    <cfRule type="notContainsBlanks" dxfId="55" priority="12">
      <formula>LEN(TRIM(J9))&gt;0</formula>
    </cfRule>
  </conditionalFormatting>
  <conditionalFormatting sqref="L9">
    <cfRule type="notContainsBlanks" dxfId="54" priority="10">
      <formula>LEN(TRIM(L9))&gt;0</formula>
    </cfRule>
  </conditionalFormatting>
  <conditionalFormatting sqref="N9">
    <cfRule type="notContainsBlanks" dxfId="53" priority="8">
      <formula>LEN(TRIM(N9))&gt;0</formula>
    </cfRule>
  </conditionalFormatting>
  <conditionalFormatting sqref="P9">
    <cfRule type="notContainsBlanks" dxfId="52" priority="6">
      <formula>LEN(TRIM(P9))&gt;0</formula>
    </cfRule>
  </conditionalFormatting>
  <conditionalFormatting sqref="R9">
    <cfRule type="notContainsBlanks" dxfId="51" priority="4">
      <formula>LEN(TRIM(R9))&gt;0</formula>
    </cfRule>
  </conditionalFormatting>
  <conditionalFormatting sqref="T9">
    <cfRule type="notContainsBlanks" dxfId="50"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7896</v>
      </c>
      <c r="B3" s="16" t="str">
        <f>TRIM(_xlfn.TEXTBEFORE(A3, ":"))</f>
        <v>Item Class</v>
      </c>
      <c r="C3" s="17" t="s">
        <v>7934</v>
      </c>
      <c r="D3" s="16" t="str">
        <f>TRIM(_xlfn.TEXTBEFORE(C3, ":"))</f>
        <v>Gegenstandsklasse</v>
      </c>
      <c r="E3" s="17" t="s">
        <v>8028</v>
      </c>
      <c r="F3" s="16" t="str">
        <f>TRIM(_xlfn.TEXTBEFORE(E3, ":"))</f>
        <v>Clase de objeto</v>
      </c>
      <c r="G3" s="17" t="s">
        <v>7915</v>
      </c>
      <c r="H3" s="16" t="str">
        <f>TRIM(_xlfn.TEXTBEFORE(G3, ":"))</f>
        <v>Classe d'objet</v>
      </c>
      <c r="I3" s="17" t="s">
        <v>8066</v>
      </c>
      <c r="J3" s="16" t="str">
        <f>TRIM(_xlfn.TEXTBEFORE(I3, ":"))</f>
        <v>アイテムクラス</v>
      </c>
      <c r="K3" s="17" t="s">
        <v>8047</v>
      </c>
      <c r="L3" s="16" t="str">
        <f>TRIM(_xlfn.TEXTBEFORE(K3, ":"))</f>
        <v>아이템 종류</v>
      </c>
      <c r="M3" s="17" t="s">
        <v>7953</v>
      </c>
      <c r="N3" s="16" t="str">
        <f>TRIM(_xlfn.TEXTBEFORE(M3, ":"))</f>
        <v>Classe do Item</v>
      </c>
      <c r="O3" s="17" t="s">
        <v>7972</v>
      </c>
      <c r="P3" s="16" t="str">
        <f>TRIM(_xlfn.TEXTBEFORE(O3, ":"))</f>
        <v>Класс предмета</v>
      </c>
      <c r="Q3" s="17" t="s">
        <v>7991</v>
      </c>
      <c r="R3" s="16" t="str">
        <f>TRIM(_xlfn.TEXTBEFORE(Q3, ":"))</f>
        <v>ชนิดไอเทม</v>
      </c>
      <c r="S3" s="17" t="s">
        <v>8007</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7199</v>
      </c>
      <c r="T4" s="20" t="str">
        <f>TRIM(_xlfn.TEXTAFTER(S3, ":"))</f>
        <v>長鋒</v>
      </c>
    </row>
    <row r="5" spans="1:20" ht="15.95" customHeight="1" x14ac:dyDescent="0.25">
      <c r="A5" s="18" t="s">
        <v>7897</v>
      </c>
      <c r="B5" s="16" t="str">
        <f>TRIM(_xlfn.TEXTBEFORE(A4, ":"))</f>
        <v>Rarity</v>
      </c>
      <c r="C5" s="18" t="s">
        <v>7935</v>
      </c>
      <c r="D5" s="16" t="str">
        <f>TRIM(_xlfn.TEXTBEFORE(C4, ":"))</f>
        <v>Seltenheit</v>
      </c>
      <c r="E5" s="18" t="s">
        <v>8029</v>
      </c>
      <c r="F5" s="16" t="str">
        <f>TRIM(_xlfn.TEXTBEFORE(E4, ":"))</f>
        <v>Rareza</v>
      </c>
      <c r="G5" s="18" t="s">
        <v>7916</v>
      </c>
      <c r="H5" s="16" t="str">
        <f>TRIM(_xlfn.TEXTBEFORE(G4, ":"))</f>
        <v>Rareté</v>
      </c>
      <c r="I5" s="18" t="s">
        <v>8067</v>
      </c>
      <c r="J5" s="16" t="str">
        <f>TRIM(_xlfn.TEXTBEFORE(I4, ":"))</f>
        <v>レアリティ</v>
      </c>
      <c r="K5" s="18" t="s">
        <v>8048</v>
      </c>
      <c r="L5" s="16" t="str">
        <f>TRIM(_xlfn.TEXTBEFORE(K4, ":"))</f>
        <v>아이템 희귀도</v>
      </c>
      <c r="M5" s="18" t="s">
        <v>7954</v>
      </c>
      <c r="N5" s="16" t="str">
        <f>TRIM(_xlfn.TEXTBEFORE(M4, ":"))</f>
        <v>Raridade</v>
      </c>
      <c r="O5" s="18" t="s">
        <v>7973</v>
      </c>
      <c r="P5" s="16" t="str">
        <f>TRIM(_xlfn.TEXTBEFORE(O4, ":"))</f>
        <v>Редкость</v>
      </c>
      <c r="Q5" s="18" t="s">
        <v>7897</v>
      </c>
      <c r="R5" s="16" t="str">
        <f>TRIM(_xlfn.TEXTBEFORE(Q4, ":"))</f>
        <v>ความหายาก</v>
      </c>
      <c r="S5" s="18" t="s">
        <v>8008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7898</v>
      </c>
      <c r="B7" s="16"/>
      <c r="C7" s="18" t="s">
        <v>7936</v>
      </c>
      <c r="D7" s="16"/>
      <c r="E7" s="18" t="s">
        <v>8030</v>
      </c>
      <c r="F7" s="16"/>
      <c r="G7" s="18" t="s">
        <v>7917</v>
      </c>
      <c r="H7" s="16"/>
      <c r="I7" s="18" t="s">
        <v>8068</v>
      </c>
      <c r="J7" s="16"/>
      <c r="K7" s="18" t="s">
        <v>8049</v>
      </c>
      <c r="L7" s="16"/>
      <c r="M7" s="18" t="s">
        <v>7955</v>
      </c>
      <c r="N7" s="16"/>
      <c r="O7" s="18" t="s">
        <v>7974</v>
      </c>
      <c r="P7" s="16"/>
      <c r="Q7" s="18" t="s">
        <v>7992</v>
      </c>
      <c r="R7" s="16"/>
      <c r="S7" s="18" t="s">
        <v>8009</v>
      </c>
      <c r="T7" s="20"/>
    </row>
    <row r="8" spans="1:20" ht="15.95" customHeight="1" x14ac:dyDescent="0.25">
      <c r="A8" s="18" t="s">
        <v>6510</v>
      </c>
      <c r="B8" s="16"/>
      <c r="C8" s="18" t="s">
        <v>2013</v>
      </c>
      <c r="D8" s="16"/>
      <c r="E8" s="18" t="s">
        <v>6678</v>
      </c>
      <c r="F8" s="16"/>
      <c r="G8" s="18" t="s">
        <v>6541</v>
      </c>
      <c r="H8" s="16"/>
      <c r="I8" s="18" t="s">
        <v>6736</v>
      </c>
      <c r="J8" s="16"/>
      <c r="K8" s="18" t="s">
        <v>6705</v>
      </c>
      <c r="L8" s="16"/>
      <c r="M8" s="18" t="s">
        <v>6597</v>
      </c>
      <c r="N8" s="16"/>
      <c r="O8" s="18" t="s">
        <v>6626</v>
      </c>
      <c r="P8" s="16"/>
      <c r="Q8" s="18" t="s">
        <v>6655</v>
      </c>
      <c r="R8" s="16"/>
      <c r="S8" s="18" t="s">
        <v>7243</v>
      </c>
      <c r="T8" s="20"/>
    </row>
    <row r="9" spans="1:20" ht="15.95" customHeight="1" x14ac:dyDescent="0.25">
      <c r="A9" s="18" t="s">
        <v>6782</v>
      </c>
      <c r="B9" s="16"/>
      <c r="C9" s="18" t="s">
        <v>6961</v>
      </c>
      <c r="D9" s="16"/>
      <c r="E9" s="18" t="s">
        <v>7326</v>
      </c>
      <c r="F9" s="16"/>
      <c r="G9" s="18" t="s">
        <v>6893</v>
      </c>
      <c r="H9" s="16"/>
      <c r="I9" s="18" t="s">
        <v>7472</v>
      </c>
      <c r="J9" s="16"/>
      <c r="K9" s="18" t="s">
        <v>7396</v>
      </c>
      <c r="L9" s="16"/>
      <c r="M9" s="18" t="s">
        <v>7027</v>
      </c>
      <c r="N9" s="16"/>
      <c r="O9" s="18" t="s">
        <v>7100</v>
      </c>
      <c r="P9" s="16"/>
      <c r="Q9" s="18" t="s">
        <v>7168</v>
      </c>
      <c r="R9" s="16"/>
      <c r="S9" s="18" t="s">
        <v>7244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7899</v>
      </c>
      <c r="B11" s="16" t="str">
        <f>TRIM(_xlfn.TEXTBEFORE(A11, ":"))</f>
        <v>Requires</v>
      </c>
      <c r="C11" s="18" t="s">
        <v>7937</v>
      </c>
      <c r="D11" s="16" t="str">
        <f>TRIM(_xlfn.TEXTBEFORE(C11, ":"))</f>
        <v>Erfordert</v>
      </c>
      <c r="E11" s="18" t="s">
        <v>8031</v>
      </c>
      <c r="F11" s="16" t="str">
        <f>TRIM(_xlfn.TEXTBEFORE(E11, ":"))</f>
        <v>Requiere</v>
      </c>
      <c r="G11" s="18" t="s">
        <v>7918</v>
      </c>
      <c r="H11" s="16" t="str">
        <f>TRIM(_xlfn.TEXTBEFORE(G11, ":"))</f>
        <v>Prérequis</v>
      </c>
      <c r="I11" s="18" t="s">
        <v>8069</v>
      </c>
      <c r="J11" s="16" t="str">
        <f>TRIM(_xlfn.TEXTBEFORE(I11, "："))</f>
        <v>装備条件</v>
      </c>
      <c r="K11" s="18" t="s">
        <v>8050</v>
      </c>
      <c r="L11" s="16" t="str">
        <f>TRIM(_xlfn.TEXTBEFORE(K11, ":"))</f>
        <v>요구 사항</v>
      </c>
      <c r="M11" s="18" t="s">
        <v>7956</v>
      </c>
      <c r="N11" s="16" t="str">
        <f>TRIM(_xlfn.TEXTBEFORE(M11, ":"))</f>
        <v>Requer</v>
      </c>
      <c r="O11" s="18" t="s">
        <v>7975</v>
      </c>
      <c r="P11" s="16" t="str">
        <f>TRIM(_xlfn.TEXTBEFORE(O11, ":"))</f>
        <v>Требуется</v>
      </c>
      <c r="Q11" s="18" t="s">
        <v>7993</v>
      </c>
      <c r="R11" s="16" t="str">
        <f>TRIM(_xlfn.TEXTBEFORE(Q11, ":"))</f>
        <v>ต้องการ</v>
      </c>
      <c r="S11" s="18" t="s">
        <v>8010</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7900</v>
      </c>
      <c r="B13" s="16"/>
      <c r="C13" s="18" t="s">
        <v>7938</v>
      </c>
      <c r="D13" s="16"/>
      <c r="E13" s="18" t="s">
        <v>8032</v>
      </c>
      <c r="F13" s="16"/>
      <c r="G13" s="18" t="s">
        <v>7919</v>
      </c>
      <c r="H13" s="16"/>
      <c r="I13" s="18" t="s">
        <v>8070</v>
      </c>
      <c r="J13" s="16"/>
      <c r="K13" s="18" t="s">
        <v>8051</v>
      </c>
      <c r="L13" s="16"/>
      <c r="M13" s="18" t="s">
        <v>7957</v>
      </c>
      <c r="N13" s="16"/>
      <c r="O13" s="18" t="s">
        <v>7976</v>
      </c>
      <c r="P13" s="16"/>
      <c r="Q13" s="18" t="s">
        <v>7994</v>
      </c>
      <c r="R13" s="16"/>
      <c r="S13" s="18" t="s">
        <v>8011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7901</v>
      </c>
      <c r="B15" s="16"/>
      <c r="C15" s="18" t="s">
        <v>7939</v>
      </c>
      <c r="D15" s="16"/>
      <c r="E15" s="18" t="s">
        <v>8033</v>
      </c>
      <c r="F15" s="16"/>
      <c r="G15" s="18" t="s">
        <v>7920</v>
      </c>
      <c r="H15" s="16"/>
      <c r="I15" s="18" t="s">
        <v>8071</v>
      </c>
      <c r="J15" s="16"/>
      <c r="K15" s="18" t="s">
        <v>8052</v>
      </c>
      <c r="L15" s="16"/>
      <c r="M15" s="18" t="s">
        <v>7958</v>
      </c>
      <c r="N15" s="16"/>
      <c r="O15" s="18" t="s">
        <v>7977</v>
      </c>
      <c r="P15" s="16"/>
      <c r="Q15" s="18" t="s">
        <v>7995</v>
      </c>
      <c r="R15" s="16"/>
      <c r="S15" s="18" t="s">
        <v>8012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7902</v>
      </c>
      <c r="B17" s="16"/>
      <c r="C17" s="18" t="s">
        <v>7940</v>
      </c>
      <c r="D17" s="16"/>
      <c r="E17" s="18" t="s">
        <v>8034</v>
      </c>
      <c r="F17" s="16"/>
      <c r="G17" s="18" t="s">
        <v>7921</v>
      </c>
      <c r="H17" s="16"/>
      <c r="I17" s="18" t="s">
        <v>8072</v>
      </c>
      <c r="J17" s="16"/>
      <c r="K17" s="18" t="s">
        <v>8053</v>
      </c>
      <c r="L17" s="16"/>
      <c r="M17" s="18" t="s">
        <v>7959</v>
      </c>
      <c r="N17" s="16"/>
      <c r="O17" s="18" t="s">
        <v>7978</v>
      </c>
      <c r="P17" s="16"/>
      <c r="Q17" s="18" t="s">
        <v>7996</v>
      </c>
      <c r="R17" s="16"/>
      <c r="S17" s="18" t="s">
        <v>8013</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7903</v>
      </c>
      <c r="B3" s="16" t="str">
        <f>TRIM(_xlfn.TEXTBEFORE(A3, ":"))</f>
        <v>Item Class</v>
      </c>
      <c r="C3" s="17" t="s">
        <v>7941</v>
      </c>
      <c r="D3" s="16" t="str">
        <f>TRIM(_xlfn.TEXTBEFORE(C3, ":"))</f>
        <v>Gegenstandsklasse</v>
      </c>
      <c r="E3" s="17" t="s">
        <v>8035</v>
      </c>
      <c r="F3" s="16" t="str">
        <f>TRIM(_xlfn.TEXTBEFORE(E3, ":"))</f>
        <v>Clase de objeto</v>
      </c>
      <c r="G3" s="17" t="s">
        <v>7922</v>
      </c>
      <c r="H3" s="16" t="str">
        <f>TRIM(_xlfn.TEXTBEFORE(G3, ":"))</f>
        <v>Classe d'objet</v>
      </c>
      <c r="I3" s="17" t="s">
        <v>8073</v>
      </c>
      <c r="J3" s="16" t="str">
        <f>TRIM(_xlfn.TEXTBEFORE(I3, ":"))</f>
        <v>アイテムクラス</v>
      </c>
      <c r="K3" s="17" t="s">
        <v>8054</v>
      </c>
      <c r="L3" s="16" t="str">
        <f>TRIM(_xlfn.TEXTBEFORE(K3, ":"))</f>
        <v>아이템 종류</v>
      </c>
      <c r="M3" s="17" t="s">
        <v>7960</v>
      </c>
      <c r="N3" s="16" t="str">
        <f>TRIM(_xlfn.TEXTBEFORE(M3, ":"))</f>
        <v>Classe do Item</v>
      </c>
      <c r="O3" s="17" t="s">
        <v>7985</v>
      </c>
      <c r="P3" s="16" t="str">
        <f>TRIM(_xlfn.TEXTBEFORE(O3, ":"))</f>
        <v>Класс предмета</v>
      </c>
      <c r="Q3" s="17" t="s">
        <v>7997</v>
      </c>
      <c r="R3" s="16" t="str">
        <f>TRIM(_xlfn.TEXTBEFORE(Q3, ":"))</f>
        <v>ชนิดไอเทม</v>
      </c>
      <c r="S3" s="17" t="s">
        <v>8014</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7199</v>
      </c>
      <c r="T4" s="20" t="str">
        <f>TRIM(_xlfn.TEXTAFTER(S3, ":"))</f>
        <v>輕盾</v>
      </c>
    </row>
    <row r="5" spans="1:20" ht="15.95" customHeight="1" x14ac:dyDescent="0.25">
      <c r="A5" s="18" t="s">
        <v>7904</v>
      </c>
      <c r="B5" s="16" t="str">
        <f>TRIM(_xlfn.TEXTBEFORE(A4, ":"))</f>
        <v>Rarity</v>
      </c>
      <c r="C5" s="18" t="s">
        <v>7942</v>
      </c>
      <c r="D5" s="16" t="str">
        <f>TRIM(_xlfn.TEXTBEFORE(C4, ":"))</f>
        <v>Seltenheit</v>
      </c>
      <c r="E5" s="18" t="s">
        <v>8036</v>
      </c>
      <c r="F5" s="16" t="str">
        <f>TRIM(_xlfn.TEXTBEFORE(E4, ":"))</f>
        <v>Rareza</v>
      </c>
      <c r="G5" s="18" t="s">
        <v>7923</v>
      </c>
      <c r="H5" s="16" t="str">
        <f>TRIM(_xlfn.TEXTBEFORE(G4, ":"))</f>
        <v>Rareté</v>
      </c>
      <c r="I5" s="18" t="s">
        <v>8074</v>
      </c>
      <c r="J5" s="16" t="str">
        <f>TRIM(_xlfn.TEXTBEFORE(I4, ":"))</f>
        <v>レアリティ</v>
      </c>
      <c r="K5" s="18" t="s">
        <v>8055</v>
      </c>
      <c r="L5" s="16" t="str">
        <f>TRIM(_xlfn.TEXTBEFORE(K4, ":"))</f>
        <v>아이템 희귀도</v>
      </c>
      <c r="M5" s="18" t="s">
        <v>7961</v>
      </c>
      <c r="N5" s="16" t="str">
        <f>TRIM(_xlfn.TEXTBEFORE(M4, ":"))</f>
        <v>Raridade</v>
      </c>
      <c r="O5" s="18" t="s">
        <v>7986</v>
      </c>
      <c r="P5" s="16" t="str">
        <f>TRIM(_xlfn.TEXTBEFORE(O4, ":"))</f>
        <v>Редкость</v>
      </c>
      <c r="Q5" s="18" t="s">
        <v>7904</v>
      </c>
      <c r="R5" s="16" t="str">
        <f>TRIM(_xlfn.TEXTBEFORE(Q4, ":"))</f>
        <v>ความหายาก</v>
      </c>
      <c r="S5" s="18" t="s">
        <v>8015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7905</v>
      </c>
      <c r="B7" s="16"/>
      <c r="C7" s="18" t="s">
        <v>7943</v>
      </c>
      <c r="D7" s="16"/>
      <c r="E7" s="18" t="s">
        <v>8037</v>
      </c>
      <c r="F7" s="16"/>
      <c r="G7" s="18" t="s">
        <v>7924</v>
      </c>
      <c r="H7" s="16"/>
      <c r="I7" s="18" t="s">
        <v>8075</v>
      </c>
      <c r="J7" s="16"/>
      <c r="K7" s="18" t="s">
        <v>8056</v>
      </c>
      <c r="L7" s="16"/>
      <c r="M7" s="18" t="s">
        <v>7962</v>
      </c>
      <c r="N7" s="16"/>
      <c r="O7" s="18" t="s">
        <v>7987</v>
      </c>
      <c r="P7" s="16"/>
      <c r="Q7" s="18" t="s">
        <v>7998</v>
      </c>
      <c r="R7" s="16"/>
      <c r="S7" s="18" t="s">
        <v>8016</v>
      </c>
      <c r="T7" s="20"/>
    </row>
    <row r="8" spans="1:20" ht="15.95" customHeight="1" x14ac:dyDescent="0.25">
      <c r="A8" s="18" t="s">
        <v>7906</v>
      </c>
      <c r="B8" s="16"/>
      <c r="C8" s="18" t="s">
        <v>7944</v>
      </c>
      <c r="D8" s="16"/>
      <c r="E8" s="18" t="s">
        <v>8038</v>
      </c>
      <c r="F8" s="16"/>
      <c r="G8" s="18" t="s">
        <v>7925</v>
      </c>
      <c r="H8" s="16"/>
      <c r="I8" s="18" t="s">
        <v>8076</v>
      </c>
      <c r="J8" s="16"/>
      <c r="K8" s="18" t="s">
        <v>8057</v>
      </c>
      <c r="L8" s="16"/>
      <c r="M8" s="18" t="s">
        <v>7963</v>
      </c>
      <c r="N8" s="16"/>
      <c r="O8" s="18" t="s">
        <v>7988</v>
      </c>
      <c r="P8" s="16"/>
      <c r="Q8" s="18" t="s">
        <v>7999</v>
      </c>
      <c r="R8" s="16"/>
      <c r="S8" s="18" t="s">
        <v>8017</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7899</v>
      </c>
      <c r="B10" s="16"/>
      <c r="C10" s="18" t="s">
        <v>7937</v>
      </c>
      <c r="D10" s="16"/>
      <c r="E10" s="18" t="s">
        <v>8031</v>
      </c>
      <c r="F10" s="16"/>
      <c r="G10" s="18" t="s">
        <v>7918</v>
      </c>
      <c r="H10" s="16"/>
      <c r="I10" s="18" t="s">
        <v>8069</v>
      </c>
      <c r="J10" s="16"/>
      <c r="K10" s="18" t="s">
        <v>8050</v>
      </c>
      <c r="L10" s="16"/>
      <c r="M10" s="18" t="s">
        <v>7956</v>
      </c>
      <c r="N10" s="16"/>
      <c r="O10" s="18" t="s">
        <v>7975</v>
      </c>
      <c r="P10" s="16"/>
      <c r="Q10" s="18" t="s">
        <v>7993</v>
      </c>
      <c r="R10" s="16"/>
      <c r="S10" s="18" t="s">
        <v>8010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7900</v>
      </c>
      <c r="B12" s="16"/>
      <c r="C12" s="18" t="s">
        <v>7938</v>
      </c>
      <c r="D12" s="16"/>
      <c r="E12" s="18" t="s">
        <v>8032</v>
      </c>
      <c r="F12" s="16"/>
      <c r="G12" s="18" t="s">
        <v>7919</v>
      </c>
      <c r="H12" s="16"/>
      <c r="I12" s="18" t="s">
        <v>8070</v>
      </c>
      <c r="J12" s="16"/>
      <c r="K12" s="18" t="s">
        <v>8051</v>
      </c>
      <c r="L12" s="16"/>
      <c r="M12" s="18" t="s">
        <v>7957</v>
      </c>
      <c r="N12" s="16"/>
      <c r="O12" s="18" t="s">
        <v>7976</v>
      </c>
      <c r="P12" s="16"/>
      <c r="Q12" s="18" t="s">
        <v>7994</v>
      </c>
      <c r="R12" s="16"/>
      <c r="S12" s="18" t="s">
        <v>8011</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7907</v>
      </c>
      <c r="B14" s="16"/>
      <c r="C14" s="18" t="s">
        <v>7945</v>
      </c>
      <c r="D14" s="16"/>
      <c r="E14" s="18" t="s">
        <v>8039</v>
      </c>
      <c r="F14" s="16"/>
      <c r="G14" s="18" t="s">
        <v>7926</v>
      </c>
      <c r="H14" s="16"/>
      <c r="I14" s="18" t="s">
        <v>8077</v>
      </c>
      <c r="J14" s="16"/>
      <c r="K14" s="18" t="s">
        <v>8058</v>
      </c>
      <c r="L14" s="16"/>
      <c r="M14" s="18" t="s">
        <v>7964</v>
      </c>
      <c r="N14" s="16"/>
      <c r="O14" s="18" t="s">
        <v>7989</v>
      </c>
      <c r="P14" s="16"/>
      <c r="Q14" s="18" t="s">
        <v>8000</v>
      </c>
      <c r="R14" s="16"/>
      <c r="S14" s="18" t="s">
        <v>8018</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7908</v>
      </c>
      <c r="B16" s="16"/>
      <c r="C16" s="18" t="s">
        <v>7946</v>
      </c>
      <c r="D16" s="16"/>
      <c r="E16" s="18" t="s">
        <v>8040</v>
      </c>
      <c r="F16" s="16"/>
      <c r="G16" s="18" t="s">
        <v>7927</v>
      </c>
      <c r="H16" s="16"/>
      <c r="I16" s="18" t="s">
        <v>8078</v>
      </c>
      <c r="J16" s="16"/>
      <c r="K16" s="18" t="s">
        <v>8059</v>
      </c>
      <c r="L16" s="16"/>
      <c r="M16" s="18" t="s">
        <v>7965</v>
      </c>
      <c r="N16" s="16"/>
      <c r="O16" s="18" t="s">
        <v>7990</v>
      </c>
      <c r="P16" s="16"/>
      <c r="Q16" s="18" t="s">
        <v>8001</v>
      </c>
      <c r="R16" s="16"/>
      <c r="S16" s="18" t="s">
        <v>8019</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8020</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8021</v>
      </c>
      <c r="T4" s="20" t="str">
        <f>TRIM(_xlfn.TEXTAFTER(S3, ":"))</f>
        <v>箭袋</v>
      </c>
    </row>
    <row r="5" spans="1:20" ht="15.95" customHeight="1" x14ac:dyDescent="0.25">
      <c r="A5" s="18" t="s">
        <v>7909</v>
      </c>
      <c r="B5" s="16" t="str">
        <f>TRIM(_xlfn.TEXTBEFORE(A4, ":"))</f>
        <v>Rarity</v>
      </c>
      <c r="C5" s="18" t="s">
        <v>7947</v>
      </c>
      <c r="D5" s="16" t="str">
        <f>TRIM(_xlfn.TEXTBEFORE(C4, ":"))</f>
        <v>Seltenheit</v>
      </c>
      <c r="E5" s="18" t="s">
        <v>8041</v>
      </c>
      <c r="F5" s="16" t="str">
        <f>TRIM(_xlfn.TEXTBEFORE(E4, ":"))</f>
        <v>Rareza</v>
      </c>
      <c r="G5" s="18" t="s">
        <v>7928</v>
      </c>
      <c r="H5" s="16" t="str">
        <f>TRIM(_xlfn.TEXTBEFORE(G4, ":"))</f>
        <v>Rareté</v>
      </c>
      <c r="I5" s="18" t="s">
        <v>8079</v>
      </c>
      <c r="J5" s="16" t="str">
        <f>TRIM(_xlfn.TEXTBEFORE(I4, ":"))</f>
        <v>レアリティ</v>
      </c>
      <c r="K5" s="18" t="s">
        <v>8060</v>
      </c>
      <c r="L5" s="16" t="str">
        <f>TRIM(_xlfn.TEXTBEFORE(K4, ":"))</f>
        <v>아이템 희귀도</v>
      </c>
      <c r="M5" s="18" t="s">
        <v>7966</v>
      </c>
      <c r="N5" s="16" t="str">
        <f>TRIM(_xlfn.TEXTBEFORE(M4, ":"))</f>
        <v>Raridade</v>
      </c>
      <c r="O5" s="18" t="s">
        <v>7979</v>
      </c>
      <c r="P5" s="16" t="str">
        <f>TRIM(_xlfn.TEXTBEFORE(O4, ":"))</f>
        <v>Редкость</v>
      </c>
      <c r="Q5" s="18" t="s">
        <v>8002</v>
      </c>
      <c r="R5" s="16" t="str">
        <f>TRIM(_xlfn.TEXTBEFORE(Q4, ":"))</f>
        <v>ความหายาก</v>
      </c>
      <c r="S5" s="18" t="s">
        <v>8022</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7910</v>
      </c>
      <c r="B7" s="16" t="str">
        <f>A5</f>
        <v>You cannot use this item. Its stats will be ignored</v>
      </c>
      <c r="C7" s="18" t="s">
        <v>7948</v>
      </c>
      <c r="D7" s="16" t="str">
        <f>C5</f>
        <v>Du kannst diesen Gegenstand nicht benutzen. Seine Eigenschaften werden ignoriert.</v>
      </c>
      <c r="E7" s="18" t="s">
        <v>8042</v>
      </c>
      <c r="F7" s="16" t="str">
        <f>E5</f>
        <v>No puedes usar este objeto. Sus estadísticas serán ignoradas</v>
      </c>
      <c r="G7" s="18" t="s">
        <v>7929</v>
      </c>
      <c r="H7" s="16" t="str">
        <f>G5</f>
        <v>Vous ne pouvez pas utiliser cet objet ; ses stats sont ignorées.</v>
      </c>
      <c r="I7" s="18" t="s">
        <v>8080</v>
      </c>
      <c r="J7" s="16" t="str">
        <f>I5</f>
        <v>このアイテムを使用できません。アイテムの効果は無視されます</v>
      </c>
      <c r="K7" s="18" t="s">
        <v>8061</v>
      </c>
      <c r="L7" s="16" t="str">
        <f>K5</f>
        <v>아이템 착용 불가. 아이템 효과 미적용</v>
      </c>
      <c r="M7" s="18" t="s">
        <v>7967</v>
      </c>
      <c r="N7" s="16" t="str">
        <f>M5</f>
        <v>Você não pode utilizar este item. Suas propriedades serão ignoradas</v>
      </c>
      <c r="O7" s="18" t="s">
        <v>7980</v>
      </c>
      <c r="P7" s="16" t="str">
        <f>O5</f>
        <v>Вы не можете использовать этот предмет, его параметры не будут учтены</v>
      </c>
      <c r="Q7" s="18" t="s">
        <v>7910</v>
      </c>
      <c r="R7" s="16" t="str">
        <f>Q5</f>
        <v>คุณไม่สามารถใช้ไอเทมชิ้นนี้ได้ Stats ของไอเทมนี้จะไม่มีผล</v>
      </c>
      <c r="S7" s="18" t="s">
        <v>8023</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7911</v>
      </c>
      <c r="B9" s="16"/>
      <c r="C9" s="18" t="s">
        <v>7949</v>
      </c>
      <c r="D9" s="16"/>
      <c r="E9" s="18" t="s">
        <v>8043</v>
      </c>
      <c r="F9" s="16"/>
      <c r="G9" s="18" t="s">
        <v>7930</v>
      </c>
      <c r="H9" s="16"/>
      <c r="I9" s="18" t="s">
        <v>8081</v>
      </c>
      <c r="J9" s="16"/>
      <c r="K9" s="18" t="s">
        <v>8062</v>
      </c>
      <c r="L9" s="16"/>
      <c r="M9" s="18" t="s">
        <v>7968</v>
      </c>
      <c r="N9" s="16"/>
      <c r="O9" s="18" t="s">
        <v>7981</v>
      </c>
      <c r="P9" s="16"/>
      <c r="Q9" s="18" t="s">
        <v>8003</v>
      </c>
      <c r="R9" s="16"/>
      <c r="S9" s="18" t="s">
        <v>8024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7912</v>
      </c>
      <c r="B11" s="16"/>
      <c r="C11" s="18" t="s">
        <v>7950</v>
      </c>
      <c r="D11" s="16"/>
      <c r="E11" s="18" t="s">
        <v>8044</v>
      </c>
      <c r="F11" s="16"/>
      <c r="G11" s="18" t="s">
        <v>7931</v>
      </c>
      <c r="H11" s="16"/>
      <c r="I11" s="18" t="s">
        <v>8082</v>
      </c>
      <c r="J11" s="16"/>
      <c r="K11" s="18" t="s">
        <v>8063</v>
      </c>
      <c r="L11" s="16"/>
      <c r="M11" s="18" t="s">
        <v>7969</v>
      </c>
      <c r="N11" s="16"/>
      <c r="O11" s="18" t="s">
        <v>7982</v>
      </c>
      <c r="P11" s="16"/>
      <c r="Q11" s="18" t="s">
        <v>8004</v>
      </c>
      <c r="R11" s="16"/>
      <c r="S11" s="18" t="s">
        <v>8025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7913</v>
      </c>
      <c r="B13" s="16"/>
      <c r="C13" s="18" t="s">
        <v>7951</v>
      </c>
      <c r="D13" s="16"/>
      <c r="E13" s="18" t="s">
        <v>8045</v>
      </c>
      <c r="F13" s="16"/>
      <c r="G13" s="18" t="s">
        <v>7932</v>
      </c>
      <c r="H13" s="16"/>
      <c r="I13" s="18" t="s">
        <v>8083</v>
      </c>
      <c r="J13" s="16"/>
      <c r="K13" s="18" t="s">
        <v>8064</v>
      </c>
      <c r="L13" s="16"/>
      <c r="M13" s="18" t="s">
        <v>7970</v>
      </c>
      <c r="N13" s="16"/>
      <c r="O13" s="18" t="s">
        <v>7983</v>
      </c>
      <c r="P13" s="16"/>
      <c r="Q13" s="18" t="s">
        <v>8005</v>
      </c>
      <c r="R13" s="16"/>
      <c r="S13" s="18" t="s">
        <v>8026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7914</v>
      </c>
      <c r="B15" s="16"/>
      <c r="C15" s="18" t="s">
        <v>7952</v>
      </c>
      <c r="D15" s="16"/>
      <c r="E15" s="18" t="s">
        <v>8046</v>
      </c>
      <c r="F15" s="16"/>
      <c r="G15" s="18" t="s">
        <v>7933</v>
      </c>
      <c r="H15" s="16"/>
      <c r="I15" s="18" t="s">
        <v>8084</v>
      </c>
      <c r="J15" s="16"/>
      <c r="K15" s="18" t="s">
        <v>8065</v>
      </c>
      <c r="L15" s="16"/>
      <c r="M15" s="18" t="s">
        <v>7971</v>
      </c>
      <c r="N15" s="16"/>
      <c r="O15" s="18" t="s">
        <v>7984</v>
      </c>
      <c r="P15" s="16"/>
      <c r="Q15" s="18" t="s">
        <v>8006</v>
      </c>
      <c r="R15" s="16"/>
      <c r="S15" s="18" t="s">
        <v>8027</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8094</v>
      </c>
      <c r="B3" s="16" t="str">
        <f>TRIM(_xlfn.TEXTBEFORE(A3, ":"))</f>
        <v>Item Class</v>
      </c>
      <c r="C3" s="17" t="s">
        <v>8150</v>
      </c>
      <c r="D3" s="16" t="str">
        <f>TRIM(_xlfn.TEXTBEFORE(C3, ":"))</f>
        <v>Gegenstandsklasse</v>
      </c>
      <c r="E3" s="17" t="s">
        <v>8251</v>
      </c>
      <c r="F3" s="16" t="str">
        <f>TRIM(_xlfn.TEXTBEFORE(E3, ":"))</f>
        <v>Clase de objeto</v>
      </c>
      <c r="G3" s="17" t="s">
        <v>8122</v>
      </c>
      <c r="H3" s="16" t="str">
        <f>TRIM(_xlfn.TEXTBEFORE(G3, ":"))</f>
        <v>Classe d'objet</v>
      </c>
      <c r="I3" s="17" t="s">
        <v>8291</v>
      </c>
      <c r="J3" s="16" t="str">
        <f>TRIM(_xlfn.TEXTBEFORE(I3, ":"))</f>
        <v>アイテムクラス</v>
      </c>
      <c r="K3" s="17" t="s">
        <v>8271</v>
      </c>
      <c r="L3" s="16" t="str">
        <f>TRIM(_xlfn.TEXTBEFORE(K3, ":"))</f>
        <v>아이템 종류</v>
      </c>
      <c r="M3" s="17" t="s">
        <v>8170</v>
      </c>
      <c r="N3" s="16" t="str">
        <f>TRIM(_xlfn.TEXTBEFORE(M3, ":"))</f>
        <v>Classe do Item</v>
      </c>
      <c r="O3" s="17" t="s">
        <v>8190</v>
      </c>
      <c r="P3" s="16" t="str">
        <f>TRIM(_xlfn.TEXTBEFORE(O3, ":"))</f>
        <v>Класс предмета</v>
      </c>
      <c r="Q3" s="17" t="s">
        <v>8209</v>
      </c>
      <c r="R3" s="16" t="str">
        <f>TRIM(_xlfn.TEXTBEFORE(Q3, ":"))</f>
        <v>ชนิดไอเทม</v>
      </c>
      <c r="S3" s="17" t="s">
        <v>8231</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7209</v>
      </c>
      <c r="T4" s="20" t="str">
        <f>TRIM(_xlfn.TEXTAFTER(S3, ":"))</f>
        <v>未切割的技能寶石</v>
      </c>
    </row>
    <row r="5" spans="1:20" ht="15.95" customHeight="1" x14ac:dyDescent="0.25">
      <c r="A5" s="18" t="s">
        <v>8095</v>
      </c>
      <c r="B5" s="16" t="str">
        <f>TRIM(_xlfn.TEXTBEFORE(A4, ":"))</f>
        <v>Rarity</v>
      </c>
      <c r="C5" s="18" t="s">
        <v>8151</v>
      </c>
      <c r="D5" s="16" t="str">
        <f>TRIM(_xlfn.TEXTBEFORE(C4, ":"))</f>
        <v>Seltenheit</v>
      </c>
      <c r="E5" s="18" t="s">
        <v>8252</v>
      </c>
      <c r="F5" s="16" t="str">
        <f>TRIM(_xlfn.TEXTBEFORE(E4, ":"))</f>
        <v>Rareza</v>
      </c>
      <c r="G5" s="18" t="s">
        <v>8123</v>
      </c>
      <c r="H5" s="16" t="str">
        <f>TRIM(_xlfn.TEXTBEFORE(G4, ":"))</f>
        <v>Rareté</v>
      </c>
      <c r="I5" s="18" t="s">
        <v>8292</v>
      </c>
      <c r="J5" s="16" t="str">
        <f>TRIM(_xlfn.TEXTBEFORE(I4, ":"))</f>
        <v>レアリティ</v>
      </c>
      <c r="K5" s="18" t="s">
        <v>8272</v>
      </c>
      <c r="L5" s="16" t="str">
        <f>TRIM(_xlfn.TEXTBEFORE(K4, ":"))</f>
        <v>아이템 희귀도</v>
      </c>
      <c r="M5" s="18" t="s">
        <v>8171</v>
      </c>
      <c r="N5" s="16" t="str">
        <f>TRIM(_xlfn.TEXTBEFORE(M4, ":"))</f>
        <v>Raridade</v>
      </c>
      <c r="O5" s="18" t="s">
        <v>8191</v>
      </c>
      <c r="P5" s="16" t="str">
        <f>TRIM(_xlfn.TEXTBEFORE(O4, ":"))</f>
        <v>Редкость</v>
      </c>
      <c r="Q5" s="18" t="s">
        <v>8210</v>
      </c>
      <c r="R5" s="16" t="str">
        <f>TRIM(_xlfn.TEXTBEFORE(Q4, ":"))</f>
        <v>ความหายาก</v>
      </c>
      <c r="S5" s="18" t="s">
        <v>8232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8096</v>
      </c>
      <c r="B7" s="16" t="str">
        <f>TRIM(_xlfn.TEXTAFTER(_xlfn.TEXTBEFORE(A5,")"),"("))</f>
        <v>Level 9</v>
      </c>
      <c r="C7" s="18" t="s">
        <v>8152</v>
      </c>
      <c r="D7" s="16" t="str">
        <f>TRIM(_xlfn.TEXTAFTER(_xlfn.TEXTBEFORE(C5,")"),"("))</f>
        <v>Stufe 9</v>
      </c>
      <c r="E7" s="18" t="s">
        <v>8253</v>
      </c>
      <c r="F7" s="16" t="str">
        <f>TRIM(_xlfn.TEXTAFTER(_xlfn.TEXTBEFORE(E5,")"),"("))</f>
        <v>nivel 9</v>
      </c>
      <c r="G7" s="18" t="s">
        <v>8124</v>
      </c>
      <c r="H7" s="16" t="str">
        <f>TRIM(_xlfn.TEXTAFTER(_xlfn.TEXTBEFORE(G5,")"),"("))</f>
        <v>Niveau 9</v>
      </c>
      <c r="I7" s="18" t="s">
        <v>8293</v>
      </c>
      <c r="J7" s="16" t="str">
        <f>TRIM(_xlfn.TEXTAFTER(_xlfn.TEXTBEFORE(I5,")"),"("))</f>
        <v>レベル9</v>
      </c>
      <c r="K7" s="18" t="s">
        <v>8273</v>
      </c>
      <c r="L7" s="16" t="str">
        <f>TRIM(_xlfn.TEXTAFTER(_xlfn.TEXTBEFORE(K5,")"),"("))</f>
        <v>9레벨</v>
      </c>
      <c r="M7" s="18" t="s">
        <v>8172</v>
      </c>
      <c r="N7" s="16" t="str">
        <f>TRIM(_xlfn.TEXTAFTER(_xlfn.TEXTBEFORE(M5,")"),"("))</f>
        <v>Nível 9</v>
      </c>
      <c r="O7" s="18" t="s">
        <v>8192</v>
      </c>
      <c r="P7" s="16" t="str">
        <f>TRIM(_xlfn.TEXTAFTER(_xlfn.TEXTBEFORE(O5,")"),"("))</f>
        <v>уровень 9</v>
      </c>
      <c r="Q7" s="18" t="s">
        <v>8211</v>
      </c>
      <c r="R7" s="16" t="str">
        <f>TRIM(_xlfn.TEXTAFTER(_xlfn.TEXTBEFORE(Q5,")"),"("))</f>
        <v>เลเวล 9</v>
      </c>
      <c r="S7" s="18" t="s">
        <v>8233</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8097</v>
      </c>
      <c r="B9" s="16"/>
      <c r="C9" s="18" t="s">
        <v>8153</v>
      </c>
      <c r="D9" s="16"/>
      <c r="E9" s="18" t="s">
        <v>8254</v>
      </c>
      <c r="F9" s="16"/>
      <c r="G9" s="18" t="s">
        <v>8125</v>
      </c>
      <c r="H9" s="16"/>
      <c r="I9" s="18" t="s">
        <v>8294</v>
      </c>
      <c r="J9" s="16"/>
      <c r="K9" s="18" t="s">
        <v>8274</v>
      </c>
      <c r="L9" s="16"/>
      <c r="M9" s="18" t="s">
        <v>8173</v>
      </c>
      <c r="N9" s="16"/>
      <c r="O9" s="18" t="s">
        <v>8193</v>
      </c>
      <c r="P9" s="16"/>
      <c r="Q9" s="18" t="s">
        <v>8212</v>
      </c>
      <c r="R9" s="16"/>
      <c r="S9" s="18" t="s">
        <v>8234</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 stopIfTrue="1">
      <formula>NOT(ISERROR(A3))</formula>
    </cfRule>
  </conditionalFormatting>
  <conditionalFormatting sqref="A3:T51">
    <cfRule type="containsErrors" dxfId="39" priority="1" stopIfTrue="1">
      <formula>ISERROR(A3)</formula>
    </cfRule>
    <cfRule type="notContainsBlanks" dxfId="38"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8098</v>
      </c>
      <c r="B3" s="16" t="str">
        <f>TRIM(_xlfn.TEXTBEFORE(A3, ":"))</f>
        <v>Item Class</v>
      </c>
      <c r="C3" s="17" t="s">
        <v>8146</v>
      </c>
      <c r="D3" s="16" t="str">
        <f>TRIM(_xlfn.TEXTBEFORE(C3, ":"))</f>
        <v>Gegenstandsklasse</v>
      </c>
      <c r="E3" s="17" t="s">
        <v>8247</v>
      </c>
      <c r="F3" s="16" t="str">
        <f>TRIM(_xlfn.TEXTBEFORE(E3, ":"))</f>
        <v>Clase de objeto</v>
      </c>
      <c r="G3" s="17" t="s">
        <v>8114</v>
      </c>
      <c r="H3" s="16" t="str">
        <f>TRIM(_xlfn.TEXTBEFORE(G3, ":"))</f>
        <v>Classe d'objet</v>
      </c>
      <c r="I3" s="17" t="s">
        <v>8287</v>
      </c>
      <c r="J3" s="16" t="str">
        <f>TRIM(_xlfn.TEXTBEFORE(I3, ":"))</f>
        <v>アイテムクラス</v>
      </c>
      <c r="K3" s="17" t="s">
        <v>8267</v>
      </c>
      <c r="L3" s="16" t="str">
        <f>TRIM(_xlfn.TEXTBEFORE(K3, ":"))</f>
        <v>아이템 종류</v>
      </c>
      <c r="M3" s="17" t="s">
        <v>8166</v>
      </c>
      <c r="N3" s="16" t="str">
        <f>TRIM(_xlfn.TEXTBEFORE(M3, ":"))</f>
        <v>Classe do Item</v>
      </c>
      <c r="O3" s="17" t="s">
        <v>8186</v>
      </c>
      <c r="P3" s="16" t="str">
        <f>TRIM(_xlfn.TEXTBEFORE(O3, ":"))</f>
        <v>Класс предмета</v>
      </c>
      <c r="Q3" s="17" t="s">
        <v>8205</v>
      </c>
      <c r="R3" s="16" t="str">
        <f>TRIM(_xlfn.TEXTBEFORE(Q3, ":"))</f>
        <v>ชนิดไอเทม</v>
      </c>
      <c r="S3" s="17" t="s">
        <v>8227</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7209</v>
      </c>
      <c r="T4" s="20" t="str">
        <f>TRIM(_xlfn.TEXTAFTER(S3, ":"))</f>
        <v>未切割的輔助寶石</v>
      </c>
    </row>
    <row r="5" spans="1:20" ht="15.95" customHeight="1" x14ac:dyDescent="0.25">
      <c r="A5" s="18" t="s">
        <v>8099</v>
      </c>
      <c r="B5" s="16" t="str">
        <f>TRIM(_xlfn.TEXTBEFORE(A4, ":"))</f>
        <v>Rarity</v>
      </c>
      <c r="C5" s="18" t="s">
        <v>8147</v>
      </c>
      <c r="D5" s="16" t="str">
        <f>TRIM(_xlfn.TEXTBEFORE(C4, ":"))</f>
        <v>Seltenheit</v>
      </c>
      <c r="E5" s="18" t="s">
        <v>8248</v>
      </c>
      <c r="F5" s="16" t="str">
        <f>TRIM(_xlfn.TEXTBEFORE(E4, ":"))</f>
        <v>Rareza</v>
      </c>
      <c r="G5" s="18" t="s">
        <v>8115</v>
      </c>
      <c r="H5" s="16" t="str">
        <f>TRIM(_xlfn.TEXTBEFORE(G4, ":"))</f>
        <v>Rareté</v>
      </c>
      <c r="I5" s="18" t="s">
        <v>8288</v>
      </c>
      <c r="J5" s="16" t="str">
        <f>TRIM(_xlfn.TEXTBEFORE(I4, ":"))</f>
        <v>レアリティ</v>
      </c>
      <c r="K5" s="18" t="s">
        <v>8268</v>
      </c>
      <c r="L5" s="16" t="str">
        <f>TRIM(_xlfn.TEXTBEFORE(K4, ":"))</f>
        <v>아이템 희귀도</v>
      </c>
      <c r="M5" s="18" t="s">
        <v>8167</v>
      </c>
      <c r="N5" s="16" t="str">
        <f>TRIM(_xlfn.TEXTBEFORE(M4, ":"))</f>
        <v>Raridade</v>
      </c>
      <c r="O5" s="18" t="s">
        <v>8187</v>
      </c>
      <c r="P5" s="16" t="str">
        <f>TRIM(_xlfn.TEXTBEFORE(O4, ":"))</f>
        <v>Редкость</v>
      </c>
      <c r="Q5" s="18" t="s">
        <v>8206</v>
      </c>
      <c r="R5" s="16" t="str">
        <f>TRIM(_xlfn.TEXTBEFORE(Q4, ":"))</f>
        <v>ความหายาก</v>
      </c>
      <c r="S5" s="18" t="s">
        <v>8228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8100</v>
      </c>
      <c r="B7" s="16" t="str">
        <f>TRIM(_xlfn.TEXTAFTER(_xlfn.TEXTBEFORE(A5,")"),"("))</f>
        <v>Level 3</v>
      </c>
      <c r="C7" s="18" t="s">
        <v>8148</v>
      </c>
      <c r="D7" s="16" t="str">
        <f>TRIM(_xlfn.TEXTAFTER(_xlfn.TEXTBEFORE(C5,")"),"("))</f>
        <v>Stufe 3</v>
      </c>
      <c r="E7" s="18" t="s">
        <v>8249</v>
      </c>
      <c r="F7" s="16" t="str">
        <f>TRIM(_xlfn.TEXTAFTER(_xlfn.TEXTBEFORE(E5,")"),"("))</f>
        <v>nivel 3</v>
      </c>
      <c r="G7" s="18" t="s">
        <v>8116</v>
      </c>
      <c r="H7" s="16" t="str">
        <f>TRIM(_xlfn.TEXTAFTER(_xlfn.TEXTBEFORE(G5,")"),"("))</f>
        <v>Niveau 3</v>
      </c>
      <c r="I7" s="18" t="s">
        <v>8289</v>
      </c>
      <c r="J7" s="16" t="str">
        <f>TRIM(_xlfn.TEXTAFTER(_xlfn.TEXTBEFORE(I5,")"),"("))</f>
        <v>レベル3</v>
      </c>
      <c r="K7" s="18" t="s">
        <v>8269</v>
      </c>
      <c r="L7" s="16" t="str">
        <f>TRIM(_xlfn.TEXTAFTER(_xlfn.TEXTBEFORE(K5,")"),"("))</f>
        <v>3레벨</v>
      </c>
      <c r="M7" s="18" t="s">
        <v>8168</v>
      </c>
      <c r="N7" s="16" t="str">
        <f>TRIM(_xlfn.TEXTAFTER(_xlfn.TEXTBEFORE(M5,")"),"("))</f>
        <v>Nível 3</v>
      </c>
      <c r="O7" s="18" t="s">
        <v>8188</v>
      </c>
      <c r="P7" s="16" t="str">
        <f>TRIM(_xlfn.TEXTAFTER(_xlfn.TEXTBEFORE(O5,")"),"("))</f>
        <v>уровень 3</v>
      </c>
      <c r="Q7" s="18" t="s">
        <v>8207</v>
      </c>
      <c r="R7" s="16" t="str">
        <f>TRIM(_xlfn.TEXTAFTER(_xlfn.TEXTBEFORE(Q5,")"),"("))</f>
        <v>เลเวล 3</v>
      </c>
      <c r="S7" s="18" t="s">
        <v>8229</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8101</v>
      </c>
      <c r="B9" s="16"/>
      <c r="C9" s="18" t="s">
        <v>8149</v>
      </c>
      <c r="D9" s="16"/>
      <c r="E9" s="18" t="s">
        <v>8250</v>
      </c>
      <c r="F9" s="16"/>
      <c r="G9" s="18" t="s">
        <v>8117</v>
      </c>
      <c r="H9" s="16"/>
      <c r="I9" s="18" t="s">
        <v>8290</v>
      </c>
      <c r="J9" s="16"/>
      <c r="K9" s="18" t="s">
        <v>8270</v>
      </c>
      <c r="L9" s="16"/>
      <c r="M9" s="18" t="s">
        <v>8169</v>
      </c>
      <c r="N9" s="16"/>
      <c r="O9" s="18" t="s">
        <v>8189</v>
      </c>
      <c r="P9" s="16"/>
      <c r="Q9" s="18" t="s">
        <v>8208</v>
      </c>
      <c r="R9" s="16"/>
      <c r="S9" s="18" t="s">
        <v>8230</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 priority="42" stopIfTrue="1">
      <formula>NOT(ISERROR(A3))</formula>
    </cfRule>
  </conditionalFormatting>
  <conditionalFormatting sqref="A3:T6 A7 C7 E7 G7 I7 K7 M7 O7 Q7 S7 A8:T51">
    <cfRule type="notContainsBlanks" dxfId="36" priority="43">
      <formula>LEN(TRIM(A3))&gt;0</formula>
    </cfRule>
  </conditionalFormatting>
  <conditionalFormatting sqref="A3:T51">
    <cfRule type="containsErrors" dxfId="35" priority="1" stopIfTrue="1">
      <formula>ISERROR(A3)</formula>
    </cfRule>
  </conditionalFormatting>
  <conditionalFormatting sqref="B7">
    <cfRule type="notContainsBlanks" dxfId="34" priority="20">
      <formula>LEN(TRIM(B7))&gt;0</formula>
    </cfRule>
  </conditionalFormatting>
  <conditionalFormatting sqref="D7">
    <cfRule type="notContainsBlanks" dxfId="33" priority="18">
      <formula>LEN(TRIM(D7))&gt;0</formula>
    </cfRule>
  </conditionalFormatting>
  <conditionalFormatting sqref="F7">
    <cfRule type="notContainsBlanks" dxfId="32" priority="16">
      <formula>LEN(TRIM(F7))&gt;0</formula>
    </cfRule>
  </conditionalFormatting>
  <conditionalFormatting sqref="H7">
    <cfRule type="notContainsBlanks" dxfId="31" priority="14">
      <formula>LEN(TRIM(H7))&gt;0</formula>
    </cfRule>
  </conditionalFormatting>
  <conditionalFormatting sqref="J7">
    <cfRule type="notContainsBlanks" dxfId="30" priority="12">
      <formula>LEN(TRIM(J7))&gt;0</formula>
    </cfRule>
  </conditionalFormatting>
  <conditionalFormatting sqref="L7">
    <cfRule type="notContainsBlanks" dxfId="29" priority="10">
      <formula>LEN(TRIM(L7))&gt;0</formula>
    </cfRule>
  </conditionalFormatting>
  <conditionalFormatting sqref="N7">
    <cfRule type="notContainsBlanks" dxfId="28" priority="8">
      <formula>LEN(TRIM(N7))&gt;0</formula>
    </cfRule>
  </conditionalFormatting>
  <conditionalFormatting sqref="P7">
    <cfRule type="notContainsBlanks" dxfId="27" priority="6">
      <formula>LEN(TRIM(P7))&gt;0</formula>
    </cfRule>
  </conditionalFormatting>
  <conditionalFormatting sqref="R7">
    <cfRule type="notContainsBlanks" dxfId="26" priority="4">
      <formula>LEN(TRIM(R7))&gt;0</formula>
    </cfRule>
  </conditionalFormatting>
  <conditionalFormatting sqref="T7">
    <cfRule type="notContainsBlanks" dxfId="25"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8102</v>
      </c>
      <c r="B3" s="16" t="str">
        <f>TRIM(_xlfn.TEXTBEFORE(A3, ":"))</f>
        <v>Item Class</v>
      </c>
      <c r="C3" s="17" t="s">
        <v>8142</v>
      </c>
      <c r="D3" s="16" t="str">
        <f>TRIM(_xlfn.TEXTBEFORE(C3, ":"))</f>
        <v>Gegenstandsklasse</v>
      </c>
      <c r="E3" s="17" t="s">
        <v>8243</v>
      </c>
      <c r="F3" s="16" t="str">
        <f>TRIM(_xlfn.TEXTBEFORE(E3, ":"))</f>
        <v>Clase de objeto</v>
      </c>
      <c r="G3" s="17" t="s">
        <v>8118</v>
      </c>
      <c r="H3" s="16" t="str">
        <f>TRIM(_xlfn.TEXTBEFORE(G3, ":"))</f>
        <v>Classe d'objet</v>
      </c>
      <c r="I3" s="17" t="s">
        <v>8283</v>
      </c>
      <c r="J3" s="16" t="str">
        <f>TRIM(_xlfn.TEXTBEFORE(I3, ":"))</f>
        <v>アイテムクラス</v>
      </c>
      <c r="K3" s="17" t="s">
        <v>8263</v>
      </c>
      <c r="L3" s="16" t="str">
        <f>TRIM(_xlfn.TEXTBEFORE(K3, ":"))</f>
        <v>아이템 종류</v>
      </c>
      <c r="M3" s="17" t="s">
        <v>8162</v>
      </c>
      <c r="N3" s="16" t="str">
        <f>TRIM(_xlfn.TEXTBEFORE(M3, ":"))</f>
        <v>Classe do Item</v>
      </c>
      <c r="O3" s="17" t="s">
        <v>8182</v>
      </c>
      <c r="P3" s="16" t="str">
        <f>TRIM(_xlfn.TEXTBEFORE(O3, ":"))</f>
        <v>Класс предмета</v>
      </c>
      <c r="Q3" s="17" t="s">
        <v>8201</v>
      </c>
      <c r="R3" s="16" t="str">
        <f>TRIM(_xlfn.TEXTBEFORE(Q3, ":"))</f>
        <v>ชนิดไอเทม</v>
      </c>
      <c r="S3" s="17" t="s">
        <v>8223</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7209</v>
      </c>
      <c r="T4" s="20" t="str">
        <f>TRIM(_xlfn.TEXTAFTER(S3, ":"))</f>
        <v>未切割的精魂寶石</v>
      </c>
    </row>
    <row r="5" spans="1:20" ht="15.95" customHeight="1" x14ac:dyDescent="0.25">
      <c r="A5" s="18" t="s">
        <v>8103</v>
      </c>
      <c r="B5" s="16" t="str">
        <f>TRIM(_xlfn.TEXTBEFORE(A4, ":"))</f>
        <v>Rarity</v>
      </c>
      <c r="C5" s="18" t="s">
        <v>8143</v>
      </c>
      <c r="D5" s="16" t="str">
        <f>TRIM(_xlfn.TEXTBEFORE(C4, ":"))</f>
        <v>Seltenheit</v>
      </c>
      <c r="E5" s="18" t="s">
        <v>8244</v>
      </c>
      <c r="F5" s="16" t="str">
        <f>TRIM(_xlfn.TEXTBEFORE(E4, ":"))</f>
        <v>Rareza</v>
      </c>
      <c r="G5" s="18" t="s">
        <v>8119</v>
      </c>
      <c r="H5" s="16" t="str">
        <f>TRIM(_xlfn.TEXTBEFORE(G4, ":"))</f>
        <v>Rareté</v>
      </c>
      <c r="I5" s="18" t="s">
        <v>8284</v>
      </c>
      <c r="J5" s="16" t="str">
        <f>TRIM(_xlfn.TEXTBEFORE(I4, ":"))</f>
        <v>レアリティ</v>
      </c>
      <c r="K5" s="18" t="s">
        <v>8264</v>
      </c>
      <c r="L5" s="16" t="str">
        <f>TRIM(_xlfn.TEXTBEFORE(K4, ":"))</f>
        <v>아이템 희귀도</v>
      </c>
      <c r="M5" s="18" t="s">
        <v>8163</v>
      </c>
      <c r="N5" s="16" t="str">
        <f>TRIM(_xlfn.TEXTBEFORE(M4, ":"))</f>
        <v>Raridade</v>
      </c>
      <c r="O5" s="18" t="s">
        <v>8183</v>
      </c>
      <c r="P5" s="16" t="str">
        <f>TRIM(_xlfn.TEXTBEFORE(O4, ":"))</f>
        <v>Редкость</v>
      </c>
      <c r="Q5" s="18" t="s">
        <v>8202</v>
      </c>
      <c r="R5" s="16" t="str">
        <f>TRIM(_xlfn.TEXTBEFORE(Q4, ":"))</f>
        <v>ความหายาก</v>
      </c>
      <c r="S5" s="18" t="s">
        <v>8224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8104</v>
      </c>
      <c r="B7" s="16" t="str">
        <f>TRIM(_xlfn.TEXTAFTER(_xlfn.TEXTBEFORE(A5,")"),"("))</f>
        <v>Level 16</v>
      </c>
      <c r="C7" s="18" t="s">
        <v>8144</v>
      </c>
      <c r="D7" s="16" t="str">
        <f>TRIM(_xlfn.TEXTAFTER(_xlfn.TEXTBEFORE(C5,")"),"("))</f>
        <v>Stufe 16</v>
      </c>
      <c r="E7" s="18" t="s">
        <v>8245</v>
      </c>
      <c r="F7" s="16" t="str">
        <f>TRIM(_xlfn.TEXTAFTER(_xlfn.TEXTBEFORE(E5,")"),"("))</f>
        <v>nivel 16</v>
      </c>
      <c r="G7" s="18" t="s">
        <v>8120</v>
      </c>
      <c r="H7" s="16" t="str">
        <f>TRIM(_xlfn.TEXTAFTER(_xlfn.TEXTBEFORE(G5,")"),"("))</f>
        <v>Niveau 16</v>
      </c>
      <c r="I7" s="18" t="s">
        <v>8285</v>
      </c>
      <c r="J7" s="16" t="str">
        <f>TRIM(_xlfn.TEXTAFTER(_xlfn.TEXTBEFORE(I5,")"),"("))</f>
        <v>レベル16</v>
      </c>
      <c r="K7" s="18" t="s">
        <v>8265</v>
      </c>
      <c r="L7" s="16" t="str">
        <f>TRIM(_xlfn.TEXTAFTER(_xlfn.TEXTBEFORE(K5,")"),"("))</f>
        <v>16레벨</v>
      </c>
      <c r="M7" s="18" t="s">
        <v>8164</v>
      </c>
      <c r="N7" s="16" t="str">
        <f>TRIM(_xlfn.TEXTAFTER(_xlfn.TEXTBEFORE(M5,")"),"("))</f>
        <v>Nível 16</v>
      </c>
      <c r="O7" s="18" t="s">
        <v>8184</v>
      </c>
      <c r="P7" s="16" t="str">
        <f>TRIM(_xlfn.TEXTAFTER(_xlfn.TEXTBEFORE(O5,")"),"("))</f>
        <v>уровень 16</v>
      </c>
      <c r="Q7" s="18" t="s">
        <v>8203</v>
      </c>
      <c r="R7" s="16" t="str">
        <f>TRIM(_xlfn.TEXTAFTER(_xlfn.TEXTBEFORE(Q5,")"),"("))</f>
        <v>เลเวล 16</v>
      </c>
      <c r="S7" s="18" t="s">
        <v>8225</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8105</v>
      </c>
      <c r="B9" s="16"/>
      <c r="C9" s="18" t="s">
        <v>8145</v>
      </c>
      <c r="D9" s="16"/>
      <c r="E9" s="18" t="s">
        <v>8246</v>
      </c>
      <c r="F9" s="16"/>
      <c r="G9" s="18" t="s">
        <v>8121</v>
      </c>
      <c r="H9" s="16"/>
      <c r="I9" s="18" t="s">
        <v>8286</v>
      </c>
      <c r="J9" s="16"/>
      <c r="K9" s="18" t="s">
        <v>8266</v>
      </c>
      <c r="L9" s="16"/>
      <c r="M9" s="18" t="s">
        <v>8165</v>
      </c>
      <c r="N9" s="16"/>
      <c r="O9" s="18" t="s">
        <v>8185</v>
      </c>
      <c r="P9" s="16"/>
      <c r="Q9" s="18" t="s">
        <v>8204</v>
      </c>
      <c r="R9" s="16"/>
      <c r="S9" s="18" t="s">
        <v>8226</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42" stopIfTrue="1">
      <formula>NOT(ISERROR(A3))</formula>
    </cfRule>
  </conditionalFormatting>
  <conditionalFormatting sqref="A3:T6 A7 C7 E7 G7 I7 K7 M7 O7 Q7 S7 A8:T51">
    <cfRule type="notContainsBlanks" dxfId="23" priority="43">
      <formula>LEN(TRIM(A3))&gt;0</formula>
    </cfRule>
  </conditionalFormatting>
  <conditionalFormatting sqref="A3:T51">
    <cfRule type="containsErrors" dxfId="22" priority="1" stopIfTrue="1">
      <formula>ISERROR(A3)</formula>
    </cfRule>
  </conditionalFormatting>
  <conditionalFormatting sqref="B7">
    <cfRule type="notContainsBlanks" dxfId="21" priority="20">
      <formula>LEN(TRIM(B7))&gt;0</formula>
    </cfRule>
  </conditionalFormatting>
  <conditionalFormatting sqref="D7">
    <cfRule type="notContainsBlanks" dxfId="20" priority="18">
      <formula>LEN(TRIM(D7))&gt;0</formula>
    </cfRule>
  </conditionalFormatting>
  <conditionalFormatting sqref="F7">
    <cfRule type="notContainsBlanks" dxfId="19" priority="16">
      <formula>LEN(TRIM(F7))&gt;0</formula>
    </cfRule>
  </conditionalFormatting>
  <conditionalFormatting sqref="H7">
    <cfRule type="notContainsBlanks" dxfId="18" priority="14">
      <formula>LEN(TRIM(H7))&gt;0</formula>
    </cfRule>
  </conditionalFormatting>
  <conditionalFormatting sqref="J7">
    <cfRule type="notContainsBlanks" dxfId="17" priority="12">
      <formula>LEN(TRIM(J7))&gt;0</formula>
    </cfRule>
  </conditionalFormatting>
  <conditionalFormatting sqref="L7">
    <cfRule type="notContainsBlanks" dxfId="16" priority="10">
      <formula>LEN(TRIM(L7))&gt;0</formula>
    </cfRule>
  </conditionalFormatting>
  <conditionalFormatting sqref="N7">
    <cfRule type="notContainsBlanks" dxfId="15" priority="8">
      <formula>LEN(TRIM(N7))&gt;0</formula>
    </cfRule>
  </conditionalFormatting>
  <conditionalFormatting sqref="P7">
    <cfRule type="notContainsBlanks" dxfId="14" priority="6">
      <formula>LEN(TRIM(P7))&gt;0</formula>
    </cfRule>
  </conditionalFormatting>
  <conditionalFormatting sqref="R7">
    <cfRule type="notContainsBlanks" dxfId="13" priority="4">
      <formula>LEN(TRIM(R7))&gt;0</formula>
    </cfRule>
  </conditionalFormatting>
  <conditionalFormatting sqref="T7">
    <cfRule type="notContainsBlanks" dxfId="12"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8213</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8214</v>
      </c>
      <c r="T4" s="20" t="str">
        <f>TRIM(_xlfn.TEXTAFTER(S3, ":"))</f>
        <v>輔助寶石</v>
      </c>
    </row>
    <row r="5" spans="1:20" ht="15.95" customHeight="1" x14ac:dyDescent="0.25">
      <c r="A5" s="18" t="s">
        <v>8106</v>
      </c>
      <c r="B5" s="16" t="str">
        <f>TRIM(_xlfn.TEXTBEFORE(A4, ":"))</f>
        <v>Rarity</v>
      </c>
      <c r="C5" s="18" t="s">
        <v>8134</v>
      </c>
      <c r="D5" s="16" t="str">
        <f>TRIM(_xlfn.TEXTBEFORE(C4, ":"))</f>
        <v>Seltenheit</v>
      </c>
      <c r="E5" s="18" t="s">
        <v>8235</v>
      </c>
      <c r="F5" s="16" t="str">
        <f>TRIM(_xlfn.TEXTBEFORE(E4, ":"))</f>
        <v>Rareza</v>
      </c>
      <c r="G5" s="18" t="s">
        <v>8126</v>
      </c>
      <c r="H5" s="16" t="str">
        <f>TRIM(_xlfn.TEXTBEFORE(G4, ":"))</f>
        <v>Rareté</v>
      </c>
      <c r="I5" s="18" t="s">
        <v>8275</v>
      </c>
      <c r="J5" s="16" t="str">
        <f>TRIM(_xlfn.TEXTBEFORE(I4, ":"))</f>
        <v>レアリティ</v>
      </c>
      <c r="K5" s="18" t="s">
        <v>8255</v>
      </c>
      <c r="L5" s="16" t="str">
        <f>TRIM(_xlfn.TEXTBEFORE(K4, ":"))</f>
        <v>아이템 희귀도</v>
      </c>
      <c r="M5" s="18" t="s">
        <v>8154</v>
      </c>
      <c r="N5" s="16" t="str">
        <f>TRIM(_xlfn.TEXTBEFORE(M4, ":"))</f>
        <v>Raridade</v>
      </c>
      <c r="O5" s="18" t="s">
        <v>8174</v>
      </c>
      <c r="P5" s="16" t="str">
        <f>TRIM(_xlfn.TEXTBEFORE(O4, ":"))</f>
        <v>Редкость</v>
      </c>
      <c r="Q5" s="18" t="s">
        <v>8106</v>
      </c>
      <c r="R5" s="16" t="str">
        <f>TRIM(_xlfn.TEXTBEFORE(Q4, ":"))</f>
        <v>ความหายาก</v>
      </c>
      <c r="S5" s="18" t="s">
        <v>8215</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8107</v>
      </c>
      <c r="B7" s="16"/>
      <c r="C7" s="18" t="s">
        <v>8135</v>
      </c>
      <c r="D7" s="16"/>
      <c r="E7" s="18" t="s">
        <v>8236</v>
      </c>
      <c r="F7" s="16"/>
      <c r="G7" s="18" t="s">
        <v>8127</v>
      </c>
      <c r="H7" s="16"/>
      <c r="I7" s="18" t="s">
        <v>8276</v>
      </c>
      <c r="J7" s="16"/>
      <c r="K7" s="18" t="s">
        <v>8256</v>
      </c>
      <c r="L7" s="16"/>
      <c r="M7" s="18" t="s">
        <v>8155</v>
      </c>
      <c r="N7" s="16"/>
      <c r="O7" s="18" t="s">
        <v>8175</v>
      </c>
      <c r="P7" s="16"/>
      <c r="Q7" s="18" t="s">
        <v>8194</v>
      </c>
      <c r="R7" s="16"/>
      <c r="S7" s="18" t="s">
        <v>8216</v>
      </c>
      <c r="T7" s="20"/>
    </row>
    <row r="8" spans="1:20" ht="15.95" customHeight="1" x14ac:dyDescent="0.25">
      <c r="A8" s="18" t="s">
        <v>8108</v>
      </c>
      <c r="B8" s="16"/>
      <c r="C8" s="18" t="s">
        <v>8136</v>
      </c>
      <c r="D8" s="16"/>
      <c r="E8" s="18" t="s">
        <v>8237</v>
      </c>
      <c r="F8" s="16"/>
      <c r="G8" s="18" t="s">
        <v>8128</v>
      </c>
      <c r="H8" s="16"/>
      <c r="I8" s="18" t="s">
        <v>8277</v>
      </c>
      <c r="J8" s="16"/>
      <c r="K8" s="18" t="s">
        <v>8257</v>
      </c>
      <c r="L8" s="16"/>
      <c r="M8" s="18" t="s">
        <v>8156</v>
      </c>
      <c r="N8" s="16"/>
      <c r="O8" s="18" t="s">
        <v>8176</v>
      </c>
      <c r="P8" s="16"/>
      <c r="Q8" s="18" t="s">
        <v>8195</v>
      </c>
      <c r="R8" s="16"/>
      <c r="S8" s="18" t="s">
        <v>8217</v>
      </c>
      <c r="T8" s="20"/>
    </row>
    <row r="9" spans="1:20" ht="15.95" customHeight="1" x14ac:dyDescent="0.25">
      <c r="A9" s="18" t="s">
        <v>8109</v>
      </c>
      <c r="B9" s="16"/>
      <c r="C9" s="18" t="s">
        <v>8137</v>
      </c>
      <c r="D9" s="16"/>
      <c r="E9" s="18" t="s">
        <v>8238</v>
      </c>
      <c r="F9" s="16"/>
      <c r="G9" s="18" t="s">
        <v>8129</v>
      </c>
      <c r="H9" s="16"/>
      <c r="I9" s="18" t="s">
        <v>8278</v>
      </c>
      <c r="J9" s="16"/>
      <c r="K9" s="18" t="s">
        <v>8258</v>
      </c>
      <c r="L9" s="16"/>
      <c r="M9" s="18" t="s">
        <v>8157</v>
      </c>
      <c r="N9" s="16"/>
      <c r="O9" s="18" t="s">
        <v>8177</v>
      </c>
      <c r="P9" s="16"/>
      <c r="Q9" s="18" t="s">
        <v>8196</v>
      </c>
      <c r="R9" s="16"/>
      <c r="S9" s="18" t="s">
        <v>8218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8110</v>
      </c>
      <c r="B11" s="16"/>
      <c r="C11" s="18" t="s">
        <v>8138</v>
      </c>
      <c r="D11" s="16"/>
      <c r="E11" s="18" t="s">
        <v>8239</v>
      </c>
      <c r="F11" s="16"/>
      <c r="G11" s="18" t="s">
        <v>8130</v>
      </c>
      <c r="H11" s="16"/>
      <c r="I11" s="18" t="s">
        <v>8279</v>
      </c>
      <c r="J11" s="16"/>
      <c r="K11" s="18" t="s">
        <v>8259</v>
      </c>
      <c r="L11" s="16"/>
      <c r="M11" s="18" t="s">
        <v>8158</v>
      </c>
      <c r="N11" s="16"/>
      <c r="O11" s="18" t="s">
        <v>8178</v>
      </c>
      <c r="P11" s="16"/>
      <c r="Q11" s="18" t="s">
        <v>8197</v>
      </c>
      <c r="R11" s="16"/>
      <c r="S11" s="18" t="s">
        <v>8219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8111</v>
      </c>
      <c r="B13" s="16"/>
      <c r="C13" s="18" t="s">
        <v>8139</v>
      </c>
      <c r="D13" s="16"/>
      <c r="E13" s="18" t="s">
        <v>8240</v>
      </c>
      <c r="F13" s="16"/>
      <c r="G13" s="18" t="s">
        <v>8131</v>
      </c>
      <c r="H13" s="16"/>
      <c r="I13" s="18" t="s">
        <v>8280</v>
      </c>
      <c r="J13" s="16"/>
      <c r="K13" s="18" t="s">
        <v>8260</v>
      </c>
      <c r="L13" s="16"/>
      <c r="M13" s="18" t="s">
        <v>8159</v>
      </c>
      <c r="N13" s="16"/>
      <c r="O13" s="18" t="s">
        <v>8179</v>
      </c>
      <c r="P13" s="16"/>
      <c r="Q13" s="18" t="s">
        <v>8198</v>
      </c>
      <c r="R13" s="16"/>
      <c r="S13" s="18" t="s">
        <v>8220</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8112</v>
      </c>
      <c r="B15" s="16"/>
      <c r="C15" s="18" t="s">
        <v>8140</v>
      </c>
      <c r="D15" s="16"/>
      <c r="E15" s="18" t="s">
        <v>8241</v>
      </c>
      <c r="F15" s="16"/>
      <c r="G15" s="18" t="s">
        <v>8132</v>
      </c>
      <c r="H15" s="16"/>
      <c r="I15" s="18" t="s">
        <v>8281</v>
      </c>
      <c r="J15" s="16"/>
      <c r="K15" s="18" t="s">
        <v>8261</v>
      </c>
      <c r="L15" s="16"/>
      <c r="M15" s="18" t="s">
        <v>8160</v>
      </c>
      <c r="N15" s="16"/>
      <c r="O15" s="18" t="s">
        <v>8180</v>
      </c>
      <c r="P15" s="16"/>
      <c r="Q15" s="18" t="s">
        <v>8199</v>
      </c>
      <c r="R15" s="16"/>
      <c r="S15" s="18" t="s">
        <v>8221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8113</v>
      </c>
      <c r="B17" s="16"/>
      <c r="C17" s="18" t="s">
        <v>8141</v>
      </c>
      <c r="D17" s="16"/>
      <c r="E17" s="18" t="s">
        <v>8242</v>
      </c>
      <c r="F17" s="16"/>
      <c r="G17" s="18" t="s">
        <v>8133</v>
      </c>
      <c r="H17" s="16"/>
      <c r="I17" s="18" t="s">
        <v>8282</v>
      </c>
      <c r="J17" s="16"/>
      <c r="K17" s="18" t="s">
        <v>8262</v>
      </c>
      <c r="L17" s="16"/>
      <c r="M17" s="18" t="s">
        <v>8161</v>
      </c>
      <c r="N17" s="16"/>
      <c r="O17" s="18" t="s">
        <v>8181</v>
      </c>
      <c r="P17" s="16"/>
      <c r="Q17" s="18" t="s">
        <v>8200</v>
      </c>
      <c r="R17" s="16"/>
      <c r="S17" s="18" t="s">
        <v>8222</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8499</v>
      </c>
      <c r="B3" s="16" t="str">
        <f>TRIM(_xlfn.TEXTBEFORE(A3, ":"))</f>
        <v>Item Class</v>
      </c>
      <c r="C3" s="17" t="s">
        <v>8531</v>
      </c>
      <c r="D3" s="16" t="str">
        <f>TRIM(_xlfn.TEXTBEFORE(C3, ":"))</f>
        <v>Gegenstandsklasse</v>
      </c>
      <c r="E3" s="17" t="s">
        <v>8592</v>
      </c>
      <c r="F3" s="16" t="str">
        <f>TRIM(_xlfn.TEXTBEFORE(E3, ":"))</f>
        <v>Clase de objeto</v>
      </c>
      <c r="G3" s="17" t="s">
        <v>8516</v>
      </c>
      <c r="H3" s="16" t="str">
        <f>TRIM(_xlfn.TEXTBEFORE(G3, ":"))</f>
        <v>Classe d'objet</v>
      </c>
      <c r="I3" s="17" t="s">
        <v>8622</v>
      </c>
      <c r="J3" s="16" t="str">
        <f>TRIM(_xlfn.TEXTBEFORE(I3, ":"))</f>
        <v>アイテムクラス</v>
      </c>
      <c r="K3" s="17" t="s">
        <v>8607</v>
      </c>
      <c r="L3" s="16" t="str">
        <f>TRIM(_xlfn.TEXTBEFORE(K3, ":"))</f>
        <v>아이템 종류</v>
      </c>
      <c r="M3" s="17" t="s">
        <v>8546</v>
      </c>
      <c r="N3" s="16" t="str">
        <f>TRIM(_xlfn.TEXTBEFORE(M3, ":"))</f>
        <v>Classe do Item</v>
      </c>
      <c r="O3" s="17" t="s">
        <v>8561</v>
      </c>
      <c r="P3" s="16" t="str">
        <f>TRIM(_xlfn.TEXTBEFORE(O3, ":"))</f>
        <v>Класс предмета</v>
      </c>
      <c r="Q3" s="17" t="s">
        <v>8576</v>
      </c>
      <c r="R3" s="16" t="str">
        <f>TRIM(_xlfn.TEXTBEFORE(Q3, ":"))</f>
        <v>ชนิดไอเทม</v>
      </c>
      <c r="S3" s="17"/>
      <c r="T3" s="20" t="e">
        <f>TRIM(_xlfn.TEXTBEFORE(S3, ":"))</f>
        <v>#N/A</v>
      </c>
    </row>
    <row r="4" spans="1:20" ht="15.95" customHeight="1" x14ac:dyDescent="0.25">
      <c r="A4" s="18" t="s">
        <v>467</v>
      </c>
      <c r="B4" s="16" t="str">
        <f>TRIM(_xlfn.TEXTAFTER(A3, ":"))</f>
        <v>Grafts</v>
      </c>
      <c r="C4" s="18" t="s">
        <v>1586</v>
      </c>
      <c r="D4" s="16" t="str">
        <f>TRIM(_xlfn.TEXTAFTER(C3, ":"))</f>
        <v>Transplantate</v>
      </c>
      <c r="E4" s="18" t="s">
        <v>2275</v>
      </c>
      <c r="F4" s="16" t="str">
        <f>TRIM(_xlfn.TEXTAFTER(E3, ":"))</f>
        <v>Injertos</v>
      </c>
      <c r="G4" s="18" t="s">
        <v>884</v>
      </c>
      <c r="H4" s="16" t="str">
        <f>TRIM(_xlfn.TEXTAFTER(G3, ":"))</f>
        <v>Greffons</v>
      </c>
      <c r="I4" s="18" t="s">
        <v>2960</v>
      </c>
      <c r="J4" s="16" t="str">
        <f>TRIM(_xlfn.TEXTAFTER(I3, ":"))</f>
        <v>グラフト</v>
      </c>
      <c r="K4" s="18" t="s">
        <v>3676</v>
      </c>
      <c r="L4" s="16" t="str">
        <f>TRIM(_xlfn.TEXTAFTER(K3, ":"))</f>
        <v>기생체</v>
      </c>
      <c r="M4" s="18" t="s">
        <v>4376</v>
      </c>
      <c r="N4" s="16" t="str">
        <f>TRIM(_xlfn.TEXTAFTER(M3, ":"))</f>
        <v>Enxertos</v>
      </c>
      <c r="O4" s="18" t="s">
        <v>5028</v>
      </c>
      <c r="P4" s="16" t="str">
        <f>TRIM(_xlfn.TEXTAFTER(O3, ":"))</f>
        <v>Наросты</v>
      </c>
      <c r="Q4" s="18" t="s">
        <v>5734</v>
      </c>
      <c r="R4" s="16" t="str">
        <f>TRIM(_xlfn.TEXTAFTER(Q3, ":"))</f>
        <v>หัตถ์</v>
      </c>
      <c r="S4" s="18"/>
      <c r="T4" s="20" t="e">
        <f>TRIM(_xlfn.TEXTAFTER(S3, ":"))</f>
        <v>#N/A</v>
      </c>
    </row>
    <row r="5" spans="1:20" ht="15.95" customHeight="1" x14ac:dyDescent="0.25">
      <c r="A5" s="18" t="s">
        <v>8500</v>
      </c>
      <c r="B5" s="16" t="str">
        <f>TRIM(_xlfn.TEXTBEFORE(A4, ":"))</f>
        <v>Rarity</v>
      </c>
      <c r="C5" s="18" t="s">
        <v>8532</v>
      </c>
      <c r="D5" s="16" t="str">
        <f>TRIM(_xlfn.TEXTBEFORE(C4, ":"))</f>
        <v>Seltenheit</v>
      </c>
      <c r="E5" s="18" t="s">
        <v>8593</v>
      </c>
      <c r="F5" s="16" t="str">
        <f>TRIM(_xlfn.TEXTBEFORE(E4, ":"))</f>
        <v>Rareza</v>
      </c>
      <c r="G5" s="18" t="s">
        <v>8517</v>
      </c>
      <c r="H5" s="16" t="str">
        <f>TRIM(_xlfn.TEXTBEFORE(G4, ":"))</f>
        <v>Rareté</v>
      </c>
      <c r="I5" s="18" t="s">
        <v>8623</v>
      </c>
      <c r="J5" s="16" t="str">
        <f>TRIM(_xlfn.TEXTBEFORE(I4, ":"))</f>
        <v>レアリティ</v>
      </c>
      <c r="K5" s="18" t="s">
        <v>8608</v>
      </c>
      <c r="L5" s="16" t="str">
        <f>TRIM(_xlfn.TEXTBEFORE(K4, ":"))</f>
        <v>아이템 희귀도</v>
      </c>
      <c r="M5" s="18" t="s">
        <v>8547</v>
      </c>
      <c r="N5" s="16" t="str">
        <f>TRIM(_xlfn.TEXTBEFORE(M4, ":"))</f>
        <v>Raridade</v>
      </c>
      <c r="O5" s="18" t="s">
        <v>8562</v>
      </c>
      <c r="P5" s="16" t="str">
        <f>TRIM(_xlfn.TEXTBEFORE(O4, ":"))</f>
        <v>Редкость</v>
      </c>
      <c r="Q5" s="18" t="s">
        <v>8577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8501</v>
      </c>
      <c r="B7" s="16"/>
      <c r="C7" s="18" t="s">
        <v>8533</v>
      </c>
      <c r="D7" s="16"/>
      <c r="E7" s="18" t="s">
        <v>8594</v>
      </c>
      <c r="F7" s="16"/>
      <c r="G7" s="18" t="s">
        <v>8518</v>
      </c>
      <c r="H7" s="16"/>
      <c r="I7" s="18" t="s">
        <v>8624</v>
      </c>
      <c r="J7" s="16"/>
      <c r="K7" s="18" t="s">
        <v>8609</v>
      </c>
      <c r="L7" s="16"/>
      <c r="M7" s="18" t="s">
        <v>8548</v>
      </c>
      <c r="N7" s="16"/>
      <c r="O7" s="18" t="s">
        <v>8563</v>
      </c>
      <c r="P7" s="16"/>
      <c r="Q7" s="18" t="s">
        <v>8578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c r="T9" s="20"/>
    </row>
    <row r="10" spans="1:20" ht="15.95" customHeight="1" x14ac:dyDescent="0.25">
      <c r="A10" s="18" t="s">
        <v>342</v>
      </c>
      <c r="B10" s="16"/>
      <c r="C10" s="18" t="s">
        <v>1873</v>
      </c>
      <c r="D10" s="16"/>
      <c r="E10" s="18" t="s">
        <v>2564</v>
      </c>
      <c r="F10" s="16"/>
      <c r="G10" s="18" t="s">
        <v>1161</v>
      </c>
      <c r="H10" s="16"/>
      <c r="I10" s="18" t="s">
        <v>3258</v>
      </c>
      <c r="J10" s="16"/>
      <c r="K10" s="18" t="s">
        <v>3971</v>
      </c>
      <c r="L10" s="16"/>
      <c r="M10" s="18" t="s">
        <v>4649</v>
      </c>
      <c r="N10" s="16"/>
      <c r="O10" s="18" t="s">
        <v>5324</v>
      </c>
      <c r="P10" s="16"/>
      <c r="Q10" s="18" t="s">
        <v>5979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8502</v>
      </c>
      <c r="B12" s="16"/>
      <c r="C12" s="18" t="s">
        <v>8534</v>
      </c>
      <c r="D12" s="16"/>
      <c r="E12" s="18" t="s">
        <v>8595</v>
      </c>
      <c r="F12" s="16"/>
      <c r="G12" s="18" t="s">
        <v>8519</v>
      </c>
      <c r="H12" s="16"/>
      <c r="I12" s="18" t="s">
        <v>8625</v>
      </c>
      <c r="J12" s="16"/>
      <c r="K12" s="18" t="s">
        <v>8610</v>
      </c>
      <c r="L12" s="16"/>
      <c r="M12" s="18" t="s">
        <v>8549</v>
      </c>
      <c r="N12" s="16"/>
      <c r="O12" s="18" t="s">
        <v>8564</v>
      </c>
      <c r="P12" s="16"/>
      <c r="Q12" s="18" t="s">
        <v>8579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8503</v>
      </c>
      <c r="B14" s="16"/>
      <c r="C14" s="18" t="s">
        <v>8535</v>
      </c>
      <c r="D14" s="16"/>
      <c r="E14" s="18" t="s">
        <v>8596</v>
      </c>
      <c r="F14" s="16"/>
      <c r="G14" s="18" t="s">
        <v>8520</v>
      </c>
      <c r="H14" s="16"/>
      <c r="I14" s="18" t="s">
        <v>8626</v>
      </c>
      <c r="J14" s="16"/>
      <c r="K14" s="18" t="s">
        <v>8611</v>
      </c>
      <c r="L14" s="16"/>
      <c r="M14" s="18" t="s">
        <v>8550</v>
      </c>
      <c r="N14" s="16"/>
      <c r="O14" s="18" t="s">
        <v>8565</v>
      </c>
      <c r="P14" s="16"/>
      <c r="Q14" s="18" t="s">
        <v>8580</v>
      </c>
      <c r="R14" s="16"/>
      <c r="S14" s="18"/>
      <c r="T14" s="20"/>
    </row>
    <row r="15" spans="1:20" ht="15.95" customHeight="1" x14ac:dyDescent="0.25">
      <c r="A15" s="18" t="s">
        <v>8504</v>
      </c>
      <c r="B15" s="16"/>
      <c r="C15" s="18" t="s">
        <v>8536</v>
      </c>
      <c r="D15" s="16"/>
      <c r="E15" s="18" t="s">
        <v>8597</v>
      </c>
      <c r="F15" s="16"/>
      <c r="G15" s="18" t="s">
        <v>8521</v>
      </c>
      <c r="H15" s="16"/>
      <c r="I15" s="18" t="s">
        <v>8627</v>
      </c>
      <c r="J15" s="16"/>
      <c r="K15" s="18" t="s">
        <v>8612</v>
      </c>
      <c r="L15" s="16"/>
      <c r="M15" s="18" t="s">
        <v>8551</v>
      </c>
      <c r="N15" s="16"/>
      <c r="O15" s="18" t="s">
        <v>8566</v>
      </c>
      <c r="P15" s="16"/>
      <c r="Q15" s="18" t="s">
        <v>8581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8505</v>
      </c>
      <c r="B17" s="16"/>
      <c r="C17" s="18" t="s">
        <v>8537</v>
      </c>
      <c r="D17" s="16"/>
      <c r="E17" s="18" t="s">
        <v>8598</v>
      </c>
      <c r="F17" s="16"/>
      <c r="G17" s="18" t="s">
        <v>8522</v>
      </c>
      <c r="H17" s="16"/>
      <c r="I17" s="18" t="s">
        <v>8628</v>
      </c>
      <c r="J17" s="16"/>
      <c r="K17" s="18" t="s">
        <v>8613</v>
      </c>
      <c r="L17" s="16"/>
      <c r="M17" s="18" t="s">
        <v>8552</v>
      </c>
      <c r="N17" s="16"/>
      <c r="O17" s="18" t="s">
        <v>8567</v>
      </c>
      <c r="P17" s="16"/>
      <c r="Q17" s="18" t="s">
        <v>8582</v>
      </c>
      <c r="R17" s="16"/>
      <c r="S17" s="18"/>
      <c r="T17" s="20"/>
    </row>
    <row r="18" spans="1:20" ht="15.95" customHeight="1" x14ac:dyDescent="0.25">
      <c r="A18" s="18" t="s">
        <v>8506</v>
      </c>
      <c r="B18" s="16"/>
      <c r="C18" s="18" t="s">
        <v>8538</v>
      </c>
      <c r="D18" s="16"/>
      <c r="E18" s="18" t="s">
        <v>8599</v>
      </c>
      <c r="F18" s="16"/>
      <c r="G18" s="18" t="s">
        <v>8523</v>
      </c>
      <c r="H18" s="16"/>
      <c r="I18" s="18" t="s">
        <v>8629</v>
      </c>
      <c r="J18" s="16"/>
      <c r="K18" s="18" t="s">
        <v>8614</v>
      </c>
      <c r="L18" s="16"/>
      <c r="M18" s="18" t="s">
        <v>8553</v>
      </c>
      <c r="N18" s="16"/>
      <c r="O18" s="18" t="s">
        <v>8568</v>
      </c>
      <c r="P18" s="16"/>
      <c r="Q18" s="18" t="s">
        <v>8583</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8507</v>
      </c>
      <c r="B20" s="16"/>
      <c r="C20" s="18" t="s">
        <v>8539</v>
      </c>
      <c r="D20" s="16"/>
      <c r="E20" s="18" t="s">
        <v>8600</v>
      </c>
      <c r="F20" s="16"/>
      <c r="G20" s="18" t="s">
        <v>8524</v>
      </c>
      <c r="H20" s="16"/>
      <c r="I20" s="18" t="s">
        <v>8630</v>
      </c>
      <c r="J20" s="16"/>
      <c r="K20" s="18" t="s">
        <v>8615</v>
      </c>
      <c r="L20" s="16"/>
      <c r="M20" s="18" t="s">
        <v>8554</v>
      </c>
      <c r="N20" s="16"/>
      <c r="O20" s="18" t="s">
        <v>8569</v>
      </c>
      <c r="P20" s="16"/>
      <c r="Q20" s="18" t="s">
        <v>8584</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tabSelected="1" workbookViewId="0">
      <selection activeCell="I3" sqref="I3:I1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8509</v>
      </c>
      <c r="B3" s="16" t="str">
        <f>TRIM(_xlfn.TEXTBEFORE(A3, ":"))</f>
        <v>Item Class</v>
      </c>
      <c r="C3" s="17" t="s">
        <v>8540</v>
      </c>
      <c r="D3" s="16" t="str">
        <f>TRIM(_xlfn.TEXTBEFORE(C3, ":"))</f>
        <v>Gegenstandsklasse</v>
      </c>
      <c r="E3" s="17" t="s">
        <v>8601</v>
      </c>
      <c r="F3" s="16" t="str">
        <f>TRIM(_xlfn.TEXTBEFORE(E3, ":"))</f>
        <v>Clase de objeto</v>
      </c>
      <c r="G3" s="17" t="s">
        <v>8525</v>
      </c>
      <c r="H3" s="16" t="str">
        <f>TRIM(_xlfn.TEXTBEFORE(G3, ":"))</f>
        <v>Classe d'objet</v>
      </c>
      <c r="I3" s="17" t="s">
        <v>8631</v>
      </c>
      <c r="J3" s="16" t="str">
        <f>TRIM(_xlfn.TEXTBEFORE(I3, ":"))</f>
        <v>アイテムクラス</v>
      </c>
      <c r="K3" s="17" t="s">
        <v>8616</v>
      </c>
      <c r="L3" s="16" t="str">
        <f>TRIM(_xlfn.TEXTBEFORE(K3, ":"))</f>
        <v>아이템 종류</v>
      </c>
      <c r="M3" s="17" t="s">
        <v>8555</v>
      </c>
      <c r="N3" s="16" t="str">
        <f>TRIM(_xlfn.TEXTBEFORE(M3, ":"))</f>
        <v>Classe do Item</v>
      </c>
      <c r="O3" s="17" t="s">
        <v>8570</v>
      </c>
      <c r="P3" s="16" t="str">
        <f>TRIM(_xlfn.TEXTBEFORE(O3, ":"))</f>
        <v>Класс предмета</v>
      </c>
      <c r="Q3" s="17" t="s">
        <v>8585</v>
      </c>
      <c r="R3" s="16" t="str">
        <f>TRIM(_xlfn.TEXTBEFORE(Q3, ":"))</f>
        <v>ชนิดไอเทม</v>
      </c>
      <c r="S3" s="17"/>
      <c r="T3" s="20" t="e">
        <f>TRIM(_xlfn.TEXTBEFORE(S3, ":"))</f>
        <v>#N/A</v>
      </c>
    </row>
    <row r="4" spans="1:20" ht="15.95" customHeight="1" x14ac:dyDescent="0.25">
      <c r="A4" s="18" t="s">
        <v>549</v>
      </c>
      <c r="B4" s="16" t="str">
        <f>TRIM(_xlfn.TEXTAFTER(A3, ":"))</f>
        <v>Wombgifts</v>
      </c>
      <c r="C4" s="18" t="s">
        <v>1537</v>
      </c>
      <c r="D4" s="16" t="str">
        <f>TRIM(_xlfn.TEXTAFTER(C3, ":"))</f>
        <v>Fruchtkeime</v>
      </c>
      <c r="E4" s="18" t="s">
        <v>2198</v>
      </c>
      <c r="F4" s="16" t="str">
        <f>TRIM(_xlfn.TEXTAFTER(E3, ":"))</f>
        <v>Regalos del vientre</v>
      </c>
      <c r="G4" s="18" t="s">
        <v>813</v>
      </c>
      <c r="H4" s="16" t="str">
        <f>TRIM(_xlfn.TEXTAFTER(G3, ":"))</f>
        <v>Dons de la matrice</v>
      </c>
      <c r="I4" s="18" t="s">
        <v>2910</v>
      </c>
      <c r="J4" s="16" t="str">
        <f>TRIM(_xlfn.TEXTAFTER(I3, ":"))</f>
        <v>母胎ギフト</v>
      </c>
      <c r="K4" s="18" t="s">
        <v>3597</v>
      </c>
      <c r="L4" s="16" t="str">
        <f>TRIM(_xlfn.TEXTAFTER(K3, ":"))</f>
        <v>생명의 결실</v>
      </c>
      <c r="M4" s="18" t="s">
        <v>4327</v>
      </c>
      <c r="N4" s="16" t="str">
        <f>TRIM(_xlfn.TEXTAFTER(M3, ":"))</f>
        <v>Dádivas do Ventre</v>
      </c>
      <c r="O4" s="18" t="s">
        <v>4980</v>
      </c>
      <c r="P4" s="16" t="str">
        <f>TRIM(_xlfn.TEXTAFTER(O3, ":"))</f>
        <v>Дары утробы</v>
      </c>
      <c r="Q4" s="18" t="s">
        <v>5661</v>
      </c>
      <c r="R4" s="16" t="str">
        <f>TRIM(_xlfn.TEXTAFTER(Q3, ":"))</f>
        <v>ผลฝากครรภ์</v>
      </c>
      <c r="S4" s="18"/>
      <c r="T4" s="20" t="e">
        <f>TRIM(_xlfn.TEXTAFTER(S3, ":"))</f>
        <v>#N/A</v>
      </c>
    </row>
    <row r="5" spans="1:20" ht="15.95" customHeight="1" x14ac:dyDescent="0.25">
      <c r="A5" s="18" t="s">
        <v>8510</v>
      </c>
      <c r="B5" s="16" t="str">
        <f>TRIM(_xlfn.TEXTBEFORE(A4, ":"))</f>
        <v>Rarity</v>
      </c>
      <c r="C5" s="18" t="s">
        <v>8541</v>
      </c>
      <c r="D5" s="16" t="str">
        <f>TRIM(_xlfn.TEXTBEFORE(C4, ":"))</f>
        <v>Seltenheit</v>
      </c>
      <c r="E5" s="18" t="s">
        <v>8602</v>
      </c>
      <c r="F5" s="16" t="str">
        <f>TRIM(_xlfn.TEXTBEFORE(E4, ":"))</f>
        <v>Rareza</v>
      </c>
      <c r="G5" s="18" t="s">
        <v>8526</v>
      </c>
      <c r="H5" s="16" t="str">
        <f>TRIM(_xlfn.TEXTBEFORE(G4, ":"))</f>
        <v>Rareté</v>
      </c>
      <c r="I5" s="18" t="s">
        <v>8632</v>
      </c>
      <c r="J5" s="16" t="str">
        <f>TRIM(_xlfn.TEXTBEFORE(I4, ":"))</f>
        <v>レアリティ</v>
      </c>
      <c r="K5" s="18" t="s">
        <v>8617</v>
      </c>
      <c r="L5" s="16" t="str">
        <f>TRIM(_xlfn.TEXTBEFORE(K4, ":"))</f>
        <v>아이템 희귀도</v>
      </c>
      <c r="M5" s="18" t="s">
        <v>8556</v>
      </c>
      <c r="N5" s="16" t="str">
        <f>TRIM(_xlfn.TEXTBEFORE(M4, ":"))</f>
        <v>Raridade</v>
      </c>
      <c r="O5" s="18" t="s">
        <v>8571</v>
      </c>
      <c r="P5" s="16" t="str">
        <f>TRIM(_xlfn.TEXTBEFORE(O4, ":"))</f>
        <v>Редкость</v>
      </c>
      <c r="Q5" s="18" t="s">
        <v>8586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8511</v>
      </c>
      <c r="B7" s="16"/>
      <c r="C7" s="18" t="s">
        <v>8542</v>
      </c>
      <c r="D7" s="16"/>
      <c r="E7" s="18" t="s">
        <v>8603</v>
      </c>
      <c r="F7" s="16"/>
      <c r="G7" s="18" t="s">
        <v>8527</v>
      </c>
      <c r="H7" s="16"/>
      <c r="I7" s="18" t="s">
        <v>8633</v>
      </c>
      <c r="J7" s="16"/>
      <c r="K7" s="18" t="s">
        <v>8618</v>
      </c>
      <c r="L7" s="16"/>
      <c r="M7" s="18" t="s">
        <v>8557</v>
      </c>
      <c r="N7" s="16"/>
      <c r="O7" s="18" t="s">
        <v>8572</v>
      </c>
      <c r="P7" s="16"/>
      <c r="Q7" s="18" t="s">
        <v>8587</v>
      </c>
      <c r="R7" s="16"/>
      <c r="S7" s="18"/>
      <c r="T7" s="20"/>
    </row>
    <row r="8" spans="1:20" ht="15.95" customHeight="1" x14ac:dyDescent="0.25">
      <c r="A8" s="18" t="s">
        <v>8512</v>
      </c>
      <c r="B8" s="16"/>
      <c r="C8" s="18" t="s">
        <v>8543</v>
      </c>
      <c r="D8" s="16"/>
      <c r="E8" s="18" t="s">
        <v>8604</v>
      </c>
      <c r="F8" s="16"/>
      <c r="G8" s="18" t="s">
        <v>8528</v>
      </c>
      <c r="H8" s="16"/>
      <c r="I8" s="18" t="s">
        <v>8634</v>
      </c>
      <c r="J8" s="16"/>
      <c r="K8" s="18" t="s">
        <v>8619</v>
      </c>
      <c r="L8" s="16"/>
      <c r="M8" s="18" t="s">
        <v>8558</v>
      </c>
      <c r="N8" s="16"/>
      <c r="O8" s="18" t="s">
        <v>8573</v>
      </c>
      <c r="P8" s="16"/>
      <c r="Q8" s="18" t="s">
        <v>8588</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8513</v>
      </c>
      <c r="B10" s="16"/>
      <c r="C10" s="18" t="s">
        <v>8544</v>
      </c>
      <c r="D10" s="16"/>
      <c r="E10" s="18" t="s">
        <v>8605</v>
      </c>
      <c r="F10" s="16"/>
      <c r="G10" s="18" t="s">
        <v>8529</v>
      </c>
      <c r="H10" s="16"/>
      <c r="I10" s="18" t="s">
        <v>8635</v>
      </c>
      <c r="J10" s="16"/>
      <c r="K10" s="18" t="s">
        <v>8620</v>
      </c>
      <c r="L10" s="16"/>
      <c r="M10" s="18" t="s">
        <v>8559</v>
      </c>
      <c r="N10" s="16"/>
      <c r="O10" s="18" t="s">
        <v>8574</v>
      </c>
      <c r="P10" s="16"/>
      <c r="Q10" s="18" t="s">
        <v>8589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8514</v>
      </c>
      <c r="B12" s="16"/>
      <c r="C12" s="18" t="s">
        <v>8545</v>
      </c>
      <c r="D12" s="16"/>
      <c r="E12" s="18" t="s">
        <v>8606</v>
      </c>
      <c r="F12" s="16"/>
      <c r="G12" s="18" t="s">
        <v>8530</v>
      </c>
      <c r="H12" s="16"/>
      <c r="I12" s="18" t="s">
        <v>8636</v>
      </c>
      <c r="J12" s="16"/>
      <c r="K12" s="18" t="s">
        <v>8621</v>
      </c>
      <c r="L12" s="16"/>
      <c r="M12" s="18" t="s">
        <v>8560</v>
      </c>
      <c r="N12" s="16"/>
      <c r="O12" s="18" t="s">
        <v>8575</v>
      </c>
      <c r="P12" s="16"/>
      <c r="Q12" s="18" t="s">
        <v>8590</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8591</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election activeCell="J13" sqref="J1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16"/>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93</vt:i4>
      </vt:variant>
    </vt:vector>
  </HeadingPairs>
  <TitlesOfParts>
    <vt:vector size="93"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Empty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2025-11-01T10:23:29Z</dcterms:modified>
</cp:coreProperties>
</file>